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Report" sheetId="1" state="visible" r:id="rId3"/>
    <sheet name="Weekly Status" sheetId="2" state="visible" r:id="rId4"/>
    <sheet name="Timeline" sheetId="3" state="visible" r:id="rId5"/>
    <sheet name="Actions" sheetId="4" state="visible" r:id="rId6"/>
    <sheet name="Findings" sheetId="5" state="visible" r:id="rId7"/>
    <sheet name="Escalations" sheetId="6" state="visible" r:id="rId8"/>
    <sheet name="Meetings &amp; Emails" sheetId="7" state="visible" r:id="rId9"/>
    <sheet name="How To Use" sheetId="8" state="visible" r:id="rId10"/>
    <sheet name="Lists" sheetId="9" state="visible" r:id="rId11"/>
  </sheets>
  <definedNames>
    <definedName function="false" hidden="true" localSheetId="3" name="_xlnm._FilterDatabase" vbProcedure="false">Actions!$A$4:$P$204</definedName>
    <definedName function="false" hidden="true" localSheetId="5" name="_xlnm._FilterDatabase" vbProcedure="false">Escalations!$A$4:$K$204</definedName>
    <definedName function="false" hidden="true" localSheetId="4" name="_xlnm._FilterDatabase" vbProcedure="false">Findings!$A$4:$N$204</definedName>
    <definedName function="false" hidden="true" localSheetId="6" name="_xlnm._FilterDatabase" vbProcedure="false">'Meetings &amp; Emails'!$A$4:$H$204</definedName>
    <definedName function="false" hidden="false" localSheetId="0" name="_xlnm.Print_Area" vbProcedure="false">'Weekly Report'!$A$1:$G$88</definedName>
    <definedName function="false" hidden="true" localSheetId="1" name="_xlnm._FilterDatabase" vbProcedure="false">'Weekly Status'!$A$4:$D$204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Rule of thumb only – your judgement in Weekly Status prevails.
Red: a phase behind plan or ≥3 overdue actions.
Amber: any overdue or blocked action, or any open escalation.
Green: otherwise.</t>
        </r>
      </text>
    </comment>
    <comment ref="C4" authorId="0">
      <text>
        <r>
          <rPr>
            <sz val="10"/>
            <rFont val="Arial"/>
            <family val="2"/>
          </rPr>
          <t xml:space="preserve">Defaults to today. Overwrite with your meeting date to rebuild the report for another week.</t>
        </r>
      </text>
    </comment>
    <comment ref="C5" authorId="0">
      <text>
        <r>
          <rPr>
            <sz val="10"/>
            <rFont val="Arial"/>
            <family val="2"/>
          </rPr>
          <t xml:space="preserve">Defaults to 7 days before. Overwrite if meetings are not exactly weekly.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Set this date whenever the action moves forward — it puts the action in 'Progress since last week'.</t>
        </r>
      </text>
    </comment>
    <comment ref="M4" authorId="0">
      <text>
        <r>
          <rPr>
            <sz val="10"/>
            <rFont val="Arial"/>
            <family val="2"/>
          </rPr>
          <t xml:space="preserve">Anything preventing progress or needed from someone else. Leave blank if none.</t>
        </r>
      </text>
    </comment>
    <comment ref="O4" authorId="0">
      <text>
        <r>
          <rPr>
            <sz val="10"/>
            <rFont val="Arial"/>
            <family val="2"/>
          </rPr>
          <t xml:space="preserve">Yes = show in 'Plan for next week'. Actions due within 7 days after the meeting appear automatically.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Date of the last material change (severity, scope, remediation status). It puts the finding back in the weekly report.</t>
        </r>
      </text>
    </comment>
  </commentList>
</comments>
</file>

<file path=xl/sharedStrings.xml><?xml version="1.0" encoding="utf-8"?>
<sst xmlns="http://schemas.openxmlformats.org/spreadsheetml/2006/main" count="1140" uniqueCount="1038">
  <si>
    <t xml:space="preserve">EASM Mission – Weekly Status Report</t>
  </si>
  <si>
    <t xml:space="preserve">Meeting date</t>
  </si>
  <si>
    <t xml:space="preserve">Reporting period</t>
  </si>
  <si>
    <t xml:space="preserve">Prev. meeting</t>
  </si>
  <si>
    <t xml:space="preserve">Next-week window</t>
  </si>
  <si>
    <t xml:space="preserve">Edit only the two boxed dates. Everything below fills in automatically from the other tabs.</t>
  </si>
  <si>
    <t xml:space="preserve">Overall Timeline</t>
  </si>
  <si>
    <t xml:space="preserve">#</t>
  </si>
  <si>
    <t xml:space="preserve">Week</t>
  </si>
  <si>
    <t xml:space="preserve">Mission period</t>
  </si>
  <si>
    <t xml:space="preserve">Day</t>
  </si>
  <si>
    <t xml:space="preserve">% time elapsed</t>
  </si>
  <si>
    <t xml:space="preserve">Current phase</t>
  </si>
  <si>
    <t xml:space="preserve">Plan check</t>
  </si>
  <si>
    <t xml:space="preserve">Phase</t>
  </si>
  <si>
    <t xml:space="preserve">Phase name</t>
  </si>
  <si>
    <t xml:space="preserve">Planned start</t>
  </si>
  <si>
    <t xml:space="preserve">Planned end</t>
  </si>
  <si>
    <t xml:space="preserve">Status</t>
  </si>
  <si>
    <t xml:space="preserve">Actions completed</t>
  </si>
  <si>
    <t xml:space="preserve">Overall Status</t>
  </si>
  <si>
    <t xml:space="preserve">RAG</t>
  </si>
  <si>
    <t xml:space="preserve">Why (one sentence)</t>
  </si>
  <si>
    <t xml:space="preserve">Suggested RAG</t>
  </si>
  <si>
    <t xml:space="preserve">Overdue actions</t>
  </si>
  <si>
    <t xml:space="preserve">Blocked actions</t>
  </si>
  <si>
    <t xml:space="preserve">Open escalations</t>
  </si>
  <si>
    <t xml:space="preserve">Phases behind plan</t>
  </si>
  <si>
    <t xml:space="preserve">Meetings / emails this period</t>
  </si>
  <si>
    <t xml:space="preserve">Progress Since Last Week</t>
  </si>
  <si>
    <t xml:space="preserve">ID</t>
  </si>
  <si>
    <t xml:space="preserve">Action</t>
  </si>
  <si>
    <t xml:space="preserve">Owner</t>
  </si>
  <si>
    <t xml:space="preserve">Focus area</t>
  </si>
  <si>
    <t xml:space="preserve">Progress note</t>
  </si>
  <si>
    <t xml:space="preserve">Current Work</t>
  </si>
  <si>
    <t xml:space="preserve">Due date</t>
  </si>
  <si>
    <t xml:space="preserve">Findings – New or Materially Changed</t>
  </si>
  <si>
    <t xml:space="preserve">Finding</t>
  </si>
  <si>
    <t xml:space="preserve">Severity</t>
  </si>
  <si>
    <t xml:space="preserve">Remediation status</t>
  </si>
  <si>
    <t xml:space="preserve">New / Changed</t>
  </si>
  <si>
    <t xml:space="preserve">Update / remediation</t>
  </si>
  <si>
    <t xml:space="preserve">Blockers &amp; Dependencies</t>
  </si>
  <si>
    <t xml:space="preserve">Blocker / dependency</t>
  </si>
  <si>
    <t xml:space="preserve">Waiting on</t>
  </si>
  <si>
    <t xml:space="preserve">Related action</t>
  </si>
  <si>
    <t xml:space="preserve">Plan for Next Week</t>
  </si>
  <si>
    <t xml:space="preserve">Escalations &amp; Decisions Needed</t>
  </si>
  <si>
    <t xml:space="preserve">Issue / decision required</t>
  </si>
  <si>
    <t xml:space="preserve">Decision maker</t>
  </si>
  <si>
    <t xml:space="preserve">Type</t>
  </si>
  <si>
    <t xml:space="preserve">Needed by</t>
  </si>
  <si>
    <t xml:space="preserve">Recommendation</t>
  </si>
  <si>
    <t xml:space="preserve">Source: Actions, Findings, Escalations, Weekly Status and Timeline tabs. Overall RAG is the analyst's judgement; 'Suggested RAG' is an indicative rule (see cell note).</t>
  </si>
  <si>
    <t xml:space="preserve">Weekly Status</t>
  </si>
  <si>
    <t xml:space="preserve">One row per weekly meeting: your overall RAG and the one-sentence reason. Builds a status history.</t>
  </si>
  <si>
    <t xml:space="preserve">White = you type   |   Grey = automatic   |   Italic rows = examples (overwrite or delete)</t>
  </si>
  <si>
    <t xml:space="preserve">Meeting Date</t>
  </si>
  <si>
    <t xml:space="preserve">Overall Status (RAG)</t>
  </si>
  <si>
    <t xml:space="preserve">Other Notes</t>
  </si>
  <si>
    <t xml:space="preserve">helper:wk</t>
  </si>
  <si>
    <t xml:space="preserve">Amber</t>
  </si>
  <si>
    <t xml:space="preserve">Kick-off completed on time, but the inventory audit is held back by the missing EASM procedure and a pending scope decision.</t>
  </si>
  <si>
    <t xml:space="preserve">Timeline</t>
  </si>
  <si>
    <t xml:space="preserve">Mission dates, the 3 phases and coverage of methods × focus areas.</t>
  </si>
  <si>
    <t xml:space="preserve">Mission name</t>
  </si>
  <si>
    <t xml:space="preserve">EASM Assessment – 2LoD Cyber Risk Intelligence</t>
  </si>
  <si>
    <t xml:space="preserve">Mission start</t>
  </si>
  <si>
    <t xml:space="preserve">Mission end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</si>
  <si>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</si>
  <si>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</si>
  <si>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</si>
  <si>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</si>
  <si>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Actions</t>
  </si>
  <si>
    <t xml:space="preserve">Completed</t>
  </si>
  <si>
    <t xml:space="preserve">% Complete</t>
  </si>
  <si>
    <t xml:space="preserve">Plan Check</t>
  </si>
  <si>
    <t xml:space="preserve">Comment</t>
  </si>
  <si>
    <t xml:space="preserve">P1</t>
  </si>
  <si>
    <t xml:space="preserve">Kick-off &amp; Alignment</t>
  </si>
  <si>
    <t xml:space="preserve">In Progress</t>
  </si>
  <si>
    <t xml:space="preserve">P2</t>
  </si>
  <si>
    <t xml:space="preserve">Assessment &amp; Execution</t>
  </si>
  <si>
    <t xml:space="preserve">Not Started</t>
  </si>
  <si>
    <t xml:space="preserve">P3</t>
  </si>
  <si>
    <t xml:space="preserve">Reporting &amp; Conclusion</t>
  </si>
  <si>
    <t xml:space="preserve">Coverage – number of actions per focus area and method (cancelled excluded)</t>
  </si>
  <si>
    <t xml:space="preserve">Focus Area</t>
  </si>
  <si>
    <t xml:space="preserve">Document Review</t>
  </si>
  <si>
    <t xml:space="preserve">Stakeholder Engagement</t>
  </si>
  <si>
    <t xml:space="preserve">Inventory Audit</t>
  </si>
  <si>
    <t xml:space="preserve">Completeness Validation</t>
  </si>
  <si>
    <t xml:space="preserve">Total Actions</t>
  </si>
  <si>
    <t xml:space="preserve">Open Findings</t>
  </si>
  <si>
    <t xml:space="preserve">Visibility</t>
  </si>
  <si>
    <t xml:space="preserve">Governance</t>
  </si>
  <si>
    <t xml:space="preserve">Integration</t>
  </si>
  <si>
    <t xml:space="preserve">Sustainability</t>
  </si>
  <si>
    <t xml:space="preserve">Amber cell = no action yet for that focus area / method combination (possible coverage gap).</t>
  </si>
  <si>
    <t xml:space="preserve">Every task of the mission. Update Status, Last Updated and Progress Note before each weekly meeting.</t>
  </si>
  <si>
    <t xml:space="preserve">Action / Task</t>
  </si>
  <si>
    <t xml:space="preserve">Method</t>
  </si>
  <si>
    <t xml:space="preserve">Start Date</t>
  </si>
  <si>
    <t xml:space="preserve">Due Date</t>
  </si>
  <si>
    <t xml:space="preserve">Completed Date</t>
  </si>
  <si>
    <t xml:space="preserve">Last Updated</t>
  </si>
  <si>
    <t xml:space="preserve">Progress Note (latest)</t>
  </si>
  <si>
    <t xml:space="preserve">Blocker / Dependency</t>
  </si>
  <si>
    <t xml:space="preserve">Waiting On (who)</t>
  </si>
  <si>
    <t xml:space="preserve">Plan for Next Week?</t>
  </si>
  <si>
    <t xml:space="preserve">Overdue?</t>
  </si>
  <si>
    <t xml:space="preserve">helper:prog</t>
  </si>
  <si>
    <t xml:space="preserve">helper:curr</t>
  </si>
  <si>
    <t xml:space="preserve">helper:blk</t>
  </si>
  <si>
    <t xml:space="preserve">helper:next</t>
  </si>
  <si>
    <t xml:space="preserve">ACT-001</t>
  </si>
  <si>
    <t xml:space="preserve">Kick-off meeting with CISO Office and Network Security; agree scope and data requests</t>
  </si>
  <si>
    <t xml:space="preserve">Me</t>
  </si>
  <si>
    <t xml:space="preserve">Scope agreed: 3 legal entities, root domains and public IP ranges</t>
  </si>
  <si>
    <t xml:space="preserve">No</t>
  </si>
  <si>
    <t xml:space="preserve">ACT-002</t>
  </si>
  <si>
    <t xml:space="preserve">Reconcile EASM-discovered assets against CMDB extract</t>
  </si>
  <si>
    <t xml:space="preserve">First pass done: ~18% of discovered hosts not in CMDB</t>
  </si>
  <si>
    <t xml:space="preserve">Yes</t>
  </si>
  <si>
    <t xml:space="preserve">ACT-003</t>
  </si>
  <si>
    <t xml:space="preserve">Review EASM operating procedure and asset ownership policy</t>
  </si>
  <si>
    <t xml:space="preserve">Blocked</t>
  </si>
  <si>
    <t xml:space="preserve">Current version of the EASM procedure not yet shared by 1LoD</t>
  </si>
  <si>
    <t xml:space="preserve">Network Security (1LoD)</t>
  </si>
  <si>
    <t xml:space="preserve">ACT-004</t>
  </si>
  <si>
    <t xml:space="preserve">ACT-005</t>
  </si>
  <si>
    <t xml:space="preserve">ACT-006</t>
  </si>
  <si>
    <t xml:space="preserve">ACT-007</t>
  </si>
  <si>
    <t xml:space="preserve">ACT-008</t>
  </si>
  <si>
    <t xml:space="preserve">ACT-009</t>
  </si>
  <si>
    <t xml:space="preserve">ACT-010</t>
  </si>
  <si>
    <t xml:space="preserve">ACT-011</t>
  </si>
  <si>
    <t xml:space="preserve">ACT-012</t>
  </si>
  <si>
    <t xml:space="preserve">ACT-013</t>
  </si>
  <si>
    <t xml:space="preserve">ACT-014</t>
  </si>
  <si>
    <t xml:space="preserve">ACT-015</t>
  </si>
  <si>
    <t xml:space="preserve">ACT-016</t>
  </si>
  <si>
    <t xml:space="preserve">ACT-017</t>
  </si>
  <si>
    <t xml:space="preserve">ACT-018</t>
  </si>
  <si>
    <t xml:space="preserve">ACT-019</t>
  </si>
  <si>
    <t xml:space="preserve">ACT-020</t>
  </si>
  <si>
    <t xml:space="preserve">ACT-021</t>
  </si>
  <si>
    <t xml:space="preserve">ACT-022</t>
  </si>
  <si>
    <t xml:space="preserve">ACT-023</t>
  </si>
  <si>
    <t xml:space="preserve">ACT-024</t>
  </si>
  <si>
    <t xml:space="preserve">ACT-025</t>
  </si>
  <si>
    <t xml:space="preserve">ACT-026</t>
  </si>
  <si>
    <t xml:space="preserve">ACT-027</t>
  </si>
  <si>
    <t xml:space="preserve">ACT-028</t>
  </si>
  <si>
    <t xml:space="preserve">ACT-029</t>
  </si>
  <si>
    <t xml:space="preserve">ACT-030</t>
  </si>
  <si>
    <t xml:space="preserve">ACT-031</t>
  </si>
  <si>
    <t xml:space="preserve">ACT-032</t>
  </si>
  <si>
    <t xml:space="preserve">ACT-033</t>
  </si>
  <si>
    <t xml:space="preserve">ACT-034</t>
  </si>
  <si>
    <t xml:space="preserve">ACT-035</t>
  </si>
  <si>
    <t xml:space="preserve">ACT-036</t>
  </si>
  <si>
    <t xml:space="preserve">ACT-037</t>
  </si>
  <si>
    <t xml:space="preserve">ACT-038</t>
  </si>
  <si>
    <t xml:space="preserve">ACT-039</t>
  </si>
  <si>
    <t xml:space="preserve">ACT-040</t>
  </si>
  <si>
    <t xml:space="preserve">ACT-041</t>
  </si>
  <si>
    <t xml:space="preserve">ACT-042</t>
  </si>
  <si>
    <t xml:space="preserve">ACT-043</t>
  </si>
  <si>
    <t xml:space="preserve">ACT-044</t>
  </si>
  <si>
    <t xml:space="preserve">ACT-045</t>
  </si>
  <si>
    <t xml:space="preserve">ACT-046</t>
  </si>
  <si>
    <t xml:space="preserve">ACT-047</t>
  </si>
  <si>
    <t xml:space="preserve">ACT-048</t>
  </si>
  <si>
    <t xml:space="preserve">ACT-049</t>
  </si>
  <si>
    <t xml:space="preserve">ACT-050</t>
  </si>
  <si>
    <t xml:space="preserve">ACT-051</t>
  </si>
  <si>
    <t xml:space="preserve">ACT-052</t>
  </si>
  <si>
    <t xml:space="preserve">ACT-053</t>
  </si>
  <si>
    <t xml:space="preserve">ACT-054</t>
  </si>
  <si>
    <t xml:space="preserve">ACT-055</t>
  </si>
  <si>
    <t xml:space="preserve">ACT-056</t>
  </si>
  <si>
    <t xml:space="preserve">ACT-057</t>
  </si>
  <si>
    <t xml:space="preserve">ACT-058</t>
  </si>
  <si>
    <t xml:space="preserve">ACT-059</t>
  </si>
  <si>
    <t xml:space="preserve">ACT-060</t>
  </si>
  <si>
    <t xml:space="preserve">ACT-061</t>
  </si>
  <si>
    <t xml:space="preserve">ACT-062</t>
  </si>
  <si>
    <t xml:space="preserve">ACT-063</t>
  </si>
  <si>
    <t xml:space="preserve">ACT-064</t>
  </si>
  <si>
    <t xml:space="preserve">ACT-065</t>
  </si>
  <si>
    <t xml:space="preserve">ACT-066</t>
  </si>
  <si>
    <t xml:space="preserve">ACT-067</t>
  </si>
  <si>
    <t xml:space="preserve">ACT-068</t>
  </si>
  <si>
    <t xml:space="preserve">ACT-069</t>
  </si>
  <si>
    <t xml:space="preserve">ACT-070</t>
  </si>
  <si>
    <t xml:space="preserve">ACT-071</t>
  </si>
  <si>
    <t xml:space="preserve">ACT-072</t>
  </si>
  <si>
    <t xml:space="preserve">ACT-073</t>
  </si>
  <si>
    <t xml:space="preserve">ACT-074</t>
  </si>
  <si>
    <t xml:space="preserve">ACT-075</t>
  </si>
  <si>
    <t xml:space="preserve">ACT-076</t>
  </si>
  <si>
    <t xml:space="preserve">ACT-077</t>
  </si>
  <si>
    <t xml:space="preserve">ACT-078</t>
  </si>
  <si>
    <t xml:space="preserve">ACT-079</t>
  </si>
  <si>
    <t xml:space="preserve">ACT-080</t>
  </si>
  <si>
    <t xml:space="preserve">ACT-081</t>
  </si>
  <si>
    <t xml:space="preserve">ACT-082</t>
  </si>
  <si>
    <t xml:space="preserve">ACT-083</t>
  </si>
  <si>
    <t xml:space="preserve">ACT-084</t>
  </si>
  <si>
    <t xml:space="preserve">ACT-085</t>
  </si>
  <si>
    <t xml:space="preserve">ACT-086</t>
  </si>
  <si>
    <t xml:space="preserve">ACT-087</t>
  </si>
  <si>
    <t xml:space="preserve">ACT-088</t>
  </si>
  <si>
    <t xml:space="preserve">ACT-089</t>
  </si>
  <si>
    <t xml:space="preserve">ACT-090</t>
  </si>
  <si>
    <t xml:space="preserve">ACT-091</t>
  </si>
  <si>
    <t xml:space="preserve">ACT-092</t>
  </si>
  <si>
    <t xml:space="preserve">ACT-093</t>
  </si>
  <si>
    <t xml:space="preserve">ACT-094</t>
  </si>
  <si>
    <t xml:space="preserve">ACT-095</t>
  </si>
  <si>
    <t xml:space="preserve">ACT-096</t>
  </si>
  <si>
    <t xml:space="preserve">ACT-097</t>
  </si>
  <si>
    <t xml:space="preserve">ACT-098</t>
  </si>
  <si>
    <t xml:space="preserve">ACT-099</t>
  </si>
  <si>
    <t xml:space="preserve">ACT-100</t>
  </si>
  <si>
    <t xml:space="preserve">ACT-101</t>
  </si>
  <si>
    <t xml:space="preserve">ACT-102</t>
  </si>
  <si>
    <t xml:space="preserve">ACT-103</t>
  </si>
  <si>
    <t xml:space="preserve">ACT-104</t>
  </si>
  <si>
    <t xml:space="preserve">ACT-105</t>
  </si>
  <si>
    <t xml:space="preserve">ACT-106</t>
  </si>
  <si>
    <t xml:space="preserve">ACT-107</t>
  </si>
  <si>
    <t xml:space="preserve">ACT-108</t>
  </si>
  <si>
    <t xml:space="preserve">ACT-109</t>
  </si>
  <si>
    <t xml:space="preserve">ACT-110</t>
  </si>
  <si>
    <t xml:space="preserve">ACT-111</t>
  </si>
  <si>
    <t xml:space="preserve">ACT-112</t>
  </si>
  <si>
    <t xml:space="preserve">ACT-113</t>
  </si>
  <si>
    <t xml:space="preserve">ACT-114</t>
  </si>
  <si>
    <t xml:space="preserve">ACT-115</t>
  </si>
  <si>
    <t xml:space="preserve">ACT-116</t>
  </si>
  <si>
    <t xml:space="preserve">ACT-117</t>
  </si>
  <si>
    <t xml:space="preserve">ACT-118</t>
  </si>
  <si>
    <t xml:space="preserve">ACT-119</t>
  </si>
  <si>
    <t xml:space="preserve">ACT-120</t>
  </si>
  <si>
    <t xml:space="preserve">ACT-121</t>
  </si>
  <si>
    <t xml:space="preserve">ACT-122</t>
  </si>
  <si>
    <t xml:space="preserve">ACT-123</t>
  </si>
  <si>
    <t xml:space="preserve">ACT-124</t>
  </si>
  <si>
    <t xml:space="preserve">ACT-125</t>
  </si>
  <si>
    <t xml:space="preserve">ACT-126</t>
  </si>
  <si>
    <t xml:space="preserve">ACT-127</t>
  </si>
  <si>
    <t xml:space="preserve">ACT-128</t>
  </si>
  <si>
    <t xml:space="preserve">ACT-129</t>
  </si>
  <si>
    <t xml:space="preserve">ACT-130</t>
  </si>
  <si>
    <t xml:space="preserve">ACT-131</t>
  </si>
  <si>
    <t xml:space="preserve">ACT-132</t>
  </si>
  <si>
    <t xml:space="preserve">ACT-133</t>
  </si>
  <si>
    <t xml:space="preserve">ACT-134</t>
  </si>
  <si>
    <t xml:space="preserve">ACT-135</t>
  </si>
  <si>
    <t xml:space="preserve">ACT-136</t>
  </si>
  <si>
    <t xml:space="preserve">ACT-137</t>
  </si>
  <si>
    <t xml:space="preserve">ACT-138</t>
  </si>
  <si>
    <t xml:space="preserve">ACT-139</t>
  </si>
  <si>
    <t xml:space="preserve">ACT-140</t>
  </si>
  <si>
    <t xml:space="preserve">ACT-141</t>
  </si>
  <si>
    <t xml:space="preserve">ACT-142</t>
  </si>
  <si>
    <t xml:space="preserve">ACT-143</t>
  </si>
  <si>
    <t xml:space="preserve">ACT-144</t>
  </si>
  <si>
    <t xml:space="preserve">ACT-145</t>
  </si>
  <si>
    <t xml:space="preserve">ACT-146</t>
  </si>
  <si>
    <t xml:space="preserve">ACT-147</t>
  </si>
  <si>
    <t xml:space="preserve">ACT-148</t>
  </si>
  <si>
    <t xml:space="preserve">ACT-149</t>
  </si>
  <si>
    <t xml:space="preserve">ACT-150</t>
  </si>
  <si>
    <t xml:space="preserve">ACT-151</t>
  </si>
  <si>
    <t xml:space="preserve">ACT-152</t>
  </si>
  <si>
    <t xml:space="preserve">ACT-153</t>
  </si>
  <si>
    <t xml:space="preserve">ACT-154</t>
  </si>
  <si>
    <t xml:space="preserve">ACT-155</t>
  </si>
  <si>
    <t xml:space="preserve">ACT-156</t>
  </si>
  <si>
    <t xml:space="preserve">ACT-157</t>
  </si>
  <si>
    <t xml:space="preserve">ACT-158</t>
  </si>
  <si>
    <t xml:space="preserve">ACT-159</t>
  </si>
  <si>
    <t xml:space="preserve">ACT-160</t>
  </si>
  <si>
    <t xml:space="preserve">ACT-161</t>
  </si>
  <si>
    <t xml:space="preserve">ACT-162</t>
  </si>
  <si>
    <t xml:space="preserve">ACT-163</t>
  </si>
  <si>
    <t xml:space="preserve">ACT-164</t>
  </si>
  <si>
    <t xml:space="preserve">ACT-165</t>
  </si>
  <si>
    <t xml:space="preserve">ACT-166</t>
  </si>
  <si>
    <t xml:space="preserve">ACT-167</t>
  </si>
  <si>
    <t xml:space="preserve">ACT-168</t>
  </si>
  <si>
    <t xml:space="preserve">ACT-169</t>
  </si>
  <si>
    <t xml:space="preserve">ACT-170</t>
  </si>
  <si>
    <t xml:space="preserve">ACT-171</t>
  </si>
  <si>
    <t xml:space="preserve">ACT-172</t>
  </si>
  <si>
    <t xml:space="preserve">ACT-173</t>
  </si>
  <si>
    <t xml:space="preserve">ACT-174</t>
  </si>
  <si>
    <t xml:space="preserve">ACT-175</t>
  </si>
  <si>
    <t xml:space="preserve">ACT-176</t>
  </si>
  <si>
    <t xml:space="preserve">ACT-177</t>
  </si>
  <si>
    <t xml:space="preserve">ACT-178</t>
  </si>
  <si>
    <t xml:space="preserve">ACT-179</t>
  </si>
  <si>
    <t xml:space="preserve">ACT-180</t>
  </si>
  <si>
    <t xml:space="preserve">ACT-181</t>
  </si>
  <si>
    <t xml:space="preserve">ACT-182</t>
  </si>
  <si>
    <t xml:space="preserve">ACT-183</t>
  </si>
  <si>
    <t xml:space="preserve">ACT-184</t>
  </si>
  <si>
    <t xml:space="preserve">ACT-185</t>
  </si>
  <si>
    <t xml:space="preserve">ACT-186</t>
  </si>
  <si>
    <t xml:space="preserve">ACT-187</t>
  </si>
  <si>
    <t xml:space="preserve">ACT-188</t>
  </si>
  <si>
    <t xml:space="preserve">ACT-189</t>
  </si>
  <si>
    <t xml:space="preserve">ACT-190</t>
  </si>
  <si>
    <t xml:space="preserve">ACT-191</t>
  </si>
  <si>
    <t xml:space="preserve">ACT-192</t>
  </si>
  <si>
    <t xml:space="preserve">ACT-193</t>
  </si>
  <si>
    <t xml:space="preserve">ACT-194</t>
  </si>
  <si>
    <t xml:space="preserve">ACT-195</t>
  </si>
  <si>
    <t xml:space="preserve">ACT-196</t>
  </si>
  <si>
    <t xml:space="preserve">ACT-197</t>
  </si>
  <si>
    <t xml:space="preserve">ACT-198</t>
  </si>
  <si>
    <t xml:space="preserve">ACT-199</t>
  </si>
  <si>
    <t xml:space="preserve">ACT-200</t>
  </si>
  <si>
    <t xml:space="preserve">Findings</t>
  </si>
  <si>
    <t xml:space="preserve">Mission findings. 'This Period' flags new or materially changed findings for the weekly report.</t>
  </si>
  <si>
    <t xml:space="preserve">Date Identified</t>
  </si>
  <si>
    <t xml:space="preserve">Finding (what &amp; where)</t>
  </si>
  <si>
    <t xml:space="preserve">Risk / Impact</t>
  </si>
  <si>
    <t xml:space="preserve">Remediation Owner</t>
  </si>
  <si>
    <t xml:space="preserve">Remediation Status</t>
  </si>
  <si>
    <t xml:space="preserve">Target Date</t>
  </si>
  <si>
    <t xml:space="preserve">Last Material Change</t>
  </si>
  <si>
    <t xml:space="preserve">What Changed / Remediation Update</t>
  </si>
  <si>
    <t xml:space="preserve">This Period</t>
  </si>
  <si>
    <t xml:space="preserve">helper:rep</t>
  </si>
  <si>
    <t xml:space="preserve">FND-001</t>
  </si>
  <si>
    <t xml:space="preserve">~18% of internet-facing hosts discovered by EASM are not recorded in the CMDB (mostly acquired entity B)</t>
  </si>
  <si>
    <t xml:space="preserve">Unmanaged assets outside patching and monitoring; incomplete ICT asset register</t>
  </si>
  <si>
    <t xml:space="preserve">High</t>
  </si>
  <si>
    <t xml:space="preserve">Open</t>
  </si>
  <si>
    <t xml:space="preserve">New – root cause analysis requested from 1LoD</t>
  </si>
  <si>
    <t xml:space="preserve">FND-002</t>
  </si>
  <si>
    <t xml:space="preserve">FND-003</t>
  </si>
  <si>
    <t xml:space="preserve">FND-004</t>
  </si>
  <si>
    <t xml:space="preserve">FND-005</t>
  </si>
  <si>
    <t xml:space="preserve">FND-006</t>
  </si>
  <si>
    <t xml:space="preserve">FND-007</t>
  </si>
  <si>
    <t xml:space="preserve">FND-008</t>
  </si>
  <si>
    <t xml:space="preserve">FND-009</t>
  </si>
  <si>
    <t xml:space="preserve">FND-010</t>
  </si>
  <si>
    <t xml:space="preserve">FND-011</t>
  </si>
  <si>
    <t xml:space="preserve">FND-012</t>
  </si>
  <si>
    <t xml:space="preserve">FND-013</t>
  </si>
  <si>
    <t xml:space="preserve">FND-014</t>
  </si>
  <si>
    <t xml:space="preserve">FND-015</t>
  </si>
  <si>
    <t xml:space="preserve">FND-016</t>
  </si>
  <si>
    <t xml:space="preserve">FND-017</t>
  </si>
  <si>
    <t xml:space="preserve">FND-018</t>
  </si>
  <si>
    <t xml:space="preserve">FND-019</t>
  </si>
  <si>
    <t xml:space="preserve">FND-020</t>
  </si>
  <si>
    <t xml:space="preserve">FND-021</t>
  </si>
  <si>
    <t xml:space="preserve">FND-022</t>
  </si>
  <si>
    <t xml:space="preserve">FND-023</t>
  </si>
  <si>
    <t xml:space="preserve">FND-024</t>
  </si>
  <si>
    <t xml:space="preserve">FND-025</t>
  </si>
  <si>
    <t xml:space="preserve">FND-026</t>
  </si>
  <si>
    <t xml:space="preserve">FND-027</t>
  </si>
  <si>
    <t xml:space="preserve">FND-028</t>
  </si>
  <si>
    <t xml:space="preserve">FND-029</t>
  </si>
  <si>
    <t xml:space="preserve">FND-030</t>
  </si>
  <si>
    <t xml:space="preserve">FND-031</t>
  </si>
  <si>
    <t xml:space="preserve">FND-032</t>
  </si>
  <si>
    <t xml:space="preserve">FND-033</t>
  </si>
  <si>
    <t xml:space="preserve">FND-034</t>
  </si>
  <si>
    <t xml:space="preserve">FND-035</t>
  </si>
  <si>
    <t xml:space="preserve">FND-036</t>
  </si>
  <si>
    <t xml:space="preserve">FND-037</t>
  </si>
  <si>
    <t xml:space="preserve">FND-038</t>
  </si>
  <si>
    <t xml:space="preserve">FND-039</t>
  </si>
  <si>
    <t xml:space="preserve">FND-040</t>
  </si>
  <si>
    <t xml:space="preserve">FND-041</t>
  </si>
  <si>
    <t xml:space="preserve">FND-042</t>
  </si>
  <si>
    <t xml:space="preserve">FND-043</t>
  </si>
  <si>
    <t xml:space="preserve">FND-044</t>
  </si>
  <si>
    <t xml:space="preserve">FND-045</t>
  </si>
  <si>
    <t xml:space="preserve">FND-046</t>
  </si>
  <si>
    <t xml:space="preserve">FND-047</t>
  </si>
  <si>
    <t xml:space="preserve">FND-048</t>
  </si>
  <si>
    <t xml:space="preserve">FND-049</t>
  </si>
  <si>
    <t xml:space="preserve">FND-050</t>
  </si>
  <si>
    <t xml:space="preserve">FND-051</t>
  </si>
  <si>
    <t xml:space="preserve">FND-052</t>
  </si>
  <si>
    <t xml:space="preserve">FND-053</t>
  </si>
  <si>
    <t xml:space="preserve">FND-054</t>
  </si>
  <si>
    <t xml:space="preserve">FND-055</t>
  </si>
  <si>
    <t xml:space="preserve">FND-056</t>
  </si>
  <si>
    <t xml:space="preserve">FND-057</t>
  </si>
  <si>
    <t xml:space="preserve">FND-058</t>
  </si>
  <si>
    <t xml:space="preserve">FND-059</t>
  </si>
  <si>
    <t xml:space="preserve">FND-060</t>
  </si>
  <si>
    <t xml:space="preserve">FND-061</t>
  </si>
  <si>
    <t xml:space="preserve">FND-062</t>
  </si>
  <si>
    <t xml:space="preserve">FND-063</t>
  </si>
  <si>
    <t xml:space="preserve">FND-064</t>
  </si>
  <si>
    <t xml:space="preserve">FND-065</t>
  </si>
  <si>
    <t xml:space="preserve">FND-066</t>
  </si>
  <si>
    <t xml:space="preserve">FND-067</t>
  </si>
  <si>
    <t xml:space="preserve">FND-068</t>
  </si>
  <si>
    <t xml:space="preserve">FND-069</t>
  </si>
  <si>
    <t xml:space="preserve">FND-070</t>
  </si>
  <si>
    <t xml:space="preserve">FND-071</t>
  </si>
  <si>
    <t xml:space="preserve">FND-072</t>
  </si>
  <si>
    <t xml:space="preserve">FND-073</t>
  </si>
  <si>
    <t xml:space="preserve">FND-074</t>
  </si>
  <si>
    <t xml:space="preserve">FND-075</t>
  </si>
  <si>
    <t xml:space="preserve">FND-076</t>
  </si>
  <si>
    <t xml:space="preserve">FND-077</t>
  </si>
  <si>
    <t xml:space="preserve">FND-078</t>
  </si>
  <si>
    <t xml:space="preserve">FND-079</t>
  </si>
  <si>
    <t xml:space="preserve">FND-080</t>
  </si>
  <si>
    <t xml:space="preserve">FND-081</t>
  </si>
  <si>
    <t xml:space="preserve">FND-082</t>
  </si>
  <si>
    <t xml:space="preserve">FND-083</t>
  </si>
  <si>
    <t xml:space="preserve">FND-084</t>
  </si>
  <si>
    <t xml:space="preserve">FND-085</t>
  </si>
  <si>
    <t xml:space="preserve">FND-086</t>
  </si>
  <si>
    <t xml:space="preserve">FND-087</t>
  </si>
  <si>
    <t xml:space="preserve">FND-088</t>
  </si>
  <si>
    <t xml:space="preserve">FND-089</t>
  </si>
  <si>
    <t xml:space="preserve">FND-090</t>
  </si>
  <si>
    <t xml:space="preserve">FND-091</t>
  </si>
  <si>
    <t xml:space="preserve">FND-092</t>
  </si>
  <si>
    <t xml:space="preserve">FND-093</t>
  </si>
  <si>
    <t xml:space="preserve">FND-094</t>
  </si>
  <si>
    <t xml:space="preserve">FND-095</t>
  </si>
  <si>
    <t xml:space="preserve">FND-096</t>
  </si>
  <si>
    <t xml:space="preserve">FND-097</t>
  </si>
  <si>
    <t xml:space="preserve">FND-098</t>
  </si>
  <si>
    <t xml:space="preserve">FND-099</t>
  </si>
  <si>
    <t xml:space="preserve">FND-100</t>
  </si>
  <si>
    <t xml:space="preserve">FND-101</t>
  </si>
  <si>
    <t xml:space="preserve">FND-102</t>
  </si>
  <si>
    <t xml:space="preserve">FND-103</t>
  </si>
  <si>
    <t xml:space="preserve">FND-104</t>
  </si>
  <si>
    <t xml:space="preserve">FND-105</t>
  </si>
  <si>
    <t xml:space="preserve">FND-106</t>
  </si>
  <si>
    <t xml:space="preserve">FND-107</t>
  </si>
  <si>
    <t xml:space="preserve">FND-108</t>
  </si>
  <si>
    <t xml:space="preserve">FND-109</t>
  </si>
  <si>
    <t xml:space="preserve">FND-110</t>
  </si>
  <si>
    <t xml:space="preserve">FND-111</t>
  </si>
  <si>
    <t xml:space="preserve">FND-112</t>
  </si>
  <si>
    <t xml:space="preserve">FND-113</t>
  </si>
  <si>
    <t xml:space="preserve">FND-114</t>
  </si>
  <si>
    <t xml:space="preserve">FND-115</t>
  </si>
  <si>
    <t xml:space="preserve">FND-116</t>
  </si>
  <si>
    <t xml:space="preserve">FND-117</t>
  </si>
  <si>
    <t xml:space="preserve">FND-118</t>
  </si>
  <si>
    <t xml:space="preserve">FND-119</t>
  </si>
  <si>
    <t xml:space="preserve">FND-120</t>
  </si>
  <si>
    <t xml:space="preserve">FND-121</t>
  </si>
  <si>
    <t xml:space="preserve">FND-122</t>
  </si>
  <si>
    <t xml:space="preserve">FND-123</t>
  </si>
  <si>
    <t xml:space="preserve">FND-124</t>
  </si>
  <si>
    <t xml:space="preserve">FND-125</t>
  </si>
  <si>
    <t xml:space="preserve">FND-126</t>
  </si>
  <si>
    <t xml:space="preserve">FND-127</t>
  </si>
  <si>
    <t xml:space="preserve">FND-128</t>
  </si>
  <si>
    <t xml:space="preserve">FND-129</t>
  </si>
  <si>
    <t xml:space="preserve">FND-130</t>
  </si>
  <si>
    <t xml:space="preserve">FND-131</t>
  </si>
  <si>
    <t xml:space="preserve">FND-132</t>
  </si>
  <si>
    <t xml:space="preserve">FND-133</t>
  </si>
  <si>
    <t xml:space="preserve">FND-134</t>
  </si>
  <si>
    <t xml:space="preserve">FND-135</t>
  </si>
  <si>
    <t xml:space="preserve">FND-136</t>
  </si>
  <si>
    <t xml:space="preserve">FND-137</t>
  </si>
  <si>
    <t xml:space="preserve">FND-138</t>
  </si>
  <si>
    <t xml:space="preserve">FND-139</t>
  </si>
  <si>
    <t xml:space="preserve">FND-140</t>
  </si>
  <si>
    <t xml:space="preserve">FND-141</t>
  </si>
  <si>
    <t xml:space="preserve">FND-142</t>
  </si>
  <si>
    <t xml:space="preserve">FND-143</t>
  </si>
  <si>
    <t xml:space="preserve">FND-144</t>
  </si>
  <si>
    <t xml:space="preserve">FND-145</t>
  </si>
  <si>
    <t xml:space="preserve">FND-146</t>
  </si>
  <si>
    <t xml:space="preserve">FND-147</t>
  </si>
  <si>
    <t xml:space="preserve">FND-148</t>
  </si>
  <si>
    <t xml:space="preserve">FND-149</t>
  </si>
  <si>
    <t xml:space="preserve">FND-150</t>
  </si>
  <si>
    <t xml:space="preserve">FND-151</t>
  </si>
  <si>
    <t xml:space="preserve">FND-152</t>
  </si>
  <si>
    <t xml:space="preserve">FND-153</t>
  </si>
  <si>
    <t xml:space="preserve">FND-154</t>
  </si>
  <si>
    <t xml:space="preserve">FND-155</t>
  </si>
  <si>
    <t xml:space="preserve">FND-156</t>
  </si>
  <si>
    <t xml:space="preserve">FND-157</t>
  </si>
  <si>
    <t xml:space="preserve">FND-158</t>
  </si>
  <si>
    <t xml:space="preserve">FND-159</t>
  </si>
  <si>
    <t xml:space="preserve">FND-160</t>
  </si>
  <si>
    <t xml:space="preserve">FND-161</t>
  </si>
  <si>
    <t xml:space="preserve">FND-162</t>
  </si>
  <si>
    <t xml:space="preserve">FND-163</t>
  </si>
  <si>
    <t xml:space="preserve">FND-164</t>
  </si>
  <si>
    <t xml:space="preserve">FND-165</t>
  </si>
  <si>
    <t xml:space="preserve">FND-166</t>
  </si>
  <si>
    <t xml:space="preserve">FND-167</t>
  </si>
  <si>
    <t xml:space="preserve">FND-168</t>
  </si>
  <si>
    <t xml:space="preserve">FND-169</t>
  </si>
  <si>
    <t xml:space="preserve">FND-170</t>
  </si>
  <si>
    <t xml:space="preserve">FND-171</t>
  </si>
  <si>
    <t xml:space="preserve">FND-172</t>
  </si>
  <si>
    <t xml:space="preserve">FND-173</t>
  </si>
  <si>
    <t xml:space="preserve">FND-174</t>
  </si>
  <si>
    <t xml:space="preserve">FND-175</t>
  </si>
  <si>
    <t xml:space="preserve">FND-176</t>
  </si>
  <si>
    <t xml:space="preserve">FND-177</t>
  </si>
  <si>
    <t xml:space="preserve">FND-178</t>
  </si>
  <si>
    <t xml:space="preserve">FND-179</t>
  </si>
  <si>
    <t xml:space="preserve">FND-180</t>
  </si>
  <si>
    <t xml:space="preserve">FND-181</t>
  </si>
  <si>
    <t xml:space="preserve">FND-182</t>
  </si>
  <si>
    <t xml:space="preserve">FND-183</t>
  </si>
  <si>
    <t xml:space="preserve">FND-184</t>
  </si>
  <si>
    <t xml:space="preserve">FND-185</t>
  </si>
  <si>
    <t xml:space="preserve">FND-186</t>
  </si>
  <si>
    <t xml:space="preserve">FND-187</t>
  </si>
  <si>
    <t xml:space="preserve">FND-188</t>
  </si>
  <si>
    <t xml:space="preserve">FND-189</t>
  </si>
  <si>
    <t xml:space="preserve">FND-190</t>
  </si>
  <si>
    <t xml:space="preserve">FND-191</t>
  </si>
  <si>
    <t xml:space="preserve">FND-192</t>
  </si>
  <si>
    <t xml:space="preserve">FND-193</t>
  </si>
  <si>
    <t xml:space="preserve">FND-194</t>
  </si>
  <si>
    <t xml:space="preserve">FND-195</t>
  </si>
  <si>
    <t xml:space="preserve">FND-196</t>
  </si>
  <si>
    <t xml:space="preserve">FND-197</t>
  </si>
  <si>
    <t xml:space="preserve">FND-198</t>
  </si>
  <si>
    <t xml:space="preserve">FND-199</t>
  </si>
  <si>
    <t xml:space="preserve">FND-200</t>
  </si>
  <si>
    <t xml:space="preserve">Escalations &amp; Decisions</t>
  </si>
  <si>
    <t xml:space="preserve">Items that need an escalation or a decision. Open items appear in the weekly report.</t>
  </si>
  <si>
    <t xml:space="preserve">Date Raised</t>
  </si>
  <si>
    <t xml:space="preserve">Issue / Decision Required</t>
  </si>
  <si>
    <t xml:space="preserve">Impact if Unresolved</t>
  </si>
  <si>
    <t xml:space="preserve">Options / Recommendation</t>
  </si>
  <si>
    <t xml:space="preserve">Escalate To / Decision Maker</t>
  </si>
  <si>
    <t xml:space="preserve">Needed By</t>
  </si>
  <si>
    <t xml:space="preserve">Resolution Date</t>
  </si>
  <si>
    <t xml:space="preserve">Outcome</t>
  </si>
  <si>
    <t xml:space="preserve">helper:open</t>
  </si>
  <si>
    <t xml:space="preserve">ESC-001</t>
  </si>
  <si>
    <t xml:space="preserve">Decision Needed</t>
  </si>
  <si>
    <t xml:space="preserve">Extend mission scope to the 3 acquired entities' domains and IP ranges</t>
  </si>
  <si>
    <t xml:space="preserve">Material part of the external attack surface would stay unassessed</t>
  </si>
  <si>
    <t xml:space="preserve">Approve extension; timeline +2 weeks for phase 2</t>
  </si>
  <si>
    <t xml:space="preserve">Mission Sponsor</t>
  </si>
  <si>
    <t xml:space="preserve">ESC-002</t>
  </si>
  <si>
    <t xml:space="preserve">ESC-003</t>
  </si>
  <si>
    <t xml:space="preserve">ESC-004</t>
  </si>
  <si>
    <t xml:space="preserve">ESC-005</t>
  </si>
  <si>
    <t xml:space="preserve">ESC-006</t>
  </si>
  <si>
    <t xml:space="preserve">ESC-007</t>
  </si>
  <si>
    <t xml:space="preserve">ESC-008</t>
  </si>
  <si>
    <t xml:space="preserve">ESC-009</t>
  </si>
  <si>
    <t xml:space="preserve">ESC-010</t>
  </si>
  <si>
    <t xml:space="preserve">ESC-011</t>
  </si>
  <si>
    <t xml:space="preserve">ESC-012</t>
  </si>
  <si>
    <t xml:space="preserve">ESC-013</t>
  </si>
  <si>
    <t xml:space="preserve">ESC-014</t>
  </si>
  <si>
    <t xml:space="preserve">ESC-015</t>
  </si>
  <si>
    <t xml:space="preserve">ESC-016</t>
  </si>
  <si>
    <t xml:space="preserve">ESC-017</t>
  </si>
  <si>
    <t xml:space="preserve">ESC-018</t>
  </si>
  <si>
    <t xml:space="preserve">ESC-019</t>
  </si>
  <si>
    <t xml:space="preserve">ESC-020</t>
  </si>
  <si>
    <t xml:space="preserve">ESC-021</t>
  </si>
  <si>
    <t xml:space="preserve">ESC-022</t>
  </si>
  <si>
    <t xml:space="preserve">ESC-023</t>
  </si>
  <si>
    <t xml:space="preserve">ESC-024</t>
  </si>
  <si>
    <t xml:space="preserve">ESC-025</t>
  </si>
  <si>
    <t xml:space="preserve">ESC-026</t>
  </si>
  <si>
    <t xml:space="preserve">ESC-027</t>
  </si>
  <si>
    <t xml:space="preserve">ESC-028</t>
  </si>
  <si>
    <t xml:space="preserve">ESC-029</t>
  </si>
  <si>
    <t xml:space="preserve">ESC-030</t>
  </si>
  <si>
    <t xml:space="preserve">ESC-031</t>
  </si>
  <si>
    <t xml:space="preserve">ESC-032</t>
  </si>
  <si>
    <t xml:space="preserve">ESC-033</t>
  </si>
  <si>
    <t xml:space="preserve">ESC-034</t>
  </si>
  <si>
    <t xml:space="preserve">ESC-035</t>
  </si>
  <si>
    <t xml:space="preserve">ESC-036</t>
  </si>
  <si>
    <t xml:space="preserve">ESC-037</t>
  </si>
  <si>
    <t xml:space="preserve">ESC-038</t>
  </si>
  <si>
    <t xml:space="preserve">ESC-039</t>
  </si>
  <si>
    <t xml:space="preserve">ESC-040</t>
  </si>
  <si>
    <t xml:space="preserve">ESC-041</t>
  </si>
  <si>
    <t xml:space="preserve">ESC-042</t>
  </si>
  <si>
    <t xml:space="preserve">ESC-043</t>
  </si>
  <si>
    <t xml:space="preserve">ESC-044</t>
  </si>
  <si>
    <t xml:space="preserve">ESC-045</t>
  </si>
  <si>
    <t xml:space="preserve">ESC-046</t>
  </si>
  <si>
    <t xml:space="preserve">ESC-047</t>
  </si>
  <si>
    <t xml:space="preserve">ESC-048</t>
  </si>
  <si>
    <t xml:space="preserve">ESC-049</t>
  </si>
  <si>
    <t xml:space="preserve">ESC-050</t>
  </si>
  <si>
    <t xml:space="preserve">ESC-051</t>
  </si>
  <si>
    <t xml:space="preserve">ESC-052</t>
  </si>
  <si>
    <t xml:space="preserve">ESC-053</t>
  </si>
  <si>
    <t xml:space="preserve">ESC-054</t>
  </si>
  <si>
    <t xml:space="preserve">ESC-055</t>
  </si>
  <si>
    <t xml:space="preserve">ESC-056</t>
  </si>
  <si>
    <t xml:space="preserve">ESC-057</t>
  </si>
  <si>
    <t xml:space="preserve">ESC-058</t>
  </si>
  <si>
    <t xml:space="preserve">ESC-059</t>
  </si>
  <si>
    <t xml:space="preserve">ESC-060</t>
  </si>
  <si>
    <t xml:space="preserve">ESC-061</t>
  </si>
  <si>
    <t xml:space="preserve">ESC-062</t>
  </si>
  <si>
    <t xml:space="preserve">ESC-063</t>
  </si>
  <si>
    <t xml:space="preserve">ESC-064</t>
  </si>
  <si>
    <t xml:space="preserve">ESC-065</t>
  </si>
  <si>
    <t xml:space="preserve">ESC-066</t>
  </si>
  <si>
    <t xml:space="preserve">ESC-067</t>
  </si>
  <si>
    <t xml:space="preserve">ESC-068</t>
  </si>
  <si>
    <t xml:space="preserve">ESC-069</t>
  </si>
  <si>
    <t xml:space="preserve">ESC-070</t>
  </si>
  <si>
    <t xml:space="preserve">ESC-071</t>
  </si>
  <si>
    <t xml:space="preserve">ESC-072</t>
  </si>
  <si>
    <t xml:space="preserve">ESC-073</t>
  </si>
  <si>
    <t xml:space="preserve">ESC-074</t>
  </si>
  <si>
    <t xml:space="preserve">ESC-075</t>
  </si>
  <si>
    <t xml:space="preserve">ESC-076</t>
  </si>
  <si>
    <t xml:space="preserve">ESC-077</t>
  </si>
  <si>
    <t xml:space="preserve">ESC-078</t>
  </si>
  <si>
    <t xml:space="preserve">ESC-079</t>
  </si>
  <si>
    <t xml:space="preserve">ESC-080</t>
  </si>
  <si>
    <t xml:space="preserve">ESC-081</t>
  </si>
  <si>
    <t xml:space="preserve">ESC-082</t>
  </si>
  <si>
    <t xml:space="preserve">ESC-083</t>
  </si>
  <si>
    <t xml:space="preserve">ESC-084</t>
  </si>
  <si>
    <t xml:space="preserve">ESC-085</t>
  </si>
  <si>
    <t xml:space="preserve">ESC-086</t>
  </si>
  <si>
    <t xml:space="preserve">ESC-087</t>
  </si>
  <si>
    <t xml:space="preserve">ESC-088</t>
  </si>
  <si>
    <t xml:space="preserve">ESC-089</t>
  </si>
  <si>
    <t xml:space="preserve">ESC-090</t>
  </si>
  <si>
    <t xml:space="preserve">ESC-091</t>
  </si>
  <si>
    <t xml:space="preserve">ESC-092</t>
  </si>
  <si>
    <t xml:space="preserve">ESC-093</t>
  </si>
  <si>
    <t xml:space="preserve">ESC-094</t>
  </si>
  <si>
    <t xml:space="preserve">ESC-095</t>
  </si>
  <si>
    <t xml:space="preserve">ESC-096</t>
  </si>
  <si>
    <t xml:space="preserve">ESC-097</t>
  </si>
  <si>
    <t xml:space="preserve">ESC-098</t>
  </si>
  <si>
    <t xml:space="preserve">ESC-099</t>
  </si>
  <si>
    <t xml:space="preserve">ESC-100</t>
  </si>
  <si>
    <t xml:space="preserve">ESC-101</t>
  </si>
  <si>
    <t xml:space="preserve">ESC-102</t>
  </si>
  <si>
    <t xml:space="preserve">ESC-103</t>
  </si>
  <si>
    <t xml:space="preserve">ESC-104</t>
  </si>
  <si>
    <t xml:space="preserve">ESC-105</t>
  </si>
  <si>
    <t xml:space="preserve">ESC-106</t>
  </si>
  <si>
    <t xml:space="preserve">ESC-107</t>
  </si>
  <si>
    <t xml:space="preserve">ESC-108</t>
  </si>
  <si>
    <t xml:space="preserve">ESC-109</t>
  </si>
  <si>
    <t xml:space="preserve">ESC-110</t>
  </si>
  <si>
    <t xml:space="preserve">ESC-111</t>
  </si>
  <si>
    <t xml:space="preserve">ESC-112</t>
  </si>
  <si>
    <t xml:space="preserve">ESC-113</t>
  </si>
  <si>
    <t xml:space="preserve">ESC-114</t>
  </si>
  <si>
    <t xml:space="preserve">ESC-115</t>
  </si>
  <si>
    <t xml:space="preserve">ESC-116</t>
  </si>
  <si>
    <t xml:space="preserve">ESC-117</t>
  </si>
  <si>
    <t xml:space="preserve">ESC-118</t>
  </si>
  <si>
    <t xml:space="preserve">ESC-119</t>
  </si>
  <si>
    <t xml:space="preserve">ESC-120</t>
  </si>
  <si>
    <t xml:space="preserve">ESC-121</t>
  </si>
  <si>
    <t xml:space="preserve">ESC-122</t>
  </si>
  <si>
    <t xml:space="preserve">ESC-123</t>
  </si>
  <si>
    <t xml:space="preserve">ESC-124</t>
  </si>
  <si>
    <t xml:space="preserve">ESC-125</t>
  </si>
  <si>
    <t xml:space="preserve">ESC-126</t>
  </si>
  <si>
    <t xml:space="preserve">ESC-127</t>
  </si>
  <si>
    <t xml:space="preserve">ESC-128</t>
  </si>
  <si>
    <t xml:space="preserve">ESC-129</t>
  </si>
  <si>
    <t xml:space="preserve">ESC-130</t>
  </si>
  <si>
    <t xml:space="preserve">ESC-131</t>
  </si>
  <si>
    <t xml:space="preserve">ESC-132</t>
  </si>
  <si>
    <t xml:space="preserve">ESC-133</t>
  </si>
  <si>
    <t xml:space="preserve">ESC-134</t>
  </si>
  <si>
    <t xml:space="preserve">ESC-135</t>
  </si>
  <si>
    <t xml:space="preserve">ESC-136</t>
  </si>
  <si>
    <t xml:space="preserve">ESC-137</t>
  </si>
  <si>
    <t xml:space="preserve">ESC-138</t>
  </si>
  <si>
    <t xml:space="preserve">ESC-139</t>
  </si>
  <si>
    <t xml:space="preserve">ESC-140</t>
  </si>
  <si>
    <t xml:space="preserve">ESC-141</t>
  </si>
  <si>
    <t xml:space="preserve">ESC-142</t>
  </si>
  <si>
    <t xml:space="preserve">ESC-143</t>
  </si>
  <si>
    <t xml:space="preserve">ESC-144</t>
  </si>
  <si>
    <t xml:space="preserve">ESC-145</t>
  </si>
  <si>
    <t xml:space="preserve">ESC-146</t>
  </si>
  <si>
    <t xml:space="preserve">ESC-147</t>
  </si>
  <si>
    <t xml:space="preserve">ESC-148</t>
  </si>
  <si>
    <t xml:space="preserve">ESC-149</t>
  </si>
  <si>
    <t xml:space="preserve">ESC-150</t>
  </si>
  <si>
    <t xml:space="preserve">ESC-151</t>
  </si>
  <si>
    <t xml:space="preserve">ESC-152</t>
  </si>
  <si>
    <t xml:space="preserve">ESC-153</t>
  </si>
  <si>
    <t xml:space="preserve">ESC-154</t>
  </si>
  <si>
    <t xml:space="preserve">ESC-155</t>
  </si>
  <si>
    <t xml:space="preserve">ESC-156</t>
  </si>
  <si>
    <t xml:space="preserve">ESC-157</t>
  </si>
  <si>
    <t xml:space="preserve">ESC-158</t>
  </si>
  <si>
    <t xml:space="preserve">ESC-159</t>
  </si>
  <si>
    <t xml:space="preserve">ESC-160</t>
  </si>
  <si>
    <t xml:space="preserve">ESC-161</t>
  </si>
  <si>
    <t xml:space="preserve">ESC-162</t>
  </si>
  <si>
    <t xml:space="preserve">ESC-163</t>
  </si>
  <si>
    <t xml:space="preserve">ESC-164</t>
  </si>
  <si>
    <t xml:space="preserve">ESC-165</t>
  </si>
  <si>
    <t xml:space="preserve">ESC-166</t>
  </si>
  <si>
    <t xml:space="preserve">ESC-167</t>
  </si>
  <si>
    <t xml:space="preserve">ESC-168</t>
  </si>
  <si>
    <t xml:space="preserve">ESC-169</t>
  </si>
  <si>
    <t xml:space="preserve">ESC-170</t>
  </si>
  <si>
    <t xml:space="preserve">ESC-171</t>
  </si>
  <si>
    <t xml:space="preserve">ESC-172</t>
  </si>
  <si>
    <t xml:space="preserve">ESC-173</t>
  </si>
  <si>
    <t xml:space="preserve">ESC-174</t>
  </si>
  <si>
    <t xml:space="preserve">ESC-175</t>
  </si>
  <si>
    <t xml:space="preserve">ESC-176</t>
  </si>
  <si>
    <t xml:space="preserve">ESC-177</t>
  </si>
  <si>
    <t xml:space="preserve">ESC-178</t>
  </si>
  <si>
    <t xml:space="preserve">ESC-179</t>
  </si>
  <si>
    <t xml:space="preserve">ESC-180</t>
  </si>
  <si>
    <t xml:space="preserve">ESC-181</t>
  </si>
  <si>
    <t xml:space="preserve">ESC-182</t>
  </si>
  <si>
    <t xml:space="preserve">ESC-183</t>
  </si>
  <si>
    <t xml:space="preserve">ESC-184</t>
  </si>
  <si>
    <t xml:space="preserve">ESC-185</t>
  </si>
  <si>
    <t xml:space="preserve">ESC-186</t>
  </si>
  <si>
    <t xml:space="preserve">ESC-187</t>
  </si>
  <si>
    <t xml:space="preserve">ESC-188</t>
  </si>
  <si>
    <t xml:space="preserve">ESC-189</t>
  </si>
  <si>
    <t xml:space="preserve">ESC-190</t>
  </si>
  <si>
    <t xml:space="preserve">ESC-191</t>
  </si>
  <si>
    <t xml:space="preserve">ESC-192</t>
  </si>
  <si>
    <t xml:space="preserve">ESC-193</t>
  </si>
  <si>
    <t xml:space="preserve">ESC-194</t>
  </si>
  <si>
    <t xml:space="preserve">ESC-195</t>
  </si>
  <si>
    <t xml:space="preserve">ESC-196</t>
  </si>
  <si>
    <t xml:space="preserve">ESC-197</t>
  </si>
  <si>
    <t xml:space="preserve">ESC-198</t>
  </si>
  <si>
    <t xml:space="preserve">ESC-199</t>
  </si>
  <si>
    <t xml:space="preserve">ESC-200</t>
  </si>
  <si>
    <t xml:space="preserve">Meetings &amp; Emails</t>
  </si>
  <si>
    <t xml:space="preserve">Record of meetings, emails and calls under the mission.</t>
  </si>
  <si>
    <t xml:space="preserve">Date</t>
  </si>
  <si>
    <t xml:space="preserve">Subject</t>
  </si>
  <si>
    <t xml:space="preserve">With (people / function)</t>
  </si>
  <si>
    <t xml:space="preserve">Key Points / Outcome</t>
  </si>
  <si>
    <t xml:space="preserve">Actions Created (IDs)</t>
  </si>
  <si>
    <t xml:space="preserve">Notes</t>
  </si>
  <si>
    <t xml:space="preserve">LOG-001</t>
  </si>
  <si>
    <t xml:space="preserve">Meeting</t>
  </si>
  <si>
    <t xml:space="preserve">EASM mission kick-off</t>
  </si>
  <si>
    <t xml:space="preserve">CISO Office; Network Security; Group Architecture</t>
  </si>
  <si>
    <t xml:space="preserve">Scope and data requests agreed; CMDB extract to be shared by 1LoD</t>
  </si>
  <si>
    <t xml:space="preserve">ACT-001; ACT-002</t>
  </si>
  <si>
    <t xml:space="preserve">LOG-002</t>
  </si>
  <si>
    <t xml:space="preserve">LOG-003</t>
  </si>
  <si>
    <t xml:space="preserve">LOG-004</t>
  </si>
  <si>
    <t xml:space="preserve">LOG-005</t>
  </si>
  <si>
    <t xml:space="preserve">LOG-006</t>
  </si>
  <si>
    <t xml:space="preserve">LOG-007</t>
  </si>
  <si>
    <t xml:space="preserve">LOG-008</t>
  </si>
  <si>
    <t xml:space="preserve">LOG-009</t>
  </si>
  <si>
    <t xml:space="preserve">LOG-010</t>
  </si>
  <si>
    <t xml:space="preserve">LOG-011</t>
  </si>
  <si>
    <t xml:space="preserve">LOG-012</t>
  </si>
  <si>
    <t xml:space="preserve">LOG-013</t>
  </si>
  <si>
    <t xml:space="preserve">LOG-014</t>
  </si>
  <si>
    <t xml:space="preserve">LOG-015</t>
  </si>
  <si>
    <t xml:space="preserve">LOG-016</t>
  </si>
  <si>
    <t xml:space="preserve">LOG-017</t>
  </si>
  <si>
    <t xml:space="preserve">LOG-018</t>
  </si>
  <si>
    <t xml:space="preserve">LOG-019</t>
  </si>
  <si>
    <t xml:space="preserve">LOG-020</t>
  </si>
  <si>
    <t xml:space="preserve">LOG-021</t>
  </si>
  <si>
    <t xml:space="preserve">LOG-022</t>
  </si>
  <si>
    <t xml:space="preserve">LOG-023</t>
  </si>
  <si>
    <t xml:space="preserve">LOG-024</t>
  </si>
  <si>
    <t xml:space="preserve">LOG-025</t>
  </si>
  <si>
    <t xml:space="preserve">LOG-026</t>
  </si>
  <si>
    <t xml:space="preserve">LOG-027</t>
  </si>
  <si>
    <t xml:space="preserve">LOG-028</t>
  </si>
  <si>
    <t xml:space="preserve">LOG-029</t>
  </si>
  <si>
    <t xml:space="preserve">LOG-030</t>
  </si>
  <si>
    <t xml:space="preserve">LOG-031</t>
  </si>
  <si>
    <t xml:space="preserve">LOG-032</t>
  </si>
  <si>
    <t xml:space="preserve">LOG-033</t>
  </si>
  <si>
    <t xml:space="preserve">LOG-034</t>
  </si>
  <si>
    <t xml:space="preserve">LOG-035</t>
  </si>
  <si>
    <t xml:space="preserve">LOG-036</t>
  </si>
  <si>
    <t xml:space="preserve">LOG-037</t>
  </si>
  <si>
    <t xml:space="preserve">LOG-038</t>
  </si>
  <si>
    <t xml:space="preserve">LOG-039</t>
  </si>
  <si>
    <t xml:space="preserve">LOG-040</t>
  </si>
  <si>
    <t xml:space="preserve">LOG-041</t>
  </si>
  <si>
    <t xml:space="preserve">LOG-042</t>
  </si>
  <si>
    <t xml:space="preserve">LOG-043</t>
  </si>
  <si>
    <t xml:space="preserve">LOG-044</t>
  </si>
  <si>
    <t xml:space="preserve">LOG-045</t>
  </si>
  <si>
    <t xml:space="preserve">LOG-046</t>
  </si>
  <si>
    <t xml:space="preserve">LOG-047</t>
  </si>
  <si>
    <t xml:space="preserve">LOG-048</t>
  </si>
  <si>
    <t xml:space="preserve">LOG-049</t>
  </si>
  <si>
    <t xml:space="preserve">LOG-050</t>
  </si>
  <si>
    <t xml:space="preserve">LOG-051</t>
  </si>
  <si>
    <t xml:space="preserve">LOG-052</t>
  </si>
  <si>
    <t xml:space="preserve">LOG-053</t>
  </si>
  <si>
    <t xml:space="preserve">LOG-054</t>
  </si>
  <si>
    <t xml:space="preserve">LOG-055</t>
  </si>
  <si>
    <t xml:space="preserve">LOG-056</t>
  </si>
  <si>
    <t xml:space="preserve">LOG-057</t>
  </si>
  <si>
    <t xml:space="preserve">LOG-058</t>
  </si>
  <si>
    <t xml:space="preserve">LOG-059</t>
  </si>
  <si>
    <t xml:space="preserve">LOG-060</t>
  </si>
  <si>
    <t xml:space="preserve">LOG-061</t>
  </si>
  <si>
    <t xml:space="preserve">LOG-062</t>
  </si>
  <si>
    <t xml:space="preserve">LOG-063</t>
  </si>
  <si>
    <t xml:space="preserve">LOG-064</t>
  </si>
  <si>
    <t xml:space="preserve">LOG-065</t>
  </si>
  <si>
    <t xml:space="preserve">LOG-066</t>
  </si>
  <si>
    <t xml:space="preserve">LOG-067</t>
  </si>
  <si>
    <t xml:space="preserve">LOG-068</t>
  </si>
  <si>
    <t xml:space="preserve">LOG-069</t>
  </si>
  <si>
    <t xml:space="preserve">LOG-070</t>
  </si>
  <si>
    <t xml:space="preserve">LOG-071</t>
  </si>
  <si>
    <t xml:space="preserve">LOG-072</t>
  </si>
  <si>
    <t xml:space="preserve">LOG-073</t>
  </si>
  <si>
    <t xml:space="preserve">LOG-074</t>
  </si>
  <si>
    <t xml:space="preserve">LOG-075</t>
  </si>
  <si>
    <t xml:space="preserve">LOG-076</t>
  </si>
  <si>
    <t xml:space="preserve">LOG-077</t>
  </si>
  <si>
    <t xml:space="preserve">LOG-078</t>
  </si>
  <si>
    <t xml:space="preserve">LOG-079</t>
  </si>
  <si>
    <t xml:space="preserve">LOG-080</t>
  </si>
  <si>
    <t xml:space="preserve">LOG-081</t>
  </si>
  <si>
    <t xml:space="preserve">LOG-082</t>
  </si>
  <si>
    <t xml:space="preserve">LOG-083</t>
  </si>
  <si>
    <t xml:space="preserve">LOG-084</t>
  </si>
  <si>
    <t xml:space="preserve">LOG-085</t>
  </si>
  <si>
    <t xml:space="preserve">LOG-086</t>
  </si>
  <si>
    <t xml:space="preserve">LOG-087</t>
  </si>
  <si>
    <t xml:space="preserve">LOG-088</t>
  </si>
  <si>
    <t xml:space="preserve">LOG-089</t>
  </si>
  <si>
    <t xml:space="preserve">LOG-090</t>
  </si>
  <si>
    <t xml:space="preserve">LOG-091</t>
  </si>
  <si>
    <t xml:space="preserve">LOG-092</t>
  </si>
  <si>
    <t xml:space="preserve">LOG-093</t>
  </si>
  <si>
    <t xml:space="preserve">LOG-094</t>
  </si>
  <si>
    <t xml:space="preserve">LOG-095</t>
  </si>
  <si>
    <t xml:space="preserve">LOG-096</t>
  </si>
  <si>
    <t xml:space="preserve">LOG-097</t>
  </si>
  <si>
    <t xml:space="preserve">LOG-098</t>
  </si>
  <si>
    <t xml:space="preserve">LOG-099</t>
  </si>
  <si>
    <t xml:space="preserve">LOG-100</t>
  </si>
  <si>
    <t xml:space="preserve">LOG-101</t>
  </si>
  <si>
    <t xml:space="preserve">LOG-102</t>
  </si>
  <si>
    <t xml:space="preserve">LOG-103</t>
  </si>
  <si>
    <t xml:space="preserve">LOG-104</t>
  </si>
  <si>
    <t xml:space="preserve">LOG-105</t>
  </si>
  <si>
    <t xml:space="preserve">LOG-106</t>
  </si>
  <si>
    <t xml:space="preserve">LOG-107</t>
  </si>
  <si>
    <t xml:space="preserve">LOG-108</t>
  </si>
  <si>
    <t xml:space="preserve">LOG-109</t>
  </si>
  <si>
    <t xml:space="preserve">LOG-110</t>
  </si>
  <si>
    <t xml:space="preserve">LOG-111</t>
  </si>
  <si>
    <t xml:space="preserve">LOG-112</t>
  </si>
  <si>
    <t xml:space="preserve">LOG-113</t>
  </si>
  <si>
    <t xml:space="preserve">LOG-114</t>
  </si>
  <si>
    <t xml:space="preserve">LOG-115</t>
  </si>
  <si>
    <t xml:space="preserve">LOG-116</t>
  </si>
  <si>
    <t xml:space="preserve">LOG-117</t>
  </si>
  <si>
    <t xml:space="preserve">LOG-118</t>
  </si>
  <si>
    <t xml:space="preserve">LOG-119</t>
  </si>
  <si>
    <t xml:space="preserve">LOG-120</t>
  </si>
  <si>
    <t xml:space="preserve">LOG-121</t>
  </si>
  <si>
    <t xml:space="preserve">LOG-122</t>
  </si>
  <si>
    <t xml:space="preserve">LOG-123</t>
  </si>
  <si>
    <t xml:space="preserve">LOG-124</t>
  </si>
  <si>
    <t xml:space="preserve">LOG-125</t>
  </si>
  <si>
    <t xml:space="preserve">LOG-126</t>
  </si>
  <si>
    <t xml:space="preserve">LOG-127</t>
  </si>
  <si>
    <t xml:space="preserve">LOG-128</t>
  </si>
  <si>
    <t xml:space="preserve">LOG-129</t>
  </si>
  <si>
    <t xml:space="preserve">LOG-130</t>
  </si>
  <si>
    <t xml:space="preserve">LOG-131</t>
  </si>
  <si>
    <t xml:space="preserve">LOG-132</t>
  </si>
  <si>
    <t xml:space="preserve">LOG-133</t>
  </si>
  <si>
    <t xml:space="preserve">LOG-134</t>
  </si>
  <si>
    <t xml:space="preserve">LOG-135</t>
  </si>
  <si>
    <t xml:space="preserve">LOG-136</t>
  </si>
  <si>
    <t xml:space="preserve">LOG-137</t>
  </si>
  <si>
    <t xml:space="preserve">LOG-138</t>
  </si>
  <si>
    <t xml:space="preserve">LOG-139</t>
  </si>
  <si>
    <t xml:space="preserve">LOG-140</t>
  </si>
  <si>
    <t xml:space="preserve">LOG-141</t>
  </si>
  <si>
    <t xml:space="preserve">LOG-142</t>
  </si>
  <si>
    <t xml:space="preserve">LOG-143</t>
  </si>
  <si>
    <t xml:space="preserve">LOG-144</t>
  </si>
  <si>
    <t xml:space="preserve">LOG-145</t>
  </si>
  <si>
    <t xml:space="preserve">LOG-146</t>
  </si>
  <si>
    <t xml:space="preserve">LOG-147</t>
  </si>
  <si>
    <t xml:space="preserve">LOG-148</t>
  </si>
  <si>
    <t xml:space="preserve">LOG-149</t>
  </si>
  <si>
    <t xml:space="preserve">LOG-150</t>
  </si>
  <si>
    <t xml:space="preserve">LOG-151</t>
  </si>
  <si>
    <t xml:space="preserve">LOG-152</t>
  </si>
  <si>
    <t xml:space="preserve">LOG-153</t>
  </si>
  <si>
    <t xml:space="preserve">LOG-154</t>
  </si>
  <si>
    <t xml:space="preserve">LOG-155</t>
  </si>
  <si>
    <t xml:space="preserve">LOG-156</t>
  </si>
  <si>
    <t xml:space="preserve">LOG-157</t>
  </si>
  <si>
    <t xml:space="preserve">LOG-158</t>
  </si>
  <si>
    <t xml:space="preserve">LOG-159</t>
  </si>
  <si>
    <t xml:space="preserve">LOG-160</t>
  </si>
  <si>
    <t xml:space="preserve">LOG-161</t>
  </si>
  <si>
    <t xml:space="preserve">LOG-162</t>
  </si>
  <si>
    <t xml:space="preserve">LOG-163</t>
  </si>
  <si>
    <t xml:space="preserve">LOG-164</t>
  </si>
  <si>
    <t xml:space="preserve">LOG-165</t>
  </si>
  <si>
    <t xml:space="preserve">LOG-166</t>
  </si>
  <si>
    <t xml:space="preserve">LOG-167</t>
  </si>
  <si>
    <t xml:space="preserve">LOG-168</t>
  </si>
  <si>
    <t xml:space="preserve">LOG-169</t>
  </si>
  <si>
    <t xml:space="preserve">LOG-170</t>
  </si>
  <si>
    <t xml:space="preserve">LOG-171</t>
  </si>
  <si>
    <t xml:space="preserve">LOG-172</t>
  </si>
  <si>
    <t xml:space="preserve">LOG-173</t>
  </si>
  <si>
    <t xml:space="preserve">LOG-174</t>
  </si>
  <si>
    <t xml:space="preserve">LOG-175</t>
  </si>
  <si>
    <t xml:space="preserve">LOG-176</t>
  </si>
  <si>
    <t xml:space="preserve">LOG-177</t>
  </si>
  <si>
    <t xml:space="preserve">LOG-178</t>
  </si>
  <si>
    <t xml:space="preserve">LOG-179</t>
  </si>
  <si>
    <t xml:space="preserve">LOG-180</t>
  </si>
  <si>
    <t xml:space="preserve">LOG-181</t>
  </si>
  <si>
    <t xml:space="preserve">LOG-182</t>
  </si>
  <si>
    <t xml:space="preserve">LOG-183</t>
  </si>
  <si>
    <t xml:space="preserve">LOG-184</t>
  </si>
  <si>
    <t xml:space="preserve">LOG-185</t>
  </si>
  <si>
    <t xml:space="preserve">LOG-186</t>
  </si>
  <si>
    <t xml:space="preserve">LOG-187</t>
  </si>
  <si>
    <t xml:space="preserve">LOG-188</t>
  </si>
  <si>
    <t xml:space="preserve">LOG-189</t>
  </si>
  <si>
    <t xml:space="preserve">LOG-190</t>
  </si>
  <si>
    <t xml:space="preserve">LOG-191</t>
  </si>
  <si>
    <t xml:space="preserve">LOG-192</t>
  </si>
  <si>
    <t xml:space="preserve">LOG-193</t>
  </si>
  <si>
    <t xml:space="preserve">LOG-194</t>
  </si>
  <si>
    <t xml:space="preserve">LOG-195</t>
  </si>
  <si>
    <t xml:space="preserve">LOG-196</t>
  </si>
  <si>
    <t xml:space="preserve">LOG-197</t>
  </si>
  <si>
    <t xml:space="preserve">LOG-198</t>
  </si>
  <si>
    <t xml:space="preserve">LOG-199</t>
  </si>
  <si>
    <t xml:space="preserve">LOG-200</t>
  </si>
  <si>
    <t xml:space="preserve">How To Use</t>
  </si>
  <si>
    <t xml:space="preserve">WEEKLY ROUTINE (≈10 min before the meeting)</t>
  </si>
  <si>
    <t xml:space="preserve">1. Actions</t>
  </si>
  <si>
    <t xml:space="preserve">Update Status, Last Updated date and Progress Note for anything that moved. Fill Blocker / Waiting On where relevant. Set 'Plan for Next Week' = Yes for next week's work.</t>
  </si>
  <si>
    <t xml:space="preserve">2. Findings</t>
  </si>
  <si>
    <t xml:space="preserve">Add new findings. For existing ones, set 'Last Material Change' and describe the change and the remediation status.</t>
  </si>
  <si>
    <t xml:space="preserve">3. Escalations</t>
  </si>
  <si>
    <t xml:space="preserve">Add anything needing escalation or a decision. Set Status = Resolved once closed.</t>
  </si>
  <si>
    <t xml:space="preserve">4. Weekly Status</t>
  </si>
  <si>
    <t xml:space="preserve">Add one row: meeting date, overall RAG and one sentence explaining why. Check it against the 'Suggested RAG' on the report.</t>
  </si>
  <si>
    <t xml:space="preserve">5. Timeline</t>
  </si>
  <si>
    <t xml:space="preserve">Update phase status and actual dates when a phase starts or ends.</t>
  </si>
  <si>
    <t xml:space="preserve">6. Weekly Report</t>
  </si>
  <si>
    <t xml:space="preserve">Check the meeting date (defaults to today). All 8 sections fill in automatically. Print (1 page wide) or copy into email or slides.</t>
  </si>
  <si>
    <t xml:space="preserve">HOW ITEMS REACH THE REPORT</t>
  </si>
  <si>
    <t xml:space="preserve">Progress since last week</t>
  </si>
  <si>
    <t xml:space="preserve">Actions completed, or with 'Last Updated', after the previous meeting and up to this meeting.</t>
  </si>
  <si>
    <t xml:space="preserve">Current work</t>
  </si>
  <si>
    <t xml:space="preserve">Actions with Status = In Progress.</t>
  </si>
  <si>
    <t xml:space="preserve">Findings identified, or materially changed, in the reporting period.</t>
  </si>
  <si>
    <t xml:space="preserve">Blockers &amp; dependencies</t>
  </si>
  <si>
    <t xml:space="preserve">Open actions with Status = Blocked or with a Blocker / Dependency entered.</t>
  </si>
  <si>
    <t xml:space="preserve">Plan for next week</t>
  </si>
  <si>
    <t xml:space="preserve">Open actions flagged 'Plan for Next Week' = Yes, or due within 7 days after the meeting.</t>
  </si>
  <si>
    <t xml:space="preserve">Escalations &amp; decisions</t>
  </si>
  <si>
    <t xml:space="preserve">Escalations with Status = Open.</t>
  </si>
  <si>
    <t xml:space="preserve">MISSION STRUCTURE</t>
  </si>
  <si>
    <t xml:space="preserve">Phases</t>
  </si>
  <si>
    <t xml:space="preserve">Kick-off &amp; Alignment → Assessment &amp; Execution → Reporting &amp; Conclusion</t>
  </si>
  <si>
    <t xml:space="preserve">Methods</t>
  </si>
  <si>
    <t xml:space="preserve">Document Review · Stakeholder Engagement · Inventory Audit · Completeness Validation</t>
  </si>
  <si>
    <t xml:space="preserve">Focus areas</t>
  </si>
  <si>
    <t xml:space="preserve">Visibility · Governance · Integration · Sustainability (coverage matrix on the Timeline tab)</t>
  </si>
  <si>
    <t xml:space="preserve">NOTES</t>
  </si>
  <si>
    <t xml:space="preserve">Colours</t>
  </si>
  <si>
    <t xml:space="preserve">Emerald = headers. White = input. Grey = automatic, do not overwrite. Green / amber / red = status.</t>
  </si>
  <si>
    <t xml:space="preserve">Examples</t>
  </si>
  <si>
    <t xml:space="preserve">Italic rows are examples. Overwrite or delete them before first use.</t>
  </si>
  <si>
    <t xml:space="preserve">Capacity</t>
  </si>
  <si>
    <t xml:space="preserve">200 rows per log. Report shows up to 8 items per section; the section header shows the total.</t>
  </si>
  <si>
    <t xml:space="preserve">Dropdown values (edit here if needed)</t>
  </si>
  <si>
    <t xml:space="preserve">Focus</t>
  </si>
  <si>
    <t xml:space="preserve">ActStatus</t>
  </si>
  <si>
    <t xml:space="preserve">PhaseStatus</t>
  </si>
  <si>
    <t xml:space="preserve">RemStatus</t>
  </si>
  <si>
    <t xml:space="preserve">EscType</t>
  </si>
  <si>
    <t xml:space="preserve">EscStatus</t>
  </si>
  <si>
    <t xml:space="preserve">LogType</t>
  </si>
  <si>
    <t xml:space="preserve">YesNo</t>
  </si>
  <si>
    <t xml:space="preserve">Green</t>
  </si>
  <si>
    <t xml:space="preserve">Critical</t>
  </si>
  <si>
    <t xml:space="preserve">Escalation</t>
  </si>
  <si>
    <t xml:space="preserve">Resolved</t>
  </si>
  <si>
    <t xml:space="preserve">Email</t>
  </si>
  <si>
    <t xml:space="preserve">Delayed</t>
  </si>
  <si>
    <t xml:space="preserve">Red</t>
  </si>
  <si>
    <t xml:space="preserve">Medium</t>
  </si>
  <si>
    <t xml:space="preserve">Remediated</t>
  </si>
  <si>
    <t xml:space="preserve">Call</t>
  </si>
  <si>
    <t xml:space="preserve">Low</t>
  </si>
  <si>
    <t xml:space="preserve">Risk Accepted</t>
  </si>
  <si>
    <t xml:space="preserve">N/A (Project Mgmt)</t>
  </si>
  <si>
    <t xml:space="preserve">Cross-cutting</t>
  </si>
  <si>
    <t xml:space="preserve">Cancelled</t>
  </si>
  <si>
    <t xml:space="preserve">Closed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</si>
</sst>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%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10"/>
      <name val="Arial"/>
      <family val="2"/>
    </font>
    <font>
      <b val="true"/>
      <sz val="16"/>
      <color rgb="FF00000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9CA3A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1FAE5"/>
        <bgColor rgb="FFE5E7EB"/>
      </patternFill>
    </fill>
    <fill>
      <patternFill patternType="solid">
        <fgColor rgb="FF047857"/>
        <bgColor rgb="FF008080"/>
      </patternFill>
    </fill>
    <fill>
      <patternFill patternType="solid">
        <fgColor rgb="FFF3F4F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47857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047857"/>
      </left>
      <right style="medium">
        <color rgb="FF047857"/>
      </right>
      <top style="medium">
        <color rgb="FF047857"/>
      </top>
      <bottom style="medium">
        <color rgb="FF047857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>
          <bgColor rgb="FFFECACA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E5E7EB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92D05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87171"/>
        </patternFill>
      </fill>
    </dxf>
    <dxf>
      <fill>
        <patternFill patternType="solid">
          <fgColor rgb="FF0478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>
          <bgColor rgb="FFFEF3C7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F3F4F6"/>
      <rgbColor rgb="FF660066"/>
      <rgbColor rgb="FFF87171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CACA"/>
      <rgbColor rgb="FF3366FF"/>
      <rgbColor rgb="FF33CCCC"/>
      <rgbColor rgb="FF92D050"/>
      <rgbColor rgb="FFFFC0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G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46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Timeline!B4</f>
        <v>EASM Assessment – 2LoD Cyber Risk Intelligence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B4" s="4" t="s">
        <v>1</v>
      </c>
      <c r="C4" s="5" t="n">
        <f aca="true">TODAY()</f>
        <v>46315</v>
      </c>
      <c r="E4" s="4" t="s">
        <v>2</v>
      </c>
      <c r="F4" s="6" t="str">
        <f aca="false">TEXT(C5+1,"dd-mmm")&amp;" to "&amp;TEXT(C4,"dd-mmm-yyyy")</f>
        <v>14-Oct to 20-Oct-2026</v>
      </c>
      <c r="G4" s="6"/>
    </row>
    <row r="5" customFormat="false" ht="15" hidden="false" customHeight="false" outlineLevel="0" collapsed="false">
      <c r="B5" s="4" t="s">
        <v>3</v>
      </c>
      <c r="C5" s="5" t="n">
        <f aca="false">C4-7</f>
        <v>46308</v>
      </c>
      <c r="E5" s="4" t="s">
        <v>4</v>
      </c>
      <c r="F5" s="6" t="str">
        <f aca="false">TEXT(C4+1,"dd-mmm")&amp;" to "&amp;TEXT(C4+7,"dd-mmm-yyyy")</f>
        <v>21-Oct to 27-Oct-2026</v>
      </c>
      <c r="G5" s="6"/>
    </row>
    <row r="6" customFormat="false" ht="15" hidden="false" customHeight="false" outlineLevel="0" collapsed="false">
      <c r="B6" s="7" t="s">
        <v>5</v>
      </c>
    </row>
    <row r="8" customFormat="false" ht="21.75" hidden="false" customHeight="true" outlineLevel="0" collapsed="false">
      <c r="A8" s="8" t="n">
        <v>1</v>
      </c>
      <c r="B8" s="8" t="s">
        <v>6</v>
      </c>
      <c r="C8" s="8"/>
      <c r="D8" s="8"/>
      <c r="E8" s="8"/>
      <c r="F8" s="8"/>
      <c r="G8" s="8"/>
    </row>
    <row r="9" customFormat="false" ht="15" hidden="false" customHeight="false" outlineLevel="0" collapsed="false">
      <c r="A9" s="9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</row>
    <row r="10" customFormat="false" ht="24" hidden="false" customHeight="true" outlineLevel="0" collapsed="false">
      <c r="A10" s="11"/>
      <c r="B10" s="12" t="str">
        <f aca="false">IF(OR(Timeline!B5="",C4=""),"","Week "&amp;(INT((C4-Timeline!B5)/7)+1))</f>
        <v>Week 3</v>
      </c>
      <c r="C10" s="11" t="str">
        <f aca="false">IF(OR(Timeline!B5="",Timeline!B6=""),"",TEXT(Timeline!B5,"dd-mmm-yyyy")&amp;"  →  "&amp;TEXT(Timeline!B6,"dd-mmm-yyyy"))</f>
        <v>05-Oct-2026  →  29-Jan-2027</v>
      </c>
      <c r="D10" s="11" t="str">
        <f aca="false">IF(OR(Timeline!B5="",Timeline!B6=""),"",(C4-Timeline!B5+1)&amp;" of "&amp;(Timeline!B6-Timeline!B5+1))</f>
        <v>16 of 117</v>
      </c>
      <c r="E10" s="13" t="n">
        <f aca="false">IF(OR(Timeline!B5="",Timeline!B6="",Timeline!B6=Timeline!B5),"",MAX(0,MIN(1,(C4-Timeline!B5)/(Timeline!B6-Timeline!B5))))</f>
        <v>0.129310344827586</v>
      </c>
      <c r="F10" s="11" t="str">
        <f aca="false">IFERROR(INDEX(Timeline!$B$9:$B$11,MATCH("In Progress",Timeline!$G$9:$G$11,0)),IFERROR(INDEX(Timeline!$B$9:$B$11,MATCH("Delayed",Timeline!$G$9:$G$11,0)),"None in progress"))</f>
        <v>Kick-off &amp; Alignment</v>
      </c>
      <c r="G10" s="12" t="str">
        <f aca="false">IF(COUNTIF(Timeline!$K$9:$K$11,"Behind plan")&gt;0,COUNTIF(Timeline!$K$9:$K$11,"Behind plan")&amp;" phase(s) behind plan","On plan")</f>
        <v>On plan</v>
      </c>
    </row>
    <row r="11" customFormat="false" ht="15" hidden="false" customHeight="false" outlineLevel="0" collapsed="false">
      <c r="A11" s="9" t="s">
        <v>7</v>
      </c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  <c r="G11" s="10" t="s">
        <v>19</v>
      </c>
    </row>
    <row r="12" customFormat="false" ht="15" hidden="false" customHeight="false" outlineLevel="0" collapsed="false">
      <c r="A12" s="14"/>
      <c r="B12" s="15" t="str">
        <f aca="false">Timeline!A9</f>
        <v>P1</v>
      </c>
      <c r="C12" s="16" t="str">
        <f aca="false">Timeline!B9</f>
        <v>Kick-off &amp; Alignment</v>
      </c>
      <c r="D12" s="17" t="n">
        <f aca="false">IF(Timeline!C9="","",Timeline!C9)</f>
        <v>46300</v>
      </c>
      <c r="E12" s="17" t="n">
        <f aca="false">IF(Timeline!D9="","",Timeline!D9)</f>
        <v>46318</v>
      </c>
      <c r="F12" s="15" t="str">
        <f aca="false">IF(Timeline!K9="Behind plan","Behind plan",Timeline!G9)</f>
        <v>In Progress</v>
      </c>
      <c r="G12" s="18" t="n">
        <f aca="false">Timeline!J9</f>
        <v>1</v>
      </c>
    </row>
    <row r="13" customFormat="false" ht="15" hidden="false" customHeight="false" outlineLevel="0" collapsed="false">
      <c r="A13" s="14"/>
      <c r="B13" s="15" t="str">
        <f aca="false">Timeline!A10</f>
        <v>P2</v>
      </c>
      <c r="C13" s="16" t="str">
        <f aca="false">Timeline!B10</f>
        <v>Assessment &amp; Execution</v>
      </c>
      <c r="D13" s="17" t="n">
        <f aca="false">IF(Timeline!C10="","",Timeline!C10)</f>
        <v>46321</v>
      </c>
      <c r="E13" s="17" t="n">
        <f aca="false">IF(Timeline!D10="","",Timeline!D10)</f>
        <v>46374</v>
      </c>
      <c r="F13" s="15" t="str">
        <f aca="false">IF(Timeline!K10="Behind plan","Behind plan",Timeline!G10)</f>
        <v>Not Started</v>
      </c>
      <c r="G13" s="18" t="n">
        <f aca="false">Timeline!J10</f>
        <v>0</v>
      </c>
    </row>
    <row r="14" customFormat="false" ht="15" hidden="false" customHeight="false" outlineLevel="0" collapsed="false">
      <c r="A14" s="14"/>
      <c r="B14" s="15" t="str">
        <f aca="false">Timeline!A11</f>
        <v>P3</v>
      </c>
      <c r="C14" s="16" t="str">
        <f aca="false">Timeline!B11</f>
        <v>Reporting &amp; Conclusion</v>
      </c>
      <c r="D14" s="17" t="n">
        <f aca="false">IF(Timeline!C11="","",Timeline!C11)</f>
        <v>46391</v>
      </c>
      <c r="E14" s="17" t="n">
        <f aca="false">IF(Timeline!D11="","",Timeline!D11)</f>
        <v>46416</v>
      </c>
      <c r="F14" s="15" t="str">
        <f aca="false">IF(Timeline!K11="Behind plan","Behind plan",Timeline!G11)</f>
        <v>Not Started</v>
      </c>
      <c r="G14" s="18" t="n">
        <f aca="false">Timeline!J11</f>
        <v>0</v>
      </c>
    </row>
    <row r="16" customFormat="false" ht="21.75" hidden="false" customHeight="true" outlineLevel="0" collapsed="false">
      <c r="A16" s="8" t="n">
        <v>2</v>
      </c>
      <c r="B16" s="8" t="s">
        <v>20</v>
      </c>
      <c r="C16" s="8"/>
      <c r="D16" s="8"/>
      <c r="E16" s="8"/>
      <c r="F16" s="8"/>
      <c r="G16" s="8"/>
    </row>
    <row r="17" customFormat="false" ht="15" hidden="false" customHeight="true" outlineLevel="0" collapsed="false">
      <c r="A17" s="9" t="s">
        <v>7</v>
      </c>
      <c r="B17" s="10" t="s">
        <v>21</v>
      </c>
      <c r="C17" s="10" t="s">
        <v>22</v>
      </c>
      <c r="D17" s="10"/>
      <c r="E17" s="10"/>
      <c r="F17" s="10"/>
      <c r="G17" s="10"/>
    </row>
    <row r="18" customFormat="false" ht="36" hidden="false" customHeight="true" outlineLevel="0" collapsed="false">
      <c r="A18" s="14"/>
      <c r="B18" s="19" t="str">
        <f aca="false">IFERROR(INDEX('Weekly Status'!$B$5:$B$204,MATCH(MAX('Weekly Status'!$E$5:$E$204),'Weekly Status'!$E$5:$E$204,0)),"Not set")</f>
        <v>Amber</v>
      </c>
      <c r="C18" s="20" t="str">
        <f aca="false">IFERROR(IF(INDEX('Weekly Status'!$C$5:$C$204,MATCH(MAX('Weekly Status'!$E$5:$E$204),'Weekly Status'!$E$5:$E$204,0))="","Add the one-sentence reason in the Weekly Status tab.",INDEX('Weekly Status'!$C$5:$C$204,MATCH(MAX('Weekly Status'!$E$5:$E$204),'Weekly Status'!$E$5:$E$204,0))),"Enter this week's RAG and one-sentence reason in the Weekly Status tab (date within the reporting period).")</f>
        <v>Kick-off completed on time, but the inventory audit is held back by the missing EASM procedure and a pending scope decision.</v>
      </c>
      <c r="D18" s="20"/>
      <c r="E18" s="20"/>
      <c r="F18" s="20"/>
      <c r="G18" s="20"/>
    </row>
    <row r="19" customFormat="false" ht="22.35" hidden="false" customHeight="false" outlineLevel="0" collapsed="false">
      <c r="A19" s="9" t="s">
        <v>7</v>
      </c>
      <c r="B19" s="10" t="s">
        <v>23</v>
      </c>
      <c r="C19" s="10" t="s">
        <v>24</v>
      </c>
      <c r="D19" s="10" t="s">
        <v>25</v>
      </c>
      <c r="E19" s="10" t="s">
        <v>26</v>
      </c>
      <c r="F19" s="10" t="s">
        <v>27</v>
      </c>
      <c r="G19" s="10" t="s">
        <v>28</v>
      </c>
    </row>
    <row r="20" customFormat="false" ht="15" hidden="false" customHeight="false" outlineLevel="0" collapsed="false">
      <c r="A20" s="21"/>
      <c r="B20" s="21" t="str">
        <f aca="false">IF(OR(COUNTIF(Timeline!$K$9:$K$11,"Behind plan")&gt;0,COUNTIF(Actions!$P$5:$P$204,"Overdue")&gt;=3),"Red",IF(OR(COUNTIF(Actions!$P$5:$P$204,"Overdue")&gt;0,COUNTIF(Actions!$I$5:$I$204,"Blocked")&gt;0,COUNTIFS(Escalations!$D$5:$D$204,"&lt;&gt;",Escalations!$I$5:$I$204,"Open")&gt;0),"Amber","Green"))</f>
        <v>Amber</v>
      </c>
      <c r="C20" s="22" t="n">
        <f aca="false">COUNTIF(Actions!$P$5:$P$204,"Overdue")</f>
        <v>0</v>
      </c>
      <c r="D20" s="22" t="n">
        <f aca="false">COUNTIF(Actions!$I$5:$I$204,"Blocked")</f>
        <v>1</v>
      </c>
      <c r="E20" s="22" t="n">
        <f aca="false">COUNTIFS(Escalations!$D$5:$D$204,"&lt;&gt;",Escalations!$I$5:$I$204,"Open")</f>
        <v>1</v>
      </c>
      <c r="F20" s="22" t="n">
        <f aca="false">COUNTIF(Timeline!$K$9:$K$11,"Behind plan")</f>
        <v>0</v>
      </c>
      <c r="G20" s="21" t="str">
        <f aca="false">"Meetings: "&amp;COUNTIFS('Meetings &amp; Emails'!$C$5:$C$204,"Meeting",'Meetings &amp; Emails'!$B$5:$B$204,"&gt;"&amp;'Weekly Report'!$C$5,'Meetings &amp; Emails'!$B$5:$B$204,"&lt;="&amp;'Weekly Report'!$C$4)&amp;"  |  Emails: "&amp;COUNTIFS('Meetings &amp; Emails'!$C$5:$C$204,"Email",'Meetings &amp; Emails'!$B$5:$B$204,"&gt;"&amp;'Weekly Report'!$C$5,'Meetings &amp; Emails'!$B$5:$B$204,"&lt;="&amp;'Weekly Report'!$C$4)</f>
        <v>Meetings: 1  |  Emails: 0</v>
      </c>
    </row>
    <row r="22" customFormat="false" ht="21.75" hidden="false" customHeight="true" outlineLevel="0" collapsed="false">
      <c r="A22" s="8" t="n">
        <v>3</v>
      </c>
      <c r="B22" s="8" t="s">
        <v>29</v>
      </c>
      <c r="C22" s="8"/>
      <c r="D22" s="8"/>
      <c r="E22" s="8"/>
      <c r="F22" s="8"/>
      <c r="G22" s="23" t="str">
        <f aca="false">IF(COUNT(Actions!$Q$5:$Q$204)=0,"",IF(COUNT(Actions!$Q$5:$Q$204)&gt;8,"Showing 8 of "&amp;COUNT(Actions!$Q$5:$Q$204)&amp;" – see Actions tab",COUNT(Actions!$Q$5:$Q$204)&amp;" item(s)"))</f>
        <v>2 item(s)</v>
      </c>
    </row>
    <row r="23" customFormat="false" ht="15" hidden="false" customHeight="false" outlineLevel="0" collapsed="false">
      <c r="A23" s="9" t="s">
        <v>7</v>
      </c>
      <c r="B23" s="10" t="s">
        <v>30</v>
      </c>
      <c r="C23" s="10" t="s">
        <v>31</v>
      </c>
      <c r="D23" s="10" t="s">
        <v>32</v>
      </c>
      <c r="E23" s="10" t="s">
        <v>18</v>
      </c>
      <c r="F23" s="10" t="s">
        <v>33</v>
      </c>
      <c r="G23" s="10" t="s">
        <v>34</v>
      </c>
    </row>
    <row r="24" customFormat="false" ht="27.75" hidden="false" customHeight="true" outlineLevel="0" collapsed="false">
      <c r="A24" s="24" t="n">
        <f aca="false">IF(B24="","",1)</f>
        <v>1</v>
      </c>
      <c r="B24" s="25" t="str">
        <f aca="false">IFERROR(IF(INDEX(Actions!$A$5:$A$204,MATCH(1,Actions!$Q$5:$Q$204,0))="","",INDEX(Actions!$A$5:$A$204,MATCH(1,Actions!$Q$5:$Q$204,0))),"")</f>
        <v>ACT-001</v>
      </c>
      <c r="C24" s="26" t="str">
        <f aca="false">IFERROR(IF(INDEX(Actions!$C$5:$C$204,MATCH(1,Actions!$Q$5:$Q$204,0))="","",INDEX(Actions!$C$5:$C$204,MATCH(1,Actions!$Q$5:$Q$204,0))),"Nothing to report this period")</f>
        <v>Kick-off meeting with CISO Office and Network Security; agree scope and data requests</v>
      </c>
      <c r="D24" s="26" t="str">
        <f aca="false">IFERROR(IF(INDEX(Actions!$F$5:$F$204,MATCH(1,Actions!$Q$5:$Q$204,0))="","",INDEX(Actions!$F$5:$F$204,MATCH(1,Actions!$Q$5:$Q$204,0))),"")</f>
        <v>Me</v>
      </c>
      <c r="E24" s="27" t="str">
        <f aca="false">IFERROR(IF(INDEX(Actions!$I$5:$I$204,MATCH(1,Actions!$Q$5:$Q$204,0))="","",INDEX(Actions!$I$5:$I$204,MATCH(1,Actions!$Q$5:$Q$204,0))),"")</f>
        <v>Completed</v>
      </c>
      <c r="F24" s="27" t="str">
        <f aca="false">IFERROR(IF(INDEX(Actions!$E$5:$E$204,MATCH(1,Actions!$Q$5:$Q$204,0))="","",INDEX(Actions!$E$5:$E$204,MATCH(1,Actions!$Q$5:$Q$204,0))),"")</f>
        <v>Governance</v>
      </c>
      <c r="G24" s="26" t="str">
        <f aca="false">IFERROR(IF(INDEX(Actions!$L$5:$L$204,MATCH(1,Actions!$Q$5:$Q$204,0))="","",INDEX(Actions!$L$5:$L$204,MATCH(1,Actions!$Q$5:$Q$204,0))),"")</f>
        <v>Scope agreed: 3 legal entities, root domains and public IP ranges</v>
      </c>
    </row>
    <row r="25" customFormat="false" ht="27.75" hidden="false" customHeight="true" outlineLevel="0" collapsed="false">
      <c r="A25" s="24" t="n">
        <f aca="false">IF(B25="","",2)</f>
        <v>2</v>
      </c>
      <c r="B25" s="25" t="str">
        <f aca="false">IFERROR(IF(INDEX(Actions!$A$5:$A$204,MATCH(2,Actions!$Q$5:$Q$204,0))="","",INDEX(Actions!$A$5:$A$204,MATCH(2,Actions!$Q$5:$Q$204,0))),"")</f>
        <v>ACT-002</v>
      </c>
      <c r="C25" s="26" t="str">
        <f aca="false">IFERROR(IF(INDEX(Actions!$C$5:$C$204,MATCH(2,Actions!$Q$5:$Q$204,0))="","",INDEX(Actions!$C$5:$C$204,MATCH(2,Actions!$Q$5:$Q$204,0))),"")</f>
        <v>Reconcile EASM-discovered assets against CMDB extract</v>
      </c>
      <c r="D25" s="26" t="str">
        <f aca="false">IFERROR(IF(INDEX(Actions!$F$5:$F$204,MATCH(2,Actions!$Q$5:$Q$204,0))="","",INDEX(Actions!$F$5:$F$204,MATCH(2,Actions!$Q$5:$Q$204,0))),"")</f>
        <v>Me</v>
      </c>
      <c r="E25" s="27" t="str">
        <f aca="false">IFERROR(IF(INDEX(Actions!$I$5:$I$204,MATCH(2,Actions!$Q$5:$Q$204,0))="","",INDEX(Actions!$I$5:$I$204,MATCH(2,Actions!$Q$5:$Q$204,0))),"")</f>
        <v>In Progress</v>
      </c>
      <c r="F25" s="27" t="str">
        <f aca="false">IFERROR(IF(INDEX(Actions!$E$5:$E$204,MATCH(2,Actions!$Q$5:$Q$204,0))="","",INDEX(Actions!$E$5:$E$204,MATCH(2,Actions!$Q$5:$Q$204,0))),"")</f>
        <v>Visibility</v>
      </c>
      <c r="G25" s="26" t="str">
        <f aca="false">IFERROR(IF(INDEX(Actions!$L$5:$L$204,MATCH(2,Actions!$Q$5:$Q$204,0))="","",INDEX(Actions!$L$5:$L$204,MATCH(2,Actions!$Q$5:$Q$204,0))),"")</f>
        <v>First pass done: ~18% of discovered hosts not in CMDB</v>
      </c>
    </row>
    <row r="26" customFormat="false" ht="27.75" hidden="false" customHeight="true" outlineLevel="0" collapsed="false">
      <c r="A26" s="24" t="str">
        <f aca="false">IF(B26="","",3)</f>
        <v/>
      </c>
      <c r="B26" s="25" t="str">
        <f aca="false">IFERROR(IF(INDEX(Actions!$A$5:$A$204,MATCH(3,Actions!$Q$5:$Q$204,0))="","",INDEX(Actions!$A$5:$A$204,MATCH(3,Actions!$Q$5:$Q$204,0))),"")</f>
        <v/>
      </c>
      <c r="C26" s="26" t="str">
        <f aca="false">IFERROR(IF(INDEX(Actions!$C$5:$C$204,MATCH(3,Actions!$Q$5:$Q$204,0))="","",INDEX(Actions!$C$5:$C$204,MATCH(3,Actions!$Q$5:$Q$204,0))),"")</f>
        <v/>
      </c>
      <c r="D26" s="26" t="str">
        <f aca="false">IFERROR(IF(INDEX(Actions!$F$5:$F$204,MATCH(3,Actions!$Q$5:$Q$204,0))="","",INDEX(Actions!$F$5:$F$204,MATCH(3,Actions!$Q$5:$Q$204,0))),"")</f>
        <v/>
      </c>
      <c r="E26" s="27" t="str">
        <f aca="false">IFERROR(IF(INDEX(Actions!$I$5:$I$204,MATCH(3,Actions!$Q$5:$Q$204,0))="","",INDEX(Actions!$I$5:$I$204,MATCH(3,Actions!$Q$5:$Q$204,0))),"")</f>
        <v/>
      </c>
      <c r="F26" s="27" t="str">
        <f aca="false">IFERROR(IF(INDEX(Actions!$E$5:$E$204,MATCH(3,Actions!$Q$5:$Q$204,0))="","",INDEX(Actions!$E$5:$E$204,MATCH(3,Actions!$Q$5:$Q$204,0))),"")</f>
        <v/>
      </c>
      <c r="G26" s="26" t="str">
        <f aca="false">IFERROR(IF(INDEX(Actions!$L$5:$L$204,MATCH(3,Actions!$Q$5:$Q$204,0))="","",INDEX(Actions!$L$5:$L$204,MATCH(3,Actions!$Q$5:$Q$204,0))),"")</f>
        <v/>
      </c>
    </row>
    <row r="27" customFormat="false" ht="27.75" hidden="false" customHeight="true" outlineLevel="0" collapsed="false">
      <c r="A27" s="24" t="str">
        <f aca="false">IF(B27="","",4)</f>
        <v/>
      </c>
      <c r="B27" s="25" t="str">
        <f aca="false">IFERROR(IF(INDEX(Actions!$A$5:$A$204,MATCH(4,Actions!$Q$5:$Q$204,0))="","",INDEX(Actions!$A$5:$A$204,MATCH(4,Actions!$Q$5:$Q$204,0))),"")</f>
        <v/>
      </c>
      <c r="C27" s="26" t="str">
        <f aca="false">IFERROR(IF(INDEX(Actions!$C$5:$C$204,MATCH(4,Actions!$Q$5:$Q$204,0))="","",INDEX(Actions!$C$5:$C$204,MATCH(4,Actions!$Q$5:$Q$204,0))),"")</f>
        <v/>
      </c>
      <c r="D27" s="26" t="str">
        <f aca="false">IFERROR(IF(INDEX(Actions!$F$5:$F$204,MATCH(4,Actions!$Q$5:$Q$204,0))="","",INDEX(Actions!$F$5:$F$204,MATCH(4,Actions!$Q$5:$Q$204,0))),"")</f>
        <v/>
      </c>
      <c r="E27" s="27" t="str">
        <f aca="false">IFERROR(IF(INDEX(Actions!$I$5:$I$204,MATCH(4,Actions!$Q$5:$Q$204,0))="","",INDEX(Actions!$I$5:$I$204,MATCH(4,Actions!$Q$5:$Q$204,0))),"")</f>
        <v/>
      </c>
      <c r="F27" s="27" t="str">
        <f aca="false">IFERROR(IF(INDEX(Actions!$E$5:$E$204,MATCH(4,Actions!$Q$5:$Q$204,0))="","",INDEX(Actions!$E$5:$E$204,MATCH(4,Actions!$Q$5:$Q$204,0))),"")</f>
        <v/>
      </c>
      <c r="G27" s="26" t="str">
        <f aca="false">IFERROR(IF(INDEX(Actions!$L$5:$L$204,MATCH(4,Actions!$Q$5:$Q$204,0))="","",INDEX(Actions!$L$5:$L$204,MATCH(4,Actions!$Q$5:$Q$204,0))),"")</f>
        <v/>
      </c>
    </row>
    <row r="28" customFormat="false" ht="27.75" hidden="false" customHeight="true" outlineLevel="0" collapsed="false">
      <c r="A28" s="24" t="str">
        <f aca="false">IF(B28="","",5)</f>
        <v/>
      </c>
      <c r="B28" s="25" t="str">
        <f aca="false">IFERROR(IF(INDEX(Actions!$A$5:$A$204,MATCH(5,Actions!$Q$5:$Q$204,0))="","",INDEX(Actions!$A$5:$A$204,MATCH(5,Actions!$Q$5:$Q$204,0))),"")</f>
        <v/>
      </c>
      <c r="C28" s="26" t="str">
        <f aca="false">IFERROR(IF(INDEX(Actions!$C$5:$C$204,MATCH(5,Actions!$Q$5:$Q$204,0))="","",INDEX(Actions!$C$5:$C$204,MATCH(5,Actions!$Q$5:$Q$204,0))),"")</f>
        <v/>
      </c>
      <c r="D28" s="26" t="str">
        <f aca="false">IFERROR(IF(INDEX(Actions!$F$5:$F$204,MATCH(5,Actions!$Q$5:$Q$204,0))="","",INDEX(Actions!$F$5:$F$204,MATCH(5,Actions!$Q$5:$Q$204,0))),"")</f>
        <v/>
      </c>
      <c r="E28" s="27" t="str">
        <f aca="false">IFERROR(IF(INDEX(Actions!$I$5:$I$204,MATCH(5,Actions!$Q$5:$Q$204,0))="","",INDEX(Actions!$I$5:$I$204,MATCH(5,Actions!$Q$5:$Q$204,0))),"")</f>
        <v/>
      </c>
      <c r="F28" s="27" t="str">
        <f aca="false">IFERROR(IF(INDEX(Actions!$E$5:$E$204,MATCH(5,Actions!$Q$5:$Q$204,0))="","",INDEX(Actions!$E$5:$E$204,MATCH(5,Actions!$Q$5:$Q$204,0))),"")</f>
        <v/>
      </c>
      <c r="G28" s="26" t="str">
        <f aca="false">IFERROR(IF(INDEX(Actions!$L$5:$L$204,MATCH(5,Actions!$Q$5:$Q$204,0))="","",INDEX(Actions!$L$5:$L$204,MATCH(5,Actions!$Q$5:$Q$204,0))),"")</f>
        <v/>
      </c>
    </row>
    <row r="29" customFormat="false" ht="27.75" hidden="false" customHeight="true" outlineLevel="0" collapsed="false">
      <c r="A29" s="24" t="str">
        <f aca="false">IF(B29="","",6)</f>
        <v/>
      </c>
      <c r="B29" s="25" t="str">
        <f aca="false">IFERROR(IF(INDEX(Actions!$A$5:$A$204,MATCH(6,Actions!$Q$5:$Q$204,0))="","",INDEX(Actions!$A$5:$A$204,MATCH(6,Actions!$Q$5:$Q$204,0))),"")</f>
        <v/>
      </c>
      <c r="C29" s="26" t="str">
        <f aca="false">IFERROR(IF(INDEX(Actions!$C$5:$C$204,MATCH(6,Actions!$Q$5:$Q$204,0))="","",INDEX(Actions!$C$5:$C$204,MATCH(6,Actions!$Q$5:$Q$204,0))),"")</f>
        <v/>
      </c>
      <c r="D29" s="26" t="str">
        <f aca="false">IFERROR(IF(INDEX(Actions!$F$5:$F$204,MATCH(6,Actions!$Q$5:$Q$204,0))="","",INDEX(Actions!$F$5:$F$204,MATCH(6,Actions!$Q$5:$Q$204,0))),"")</f>
        <v/>
      </c>
      <c r="E29" s="27" t="str">
        <f aca="false">IFERROR(IF(INDEX(Actions!$I$5:$I$204,MATCH(6,Actions!$Q$5:$Q$204,0))="","",INDEX(Actions!$I$5:$I$204,MATCH(6,Actions!$Q$5:$Q$204,0))),"")</f>
        <v/>
      </c>
      <c r="F29" s="27" t="str">
        <f aca="false">IFERROR(IF(INDEX(Actions!$E$5:$E$204,MATCH(6,Actions!$Q$5:$Q$204,0))="","",INDEX(Actions!$E$5:$E$204,MATCH(6,Actions!$Q$5:$Q$204,0))),"")</f>
        <v/>
      </c>
      <c r="G29" s="26" t="str">
        <f aca="false">IFERROR(IF(INDEX(Actions!$L$5:$L$204,MATCH(6,Actions!$Q$5:$Q$204,0))="","",INDEX(Actions!$L$5:$L$204,MATCH(6,Actions!$Q$5:$Q$204,0))),"")</f>
        <v/>
      </c>
    </row>
    <row r="30" customFormat="false" ht="27.75" hidden="false" customHeight="true" outlineLevel="0" collapsed="false">
      <c r="A30" s="24" t="str">
        <f aca="false">IF(B30="","",7)</f>
        <v/>
      </c>
      <c r="B30" s="25" t="str">
        <f aca="false">IFERROR(IF(INDEX(Actions!$A$5:$A$204,MATCH(7,Actions!$Q$5:$Q$204,0))="","",INDEX(Actions!$A$5:$A$204,MATCH(7,Actions!$Q$5:$Q$204,0))),"")</f>
        <v/>
      </c>
      <c r="C30" s="26" t="str">
        <f aca="false">IFERROR(IF(INDEX(Actions!$C$5:$C$204,MATCH(7,Actions!$Q$5:$Q$204,0))="","",INDEX(Actions!$C$5:$C$204,MATCH(7,Actions!$Q$5:$Q$204,0))),"")</f>
        <v/>
      </c>
      <c r="D30" s="26" t="str">
        <f aca="false">IFERROR(IF(INDEX(Actions!$F$5:$F$204,MATCH(7,Actions!$Q$5:$Q$204,0))="","",INDEX(Actions!$F$5:$F$204,MATCH(7,Actions!$Q$5:$Q$204,0))),"")</f>
        <v/>
      </c>
      <c r="E30" s="27" t="str">
        <f aca="false">IFERROR(IF(INDEX(Actions!$I$5:$I$204,MATCH(7,Actions!$Q$5:$Q$204,0))="","",INDEX(Actions!$I$5:$I$204,MATCH(7,Actions!$Q$5:$Q$204,0))),"")</f>
        <v/>
      </c>
      <c r="F30" s="27" t="str">
        <f aca="false">IFERROR(IF(INDEX(Actions!$E$5:$E$204,MATCH(7,Actions!$Q$5:$Q$204,0))="","",INDEX(Actions!$E$5:$E$204,MATCH(7,Actions!$Q$5:$Q$204,0))),"")</f>
        <v/>
      </c>
      <c r="G30" s="26" t="str">
        <f aca="false">IFERROR(IF(INDEX(Actions!$L$5:$L$204,MATCH(7,Actions!$Q$5:$Q$204,0))="","",INDEX(Actions!$L$5:$L$204,MATCH(7,Actions!$Q$5:$Q$204,0))),"")</f>
        <v/>
      </c>
    </row>
    <row r="31" customFormat="false" ht="27.75" hidden="false" customHeight="true" outlineLevel="0" collapsed="false">
      <c r="A31" s="24" t="str">
        <f aca="false">IF(B31="","",8)</f>
        <v/>
      </c>
      <c r="B31" s="25" t="str">
        <f aca="false">IFERROR(IF(INDEX(Actions!$A$5:$A$204,MATCH(8,Actions!$Q$5:$Q$204,0))="","",INDEX(Actions!$A$5:$A$204,MATCH(8,Actions!$Q$5:$Q$204,0))),"")</f>
        <v/>
      </c>
      <c r="C31" s="26" t="str">
        <f aca="false">IFERROR(IF(INDEX(Actions!$C$5:$C$204,MATCH(8,Actions!$Q$5:$Q$204,0))="","",INDEX(Actions!$C$5:$C$204,MATCH(8,Actions!$Q$5:$Q$204,0))),"")</f>
        <v/>
      </c>
      <c r="D31" s="26" t="str">
        <f aca="false">IFERROR(IF(INDEX(Actions!$F$5:$F$204,MATCH(8,Actions!$Q$5:$Q$204,0))="","",INDEX(Actions!$F$5:$F$204,MATCH(8,Actions!$Q$5:$Q$204,0))),"")</f>
        <v/>
      </c>
      <c r="E31" s="27" t="str">
        <f aca="false">IFERROR(IF(INDEX(Actions!$I$5:$I$204,MATCH(8,Actions!$Q$5:$Q$204,0))="","",INDEX(Actions!$I$5:$I$204,MATCH(8,Actions!$Q$5:$Q$204,0))),"")</f>
        <v/>
      </c>
      <c r="F31" s="27" t="str">
        <f aca="false">IFERROR(IF(INDEX(Actions!$E$5:$E$204,MATCH(8,Actions!$Q$5:$Q$204,0))="","",INDEX(Actions!$E$5:$E$204,MATCH(8,Actions!$Q$5:$Q$204,0))),"")</f>
        <v/>
      </c>
      <c r="G31" s="26" t="str">
        <f aca="false">IFERROR(IF(INDEX(Actions!$L$5:$L$204,MATCH(8,Actions!$Q$5:$Q$204,0))="","",INDEX(Actions!$L$5:$L$204,MATCH(8,Actions!$Q$5:$Q$204,0))),"")</f>
        <v/>
      </c>
    </row>
    <row r="33" customFormat="false" ht="21.75" hidden="false" customHeight="true" outlineLevel="0" collapsed="false">
      <c r="A33" s="8" t="n">
        <v>4</v>
      </c>
      <c r="B33" s="8" t="s">
        <v>35</v>
      </c>
      <c r="C33" s="8"/>
      <c r="D33" s="8"/>
      <c r="E33" s="8"/>
      <c r="F33" s="8"/>
      <c r="G33" s="23" t="str">
        <f aca="false">IF(COUNT(Actions!$R$5:$R$204)=0,"",IF(COUNT(Actions!$R$5:$R$204)&gt;8,"Showing 8 of "&amp;COUNT(Actions!$R$5:$R$204)&amp;" – see Actions tab",COUNT(Actions!$R$5:$R$204)&amp;" item(s)"))</f>
        <v>1 item(s)</v>
      </c>
    </row>
    <row r="34" customFormat="false" ht="15" hidden="false" customHeight="false" outlineLevel="0" collapsed="false">
      <c r="A34" s="9" t="s">
        <v>7</v>
      </c>
      <c r="B34" s="10" t="s">
        <v>30</v>
      </c>
      <c r="C34" s="10" t="s">
        <v>31</v>
      </c>
      <c r="D34" s="10" t="s">
        <v>32</v>
      </c>
      <c r="E34" s="10" t="s">
        <v>36</v>
      </c>
      <c r="F34" s="10" t="s">
        <v>33</v>
      </c>
      <c r="G34" s="10" t="s">
        <v>34</v>
      </c>
    </row>
    <row r="35" customFormat="false" ht="27.75" hidden="false" customHeight="true" outlineLevel="0" collapsed="false">
      <c r="A35" s="24" t="n">
        <f aca="false">IF(B35="","",1)</f>
        <v>1</v>
      </c>
      <c r="B35" s="25" t="str">
        <f aca="false">IFERROR(IF(INDEX(Actions!$A$5:$A$204,MATCH(1,Actions!$R$5:$R$204,0))="","",INDEX(Actions!$A$5:$A$204,MATCH(1,Actions!$R$5:$R$204,0))),"")</f>
        <v>ACT-002</v>
      </c>
      <c r="C35" s="26" t="str">
        <f aca="false">IFERROR(IF(INDEX(Actions!$C$5:$C$204,MATCH(1,Actions!$R$5:$R$204,0))="","",INDEX(Actions!$C$5:$C$204,MATCH(1,Actions!$R$5:$R$204,0))),"Nothing to report this period")</f>
        <v>Reconcile EASM-discovered assets against CMDB extract</v>
      </c>
      <c r="D35" s="26" t="str">
        <f aca="false">IFERROR(IF(INDEX(Actions!$F$5:$F$204,MATCH(1,Actions!$R$5:$R$204,0))="","",INDEX(Actions!$F$5:$F$204,MATCH(1,Actions!$R$5:$R$204,0))),"")</f>
        <v>Me</v>
      </c>
      <c r="E35" s="28" t="n">
        <f aca="false">IFERROR(IF(INDEX(Actions!$H$5:$H$204,MATCH(1,Actions!$R$5:$R$204,0))="","",INDEX(Actions!$H$5:$H$204,MATCH(1,Actions!$R$5:$R$204,0))),"")</f>
        <v>46332</v>
      </c>
      <c r="F35" s="27" t="str">
        <f aca="false">IFERROR(IF(INDEX(Actions!$E$5:$E$204,MATCH(1,Actions!$R$5:$R$204,0))="","",INDEX(Actions!$E$5:$E$204,MATCH(1,Actions!$R$5:$R$204,0))),"")</f>
        <v>Visibility</v>
      </c>
      <c r="G35" s="26" t="str">
        <f aca="false">IFERROR(IF(INDEX(Actions!$L$5:$L$204,MATCH(1,Actions!$R$5:$R$204,0))="","",INDEX(Actions!$L$5:$L$204,MATCH(1,Actions!$R$5:$R$204,0))),"")</f>
        <v>First pass done: ~18% of discovered hosts not in CMDB</v>
      </c>
    </row>
    <row r="36" customFormat="false" ht="27.75" hidden="false" customHeight="true" outlineLevel="0" collapsed="false">
      <c r="A36" s="24" t="str">
        <f aca="false">IF(B36="","",2)</f>
        <v/>
      </c>
      <c r="B36" s="25" t="str">
        <f aca="false">IFERROR(IF(INDEX(Actions!$A$5:$A$204,MATCH(2,Actions!$R$5:$R$204,0))="","",INDEX(Actions!$A$5:$A$204,MATCH(2,Actions!$R$5:$R$204,0))),"")</f>
        <v/>
      </c>
      <c r="C36" s="26" t="str">
        <f aca="false">IFERROR(IF(INDEX(Actions!$C$5:$C$204,MATCH(2,Actions!$R$5:$R$204,0))="","",INDEX(Actions!$C$5:$C$204,MATCH(2,Actions!$R$5:$R$204,0))),"")</f>
        <v/>
      </c>
      <c r="D36" s="26" t="str">
        <f aca="false">IFERROR(IF(INDEX(Actions!$F$5:$F$204,MATCH(2,Actions!$R$5:$R$204,0))="","",INDEX(Actions!$F$5:$F$204,MATCH(2,Actions!$R$5:$R$204,0))),"")</f>
        <v/>
      </c>
      <c r="E36" s="28" t="str">
        <f aca="false">IFERROR(IF(INDEX(Actions!$H$5:$H$204,MATCH(2,Actions!$R$5:$R$204,0))="","",INDEX(Actions!$H$5:$H$204,MATCH(2,Actions!$R$5:$R$204,0))),"")</f>
        <v/>
      </c>
      <c r="F36" s="27" t="str">
        <f aca="false">IFERROR(IF(INDEX(Actions!$E$5:$E$204,MATCH(2,Actions!$R$5:$R$204,0))="","",INDEX(Actions!$E$5:$E$204,MATCH(2,Actions!$R$5:$R$204,0))),"")</f>
        <v/>
      </c>
      <c r="G36" s="26" t="str">
        <f aca="false">IFERROR(IF(INDEX(Actions!$L$5:$L$204,MATCH(2,Actions!$R$5:$R$204,0))="","",INDEX(Actions!$L$5:$L$204,MATCH(2,Actions!$R$5:$R$204,0))),"")</f>
        <v/>
      </c>
    </row>
    <row r="37" customFormat="false" ht="27.75" hidden="false" customHeight="true" outlineLevel="0" collapsed="false">
      <c r="A37" s="24" t="str">
        <f aca="false">IF(B37="","",3)</f>
        <v/>
      </c>
      <c r="B37" s="25" t="str">
        <f aca="false">IFERROR(IF(INDEX(Actions!$A$5:$A$204,MATCH(3,Actions!$R$5:$R$204,0))="","",INDEX(Actions!$A$5:$A$204,MATCH(3,Actions!$R$5:$R$204,0))),"")</f>
        <v/>
      </c>
      <c r="C37" s="26" t="str">
        <f aca="false">IFERROR(IF(INDEX(Actions!$C$5:$C$204,MATCH(3,Actions!$R$5:$R$204,0))="","",INDEX(Actions!$C$5:$C$204,MATCH(3,Actions!$R$5:$R$204,0))),"")</f>
        <v/>
      </c>
      <c r="D37" s="26" t="str">
        <f aca="false">IFERROR(IF(INDEX(Actions!$F$5:$F$204,MATCH(3,Actions!$R$5:$R$204,0))="","",INDEX(Actions!$F$5:$F$204,MATCH(3,Actions!$R$5:$R$204,0))),"")</f>
        <v/>
      </c>
      <c r="E37" s="28" t="str">
        <f aca="false">IFERROR(IF(INDEX(Actions!$H$5:$H$204,MATCH(3,Actions!$R$5:$R$204,0))="","",INDEX(Actions!$H$5:$H$204,MATCH(3,Actions!$R$5:$R$204,0))),"")</f>
        <v/>
      </c>
      <c r="F37" s="27" t="str">
        <f aca="false">IFERROR(IF(INDEX(Actions!$E$5:$E$204,MATCH(3,Actions!$R$5:$R$204,0))="","",INDEX(Actions!$E$5:$E$204,MATCH(3,Actions!$R$5:$R$204,0))),"")</f>
        <v/>
      </c>
      <c r="G37" s="26" t="str">
        <f aca="false">IFERROR(IF(INDEX(Actions!$L$5:$L$204,MATCH(3,Actions!$R$5:$R$204,0))="","",INDEX(Actions!$L$5:$L$204,MATCH(3,Actions!$R$5:$R$204,0))),"")</f>
        <v/>
      </c>
    </row>
    <row r="38" customFormat="false" ht="27.75" hidden="false" customHeight="true" outlineLevel="0" collapsed="false">
      <c r="A38" s="24" t="str">
        <f aca="false">IF(B38="","",4)</f>
        <v/>
      </c>
      <c r="B38" s="25" t="str">
        <f aca="false">IFERROR(IF(INDEX(Actions!$A$5:$A$204,MATCH(4,Actions!$R$5:$R$204,0))="","",INDEX(Actions!$A$5:$A$204,MATCH(4,Actions!$R$5:$R$204,0))),"")</f>
        <v/>
      </c>
      <c r="C38" s="26" t="str">
        <f aca="false">IFERROR(IF(INDEX(Actions!$C$5:$C$204,MATCH(4,Actions!$R$5:$R$204,0))="","",INDEX(Actions!$C$5:$C$204,MATCH(4,Actions!$R$5:$R$204,0))),"")</f>
        <v/>
      </c>
      <c r="D38" s="26" t="str">
        <f aca="false">IFERROR(IF(INDEX(Actions!$F$5:$F$204,MATCH(4,Actions!$R$5:$R$204,0))="","",INDEX(Actions!$F$5:$F$204,MATCH(4,Actions!$R$5:$R$204,0))),"")</f>
        <v/>
      </c>
      <c r="E38" s="28" t="str">
        <f aca="false">IFERROR(IF(INDEX(Actions!$H$5:$H$204,MATCH(4,Actions!$R$5:$R$204,0))="","",INDEX(Actions!$H$5:$H$204,MATCH(4,Actions!$R$5:$R$204,0))),"")</f>
        <v/>
      </c>
      <c r="F38" s="27" t="str">
        <f aca="false">IFERROR(IF(INDEX(Actions!$E$5:$E$204,MATCH(4,Actions!$R$5:$R$204,0))="","",INDEX(Actions!$E$5:$E$204,MATCH(4,Actions!$R$5:$R$204,0))),"")</f>
        <v/>
      </c>
      <c r="G38" s="26" t="str">
        <f aca="false">IFERROR(IF(INDEX(Actions!$L$5:$L$204,MATCH(4,Actions!$R$5:$R$204,0))="","",INDEX(Actions!$L$5:$L$204,MATCH(4,Actions!$R$5:$R$204,0))),"")</f>
        <v/>
      </c>
    </row>
    <row r="39" customFormat="false" ht="27.75" hidden="false" customHeight="true" outlineLevel="0" collapsed="false">
      <c r="A39" s="24" t="str">
        <f aca="false">IF(B39="","",5)</f>
        <v/>
      </c>
      <c r="B39" s="25" t="str">
        <f aca="false">IFERROR(IF(INDEX(Actions!$A$5:$A$204,MATCH(5,Actions!$R$5:$R$204,0))="","",INDEX(Actions!$A$5:$A$204,MATCH(5,Actions!$R$5:$R$204,0))),"")</f>
        <v/>
      </c>
      <c r="C39" s="26" t="str">
        <f aca="false">IFERROR(IF(INDEX(Actions!$C$5:$C$204,MATCH(5,Actions!$R$5:$R$204,0))="","",INDEX(Actions!$C$5:$C$204,MATCH(5,Actions!$R$5:$R$204,0))),"")</f>
        <v/>
      </c>
      <c r="D39" s="26" t="str">
        <f aca="false">IFERROR(IF(INDEX(Actions!$F$5:$F$204,MATCH(5,Actions!$R$5:$R$204,0))="","",INDEX(Actions!$F$5:$F$204,MATCH(5,Actions!$R$5:$R$204,0))),"")</f>
        <v/>
      </c>
      <c r="E39" s="28" t="str">
        <f aca="false">IFERROR(IF(INDEX(Actions!$H$5:$H$204,MATCH(5,Actions!$R$5:$R$204,0))="","",INDEX(Actions!$H$5:$H$204,MATCH(5,Actions!$R$5:$R$204,0))),"")</f>
        <v/>
      </c>
      <c r="F39" s="27" t="str">
        <f aca="false">IFERROR(IF(INDEX(Actions!$E$5:$E$204,MATCH(5,Actions!$R$5:$R$204,0))="","",INDEX(Actions!$E$5:$E$204,MATCH(5,Actions!$R$5:$R$204,0))),"")</f>
        <v/>
      </c>
      <c r="G39" s="26" t="str">
        <f aca="false">IFERROR(IF(INDEX(Actions!$L$5:$L$204,MATCH(5,Actions!$R$5:$R$204,0))="","",INDEX(Actions!$L$5:$L$204,MATCH(5,Actions!$R$5:$R$204,0))),"")</f>
        <v/>
      </c>
    </row>
    <row r="40" customFormat="false" ht="27.75" hidden="false" customHeight="true" outlineLevel="0" collapsed="false">
      <c r="A40" s="24" t="str">
        <f aca="false">IF(B40="","",6)</f>
        <v/>
      </c>
      <c r="B40" s="25" t="str">
        <f aca="false">IFERROR(IF(INDEX(Actions!$A$5:$A$204,MATCH(6,Actions!$R$5:$R$204,0))="","",INDEX(Actions!$A$5:$A$204,MATCH(6,Actions!$R$5:$R$204,0))),"")</f>
        <v/>
      </c>
      <c r="C40" s="26" t="str">
        <f aca="false">IFERROR(IF(INDEX(Actions!$C$5:$C$204,MATCH(6,Actions!$R$5:$R$204,0))="","",INDEX(Actions!$C$5:$C$204,MATCH(6,Actions!$R$5:$R$204,0))),"")</f>
        <v/>
      </c>
      <c r="D40" s="26" t="str">
        <f aca="false">IFERROR(IF(INDEX(Actions!$F$5:$F$204,MATCH(6,Actions!$R$5:$R$204,0))="","",INDEX(Actions!$F$5:$F$204,MATCH(6,Actions!$R$5:$R$204,0))),"")</f>
        <v/>
      </c>
      <c r="E40" s="28" t="str">
        <f aca="false">IFERROR(IF(INDEX(Actions!$H$5:$H$204,MATCH(6,Actions!$R$5:$R$204,0))="","",INDEX(Actions!$H$5:$H$204,MATCH(6,Actions!$R$5:$R$204,0))),"")</f>
        <v/>
      </c>
      <c r="F40" s="27" t="str">
        <f aca="false">IFERROR(IF(INDEX(Actions!$E$5:$E$204,MATCH(6,Actions!$R$5:$R$204,0))="","",INDEX(Actions!$E$5:$E$204,MATCH(6,Actions!$R$5:$R$204,0))),"")</f>
        <v/>
      </c>
      <c r="G40" s="26" t="str">
        <f aca="false">IFERROR(IF(INDEX(Actions!$L$5:$L$204,MATCH(6,Actions!$R$5:$R$204,0))="","",INDEX(Actions!$L$5:$L$204,MATCH(6,Actions!$R$5:$R$204,0))),"")</f>
        <v/>
      </c>
    </row>
    <row r="41" customFormat="false" ht="27.75" hidden="false" customHeight="true" outlineLevel="0" collapsed="false">
      <c r="A41" s="24" t="str">
        <f aca="false">IF(B41="","",7)</f>
        <v/>
      </c>
      <c r="B41" s="25" t="str">
        <f aca="false">IFERROR(IF(INDEX(Actions!$A$5:$A$204,MATCH(7,Actions!$R$5:$R$204,0))="","",INDEX(Actions!$A$5:$A$204,MATCH(7,Actions!$R$5:$R$204,0))),"")</f>
        <v/>
      </c>
      <c r="C41" s="26" t="str">
        <f aca="false">IFERROR(IF(INDEX(Actions!$C$5:$C$204,MATCH(7,Actions!$R$5:$R$204,0))="","",INDEX(Actions!$C$5:$C$204,MATCH(7,Actions!$R$5:$R$204,0))),"")</f>
        <v/>
      </c>
      <c r="D41" s="26" t="str">
        <f aca="false">IFERROR(IF(INDEX(Actions!$F$5:$F$204,MATCH(7,Actions!$R$5:$R$204,0))="","",INDEX(Actions!$F$5:$F$204,MATCH(7,Actions!$R$5:$R$204,0))),"")</f>
        <v/>
      </c>
      <c r="E41" s="28" t="str">
        <f aca="false">IFERROR(IF(INDEX(Actions!$H$5:$H$204,MATCH(7,Actions!$R$5:$R$204,0))="","",INDEX(Actions!$H$5:$H$204,MATCH(7,Actions!$R$5:$R$204,0))),"")</f>
        <v/>
      </c>
      <c r="F41" s="27" t="str">
        <f aca="false">IFERROR(IF(INDEX(Actions!$E$5:$E$204,MATCH(7,Actions!$R$5:$R$204,0))="","",INDEX(Actions!$E$5:$E$204,MATCH(7,Actions!$R$5:$R$204,0))),"")</f>
        <v/>
      </c>
      <c r="G41" s="26" t="str">
        <f aca="false">IFERROR(IF(INDEX(Actions!$L$5:$L$204,MATCH(7,Actions!$R$5:$R$204,0))="","",INDEX(Actions!$L$5:$L$204,MATCH(7,Actions!$R$5:$R$204,0))),"")</f>
        <v/>
      </c>
    </row>
    <row r="42" customFormat="false" ht="27.75" hidden="false" customHeight="true" outlineLevel="0" collapsed="false">
      <c r="A42" s="24" t="str">
        <f aca="false">IF(B42="","",8)</f>
        <v/>
      </c>
      <c r="B42" s="25" t="str">
        <f aca="false">IFERROR(IF(INDEX(Actions!$A$5:$A$204,MATCH(8,Actions!$R$5:$R$204,0))="","",INDEX(Actions!$A$5:$A$204,MATCH(8,Actions!$R$5:$R$204,0))),"")</f>
        <v/>
      </c>
      <c r="C42" s="26" t="str">
        <f aca="false">IFERROR(IF(INDEX(Actions!$C$5:$C$204,MATCH(8,Actions!$R$5:$R$204,0))="","",INDEX(Actions!$C$5:$C$204,MATCH(8,Actions!$R$5:$R$204,0))),"")</f>
        <v/>
      </c>
      <c r="D42" s="26" t="str">
        <f aca="false">IFERROR(IF(INDEX(Actions!$F$5:$F$204,MATCH(8,Actions!$R$5:$R$204,0))="","",INDEX(Actions!$F$5:$F$204,MATCH(8,Actions!$R$5:$R$204,0))),"")</f>
        <v/>
      </c>
      <c r="E42" s="28" t="str">
        <f aca="false">IFERROR(IF(INDEX(Actions!$H$5:$H$204,MATCH(8,Actions!$R$5:$R$204,0))="","",INDEX(Actions!$H$5:$H$204,MATCH(8,Actions!$R$5:$R$204,0))),"")</f>
        <v/>
      </c>
      <c r="F42" s="27" t="str">
        <f aca="false">IFERROR(IF(INDEX(Actions!$E$5:$E$204,MATCH(8,Actions!$R$5:$R$204,0))="","",INDEX(Actions!$E$5:$E$204,MATCH(8,Actions!$R$5:$R$204,0))),"")</f>
        <v/>
      </c>
      <c r="G42" s="26" t="str">
        <f aca="false">IFERROR(IF(INDEX(Actions!$L$5:$L$204,MATCH(8,Actions!$R$5:$R$204,0))="","",INDEX(Actions!$L$5:$L$204,MATCH(8,Actions!$R$5:$R$204,0))),"")</f>
        <v/>
      </c>
    </row>
    <row r="44" customFormat="false" ht="21.75" hidden="false" customHeight="true" outlineLevel="0" collapsed="false">
      <c r="A44" s="8" t="n">
        <v>5</v>
      </c>
      <c r="B44" s="8" t="s">
        <v>37</v>
      </c>
      <c r="C44" s="8"/>
      <c r="D44" s="8"/>
      <c r="E44" s="8"/>
      <c r="F44" s="8"/>
      <c r="G44" s="23" t="str">
        <f aca="false">IF(COUNT(Findings!$O$5:$O$204)=0,"",IF(COUNT(Findings!$O$5:$O$204)&gt;8,"Showing 8 of "&amp;COUNT(Findings!$O$5:$O$204)&amp;" – see Findings tab",COUNT(Findings!$O$5:$O$204)&amp;" item(s)"))</f>
        <v>1 item(s)</v>
      </c>
    </row>
    <row r="45" customFormat="false" ht="15" hidden="false" customHeight="false" outlineLevel="0" collapsed="false">
      <c r="A45" s="9" t="s">
        <v>7</v>
      </c>
      <c r="B45" s="10" t="s">
        <v>30</v>
      </c>
      <c r="C45" s="10" t="s">
        <v>38</v>
      </c>
      <c r="D45" s="10" t="s">
        <v>39</v>
      </c>
      <c r="E45" s="10" t="s">
        <v>40</v>
      </c>
      <c r="F45" s="10" t="s">
        <v>41</v>
      </c>
      <c r="G45" s="10" t="s">
        <v>42</v>
      </c>
    </row>
    <row r="46" customFormat="false" ht="27.75" hidden="false" customHeight="true" outlineLevel="0" collapsed="false">
      <c r="A46" s="24" t="n">
        <f aca="false">IF(B46="","",1)</f>
        <v>1</v>
      </c>
      <c r="B46" s="25" t="str">
        <f aca="false">IFERROR(IF(INDEX(Findings!$A$5:$A$204,MATCH(1,Findings!$O$5:$O$204,0))="","",INDEX(Findings!$A$5:$A$204,MATCH(1,Findings!$O$5:$O$204,0))),"")</f>
        <v>FND-001</v>
      </c>
      <c r="C46" s="26" t="str">
        <f aca="false">IFERROR(IF(INDEX(Findings!$E$5:$E$204,MATCH(1,Findings!$O$5:$O$204,0))="","",INDEX(Findings!$E$5:$E$204,MATCH(1,Findings!$O$5:$O$204,0))),"Nothing to report this period")</f>
        <v>~18% of internet-facing hosts discovered by EASM are not recorded in the CMDB (mostly acquired entity B)</v>
      </c>
      <c r="D46" s="26" t="str">
        <f aca="false">IFERROR(IF(INDEX(Findings!$G$5:$G$204,MATCH(1,Findings!$O$5:$O$204,0))="","",INDEX(Findings!$G$5:$G$204,MATCH(1,Findings!$O$5:$O$204,0))),"")</f>
        <v>High</v>
      </c>
      <c r="E46" s="27" t="str">
        <f aca="false">IFERROR(IF(INDEX(Findings!$I$5:$I$204,MATCH(1,Findings!$O$5:$O$204,0))="","",INDEX(Findings!$I$5:$I$204,MATCH(1,Findings!$O$5:$O$204,0))),"")</f>
        <v>Open</v>
      </c>
      <c r="F46" s="27" t="str">
        <f aca="false">IFERROR(IF(INDEX(Findings!$M$5:$M$204,MATCH(1,Findings!$O$5:$O$204,0))="","",INDEX(Findings!$M$5:$M$204,MATCH(1,Findings!$O$5:$O$204,0))),"")</f>
        <v>New</v>
      </c>
      <c r="G46" s="26" t="str">
        <f aca="false">IFERROR(IF(INDEX(Findings!$L$5:$L$204,MATCH(1,Findings!$O$5:$O$204,0))="","",INDEX(Findings!$L$5:$L$204,MATCH(1,Findings!$O$5:$O$204,0))),"")</f>
        <v>New – root cause analysis requested from 1LoD</v>
      </c>
    </row>
    <row r="47" customFormat="false" ht="27.75" hidden="false" customHeight="true" outlineLevel="0" collapsed="false">
      <c r="A47" s="24" t="str">
        <f aca="false">IF(B47="","",2)</f>
        <v/>
      </c>
      <c r="B47" s="25" t="str">
        <f aca="false">IFERROR(IF(INDEX(Findings!$A$5:$A$204,MATCH(2,Findings!$O$5:$O$204,0))="","",INDEX(Findings!$A$5:$A$204,MATCH(2,Findings!$O$5:$O$204,0))),"")</f>
        <v/>
      </c>
      <c r="C47" s="26" t="str">
        <f aca="false">IFERROR(IF(INDEX(Findings!$E$5:$E$204,MATCH(2,Findings!$O$5:$O$204,0))="","",INDEX(Findings!$E$5:$E$204,MATCH(2,Findings!$O$5:$O$204,0))),"")</f>
        <v/>
      </c>
      <c r="D47" s="26" t="str">
        <f aca="false">IFERROR(IF(INDEX(Findings!$G$5:$G$204,MATCH(2,Findings!$O$5:$O$204,0))="","",INDEX(Findings!$G$5:$G$204,MATCH(2,Findings!$O$5:$O$204,0))),"")</f>
        <v/>
      </c>
      <c r="E47" s="27" t="str">
        <f aca="false">IFERROR(IF(INDEX(Findings!$I$5:$I$204,MATCH(2,Findings!$O$5:$O$204,0))="","",INDEX(Findings!$I$5:$I$204,MATCH(2,Findings!$O$5:$O$204,0))),"")</f>
        <v/>
      </c>
      <c r="F47" s="27" t="str">
        <f aca="false">IFERROR(IF(INDEX(Findings!$M$5:$M$204,MATCH(2,Findings!$O$5:$O$204,0))="","",INDEX(Findings!$M$5:$M$204,MATCH(2,Findings!$O$5:$O$204,0))),"")</f>
        <v/>
      </c>
      <c r="G47" s="26" t="str">
        <f aca="false">IFERROR(IF(INDEX(Findings!$L$5:$L$204,MATCH(2,Findings!$O$5:$O$204,0))="","",INDEX(Findings!$L$5:$L$204,MATCH(2,Findings!$O$5:$O$204,0))),"")</f>
        <v/>
      </c>
    </row>
    <row r="48" customFormat="false" ht="27.75" hidden="false" customHeight="true" outlineLevel="0" collapsed="false">
      <c r="A48" s="24" t="str">
        <f aca="false">IF(B48="","",3)</f>
        <v/>
      </c>
      <c r="B48" s="25" t="str">
        <f aca="false">IFERROR(IF(INDEX(Findings!$A$5:$A$204,MATCH(3,Findings!$O$5:$O$204,0))="","",INDEX(Findings!$A$5:$A$204,MATCH(3,Findings!$O$5:$O$204,0))),"")</f>
        <v/>
      </c>
      <c r="C48" s="26" t="str">
        <f aca="false">IFERROR(IF(INDEX(Findings!$E$5:$E$204,MATCH(3,Findings!$O$5:$O$204,0))="","",INDEX(Findings!$E$5:$E$204,MATCH(3,Findings!$O$5:$O$204,0))),"")</f>
        <v/>
      </c>
      <c r="D48" s="26" t="str">
        <f aca="false">IFERROR(IF(INDEX(Findings!$G$5:$G$204,MATCH(3,Findings!$O$5:$O$204,0))="","",INDEX(Findings!$G$5:$G$204,MATCH(3,Findings!$O$5:$O$204,0))),"")</f>
        <v/>
      </c>
      <c r="E48" s="27" t="str">
        <f aca="false">IFERROR(IF(INDEX(Findings!$I$5:$I$204,MATCH(3,Findings!$O$5:$O$204,0))="","",INDEX(Findings!$I$5:$I$204,MATCH(3,Findings!$O$5:$O$204,0))),"")</f>
        <v/>
      </c>
      <c r="F48" s="27" t="str">
        <f aca="false">IFERROR(IF(INDEX(Findings!$M$5:$M$204,MATCH(3,Findings!$O$5:$O$204,0))="","",INDEX(Findings!$M$5:$M$204,MATCH(3,Findings!$O$5:$O$204,0))),"")</f>
        <v/>
      </c>
      <c r="G48" s="26" t="str">
        <f aca="false">IFERROR(IF(INDEX(Findings!$L$5:$L$204,MATCH(3,Findings!$O$5:$O$204,0))="","",INDEX(Findings!$L$5:$L$204,MATCH(3,Findings!$O$5:$O$204,0))),"")</f>
        <v/>
      </c>
    </row>
    <row r="49" customFormat="false" ht="27.75" hidden="false" customHeight="true" outlineLevel="0" collapsed="false">
      <c r="A49" s="24" t="str">
        <f aca="false">IF(B49="","",4)</f>
        <v/>
      </c>
      <c r="B49" s="25" t="str">
        <f aca="false">IFERROR(IF(INDEX(Findings!$A$5:$A$204,MATCH(4,Findings!$O$5:$O$204,0))="","",INDEX(Findings!$A$5:$A$204,MATCH(4,Findings!$O$5:$O$204,0))),"")</f>
        <v/>
      </c>
      <c r="C49" s="26" t="str">
        <f aca="false">IFERROR(IF(INDEX(Findings!$E$5:$E$204,MATCH(4,Findings!$O$5:$O$204,0))="","",INDEX(Findings!$E$5:$E$204,MATCH(4,Findings!$O$5:$O$204,0))),"")</f>
        <v/>
      </c>
      <c r="D49" s="26" t="str">
        <f aca="false">IFERROR(IF(INDEX(Findings!$G$5:$G$204,MATCH(4,Findings!$O$5:$O$204,0))="","",INDEX(Findings!$G$5:$G$204,MATCH(4,Findings!$O$5:$O$204,0))),"")</f>
        <v/>
      </c>
      <c r="E49" s="27" t="str">
        <f aca="false">IFERROR(IF(INDEX(Findings!$I$5:$I$204,MATCH(4,Findings!$O$5:$O$204,0))="","",INDEX(Findings!$I$5:$I$204,MATCH(4,Findings!$O$5:$O$204,0))),"")</f>
        <v/>
      </c>
      <c r="F49" s="27" t="str">
        <f aca="false">IFERROR(IF(INDEX(Findings!$M$5:$M$204,MATCH(4,Findings!$O$5:$O$204,0))="","",INDEX(Findings!$M$5:$M$204,MATCH(4,Findings!$O$5:$O$204,0))),"")</f>
        <v/>
      </c>
      <c r="G49" s="26" t="str">
        <f aca="false">IFERROR(IF(INDEX(Findings!$L$5:$L$204,MATCH(4,Findings!$O$5:$O$204,0))="","",INDEX(Findings!$L$5:$L$204,MATCH(4,Findings!$O$5:$O$204,0))),"")</f>
        <v/>
      </c>
    </row>
    <row r="50" customFormat="false" ht="27.75" hidden="false" customHeight="true" outlineLevel="0" collapsed="false">
      <c r="A50" s="24" t="str">
        <f aca="false">IF(B50="","",5)</f>
        <v/>
      </c>
      <c r="B50" s="25" t="str">
        <f aca="false">IFERROR(IF(INDEX(Findings!$A$5:$A$204,MATCH(5,Findings!$O$5:$O$204,0))="","",INDEX(Findings!$A$5:$A$204,MATCH(5,Findings!$O$5:$O$204,0))),"")</f>
        <v/>
      </c>
      <c r="C50" s="26" t="str">
        <f aca="false">IFERROR(IF(INDEX(Findings!$E$5:$E$204,MATCH(5,Findings!$O$5:$O$204,0))="","",INDEX(Findings!$E$5:$E$204,MATCH(5,Findings!$O$5:$O$204,0))),"")</f>
        <v/>
      </c>
      <c r="D50" s="26" t="str">
        <f aca="false">IFERROR(IF(INDEX(Findings!$G$5:$G$204,MATCH(5,Findings!$O$5:$O$204,0))="","",INDEX(Findings!$G$5:$G$204,MATCH(5,Findings!$O$5:$O$204,0))),"")</f>
        <v/>
      </c>
      <c r="E50" s="27" t="str">
        <f aca="false">IFERROR(IF(INDEX(Findings!$I$5:$I$204,MATCH(5,Findings!$O$5:$O$204,0))="","",INDEX(Findings!$I$5:$I$204,MATCH(5,Findings!$O$5:$O$204,0))),"")</f>
        <v/>
      </c>
      <c r="F50" s="27" t="str">
        <f aca="false">IFERROR(IF(INDEX(Findings!$M$5:$M$204,MATCH(5,Findings!$O$5:$O$204,0))="","",INDEX(Findings!$M$5:$M$204,MATCH(5,Findings!$O$5:$O$204,0))),"")</f>
        <v/>
      </c>
      <c r="G50" s="26" t="str">
        <f aca="false">IFERROR(IF(INDEX(Findings!$L$5:$L$204,MATCH(5,Findings!$O$5:$O$204,0))="","",INDEX(Findings!$L$5:$L$204,MATCH(5,Findings!$O$5:$O$204,0))),"")</f>
        <v/>
      </c>
    </row>
    <row r="51" customFormat="false" ht="27.75" hidden="false" customHeight="true" outlineLevel="0" collapsed="false">
      <c r="A51" s="24" t="str">
        <f aca="false">IF(B51="","",6)</f>
        <v/>
      </c>
      <c r="B51" s="25" t="str">
        <f aca="false">IFERROR(IF(INDEX(Findings!$A$5:$A$204,MATCH(6,Findings!$O$5:$O$204,0))="","",INDEX(Findings!$A$5:$A$204,MATCH(6,Findings!$O$5:$O$204,0))),"")</f>
        <v/>
      </c>
      <c r="C51" s="26" t="str">
        <f aca="false">IFERROR(IF(INDEX(Findings!$E$5:$E$204,MATCH(6,Findings!$O$5:$O$204,0))="","",INDEX(Findings!$E$5:$E$204,MATCH(6,Findings!$O$5:$O$204,0))),"")</f>
        <v/>
      </c>
      <c r="D51" s="26" t="str">
        <f aca="false">IFERROR(IF(INDEX(Findings!$G$5:$G$204,MATCH(6,Findings!$O$5:$O$204,0))="","",INDEX(Findings!$G$5:$G$204,MATCH(6,Findings!$O$5:$O$204,0))),"")</f>
        <v/>
      </c>
      <c r="E51" s="27" t="str">
        <f aca="false">IFERROR(IF(INDEX(Findings!$I$5:$I$204,MATCH(6,Findings!$O$5:$O$204,0))="","",INDEX(Findings!$I$5:$I$204,MATCH(6,Findings!$O$5:$O$204,0))),"")</f>
        <v/>
      </c>
      <c r="F51" s="27" t="str">
        <f aca="false">IFERROR(IF(INDEX(Findings!$M$5:$M$204,MATCH(6,Findings!$O$5:$O$204,0))="","",INDEX(Findings!$M$5:$M$204,MATCH(6,Findings!$O$5:$O$204,0))),"")</f>
        <v/>
      </c>
      <c r="G51" s="26" t="str">
        <f aca="false">IFERROR(IF(INDEX(Findings!$L$5:$L$204,MATCH(6,Findings!$O$5:$O$204,0))="","",INDEX(Findings!$L$5:$L$204,MATCH(6,Findings!$O$5:$O$204,0))),"")</f>
        <v/>
      </c>
    </row>
    <row r="52" customFormat="false" ht="27.75" hidden="false" customHeight="true" outlineLevel="0" collapsed="false">
      <c r="A52" s="24" t="str">
        <f aca="false">IF(B52="","",7)</f>
        <v/>
      </c>
      <c r="B52" s="25" t="str">
        <f aca="false">IFERROR(IF(INDEX(Findings!$A$5:$A$204,MATCH(7,Findings!$O$5:$O$204,0))="","",INDEX(Findings!$A$5:$A$204,MATCH(7,Findings!$O$5:$O$204,0))),"")</f>
        <v/>
      </c>
      <c r="C52" s="26" t="str">
        <f aca="false">IFERROR(IF(INDEX(Findings!$E$5:$E$204,MATCH(7,Findings!$O$5:$O$204,0))="","",INDEX(Findings!$E$5:$E$204,MATCH(7,Findings!$O$5:$O$204,0))),"")</f>
        <v/>
      </c>
      <c r="D52" s="26" t="str">
        <f aca="false">IFERROR(IF(INDEX(Findings!$G$5:$G$204,MATCH(7,Findings!$O$5:$O$204,0))="","",INDEX(Findings!$G$5:$G$204,MATCH(7,Findings!$O$5:$O$204,0))),"")</f>
        <v/>
      </c>
      <c r="E52" s="27" t="str">
        <f aca="false">IFERROR(IF(INDEX(Findings!$I$5:$I$204,MATCH(7,Findings!$O$5:$O$204,0))="","",INDEX(Findings!$I$5:$I$204,MATCH(7,Findings!$O$5:$O$204,0))),"")</f>
        <v/>
      </c>
      <c r="F52" s="27" t="str">
        <f aca="false">IFERROR(IF(INDEX(Findings!$M$5:$M$204,MATCH(7,Findings!$O$5:$O$204,0))="","",INDEX(Findings!$M$5:$M$204,MATCH(7,Findings!$O$5:$O$204,0))),"")</f>
        <v/>
      </c>
      <c r="G52" s="26" t="str">
        <f aca="false">IFERROR(IF(INDEX(Findings!$L$5:$L$204,MATCH(7,Findings!$O$5:$O$204,0))="","",INDEX(Findings!$L$5:$L$204,MATCH(7,Findings!$O$5:$O$204,0))),"")</f>
        <v/>
      </c>
    </row>
    <row r="53" customFormat="false" ht="27.75" hidden="false" customHeight="true" outlineLevel="0" collapsed="false">
      <c r="A53" s="24" t="str">
        <f aca="false">IF(B53="","",8)</f>
        <v/>
      </c>
      <c r="B53" s="25" t="str">
        <f aca="false">IFERROR(IF(INDEX(Findings!$A$5:$A$204,MATCH(8,Findings!$O$5:$O$204,0))="","",INDEX(Findings!$A$5:$A$204,MATCH(8,Findings!$O$5:$O$204,0))),"")</f>
        <v/>
      </c>
      <c r="C53" s="26" t="str">
        <f aca="false">IFERROR(IF(INDEX(Findings!$E$5:$E$204,MATCH(8,Findings!$O$5:$O$204,0))="","",INDEX(Findings!$E$5:$E$204,MATCH(8,Findings!$O$5:$O$204,0))),"")</f>
        <v/>
      </c>
      <c r="D53" s="26" t="str">
        <f aca="false">IFERROR(IF(INDEX(Findings!$G$5:$G$204,MATCH(8,Findings!$O$5:$O$204,0))="","",INDEX(Findings!$G$5:$G$204,MATCH(8,Findings!$O$5:$O$204,0))),"")</f>
        <v/>
      </c>
      <c r="E53" s="27" t="str">
        <f aca="false">IFERROR(IF(INDEX(Findings!$I$5:$I$204,MATCH(8,Findings!$O$5:$O$204,0))="","",INDEX(Findings!$I$5:$I$204,MATCH(8,Findings!$O$5:$O$204,0))),"")</f>
        <v/>
      </c>
      <c r="F53" s="27" t="str">
        <f aca="false">IFERROR(IF(INDEX(Findings!$M$5:$M$204,MATCH(8,Findings!$O$5:$O$204,0))="","",INDEX(Findings!$M$5:$M$204,MATCH(8,Findings!$O$5:$O$204,0))),"")</f>
        <v/>
      </c>
      <c r="G53" s="26" t="str">
        <f aca="false">IFERROR(IF(INDEX(Findings!$L$5:$L$204,MATCH(8,Findings!$O$5:$O$204,0))="","",INDEX(Findings!$L$5:$L$204,MATCH(8,Findings!$O$5:$O$204,0))),"")</f>
        <v/>
      </c>
    </row>
    <row r="55" customFormat="false" ht="21.75" hidden="false" customHeight="true" outlineLevel="0" collapsed="false">
      <c r="A55" s="8" t="n">
        <v>6</v>
      </c>
      <c r="B55" s="8" t="s">
        <v>43</v>
      </c>
      <c r="C55" s="8"/>
      <c r="D55" s="8"/>
      <c r="E55" s="8"/>
      <c r="F55" s="8"/>
      <c r="G55" s="23" t="str">
        <f aca="false">IF(COUNT(Actions!$S$5:$S$204)=0,"",IF(COUNT(Actions!$S$5:$S$204)&gt;8,"Showing 8 of "&amp;COUNT(Actions!$S$5:$S$204)&amp;" – see Actions tab",COUNT(Actions!$S$5:$S$204)&amp;" item(s)"))</f>
        <v>1 item(s)</v>
      </c>
    </row>
    <row r="56" customFormat="false" ht="15" hidden="false" customHeight="false" outlineLevel="0" collapsed="false">
      <c r="A56" s="9" t="s">
        <v>7</v>
      </c>
      <c r="B56" s="10" t="s">
        <v>30</v>
      </c>
      <c r="C56" s="10" t="s">
        <v>44</v>
      </c>
      <c r="D56" s="10" t="s">
        <v>45</v>
      </c>
      <c r="E56" s="10" t="s">
        <v>18</v>
      </c>
      <c r="F56" s="10" t="s">
        <v>36</v>
      </c>
      <c r="G56" s="10" t="s">
        <v>46</v>
      </c>
    </row>
    <row r="57" customFormat="false" ht="27.75" hidden="false" customHeight="true" outlineLevel="0" collapsed="false">
      <c r="A57" s="24" t="n">
        <f aca="false">IF(B57="","",1)</f>
        <v>1</v>
      </c>
      <c r="B57" s="25" t="str">
        <f aca="false">IFERROR(IF(INDEX(Actions!$A$5:$A$204,MATCH(1,Actions!$S$5:$S$204,0))="","",INDEX(Actions!$A$5:$A$204,MATCH(1,Actions!$S$5:$S$204,0))),"")</f>
        <v>ACT-003</v>
      </c>
      <c r="C57" s="26" t="str">
        <f aca="false">IFERROR(IF(INDEX(Actions!$M$5:$M$204,MATCH(1,Actions!$S$5:$S$204,0))="","Action blocked – add detail in Actions tab",INDEX(Actions!$M$5:$M$204,MATCH(1,Actions!$S$5:$S$204,0))),"")</f>
        <v>Current version of the EASM procedure not yet shared by 1LoD</v>
      </c>
      <c r="D57" s="26" t="str">
        <f aca="false">IFERROR(IF(INDEX(Actions!$N$5:$N$204,MATCH(1,Actions!$S$5:$S$204,0))="","",INDEX(Actions!$N$5:$N$204,MATCH(1,Actions!$S$5:$S$204,0))),"")</f>
        <v>Network Security (1LoD)</v>
      </c>
      <c r="E57" s="27" t="str">
        <f aca="false">IFERROR(IF(INDEX(Actions!$I$5:$I$204,MATCH(1,Actions!$S$5:$S$204,0))="","",INDEX(Actions!$I$5:$I$204,MATCH(1,Actions!$S$5:$S$204,0))),"")</f>
        <v>Blocked</v>
      </c>
      <c r="F57" s="28" t="n">
        <f aca="false">IFERROR(IF(INDEX(Actions!$H$5:$H$204,MATCH(1,Actions!$S$5:$S$204,0))="","",INDEX(Actions!$H$5:$H$204,MATCH(1,Actions!$S$5:$S$204,0))),"")</f>
        <v>46322</v>
      </c>
      <c r="G57" s="26" t="str">
        <f aca="false">IFERROR(IF(INDEX(Actions!$C$5:$C$204,MATCH(1,Actions!$S$5:$S$204,0))="","",INDEX(Actions!$C$5:$C$204,MATCH(1,Actions!$S$5:$S$204,0))),"")</f>
        <v>Review EASM operating procedure and asset ownership policy</v>
      </c>
    </row>
    <row r="58" customFormat="false" ht="27.75" hidden="false" customHeight="true" outlineLevel="0" collapsed="false">
      <c r="A58" s="24" t="str">
        <f aca="false">IF(B58="","",2)</f>
        <v/>
      </c>
      <c r="B58" s="25" t="str">
        <f aca="false">IFERROR(IF(INDEX(Actions!$A$5:$A$204,MATCH(2,Actions!$S$5:$S$204,0))="","",INDEX(Actions!$A$5:$A$204,MATCH(2,Actions!$S$5:$S$204,0))),"")</f>
        <v/>
      </c>
      <c r="C58" s="26" t="str">
        <f aca="false">IFERROR(IF(INDEX(Actions!$M$5:$M$204,MATCH(2,Actions!$S$5:$S$204,0))="","Action blocked – add detail in Actions tab",INDEX(Actions!$M$5:$M$204,MATCH(2,Actions!$S$5:$S$204,0))),"")</f>
        <v/>
      </c>
      <c r="D58" s="26" t="str">
        <f aca="false">IFERROR(IF(INDEX(Actions!$N$5:$N$204,MATCH(2,Actions!$S$5:$S$204,0))="","",INDEX(Actions!$N$5:$N$204,MATCH(2,Actions!$S$5:$S$204,0))),"")</f>
        <v/>
      </c>
      <c r="E58" s="27" t="str">
        <f aca="false">IFERROR(IF(INDEX(Actions!$I$5:$I$204,MATCH(2,Actions!$S$5:$S$204,0))="","",INDEX(Actions!$I$5:$I$204,MATCH(2,Actions!$S$5:$S$204,0))),"")</f>
        <v/>
      </c>
      <c r="F58" s="28" t="str">
        <f aca="false">IFERROR(IF(INDEX(Actions!$H$5:$H$204,MATCH(2,Actions!$S$5:$S$204,0))="","",INDEX(Actions!$H$5:$H$204,MATCH(2,Actions!$S$5:$S$204,0))),"")</f>
        <v/>
      </c>
      <c r="G58" s="26" t="str">
        <f aca="false">IFERROR(IF(INDEX(Actions!$C$5:$C$204,MATCH(2,Actions!$S$5:$S$204,0))="","",INDEX(Actions!$C$5:$C$204,MATCH(2,Actions!$S$5:$S$204,0))),"")</f>
        <v/>
      </c>
    </row>
    <row r="59" customFormat="false" ht="27.75" hidden="false" customHeight="true" outlineLevel="0" collapsed="false">
      <c r="A59" s="24" t="str">
        <f aca="false">IF(B59="","",3)</f>
        <v/>
      </c>
      <c r="B59" s="25" t="str">
        <f aca="false">IFERROR(IF(INDEX(Actions!$A$5:$A$204,MATCH(3,Actions!$S$5:$S$204,0))="","",INDEX(Actions!$A$5:$A$204,MATCH(3,Actions!$S$5:$S$204,0))),"")</f>
        <v/>
      </c>
      <c r="C59" s="26" t="str">
        <f aca="false">IFERROR(IF(INDEX(Actions!$M$5:$M$204,MATCH(3,Actions!$S$5:$S$204,0))="","Action blocked – add detail in Actions tab",INDEX(Actions!$M$5:$M$204,MATCH(3,Actions!$S$5:$S$204,0))),"")</f>
        <v/>
      </c>
      <c r="D59" s="26" t="str">
        <f aca="false">IFERROR(IF(INDEX(Actions!$N$5:$N$204,MATCH(3,Actions!$S$5:$S$204,0))="","",INDEX(Actions!$N$5:$N$204,MATCH(3,Actions!$S$5:$S$204,0))),"")</f>
        <v/>
      </c>
      <c r="E59" s="27" t="str">
        <f aca="false">IFERROR(IF(INDEX(Actions!$I$5:$I$204,MATCH(3,Actions!$S$5:$S$204,0))="","",INDEX(Actions!$I$5:$I$204,MATCH(3,Actions!$S$5:$S$204,0))),"")</f>
        <v/>
      </c>
      <c r="F59" s="28" t="str">
        <f aca="false">IFERROR(IF(INDEX(Actions!$H$5:$H$204,MATCH(3,Actions!$S$5:$S$204,0))="","",INDEX(Actions!$H$5:$H$204,MATCH(3,Actions!$S$5:$S$204,0))),"")</f>
        <v/>
      </c>
      <c r="G59" s="26" t="str">
        <f aca="false">IFERROR(IF(INDEX(Actions!$C$5:$C$204,MATCH(3,Actions!$S$5:$S$204,0))="","",INDEX(Actions!$C$5:$C$204,MATCH(3,Actions!$S$5:$S$204,0))),"")</f>
        <v/>
      </c>
    </row>
    <row r="60" customFormat="false" ht="27.75" hidden="false" customHeight="true" outlineLevel="0" collapsed="false">
      <c r="A60" s="24" t="str">
        <f aca="false">IF(B60="","",4)</f>
        <v/>
      </c>
      <c r="B60" s="25" t="str">
        <f aca="false">IFERROR(IF(INDEX(Actions!$A$5:$A$204,MATCH(4,Actions!$S$5:$S$204,0))="","",INDEX(Actions!$A$5:$A$204,MATCH(4,Actions!$S$5:$S$204,0))),"")</f>
        <v/>
      </c>
      <c r="C60" s="26" t="str">
        <f aca="false">IFERROR(IF(INDEX(Actions!$M$5:$M$204,MATCH(4,Actions!$S$5:$S$204,0))="","Action blocked – add detail in Actions tab",INDEX(Actions!$M$5:$M$204,MATCH(4,Actions!$S$5:$S$204,0))),"")</f>
        <v/>
      </c>
      <c r="D60" s="26" t="str">
        <f aca="false">IFERROR(IF(INDEX(Actions!$N$5:$N$204,MATCH(4,Actions!$S$5:$S$204,0))="","",INDEX(Actions!$N$5:$N$204,MATCH(4,Actions!$S$5:$S$204,0))),"")</f>
        <v/>
      </c>
      <c r="E60" s="27" t="str">
        <f aca="false">IFERROR(IF(INDEX(Actions!$I$5:$I$204,MATCH(4,Actions!$S$5:$S$204,0))="","",INDEX(Actions!$I$5:$I$204,MATCH(4,Actions!$S$5:$S$204,0))),"")</f>
        <v/>
      </c>
      <c r="F60" s="28" t="str">
        <f aca="false">IFERROR(IF(INDEX(Actions!$H$5:$H$204,MATCH(4,Actions!$S$5:$S$204,0))="","",INDEX(Actions!$H$5:$H$204,MATCH(4,Actions!$S$5:$S$204,0))),"")</f>
        <v/>
      </c>
      <c r="G60" s="26" t="str">
        <f aca="false">IFERROR(IF(INDEX(Actions!$C$5:$C$204,MATCH(4,Actions!$S$5:$S$204,0))="","",INDEX(Actions!$C$5:$C$204,MATCH(4,Actions!$S$5:$S$204,0))),"")</f>
        <v/>
      </c>
    </row>
    <row r="61" customFormat="false" ht="27.75" hidden="false" customHeight="true" outlineLevel="0" collapsed="false">
      <c r="A61" s="24" t="str">
        <f aca="false">IF(B61="","",5)</f>
        <v/>
      </c>
      <c r="B61" s="25" t="str">
        <f aca="false">IFERROR(IF(INDEX(Actions!$A$5:$A$204,MATCH(5,Actions!$S$5:$S$204,0))="","",INDEX(Actions!$A$5:$A$204,MATCH(5,Actions!$S$5:$S$204,0))),"")</f>
        <v/>
      </c>
      <c r="C61" s="26" t="str">
        <f aca="false">IFERROR(IF(INDEX(Actions!$M$5:$M$204,MATCH(5,Actions!$S$5:$S$204,0))="","Action blocked – add detail in Actions tab",INDEX(Actions!$M$5:$M$204,MATCH(5,Actions!$S$5:$S$204,0))),"")</f>
        <v/>
      </c>
      <c r="D61" s="26" t="str">
        <f aca="false">IFERROR(IF(INDEX(Actions!$N$5:$N$204,MATCH(5,Actions!$S$5:$S$204,0))="","",INDEX(Actions!$N$5:$N$204,MATCH(5,Actions!$S$5:$S$204,0))),"")</f>
        <v/>
      </c>
      <c r="E61" s="27" t="str">
        <f aca="false">IFERROR(IF(INDEX(Actions!$I$5:$I$204,MATCH(5,Actions!$S$5:$S$204,0))="","",INDEX(Actions!$I$5:$I$204,MATCH(5,Actions!$S$5:$S$204,0))),"")</f>
        <v/>
      </c>
      <c r="F61" s="28" t="str">
        <f aca="false">IFERROR(IF(INDEX(Actions!$H$5:$H$204,MATCH(5,Actions!$S$5:$S$204,0))="","",INDEX(Actions!$H$5:$H$204,MATCH(5,Actions!$S$5:$S$204,0))),"")</f>
        <v/>
      </c>
      <c r="G61" s="26" t="str">
        <f aca="false">IFERROR(IF(INDEX(Actions!$C$5:$C$204,MATCH(5,Actions!$S$5:$S$204,0))="","",INDEX(Actions!$C$5:$C$204,MATCH(5,Actions!$S$5:$S$204,0))),"")</f>
        <v/>
      </c>
    </row>
    <row r="62" customFormat="false" ht="27.75" hidden="false" customHeight="true" outlineLevel="0" collapsed="false">
      <c r="A62" s="24" t="str">
        <f aca="false">IF(B62="","",6)</f>
        <v/>
      </c>
      <c r="B62" s="25" t="str">
        <f aca="false">IFERROR(IF(INDEX(Actions!$A$5:$A$204,MATCH(6,Actions!$S$5:$S$204,0))="","",INDEX(Actions!$A$5:$A$204,MATCH(6,Actions!$S$5:$S$204,0))),"")</f>
        <v/>
      </c>
      <c r="C62" s="26" t="str">
        <f aca="false">IFERROR(IF(INDEX(Actions!$M$5:$M$204,MATCH(6,Actions!$S$5:$S$204,0))="","Action blocked – add detail in Actions tab",INDEX(Actions!$M$5:$M$204,MATCH(6,Actions!$S$5:$S$204,0))),"")</f>
        <v/>
      </c>
      <c r="D62" s="26" t="str">
        <f aca="false">IFERROR(IF(INDEX(Actions!$N$5:$N$204,MATCH(6,Actions!$S$5:$S$204,0))="","",INDEX(Actions!$N$5:$N$204,MATCH(6,Actions!$S$5:$S$204,0))),"")</f>
        <v/>
      </c>
      <c r="E62" s="27" t="str">
        <f aca="false">IFERROR(IF(INDEX(Actions!$I$5:$I$204,MATCH(6,Actions!$S$5:$S$204,0))="","",INDEX(Actions!$I$5:$I$204,MATCH(6,Actions!$S$5:$S$204,0))),"")</f>
        <v/>
      </c>
      <c r="F62" s="28" t="str">
        <f aca="false">IFERROR(IF(INDEX(Actions!$H$5:$H$204,MATCH(6,Actions!$S$5:$S$204,0))="","",INDEX(Actions!$H$5:$H$204,MATCH(6,Actions!$S$5:$S$204,0))),"")</f>
        <v/>
      </c>
      <c r="G62" s="26" t="str">
        <f aca="false">IFERROR(IF(INDEX(Actions!$C$5:$C$204,MATCH(6,Actions!$S$5:$S$204,0))="","",INDEX(Actions!$C$5:$C$204,MATCH(6,Actions!$S$5:$S$204,0))),"")</f>
        <v/>
      </c>
    </row>
    <row r="63" customFormat="false" ht="27.75" hidden="false" customHeight="true" outlineLevel="0" collapsed="false">
      <c r="A63" s="24" t="str">
        <f aca="false">IF(B63="","",7)</f>
        <v/>
      </c>
      <c r="B63" s="25" t="str">
        <f aca="false">IFERROR(IF(INDEX(Actions!$A$5:$A$204,MATCH(7,Actions!$S$5:$S$204,0))="","",INDEX(Actions!$A$5:$A$204,MATCH(7,Actions!$S$5:$S$204,0))),"")</f>
        <v/>
      </c>
      <c r="C63" s="26" t="str">
        <f aca="false">IFERROR(IF(INDEX(Actions!$M$5:$M$204,MATCH(7,Actions!$S$5:$S$204,0))="","Action blocked – add detail in Actions tab",INDEX(Actions!$M$5:$M$204,MATCH(7,Actions!$S$5:$S$204,0))),"")</f>
        <v/>
      </c>
      <c r="D63" s="26" t="str">
        <f aca="false">IFERROR(IF(INDEX(Actions!$N$5:$N$204,MATCH(7,Actions!$S$5:$S$204,0))="","",INDEX(Actions!$N$5:$N$204,MATCH(7,Actions!$S$5:$S$204,0))),"")</f>
        <v/>
      </c>
      <c r="E63" s="27" t="str">
        <f aca="false">IFERROR(IF(INDEX(Actions!$I$5:$I$204,MATCH(7,Actions!$S$5:$S$204,0))="","",INDEX(Actions!$I$5:$I$204,MATCH(7,Actions!$S$5:$S$204,0))),"")</f>
        <v/>
      </c>
      <c r="F63" s="28" t="str">
        <f aca="false">IFERROR(IF(INDEX(Actions!$H$5:$H$204,MATCH(7,Actions!$S$5:$S$204,0))="","",INDEX(Actions!$H$5:$H$204,MATCH(7,Actions!$S$5:$S$204,0))),"")</f>
        <v/>
      </c>
      <c r="G63" s="26" t="str">
        <f aca="false">IFERROR(IF(INDEX(Actions!$C$5:$C$204,MATCH(7,Actions!$S$5:$S$204,0))="","",INDEX(Actions!$C$5:$C$204,MATCH(7,Actions!$S$5:$S$204,0))),"")</f>
        <v/>
      </c>
    </row>
    <row r="64" customFormat="false" ht="27.75" hidden="false" customHeight="true" outlineLevel="0" collapsed="false">
      <c r="A64" s="24" t="str">
        <f aca="false">IF(B64="","",8)</f>
        <v/>
      </c>
      <c r="B64" s="25" t="str">
        <f aca="false">IFERROR(IF(INDEX(Actions!$A$5:$A$204,MATCH(8,Actions!$S$5:$S$204,0))="","",INDEX(Actions!$A$5:$A$204,MATCH(8,Actions!$S$5:$S$204,0))),"")</f>
        <v/>
      </c>
      <c r="C64" s="26" t="str">
        <f aca="false">IFERROR(IF(INDEX(Actions!$M$5:$M$204,MATCH(8,Actions!$S$5:$S$204,0))="","Action blocked – add detail in Actions tab",INDEX(Actions!$M$5:$M$204,MATCH(8,Actions!$S$5:$S$204,0))),"")</f>
        <v/>
      </c>
      <c r="D64" s="26" t="str">
        <f aca="false">IFERROR(IF(INDEX(Actions!$N$5:$N$204,MATCH(8,Actions!$S$5:$S$204,0))="","",INDEX(Actions!$N$5:$N$204,MATCH(8,Actions!$S$5:$S$204,0))),"")</f>
        <v/>
      </c>
      <c r="E64" s="27" t="str">
        <f aca="false">IFERROR(IF(INDEX(Actions!$I$5:$I$204,MATCH(8,Actions!$S$5:$S$204,0))="","",INDEX(Actions!$I$5:$I$204,MATCH(8,Actions!$S$5:$S$204,0))),"")</f>
        <v/>
      </c>
      <c r="F64" s="28" t="str">
        <f aca="false">IFERROR(IF(INDEX(Actions!$H$5:$H$204,MATCH(8,Actions!$S$5:$S$204,0))="","",INDEX(Actions!$H$5:$H$204,MATCH(8,Actions!$S$5:$S$204,0))),"")</f>
        <v/>
      </c>
      <c r="G64" s="26" t="str">
        <f aca="false">IFERROR(IF(INDEX(Actions!$C$5:$C$204,MATCH(8,Actions!$S$5:$S$204,0))="","",INDEX(Actions!$C$5:$C$204,MATCH(8,Actions!$S$5:$S$204,0))),"")</f>
        <v/>
      </c>
    </row>
    <row r="66" customFormat="false" ht="21.75" hidden="false" customHeight="true" outlineLevel="0" collapsed="false">
      <c r="A66" s="8" t="n">
        <v>7</v>
      </c>
      <c r="B66" s="8" t="s">
        <v>47</v>
      </c>
      <c r="C66" s="8"/>
      <c r="D66" s="8"/>
      <c r="E66" s="8"/>
      <c r="F66" s="8"/>
      <c r="G66" s="23" t="str">
        <f aca="false">IF(COUNT(Actions!$T$5:$T$204)=0,"",IF(COUNT(Actions!$T$5:$T$204)&gt;8,"Showing 8 of "&amp;COUNT(Actions!$T$5:$T$204)&amp;" – see Actions tab",COUNT(Actions!$T$5:$T$204)&amp;" item(s)"))</f>
        <v>2 item(s)</v>
      </c>
    </row>
    <row r="67" customFormat="false" ht="15" hidden="false" customHeight="false" outlineLevel="0" collapsed="false">
      <c r="A67" s="9" t="s">
        <v>7</v>
      </c>
      <c r="B67" s="10" t="s">
        <v>30</v>
      </c>
      <c r="C67" s="10" t="s">
        <v>31</v>
      </c>
      <c r="D67" s="10" t="s">
        <v>32</v>
      </c>
      <c r="E67" s="10" t="s">
        <v>36</v>
      </c>
      <c r="F67" s="10" t="s">
        <v>18</v>
      </c>
      <c r="G67" s="10" t="s">
        <v>33</v>
      </c>
    </row>
    <row r="68" customFormat="false" ht="27.75" hidden="false" customHeight="true" outlineLevel="0" collapsed="false">
      <c r="A68" s="24" t="n">
        <f aca="false">IF(B68="","",1)</f>
        <v>1</v>
      </c>
      <c r="B68" s="25" t="str">
        <f aca="false">IFERROR(IF(INDEX(Actions!$A$5:$A$204,MATCH(1,Actions!$T$5:$T$204,0))="","",INDEX(Actions!$A$5:$A$204,MATCH(1,Actions!$T$5:$T$204,0))),"")</f>
        <v>ACT-002</v>
      </c>
      <c r="C68" s="26" t="str">
        <f aca="false">IFERROR(IF(INDEX(Actions!$C$5:$C$204,MATCH(1,Actions!$T$5:$T$204,0))="","",INDEX(Actions!$C$5:$C$204,MATCH(1,Actions!$T$5:$T$204,0))),"Nothing to report this period")</f>
        <v>Reconcile EASM-discovered assets against CMDB extract</v>
      </c>
      <c r="D68" s="26" t="str">
        <f aca="false">IFERROR(IF(INDEX(Actions!$F$5:$F$204,MATCH(1,Actions!$T$5:$T$204,0))="","",INDEX(Actions!$F$5:$F$204,MATCH(1,Actions!$T$5:$T$204,0))),"")</f>
        <v>Me</v>
      </c>
      <c r="E68" s="28" t="n">
        <f aca="false">IFERROR(IF(INDEX(Actions!$H$5:$H$204,MATCH(1,Actions!$T$5:$T$204,0))="","",INDEX(Actions!$H$5:$H$204,MATCH(1,Actions!$T$5:$T$204,0))),"")</f>
        <v>46332</v>
      </c>
      <c r="F68" s="27" t="str">
        <f aca="false">IFERROR(IF(INDEX(Actions!$I$5:$I$204,MATCH(1,Actions!$T$5:$T$204,0))="","",INDEX(Actions!$I$5:$I$204,MATCH(1,Actions!$T$5:$T$204,0))),"")</f>
        <v>In Progress</v>
      </c>
      <c r="G68" s="26" t="str">
        <f aca="false">IFERROR(IF(INDEX(Actions!$E$5:$E$204,MATCH(1,Actions!$T$5:$T$204,0))="","",INDEX(Actions!$E$5:$E$204,MATCH(1,Actions!$T$5:$T$204,0))),"")</f>
        <v>Visibility</v>
      </c>
    </row>
    <row r="69" customFormat="false" ht="27.75" hidden="false" customHeight="true" outlineLevel="0" collapsed="false">
      <c r="A69" s="24" t="n">
        <f aca="false">IF(B69="","",2)</f>
        <v>2</v>
      </c>
      <c r="B69" s="25" t="str">
        <f aca="false">IFERROR(IF(INDEX(Actions!$A$5:$A$204,MATCH(2,Actions!$T$5:$T$204,0))="","",INDEX(Actions!$A$5:$A$204,MATCH(2,Actions!$T$5:$T$204,0))),"")</f>
        <v>ACT-003</v>
      </c>
      <c r="C69" s="26" t="str">
        <f aca="false">IFERROR(IF(INDEX(Actions!$C$5:$C$204,MATCH(2,Actions!$T$5:$T$204,0))="","",INDEX(Actions!$C$5:$C$204,MATCH(2,Actions!$T$5:$T$204,0))),"")</f>
        <v>Review EASM operating procedure and asset ownership policy</v>
      </c>
      <c r="D69" s="26" t="str">
        <f aca="false">IFERROR(IF(INDEX(Actions!$F$5:$F$204,MATCH(2,Actions!$T$5:$T$204,0))="","",INDEX(Actions!$F$5:$F$204,MATCH(2,Actions!$T$5:$T$204,0))),"")</f>
        <v>Me</v>
      </c>
      <c r="E69" s="28" t="n">
        <f aca="false">IFERROR(IF(INDEX(Actions!$H$5:$H$204,MATCH(2,Actions!$T$5:$T$204,0))="","",INDEX(Actions!$H$5:$H$204,MATCH(2,Actions!$T$5:$T$204,0))),"")</f>
        <v>46322</v>
      </c>
      <c r="F69" s="27" t="str">
        <f aca="false">IFERROR(IF(INDEX(Actions!$I$5:$I$204,MATCH(2,Actions!$T$5:$T$204,0))="","",INDEX(Actions!$I$5:$I$204,MATCH(2,Actions!$T$5:$T$204,0))),"")</f>
        <v>Blocked</v>
      </c>
      <c r="G69" s="26" t="str">
        <f aca="false">IFERROR(IF(INDEX(Actions!$E$5:$E$204,MATCH(2,Actions!$T$5:$T$204,0))="","",INDEX(Actions!$E$5:$E$204,MATCH(2,Actions!$T$5:$T$204,0))),"")</f>
        <v>Governance</v>
      </c>
    </row>
    <row r="70" customFormat="false" ht="27.75" hidden="false" customHeight="true" outlineLevel="0" collapsed="false">
      <c r="A70" s="24" t="str">
        <f aca="false">IF(B70="","",3)</f>
        <v/>
      </c>
      <c r="B70" s="25" t="str">
        <f aca="false">IFERROR(IF(INDEX(Actions!$A$5:$A$204,MATCH(3,Actions!$T$5:$T$204,0))="","",INDEX(Actions!$A$5:$A$204,MATCH(3,Actions!$T$5:$T$204,0))),"")</f>
        <v/>
      </c>
      <c r="C70" s="26" t="str">
        <f aca="false">IFERROR(IF(INDEX(Actions!$C$5:$C$204,MATCH(3,Actions!$T$5:$T$204,0))="","",INDEX(Actions!$C$5:$C$204,MATCH(3,Actions!$T$5:$T$204,0))),"")</f>
        <v/>
      </c>
      <c r="D70" s="26" t="str">
        <f aca="false">IFERROR(IF(INDEX(Actions!$F$5:$F$204,MATCH(3,Actions!$T$5:$T$204,0))="","",INDEX(Actions!$F$5:$F$204,MATCH(3,Actions!$T$5:$T$204,0))),"")</f>
        <v/>
      </c>
      <c r="E70" s="28" t="str">
        <f aca="false">IFERROR(IF(INDEX(Actions!$H$5:$H$204,MATCH(3,Actions!$T$5:$T$204,0))="","",INDEX(Actions!$H$5:$H$204,MATCH(3,Actions!$T$5:$T$204,0))),"")</f>
        <v/>
      </c>
      <c r="F70" s="27" t="str">
        <f aca="false">IFERROR(IF(INDEX(Actions!$I$5:$I$204,MATCH(3,Actions!$T$5:$T$204,0))="","",INDEX(Actions!$I$5:$I$204,MATCH(3,Actions!$T$5:$T$204,0))),"")</f>
        <v/>
      </c>
      <c r="G70" s="26" t="str">
        <f aca="false">IFERROR(IF(INDEX(Actions!$E$5:$E$204,MATCH(3,Actions!$T$5:$T$204,0))="","",INDEX(Actions!$E$5:$E$204,MATCH(3,Actions!$T$5:$T$204,0))),"")</f>
        <v/>
      </c>
    </row>
    <row r="71" customFormat="false" ht="27.75" hidden="false" customHeight="true" outlineLevel="0" collapsed="false">
      <c r="A71" s="24" t="str">
        <f aca="false">IF(B71="","",4)</f>
        <v/>
      </c>
      <c r="B71" s="25" t="str">
        <f aca="false">IFERROR(IF(INDEX(Actions!$A$5:$A$204,MATCH(4,Actions!$T$5:$T$204,0))="","",INDEX(Actions!$A$5:$A$204,MATCH(4,Actions!$T$5:$T$204,0))),"")</f>
        <v/>
      </c>
      <c r="C71" s="26" t="str">
        <f aca="false">IFERROR(IF(INDEX(Actions!$C$5:$C$204,MATCH(4,Actions!$T$5:$T$204,0))="","",INDEX(Actions!$C$5:$C$204,MATCH(4,Actions!$T$5:$T$204,0))),"")</f>
        <v/>
      </c>
      <c r="D71" s="26" t="str">
        <f aca="false">IFERROR(IF(INDEX(Actions!$F$5:$F$204,MATCH(4,Actions!$T$5:$T$204,0))="","",INDEX(Actions!$F$5:$F$204,MATCH(4,Actions!$T$5:$T$204,0))),"")</f>
        <v/>
      </c>
      <c r="E71" s="28" t="str">
        <f aca="false">IFERROR(IF(INDEX(Actions!$H$5:$H$204,MATCH(4,Actions!$T$5:$T$204,0))="","",INDEX(Actions!$H$5:$H$204,MATCH(4,Actions!$T$5:$T$204,0))),"")</f>
        <v/>
      </c>
      <c r="F71" s="27" t="str">
        <f aca="false">IFERROR(IF(INDEX(Actions!$I$5:$I$204,MATCH(4,Actions!$T$5:$T$204,0))="","",INDEX(Actions!$I$5:$I$204,MATCH(4,Actions!$T$5:$T$204,0))),"")</f>
        <v/>
      </c>
      <c r="G71" s="26" t="str">
        <f aca="false">IFERROR(IF(INDEX(Actions!$E$5:$E$204,MATCH(4,Actions!$T$5:$T$204,0))="","",INDEX(Actions!$E$5:$E$204,MATCH(4,Actions!$T$5:$T$204,0))),"")</f>
        <v/>
      </c>
    </row>
    <row r="72" customFormat="false" ht="27.75" hidden="false" customHeight="true" outlineLevel="0" collapsed="false">
      <c r="A72" s="24" t="str">
        <f aca="false">IF(B72="","",5)</f>
        <v/>
      </c>
      <c r="B72" s="25" t="str">
        <f aca="false">IFERROR(IF(INDEX(Actions!$A$5:$A$204,MATCH(5,Actions!$T$5:$T$204,0))="","",INDEX(Actions!$A$5:$A$204,MATCH(5,Actions!$T$5:$T$204,0))),"")</f>
        <v/>
      </c>
      <c r="C72" s="26" t="str">
        <f aca="false">IFERROR(IF(INDEX(Actions!$C$5:$C$204,MATCH(5,Actions!$T$5:$T$204,0))="","",INDEX(Actions!$C$5:$C$204,MATCH(5,Actions!$T$5:$T$204,0))),"")</f>
        <v/>
      </c>
      <c r="D72" s="26" t="str">
        <f aca="false">IFERROR(IF(INDEX(Actions!$F$5:$F$204,MATCH(5,Actions!$T$5:$T$204,0))="","",INDEX(Actions!$F$5:$F$204,MATCH(5,Actions!$T$5:$T$204,0))),"")</f>
        <v/>
      </c>
      <c r="E72" s="28" t="str">
        <f aca="false">IFERROR(IF(INDEX(Actions!$H$5:$H$204,MATCH(5,Actions!$T$5:$T$204,0))="","",INDEX(Actions!$H$5:$H$204,MATCH(5,Actions!$T$5:$T$204,0))),"")</f>
        <v/>
      </c>
      <c r="F72" s="27" t="str">
        <f aca="false">IFERROR(IF(INDEX(Actions!$I$5:$I$204,MATCH(5,Actions!$T$5:$T$204,0))="","",INDEX(Actions!$I$5:$I$204,MATCH(5,Actions!$T$5:$T$204,0))),"")</f>
        <v/>
      </c>
      <c r="G72" s="26" t="str">
        <f aca="false">IFERROR(IF(INDEX(Actions!$E$5:$E$204,MATCH(5,Actions!$T$5:$T$204,0))="","",INDEX(Actions!$E$5:$E$204,MATCH(5,Actions!$T$5:$T$204,0))),"")</f>
        <v/>
      </c>
    </row>
    <row r="73" customFormat="false" ht="27.75" hidden="false" customHeight="true" outlineLevel="0" collapsed="false">
      <c r="A73" s="24" t="str">
        <f aca="false">IF(B73="","",6)</f>
        <v/>
      </c>
      <c r="B73" s="25" t="str">
        <f aca="false">IFERROR(IF(INDEX(Actions!$A$5:$A$204,MATCH(6,Actions!$T$5:$T$204,0))="","",INDEX(Actions!$A$5:$A$204,MATCH(6,Actions!$T$5:$T$204,0))),"")</f>
        <v/>
      </c>
      <c r="C73" s="26" t="str">
        <f aca="false">IFERROR(IF(INDEX(Actions!$C$5:$C$204,MATCH(6,Actions!$T$5:$T$204,0))="","",INDEX(Actions!$C$5:$C$204,MATCH(6,Actions!$T$5:$T$204,0))),"")</f>
        <v/>
      </c>
      <c r="D73" s="26" t="str">
        <f aca="false">IFERROR(IF(INDEX(Actions!$F$5:$F$204,MATCH(6,Actions!$T$5:$T$204,0))="","",INDEX(Actions!$F$5:$F$204,MATCH(6,Actions!$T$5:$T$204,0))),"")</f>
        <v/>
      </c>
      <c r="E73" s="28" t="str">
        <f aca="false">IFERROR(IF(INDEX(Actions!$H$5:$H$204,MATCH(6,Actions!$T$5:$T$204,0))="","",INDEX(Actions!$H$5:$H$204,MATCH(6,Actions!$T$5:$T$204,0))),"")</f>
        <v/>
      </c>
      <c r="F73" s="27" t="str">
        <f aca="false">IFERROR(IF(INDEX(Actions!$I$5:$I$204,MATCH(6,Actions!$T$5:$T$204,0))="","",INDEX(Actions!$I$5:$I$204,MATCH(6,Actions!$T$5:$T$204,0))),"")</f>
        <v/>
      </c>
      <c r="G73" s="26" t="str">
        <f aca="false">IFERROR(IF(INDEX(Actions!$E$5:$E$204,MATCH(6,Actions!$T$5:$T$204,0))="","",INDEX(Actions!$E$5:$E$204,MATCH(6,Actions!$T$5:$T$204,0))),"")</f>
        <v/>
      </c>
    </row>
    <row r="74" customFormat="false" ht="27.75" hidden="false" customHeight="true" outlineLevel="0" collapsed="false">
      <c r="A74" s="24" t="str">
        <f aca="false">IF(B74="","",7)</f>
        <v/>
      </c>
      <c r="B74" s="25" t="str">
        <f aca="false">IFERROR(IF(INDEX(Actions!$A$5:$A$204,MATCH(7,Actions!$T$5:$T$204,0))="","",INDEX(Actions!$A$5:$A$204,MATCH(7,Actions!$T$5:$T$204,0))),"")</f>
        <v/>
      </c>
      <c r="C74" s="26" t="str">
        <f aca="false">IFERROR(IF(INDEX(Actions!$C$5:$C$204,MATCH(7,Actions!$T$5:$T$204,0))="","",INDEX(Actions!$C$5:$C$204,MATCH(7,Actions!$T$5:$T$204,0))),"")</f>
        <v/>
      </c>
      <c r="D74" s="26" t="str">
        <f aca="false">IFERROR(IF(INDEX(Actions!$F$5:$F$204,MATCH(7,Actions!$T$5:$T$204,0))="","",INDEX(Actions!$F$5:$F$204,MATCH(7,Actions!$T$5:$T$204,0))),"")</f>
        <v/>
      </c>
      <c r="E74" s="28" t="str">
        <f aca="false">IFERROR(IF(INDEX(Actions!$H$5:$H$204,MATCH(7,Actions!$T$5:$T$204,0))="","",INDEX(Actions!$H$5:$H$204,MATCH(7,Actions!$T$5:$T$204,0))),"")</f>
        <v/>
      </c>
      <c r="F74" s="27" t="str">
        <f aca="false">IFERROR(IF(INDEX(Actions!$I$5:$I$204,MATCH(7,Actions!$T$5:$T$204,0))="","",INDEX(Actions!$I$5:$I$204,MATCH(7,Actions!$T$5:$T$204,0))),"")</f>
        <v/>
      </c>
      <c r="G74" s="26" t="str">
        <f aca="false">IFERROR(IF(INDEX(Actions!$E$5:$E$204,MATCH(7,Actions!$T$5:$T$204,0))="","",INDEX(Actions!$E$5:$E$204,MATCH(7,Actions!$T$5:$T$204,0))),"")</f>
        <v/>
      </c>
    </row>
    <row r="75" customFormat="false" ht="27.75" hidden="false" customHeight="true" outlineLevel="0" collapsed="false">
      <c r="A75" s="24" t="str">
        <f aca="false">IF(B75="","",8)</f>
        <v/>
      </c>
      <c r="B75" s="25" t="str">
        <f aca="false">IFERROR(IF(INDEX(Actions!$A$5:$A$204,MATCH(8,Actions!$T$5:$T$204,0))="","",INDEX(Actions!$A$5:$A$204,MATCH(8,Actions!$T$5:$T$204,0))),"")</f>
        <v/>
      </c>
      <c r="C75" s="26" t="str">
        <f aca="false">IFERROR(IF(INDEX(Actions!$C$5:$C$204,MATCH(8,Actions!$T$5:$T$204,0))="","",INDEX(Actions!$C$5:$C$204,MATCH(8,Actions!$T$5:$T$204,0))),"")</f>
        <v/>
      </c>
      <c r="D75" s="26" t="str">
        <f aca="false">IFERROR(IF(INDEX(Actions!$F$5:$F$204,MATCH(8,Actions!$T$5:$T$204,0))="","",INDEX(Actions!$F$5:$F$204,MATCH(8,Actions!$T$5:$T$204,0))),"")</f>
        <v/>
      </c>
      <c r="E75" s="28" t="str">
        <f aca="false">IFERROR(IF(INDEX(Actions!$H$5:$H$204,MATCH(8,Actions!$T$5:$T$204,0))="","",INDEX(Actions!$H$5:$H$204,MATCH(8,Actions!$T$5:$T$204,0))),"")</f>
        <v/>
      </c>
      <c r="F75" s="27" t="str">
        <f aca="false">IFERROR(IF(INDEX(Actions!$I$5:$I$204,MATCH(8,Actions!$T$5:$T$204,0))="","",INDEX(Actions!$I$5:$I$204,MATCH(8,Actions!$T$5:$T$204,0))),"")</f>
        <v/>
      </c>
      <c r="G75" s="26" t="str">
        <f aca="false">IFERROR(IF(INDEX(Actions!$E$5:$E$204,MATCH(8,Actions!$T$5:$T$204,0))="","",INDEX(Actions!$E$5:$E$204,MATCH(8,Actions!$T$5:$T$204,0))),"")</f>
        <v/>
      </c>
    </row>
    <row r="77" customFormat="false" ht="21.75" hidden="false" customHeight="true" outlineLevel="0" collapsed="false">
      <c r="A77" s="8" t="n">
        <v>8</v>
      </c>
      <c r="B77" s="8" t="s">
        <v>48</v>
      </c>
      <c r="C77" s="8"/>
      <c r="D77" s="8"/>
      <c r="E77" s="8"/>
      <c r="F77" s="8"/>
      <c r="G77" s="23" t="str">
        <f aca="false">IF(COUNT(Escalations!$L$5:$L$204)=0,"",IF(COUNT(Escalations!$L$5:$L$204)&gt;8,"Showing 8 of "&amp;COUNT(Escalations!$L$5:$L$204)&amp;" – see Escalations tab",COUNT(Escalations!$L$5:$L$204)&amp;" item(s)"))</f>
        <v>1 item(s)</v>
      </c>
    </row>
    <row r="78" customFormat="false" ht="15" hidden="false" customHeight="false" outlineLevel="0" collapsed="false">
      <c r="A78" s="9" t="s">
        <v>7</v>
      </c>
      <c r="B78" s="10" t="s">
        <v>30</v>
      </c>
      <c r="C78" s="10" t="s">
        <v>49</v>
      </c>
      <c r="D78" s="10" t="s">
        <v>50</v>
      </c>
      <c r="E78" s="10" t="s">
        <v>51</v>
      </c>
      <c r="F78" s="10" t="s">
        <v>52</v>
      </c>
      <c r="G78" s="10" t="s">
        <v>53</v>
      </c>
    </row>
    <row r="79" customFormat="false" ht="27.75" hidden="false" customHeight="true" outlineLevel="0" collapsed="false">
      <c r="A79" s="24" t="n">
        <f aca="false">IF(B79="","",1)</f>
        <v>1</v>
      </c>
      <c r="B79" s="25" t="str">
        <f aca="false">IFERROR(IF(INDEX(Escalations!$A$5:$A$204,MATCH(1,Escalations!$L$5:$L$204,0))="","",INDEX(Escalations!$A$5:$A$204,MATCH(1,Escalations!$L$5:$L$204,0))),"")</f>
        <v>ESC-001</v>
      </c>
      <c r="C79" s="26" t="str">
        <f aca="false">IFERROR(IF(INDEX(Escalations!$D$5:$D$204,MATCH(1,Escalations!$L$5:$L$204,0))="","",INDEX(Escalations!$D$5:$D$204,MATCH(1,Escalations!$L$5:$L$204,0))),"Nothing to report this period")</f>
        <v>Extend mission scope to the 3 acquired entities' domains and IP ranges</v>
      </c>
      <c r="D79" s="26" t="str">
        <f aca="false">IFERROR(IF(INDEX(Escalations!$G$5:$G$204,MATCH(1,Escalations!$L$5:$L$204,0))="","",INDEX(Escalations!$G$5:$G$204,MATCH(1,Escalations!$L$5:$L$204,0))),"")</f>
        <v>Mission Sponsor</v>
      </c>
      <c r="E79" s="27" t="str">
        <f aca="false">IFERROR(IF(INDEX(Escalations!$C$5:$C$204,MATCH(1,Escalations!$L$5:$L$204,0))="","",INDEX(Escalations!$C$5:$C$204,MATCH(1,Escalations!$L$5:$L$204,0))),"")</f>
        <v>Decision Needed</v>
      </c>
      <c r="F79" s="28" t="n">
        <f aca="false">IFERROR(IF(INDEX(Escalations!$H$5:$H$204,MATCH(1,Escalations!$L$5:$L$204,0))="","",INDEX(Escalations!$H$5:$H$204,MATCH(1,Escalations!$L$5:$L$204,0))),"")</f>
        <v>46322</v>
      </c>
      <c r="G79" s="26" t="str">
        <f aca="false">IFERROR(IF(INDEX(Escalations!$F$5:$F$204,MATCH(1,Escalations!$L$5:$L$204,0))="","",INDEX(Escalations!$F$5:$F$204,MATCH(1,Escalations!$L$5:$L$204,0))),"")</f>
        <v>Approve extension; timeline +2 weeks for phase 2</v>
      </c>
    </row>
    <row r="80" customFormat="false" ht="27.75" hidden="false" customHeight="true" outlineLevel="0" collapsed="false">
      <c r="A80" s="24" t="str">
        <f aca="false">IF(B80="","",2)</f>
        <v/>
      </c>
      <c r="B80" s="25" t="str">
        <f aca="false">IFERROR(IF(INDEX(Escalations!$A$5:$A$204,MATCH(2,Escalations!$L$5:$L$204,0))="","",INDEX(Escalations!$A$5:$A$204,MATCH(2,Escalations!$L$5:$L$204,0))),"")</f>
        <v/>
      </c>
      <c r="C80" s="26" t="str">
        <f aca="false">IFERROR(IF(INDEX(Escalations!$D$5:$D$204,MATCH(2,Escalations!$L$5:$L$204,0))="","",INDEX(Escalations!$D$5:$D$204,MATCH(2,Escalations!$L$5:$L$204,0))),"")</f>
        <v/>
      </c>
      <c r="D80" s="26" t="str">
        <f aca="false">IFERROR(IF(INDEX(Escalations!$G$5:$G$204,MATCH(2,Escalations!$L$5:$L$204,0))="","",INDEX(Escalations!$G$5:$G$204,MATCH(2,Escalations!$L$5:$L$204,0))),"")</f>
        <v/>
      </c>
      <c r="E80" s="27" t="str">
        <f aca="false">IFERROR(IF(INDEX(Escalations!$C$5:$C$204,MATCH(2,Escalations!$L$5:$L$204,0))="","",INDEX(Escalations!$C$5:$C$204,MATCH(2,Escalations!$L$5:$L$204,0))),"")</f>
        <v/>
      </c>
      <c r="F80" s="28" t="str">
        <f aca="false">IFERROR(IF(INDEX(Escalations!$H$5:$H$204,MATCH(2,Escalations!$L$5:$L$204,0))="","",INDEX(Escalations!$H$5:$H$204,MATCH(2,Escalations!$L$5:$L$204,0))),"")</f>
        <v/>
      </c>
      <c r="G80" s="26" t="str">
        <f aca="false">IFERROR(IF(INDEX(Escalations!$F$5:$F$204,MATCH(2,Escalations!$L$5:$L$204,0))="","",INDEX(Escalations!$F$5:$F$204,MATCH(2,Escalations!$L$5:$L$204,0))),"")</f>
        <v/>
      </c>
    </row>
    <row r="81" customFormat="false" ht="27.75" hidden="false" customHeight="true" outlineLevel="0" collapsed="false">
      <c r="A81" s="24" t="str">
        <f aca="false">IF(B81="","",3)</f>
        <v/>
      </c>
      <c r="B81" s="25" t="str">
        <f aca="false">IFERROR(IF(INDEX(Escalations!$A$5:$A$204,MATCH(3,Escalations!$L$5:$L$204,0))="","",INDEX(Escalations!$A$5:$A$204,MATCH(3,Escalations!$L$5:$L$204,0))),"")</f>
        <v/>
      </c>
      <c r="C81" s="26" t="str">
        <f aca="false">IFERROR(IF(INDEX(Escalations!$D$5:$D$204,MATCH(3,Escalations!$L$5:$L$204,0))="","",INDEX(Escalations!$D$5:$D$204,MATCH(3,Escalations!$L$5:$L$204,0))),"")</f>
        <v/>
      </c>
      <c r="D81" s="26" t="str">
        <f aca="false">IFERROR(IF(INDEX(Escalations!$G$5:$G$204,MATCH(3,Escalations!$L$5:$L$204,0))="","",INDEX(Escalations!$G$5:$G$204,MATCH(3,Escalations!$L$5:$L$204,0))),"")</f>
        <v/>
      </c>
      <c r="E81" s="27" t="str">
        <f aca="false">IFERROR(IF(INDEX(Escalations!$C$5:$C$204,MATCH(3,Escalations!$L$5:$L$204,0))="","",INDEX(Escalations!$C$5:$C$204,MATCH(3,Escalations!$L$5:$L$204,0))),"")</f>
        <v/>
      </c>
      <c r="F81" s="28" t="str">
        <f aca="false">IFERROR(IF(INDEX(Escalations!$H$5:$H$204,MATCH(3,Escalations!$L$5:$L$204,0))="","",INDEX(Escalations!$H$5:$H$204,MATCH(3,Escalations!$L$5:$L$204,0))),"")</f>
        <v/>
      </c>
      <c r="G81" s="26" t="str">
        <f aca="false">IFERROR(IF(INDEX(Escalations!$F$5:$F$204,MATCH(3,Escalations!$L$5:$L$204,0))="","",INDEX(Escalations!$F$5:$F$204,MATCH(3,Escalations!$L$5:$L$204,0))),"")</f>
        <v/>
      </c>
    </row>
    <row r="82" customFormat="false" ht="27.75" hidden="false" customHeight="true" outlineLevel="0" collapsed="false">
      <c r="A82" s="24" t="str">
        <f aca="false">IF(B82="","",4)</f>
        <v/>
      </c>
      <c r="B82" s="25" t="str">
        <f aca="false">IFERROR(IF(INDEX(Escalations!$A$5:$A$204,MATCH(4,Escalations!$L$5:$L$204,0))="","",INDEX(Escalations!$A$5:$A$204,MATCH(4,Escalations!$L$5:$L$204,0))),"")</f>
        <v/>
      </c>
      <c r="C82" s="26" t="str">
        <f aca="false">IFERROR(IF(INDEX(Escalations!$D$5:$D$204,MATCH(4,Escalations!$L$5:$L$204,0))="","",INDEX(Escalations!$D$5:$D$204,MATCH(4,Escalations!$L$5:$L$204,0))),"")</f>
        <v/>
      </c>
      <c r="D82" s="26" t="str">
        <f aca="false">IFERROR(IF(INDEX(Escalations!$G$5:$G$204,MATCH(4,Escalations!$L$5:$L$204,0))="","",INDEX(Escalations!$G$5:$G$204,MATCH(4,Escalations!$L$5:$L$204,0))),"")</f>
        <v/>
      </c>
      <c r="E82" s="27" t="str">
        <f aca="false">IFERROR(IF(INDEX(Escalations!$C$5:$C$204,MATCH(4,Escalations!$L$5:$L$204,0))="","",INDEX(Escalations!$C$5:$C$204,MATCH(4,Escalations!$L$5:$L$204,0))),"")</f>
        <v/>
      </c>
      <c r="F82" s="28" t="str">
        <f aca="false">IFERROR(IF(INDEX(Escalations!$H$5:$H$204,MATCH(4,Escalations!$L$5:$L$204,0))="","",INDEX(Escalations!$H$5:$H$204,MATCH(4,Escalations!$L$5:$L$204,0))),"")</f>
        <v/>
      </c>
      <c r="G82" s="26" t="str">
        <f aca="false">IFERROR(IF(INDEX(Escalations!$F$5:$F$204,MATCH(4,Escalations!$L$5:$L$204,0))="","",INDEX(Escalations!$F$5:$F$204,MATCH(4,Escalations!$L$5:$L$204,0))),"")</f>
        <v/>
      </c>
    </row>
    <row r="83" customFormat="false" ht="27.75" hidden="false" customHeight="true" outlineLevel="0" collapsed="false">
      <c r="A83" s="24" t="str">
        <f aca="false">IF(B83="","",5)</f>
        <v/>
      </c>
      <c r="B83" s="25" t="str">
        <f aca="false">IFERROR(IF(INDEX(Escalations!$A$5:$A$204,MATCH(5,Escalations!$L$5:$L$204,0))="","",INDEX(Escalations!$A$5:$A$204,MATCH(5,Escalations!$L$5:$L$204,0))),"")</f>
        <v/>
      </c>
      <c r="C83" s="26" t="str">
        <f aca="false">IFERROR(IF(INDEX(Escalations!$D$5:$D$204,MATCH(5,Escalations!$L$5:$L$204,0))="","",INDEX(Escalations!$D$5:$D$204,MATCH(5,Escalations!$L$5:$L$204,0))),"")</f>
        <v/>
      </c>
      <c r="D83" s="26" t="str">
        <f aca="false">IFERROR(IF(INDEX(Escalations!$G$5:$G$204,MATCH(5,Escalations!$L$5:$L$204,0))="","",INDEX(Escalations!$G$5:$G$204,MATCH(5,Escalations!$L$5:$L$204,0))),"")</f>
        <v/>
      </c>
      <c r="E83" s="27" t="str">
        <f aca="false">IFERROR(IF(INDEX(Escalations!$C$5:$C$204,MATCH(5,Escalations!$L$5:$L$204,0))="","",INDEX(Escalations!$C$5:$C$204,MATCH(5,Escalations!$L$5:$L$204,0))),"")</f>
        <v/>
      </c>
      <c r="F83" s="28" t="str">
        <f aca="false">IFERROR(IF(INDEX(Escalations!$H$5:$H$204,MATCH(5,Escalations!$L$5:$L$204,0))="","",INDEX(Escalations!$H$5:$H$204,MATCH(5,Escalations!$L$5:$L$204,0))),"")</f>
        <v/>
      </c>
      <c r="G83" s="26" t="str">
        <f aca="false">IFERROR(IF(INDEX(Escalations!$F$5:$F$204,MATCH(5,Escalations!$L$5:$L$204,0))="","",INDEX(Escalations!$F$5:$F$204,MATCH(5,Escalations!$L$5:$L$204,0))),"")</f>
        <v/>
      </c>
    </row>
    <row r="84" customFormat="false" ht="27.75" hidden="false" customHeight="true" outlineLevel="0" collapsed="false">
      <c r="A84" s="24" t="str">
        <f aca="false">IF(B84="","",6)</f>
        <v/>
      </c>
      <c r="B84" s="25" t="str">
        <f aca="false">IFERROR(IF(INDEX(Escalations!$A$5:$A$204,MATCH(6,Escalations!$L$5:$L$204,0))="","",INDEX(Escalations!$A$5:$A$204,MATCH(6,Escalations!$L$5:$L$204,0))),"")</f>
        <v/>
      </c>
      <c r="C84" s="26" t="str">
        <f aca="false">IFERROR(IF(INDEX(Escalations!$D$5:$D$204,MATCH(6,Escalations!$L$5:$L$204,0))="","",INDEX(Escalations!$D$5:$D$204,MATCH(6,Escalations!$L$5:$L$204,0))),"")</f>
        <v/>
      </c>
      <c r="D84" s="26" t="str">
        <f aca="false">IFERROR(IF(INDEX(Escalations!$G$5:$G$204,MATCH(6,Escalations!$L$5:$L$204,0))="","",INDEX(Escalations!$G$5:$G$204,MATCH(6,Escalations!$L$5:$L$204,0))),"")</f>
        <v/>
      </c>
      <c r="E84" s="27" t="str">
        <f aca="false">IFERROR(IF(INDEX(Escalations!$C$5:$C$204,MATCH(6,Escalations!$L$5:$L$204,0))="","",INDEX(Escalations!$C$5:$C$204,MATCH(6,Escalations!$L$5:$L$204,0))),"")</f>
        <v/>
      </c>
      <c r="F84" s="28" t="str">
        <f aca="false">IFERROR(IF(INDEX(Escalations!$H$5:$H$204,MATCH(6,Escalations!$L$5:$L$204,0))="","",INDEX(Escalations!$H$5:$H$204,MATCH(6,Escalations!$L$5:$L$204,0))),"")</f>
        <v/>
      </c>
      <c r="G84" s="26" t="str">
        <f aca="false">IFERROR(IF(INDEX(Escalations!$F$5:$F$204,MATCH(6,Escalations!$L$5:$L$204,0))="","",INDEX(Escalations!$F$5:$F$204,MATCH(6,Escalations!$L$5:$L$204,0))),"")</f>
        <v/>
      </c>
    </row>
    <row r="85" customFormat="false" ht="27.75" hidden="false" customHeight="true" outlineLevel="0" collapsed="false">
      <c r="A85" s="24" t="str">
        <f aca="false">IF(B85="","",7)</f>
        <v/>
      </c>
      <c r="B85" s="25" t="str">
        <f aca="false">IFERROR(IF(INDEX(Escalations!$A$5:$A$204,MATCH(7,Escalations!$L$5:$L$204,0))="","",INDEX(Escalations!$A$5:$A$204,MATCH(7,Escalations!$L$5:$L$204,0))),"")</f>
        <v/>
      </c>
      <c r="C85" s="26" t="str">
        <f aca="false">IFERROR(IF(INDEX(Escalations!$D$5:$D$204,MATCH(7,Escalations!$L$5:$L$204,0))="","",INDEX(Escalations!$D$5:$D$204,MATCH(7,Escalations!$L$5:$L$204,0))),"")</f>
        <v/>
      </c>
      <c r="D85" s="26" t="str">
        <f aca="false">IFERROR(IF(INDEX(Escalations!$G$5:$G$204,MATCH(7,Escalations!$L$5:$L$204,0))="","",INDEX(Escalations!$G$5:$G$204,MATCH(7,Escalations!$L$5:$L$204,0))),"")</f>
        <v/>
      </c>
      <c r="E85" s="27" t="str">
        <f aca="false">IFERROR(IF(INDEX(Escalations!$C$5:$C$204,MATCH(7,Escalations!$L$5:$L$204,0))="","",INDEX(Escalations!$C$5:$C$204,MATCH(7,Escalations!$L$5:$L$204,0))),"")</f>
        <v/>
      </c>
      <c r="F85" s="28" t="str">
        <f aca="false">IFERROR(IF(INDEX(Escalations!$H$5:$H$204,MATCH(7,Escalations!$L$5:$L$204,0))="","",INDEX(Escalations!$H$5:$H$204,MATCH(7,Escalations!$L$5:$L$204,0))),"")</f>
        <v/>
      </c>
      <c r="G85" s="26" t="str">
        <f aca="false">IFERROR(IF(INDEX(Escalations!$F$5:$F$204,MATCH(7,Escalations!$L$5:$L$204,0))="","",INDEX(Escalations!$F$5:$F$204,MATCH(7,Escalations!$L$5:$L$204,0))),"")</f>
        <v/>
      </c>
    </row>
    <row r="86" customFormat="false" ht="27.75" hidden="false" customHeight="true" outlineLevel="0" collapsed="false">
      <c r="A86" s="24" t="str">
        <f aca="false">IF(B86="","",8)</f>
        <v/>
      </c>
      <c r="B86" s="25" t="str">
        <f aca="false">IFERROR(IF(INDEX(Escalations!$A$5:$A$204,MATCH(8,Escalations!$L$5:$L$204,0))="","",INDEX(Escalations!$A$5:$A$204,MATCH(8,Escalations!$L$5:$L$204,0))),"")</f>
        <v/>
      </c>
      <c r="C86" s="26" t="str">
        <f aca="false">IFERROR(IF(INDEX(Escalations!$D$5:$D$204,MATCH(8,Escalations!$L$5:$L$204,0))="","",INDEX(Escalations!$D$5:$D$204,MATCH(8,Escalations!$L$5:$L$204,0))),"")</f>
        <v/>
      </c>
      <c r="D86" s="26" t="str">
        <f aca="false">IFERROR(IF(INDEX(Escalations!$G$5:$G$204,MATCH(8,Escalations!$L$5:$L$204,0))="","",INDEX(Escalations!$G$5:$G$204,MATCH(8,Escalations!$L$5:$L$204,0))),"")</f>
        <v/>
      </c>
      <c r="E86" s="27" t="str">
        <f aca="false">IFERROR(IF(INDEX(Escalations!$C$5:$C$204,MATCH(8,Escalations!$L$5:$L$204,0))="","",INDEX(Escalations!$C$5:$C$204,MATCH(8,Escalations!$L$5:$L$204,0))),"")</f>
        <v/>
      </c>
      <c r="F86" s="28" t="str">
        <f aca="false">IFERROR(IF(INDEX(Escalations!$H$5:$H$204,MATCH(8,Escalations!$L$5:$L$204,0))="","",INDEX(Escalations!$H$5:$H$204,MATCH(8,Escalations!$L$5:$L$204,0))),"")</f>
        <v/>
      </c>
      <c r="G86" s="26" t="str">
        <f aca="false">IFERROR(IF(INDEX(Escalations!$F$5:$F$204,MATCH(8,Escalations!$L$5:$L$204,0))="","",INDEX(Escalations!$F$5:$F$204,MATCH(8,Escalations!$L$5:$L$204,0))),"")</f>
        <v/>
      </c>
    </row>
    <row r="88" customFormat="false" ht="15" hidden="false" customHeight="false" outlineLevel="0" collapsed="false">
      <c r="A88" s="29" t="s">
        <v>54</v>
      </c>
    </row>
  </sheetData>
  <mergeCells count="4">
    <mergeCell ref="F4:G4"/>
    <mergeCell ref="F5:G5"/>
    <mergeCell ref="C17:G17"/>
    <mergeCell ref="C18:G18"/>
  </mergeCells>
  <conditionalFormatting sqref="E10">
    <cfRule type="dataBar" priority="2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{ECAEEAAD-C883-4D99-9665-F6A2C05F806B}</x14:id>
        </ext>
      </extLst>
    </cfRule>
  </conditionalFormatting>
  <conditionalFormatting sqref="G10">
    <cfRule type="expression" priority="3" aboveAverage="0" equalAverage="0" bottom="0" percent="0" rank="0" text="" dxfId="0">
      <formula>ISNUMBER(SEARCH("behind",G10))</formula>
    </cfRule>
    <cfRule type="cellIs" priority="4" operator="equal" aboveAverage="0" equalAverage="0" bottom="0" percent="0" rank="0" text="" dxfId="1">
      <formula>"On plan"</formula>
    </cfRule>
  </conditionalFormatting>
  <conditionalFormatting sqref="F12:F14">
    <cfRule type="cellIs" priority="5" operator="equal" aboveAverage="0" equalAverage="0" bottom="0" percent="0" rank="0" text="" dxfId="1">
      <formula>"Completed"</formula>
    </cfRule>
    <cfRule type="cellIs" priority="6" operator="equal" aboveAverage="0" equalAverage="0" bottom="0" percent="0" rank="0" text="" dxfId="1">
      <formula>"Remediated"</formula>
    </cfRule>
    <cfRule type="cellIs" priority="7" operator="equal" aboveAverage="0" equalAverage="0" bottom="0" percent="0" rank="0" text="" dxfId="1">
      <formula>"Closed"</formula>
    </cfRule>
    <cfRule type="cellIs" priority="8" operator="equal" aboveAverage="0" equalAverage="0" bottom="0" percent="0" rank="0" text="" dxfId="1">
      <formula>"Resolved"</formula>
    </cfRule>
    <cfRule type="cellIs" priority="9" operator="equal" aboveAverage="0" equalAverage="0" bottom="0" percent="0" rank="0" text="" dxfId="1">
      <formula>"Done"</formula>
    </cfRule>
    <cfRule type="cellIs" priority="10" operator="equal" aboveAverage="0" equalAverage="0" bottom="0" percent="0" rank="0" text="" dxfId="1">
      <formula>"On plan"</formula>
    </cfRule>
    <cfRule type="cellIs" priority="11" operator="equal" aboveAverage="0" equalAverage="0" bottom="0" percent="0" rank="0" text="" dxfId="2">
      <formula>"In Progress"</formula>
    </cfRule>
    <cfRule type="cellIs" priority="12" operator="equal" aboveAverage="0" equalAverage="0" bottom="0" percent="0" rank="0" text="" dxfId="2">
      <formula>"Open"</formula>
    </cfRule>
    <cfRule type="cellIs" priority="13" operator="equal" aboveAverage="0" equalAverage="0" bottom="0" percent="0" rank="0" text="" dxfId="2">
      <formula>"Late start"</formula>
    </cfRule>
    <cfRule type="cellIs" priority="14" operator="equal" aboveAverage="0" equalAverage="0" bottom="0" percent="0" rank="0" text="" dxfId="2">
      <formula>"Changed"</formula>
    </cfRule>
    <cfRule type="cellIs" priority="15" operator="equal" aboveAverage="0" equalAverage="0" bottom="0" percent="0" rank="0" text="" dxfId="3">
      <formula>"Blocked"</formula>
    </cfRule>
    <cfRule type="cellIs" priority="16" operator="equal" aboveAverage="0" equalAverage="0" bottom="0" percent="0" rank="0" text="" dxfId="3">
      <formula>"Delayed"</formula>
    </cfRule>
    <cfRule type="cellIs" priority="17" operator="equal" aboveAverage="0" equalAverage="0" bottom="0" percent="0" rank="0" text="" dxfId="3">
      <formula>"Overdue"</formula>
    </cfRule>
    <cfRule type="cellIs" priority="18" operator="equal" aboveAverage="0" equalAverage="0" bottom="0" percent="0" rank="0" text="" dxfId="3">
      <formula>"Behind plan"</formula>
    </cfRule>
    <cfRule type="cellIs" priority="19" operator="equal" aboveAverage="0" equalAverage="0" bottom="0" percent="0" rank="0" text="" dxfId="3">
      <formula>"New"</formula>
    </cfRule>
    <cfRule type="cellIs" priority="20" operator="equal" aboveAverage="0" equalAverage="0" bottom="0" percent="0" rank="0" text="" dxfId="4">
      <formula>"Cancelled"</formula>
    </cfRule>
    <cfRule type="cellIs" priority="21" operator="equal" aboveAverage="0" equalAverage="0" bottom="0" percent="0" rank="0" text="" dxfId="4">
      <formula>"Risk Accepted"</formula>
    </cfRule>
  </conditionalFormatting>
  <conditionalFormatting sqref="G12:G14">
    <cfRule type="dataBar" priority="22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{30DDA1A1-DD1A-4143-96C3-7E79E613445F}</x14:id>
        </ext>
      </extLst>
    </cfRule>
  </conditionalFormatting>
  <conditionalFormatting sqref="B18">
    <cfRule type="cellIs" priority="23" operator="equal" aboveAverage="0" equalAverage="0" bottom="0" percent="0" rank="0" text="" dxfId="5">
      <formula>"Green"</formula>
    </cfRule>
    <cfRule type="cellIs" priority="24" operator="equal" aboveAverage="0" equalAverage="0" bottom="0" percent="0" rank="0" text="" dxfId="6">
      <formula>"Amber"</formula>
    </cfRule>
    <cfRule type="cellIs" priority="25" operator="equal" aboveAverage="0" equalAverage="0" bottom="0" percent="0" rank="0" text="" dxfId="7">
      <formula>"Red"</formula>
    </cfRule>
  </conditionalFormatting>
  <conditionalFormatting sqref="B20">
    <cfRule type="cellIs" priority="26" operator="equal" aboveAverage="0" equalAverage="0" bottom="0" percent="0" rank="0" text="" dxfId="5">
      <formula>"Green"</formula>
    </cfRule>
    <cfRule type="cellIs" priority="27" operator="equal" aboveAverage="0" equalAverage="0" bottom="0" percent="0" rank="0" text="" dxfId="6">
      <formula>"Amber"</formula>
    </cfRule>
    <cfRule type="cellIs" priority="28" operator="equal" aboveAverage="0" equalAverage="0" bottom="0" percent="0" rank="0" text="" dxfId="7">
      <formula>"Red"</formula>
    </cfRule>
  </conditionalFormatting>
  <conditionalFormatting sqref="C20:F20">
    <cfRule type="cellIs" priority="29" operator="greaterThan" aboveAverage="0" equalAverage="0" bottom="0" percent="0" rank="0" text="" dxfId="0">
      <formula>0</formula>
    </cfRule>
  </conditionalFormatting>
  <conditionalFormatting sqref="D24:D31">
    <cfRule type="cellIs" priority="30" operator="equal" aboveAverage="0" equalAverage="0" bottom="0" percent="0" rank="0" text="" dxfId="1">
      <formula>"Completed"</formula>
    </cfRule>
    <cfRule type="cellIs" priority="31" operator="equal" aboveAverage="0" equalAverage="0" bottom="0" percent="0" rank="0" text="" dxfId="1">
      <formula>"Remediated"</formula>
    </cfRule>
    <cfRule type="cellIs" priority="32" operator="equal" aboveAverage="0" equalAverage="0" bottom="0" percent="0" rank="0" text="" dxfId="1">
      <formula>"Closed"</formula>
    </cfRule>
    <cfRule type="cellIs" priority="33" operator="equal" aboveAverage="0" equalAverage="0" bottom="0" percent="0" rank="0" text="" dxfId="1">
      <formula>"Resolved"</formula>
    </cfRule>
    <cfRule type="cellIs" priority="34" operator="equal" aboveAverage="0" equalAverage="0" bottom="0" percent="0" rank="0" text="" dxfId="1">
      <formula>"Done"</formula>
    </cfRule>
    <cfRule type="cellIs" priority="35" operator="equal" aboveAverage="0" equalAverage="0" bottom="0" percent="0" rank="0" text="" dxfId="1">
      <formula>"On plan"</formula>
    </cfRule>
    <cfRule type="cellIs" priority="36" operator="equal" aboveAverage="0" equalAverage="0" bottom="0" percent="0" rank="0" text="" dxfId="2">
      <formula>"In Progress"</formula>
    </cfRule>
    <cfRule type="cellIs" priority="37" operator="equal" aboveAverage="0" equalAverage="0" bottom="0" percent="0" rank="0" text="" dxfId="2">
      <formula>"Open"</formula>
    </cfRule>
    <cfRule type="cellIs" priority="38" operator="equal" aboveAverage="0" equalAverage="0" bottom="0" percent="0" rank="0" text="" dxfId="2">
      <formula>"Late start"</formula>
    </cfRule>
    <cfRule type="cellIs" priority="39" operator="equal" aboveAverage="0" equalAverage="0" bottom="0" percent="0" rank="0" text="" dxfId="2">
      <formula>"Changed"</formula>
    </cfRule>
    <cfRule type="cellIs" priority="40" operator="equal" aboveAverage="0" equalAverage="0" bottom="0" percent="0" rank="0" text="" dxfId="3">
      <formula>"Blocked"</formula>
    </cfRule>
    <cfRule type="cellIs" priority="41" operator="equal" aboveAverage="0" equalAverage="0" bottom="0" percent="0" rank="0" text="" dxfId="3">
      <formula>"Delayed"</formula>
    </cfRule>
    <cfRule type="cellIs" priority="42" operator="equal" aboveAverage="0" equalAverage="0" bottom="0" percent="0" rank="0" text="" dxfId="3">
      <formula>"Overdue"</formula>
    </cfRule>
    <cfRule type="cellIs" priority="43" operator="equal" aboveAverage="0" equalAverage="0" bottom="0" percent="0" rank="0" text="" dxfId="3">
      <formula>"Behind plan"</formula>
    </cfRule>
    <cfRule type="cellIs" priority="44" operator="equal" aboveAverage="0" equalAverage="0" bottom="0" percent="0" rank="0" text="" dxfId="3">
      <formula>"New"</formula>
    </cfRule>
    <cfRule type="cellIs" priority="45" operator="equal" aboveAverage="0" equalAverage="0" bottom="0" percent="0" rank="0" text="" dxfId="4">
      <formula>"Cancelled"</formula>
    </cfRule>
    <cfRule type="cellIs" priority="46" operator="equal" aboveAverage="0" equalAverage="0" bottom="0" percent="0" rank="0" text="" dxfId="4">
      <formula>"Risk Accepted"</formula>
    </cfRule>
    <cfRule type="cellIs" priority="47" operator="equal" aboveAverage="0" equalAverage="0" bottom="0" percent="0" rank="0" text="" dxfId="7">
      <formula>"Critical"</formula>
    </cfRule>
    <cfRule type="cellIs" priority="48" operator="equal" aboveAverage="0" equalAverage="0" bottom="0" percent="0" rank="0" text="" dxfId="3">
      <formula>"High"</formula>
    </cfRule>
    <cfRule type="cellIs" priority="49" operator="equal" aboveAverage="0" equalAverage="0" bottom="0" percent="0" rank="0" text="" dxfId="2">
      <formula>"Medium"</formula>
    </cfRule>
  </conditionalFormatting>
  <conditionalFormatting sqref="E24:E31">
    <cfRule type="cellIs" priority="50" operator="equal" aboveAverage="0" equalAverage="0" bottom="0" percent="0" rank="0" text="" dxfId="1">
      <formula>"Completed"</formula>
    </cfRule>
    <cfRule type="cellIs" priority="51" operator="equal" aboveAverage="0" equalAverage="0" bottom="0" percent="0" rank="0" text="" dxfId="1">
      <formula>"Remediated"</formula>
    </cfRule>
    <cfRule type="cellIs" priority="52" operator="equal" aboveAverage="0" equalAverage="0" bottom="0" percent="0" rank="0" text="" dxfId="1">
      <formula>"Closed"</formula>
    </cfRule>
    <cfRule type="cellIs" priority="53" operator="equal" aboveAverage="0" equalAverage="0" bottom="0" percent="0" rank="0" text="" dxfId="1">
      <formula>"Resolved"</formula>
    </cfRule>
    <cfRule type="cellIs" priority="54" operator="equal" aboveAverage="0" equalAverage="0" bottom="0" percent="0" rank="0" text="" dxfId="1">
      <formula>"Done"</formula>
    </cfRule>
    <cfRule type="cellIs" priority="55" operator="equal" aboveAverage="0" equalAverage="0" bottom="0" percent="0" rank="0" text="" dxfId="1">
      <formula>"On plan"</formula>
    </cfRule>
    <cfRule type="cellIs" priority="56" operator="equal" aboveAverage="0" equalAverage="0" bottom="0" percent="0" rank="0" text="" dxfId="2">
      <formula>"In Progress"</formula>
    </cfRule>
    <cfRule type="cellIs" priority="57" operator="equal" aboveAverage="0" equalAverage="0" bottom="0" percent="0" rank="0" text="" dxfId="2">
      <formula>"Open"</formula>
    </cfRule>
    <cfRule type="cellIs" priority="58" operator="equal" aboveAverage="0" equalAverage="0" bottom="0" percent="0" rank="0" text="" dxfId="2">
      <formula>"Late start"</formula>
    </cfRule>
    <cfRule type="cellIs" priority="59" operator="equal" aboveAverage="0" equalAverage="0" bottom="0" percent="0" rank="0" text="" dxfId="2">
      <formula>"Changed"</formula>
    </cfRule>
    <cfRule type="cellIs" priority="60" operator="equal" aboveAverage="0" equalAverage="0" bottom="0" percent="0" rank="0" text="" dxfId="3">
      <formula>"Blocked"</formula>
    </cfRule>
    <cfRule type="cellIs" priority="61" operator="equal" aboveAverage="0" equalAverage="0" bottom="0" percent="0" rank="0" text="" dxfId="3">
      <formula>"Delayed"</formula>
    </cfRule>
    <cfRule type="cellIs" priority="62" operator="equal" aboveAverage="0" equalAverage="0" bottom="0" percent="0" rank="0" text="" dxfId="3">
      <formula>"Overdue"</formula>
    </cfRule>
    <cfRule type="cellIs" priority="63" operator="equal" aboveAverage="0" equalAverage="0" bottom="0" percent="0" rank="0" text="" dxfId="3">
      <formula>"Behind plan"</formula>
    </cfRule>
    <cfRule type="cellIs" priority="64" operator="equal" aboveAverage="0" equalAverage="0" bottom="0" percent="0" rank="0" text="" dxfId="3">
      <formula>"New"</formula>
    </cfRule>
    <cfRule type="cellIs" priority="65" operator="equal" aboveAverage="0" equalAverage="0" bottom="0" percent="0" rank="0" text="" dxfId="4">
      <formula>"Cancelled"</formula>
    </cfRule>
    <cfRule type="cellIs" priority="66" operator="equal" aboveAverage="0" equalAverage="0" bottom="0" percent="0" rank="0" text="" dxfId="4">
      <formula>"Risk Accepted"</formula>
    </cfRule>
    <cfRule type="cellIs" priority="67" operator="equal" aboveAverage="0" equalAverage="0" bottom="0" percent="0" rank="0" text="" dxfId="7">
      <formula>"Critical"</formula>
    </cfRule>
    <cfRule type="cellIs" priority="68" operator="equal" aboveAverage="0" equalAverage="0" bottom="0" percent="0" rank="0" text="" dxfId="3">
      <formula>"High"</formula>
    </cfRule>
    <cfRule type="cellIs" priority="69" operator="equal" aboveAverage="0" equalAverage="0" bottom="0" percent="0" rank="0" text="" dxfId="2">
      <formula>"Medium"</formula>
    </cfRule>
  </conditionalFormatting>
  <conditionalFormatting sqref="F24:F31">
    <cfRule type="cellIs" priority="70" operator="equal" aboveAverage="0" equalAverage="0" bottom="0" percent="0" rank="0" text="" dxfId="1">
      <formula>"Completed"</formula>
    </cfRule>
    <cfRule type="cellIs" priority="71" operator="equal" aboveAverage="0" equalAverage="0" bottom="0" percent="0" rank="0" text="" dxfId="1">
      <formula>"Remediated"</formula>
    </cfRule>
    <cfRule type="cellIs" priority="72" operator="equal" aboveAverage="0" equalAverage="0" bottom="0" percent="0" rank="0" text="" dxfId="1">
      <formula>"Closed"</formula>
    </cfRule>
    <cfRule type="cellIs" priority="73" operator="equal" aboveAverage="0" equalAverage="0" bottom="0" percent="0" rank="0" text="" dxfId="1">
      <formula>"Resolved"</formula>
    </cfRule>
    <cfRule type="cellIs" priority="74" operator="equal" aboveAverage="0" equalAverage="0" bottom="0" percent="0" rank="0" text="" dxfId="1">
      <formula>"Done"</formula>
    </cfRule>
    <cfRule type="cellIs" priority="75" operator="equal" aboveAverage="0" equalAverage="0" bottom="0" percent="0" rank="0" text="" dxfId="1">
      <formula>"On plan"</formula>
    </cfRule>
    <cfRule type="cellIs" priority="76" operator="equal" aboveAverage="0" equalAverage="0" bottom="0" percent="0" rank="0" text="" dxfId="2">
      <formula>"In Progress"</formula>
    </cfRule>
    <cfRule type="cellIs" priority="77" operator="equal" aboveAverage="0" equalAverage="0" bottom="0" percent="0" rank="0" text="" dxfId="2">
      <formula>"Open"</formula>
    </cfRule>
    <cfRule type="cellIs" priority="78" operator="equal" aboveAverage="0" equalAverage="0" bottom="0" percent="0" rank="0" text="" dxfId="2">
      <formula>"Late start"</formula>
    </cfRule>
    <cfRule type="cellIs" priority="79" operator="equal" aboveAverage="0" equalAverage="0" bottom="0" percent="0" rank="0" text="" dxfId="2">
      <formula>"Changed"</formula>
    </cfRule>
    <cfRule type="cellIs" priority="80" operator="equal" aboveAverage="0" equalAverage="0" bottom="0" percent="0" rank="0" text="" dxfId="3">
      <formula>"Blocked"</formula>
    </cfRule>
    <cfRule type="cellIs" priority="81" operator="equal" aboveAverage="0" equalAverage="0" bottom="0" percent="0" rank="0" text="" dxfId="3">
      <formula>"Delayed"</formula>
    </cfRule>
    <cfRule type="cellIs" priority="82" operator="equal" aboveAverage="0" equalAverage="0" bottom="0" percent="0" rank="0" text="" dxfId="3">
      <formula>"Overdue"</formula>
    </cfRule>
    <cfRule type="cellIs" priority="83" operator="equal" aboveAverage="0" equalAverage="0" bottom="0" percent="0" rank="0" text="" dxfId="3">
      <formula>"Behind plan"</formula>
    </cfRule>
    <cfRule type="cellIs" priority="84" operator="equal" aboveAverage="0" equalAverage="0" bottom="0" percent="0" rank="0" text="" dxfId="3">
      <formula>"New"</formula>
    </cfRule>
    <cfRule type="cellIs" priority="85" operator="equal" aboveAverage="0" equalAverage="0" bottom="0" percent="0" rank="0" text="" dxfId="4">
      <formula>"Cancelled"</formula>
    </cfRule>
    <cfRule type="cellIs" priority="86" operator="equal" aboveAverage="0" equalAverage="0" bottom="0" percent="0" rank="0" text="" dxfId="4">
      <formula>"Risk Accepted"</formula>
    </cfRule>
    <cfRule type="cellIs" priority="87" operator="equal" aboveAverage="0" equalAverage="0" bottom="0" percent="0" rank="0" text="" dxfId="7">
      <formula>"Critical"</formula>
    </cfRule>
    <cfRule type="cellIs" priority="88" operator="equal" aboveAverage="0" equalAverage="0" bottom="0" percent="0" rank="0" text="" dxfId="3">
      <formula>"High"</formula>
    </cfRule>
    <cfRule type="cellIs" priority="89" operator="equal" aboveAverage="0" equalAverage="0" bottom="0" percent="0" rank="0" text="" dxfId="2">
      <formula>"Medium"</formula>
    </cfRule>
  </conditionalFormatting>
  <conditionalFormatting sqref="D35:D42">
    <cfRule type="cellIs" priority="90" operator="equal" aboveAverage="0" equalAverage="0" bottom="0" percent="0" rank="0" text="" dxfId="1">
      <formula>"Completed"</formula>
    </cfRule>
    <cfRule type="cellIs" priority="91" operator="equal" aboveAverage="0" equalAverage="0" bottom="0" percent="0" rank="0" text="" dxfId="1">
      <formula>"Remediated"</formula>
    </cfRule>
    <cfRule type="cellIs" priority="92" operator="equal" aboveAverage="0" equalAverage="0" bottom="0" percent="0" rank="0" text="" dxfId="1">
      <formula>"Closed"</formula>
    </cfRule>
    <cfRule type="cellIs" priority="93" operator="equal" aboveAverage="0" equalAverage="0" bottom="0" percent="0" rank="0" text="" dxfId="1">
      <formula>"Resolved"</formula>
    </cfRule>
    <cfRule type="cellIs" priority="94" operator="equal" aboveAverage="0" equalAverage="0" bottom="0" percent="0" rank="0" text="" dxfId="1">
      <formula>"Done"</formula>
    </cfRule>
    <cfRule type="cellIs" priority="95" operator="equal" aboveAverage="0" equalAverage="0" bottom="0" percent="0" rank="0" text="" dxfId="1">
      <formula>"On plan"</formula>
    </cfRule>
    <cfRule type="cellIs" priority="96" operator="equal" aboveAverage="0" equalAverage="0" bottom="0" percent="0" rank="0" text="" dxfId="2">
      <formula>"In Progress"</formula>
    </cfRule>
    <cfRule type="cellIs" priority="97" operator="equal" aboveAverage="0" equalAverage="0" bottom="0" percent="0" rank="0" text="" dxfId="2">
      <formula>"Open"</formula>
    </cfRule>
    <cfRule type="cellIs" priority="98" operator="equal" aboveAverage="0" equalAverage="0" bottom="0" percent="0" rank="0" text="" dxfId="2">
      <formula>"Late start"</formula>
    </cfRule>
    <cfRule type="cellIs" priority="99" operator="equal" aboveAverage="0" equalAverage="0" bottom="0" percent="0" rank="0" text="" dxfId="2">
      <formula>"Changed"</formula>
    </cfRule>
    <cfRule type="cellIs" priority="100" operator="equal" aboveAverage="0" equalAverage="0" bottom="0" percent="0" rank="0" text="" dxfId="3">
      <formula>"Blocked"</formula>
    </cfRule>
    <cfRule type="cellIs" priority="101" operator="equal" aboveAverage="0" equalAverage="0" bottom="0" percent="0" rank="0" text="" dxfId="3">
      <formula>"Delayed"</formula>
    </cfRule>
    <cfRule type="cellIs" priority="102" operator="equal" aboveAverage="0" equalAverage="0" bottom="0" percent="0" rank="0" text="" dxfId="3">
      <formula>"Overdue"</formula>
    </cfRule>
    <cfRule type="cellIs" priority="103" operator="equal" aboveAverage="0" equalAverage="0" bottom="0" percent="0" rank="0" text="" dxfId="3">
      <formula>"Behind plan"</formula>
    </cfRule>
    <cfRule type="cellIs" priority="104" operator="equal" aboveAverage="0" equalAverage="0" bottom="0" percent="0" rank="0" text="" dxfId="3">
      <formula>"New"</formula>
    </cfRule>
    <cfRule type="cellIs" priority="105" operator="equal" aboveAverage="0" equalAverage="0" bottom="0" percent="0" rank="0" text="" dxfId="4">
      <formula>"Cancelled"</formula>
    </cfRule>
    <cfRule type="cellIs" priority="106" operator="equal" aboveAverage="0" equalAverage="0" bottom="0" percent="0" rank="0" text="" dxfId="4">
      <formula>"Risk Accepted"</formula>
    </cfRule>
    <cfRule type="cellIs" priority="107" operator="equal" aboveAverage="0" equalAverage="0" bottom="0" percent="0" rank="0" text="" dxfId="7">
      <formula>"Critical"</formula>
    </cfRule>
    <cfRule type="cellIs" priority="108" operator="equal" aboveAverage="0" equalAverage="0" bottom="0" percent="0" rank="0" text="" dxfId="3">
      <formula>"High"</formula>
    </cfRule>
    <cfRule type="cellIs" priority="109" operator="equal" aboveAverage="0" equalAverage="0" bottom="0" percent="0" rank="0" text="" dxfId="2">
      <formula>"Medium"</formula>
    </cfRule>
  </conditionalFormatting>
  <conditionalFormatting sqref="E35:E42">
    <cfRule type="cellIs" priority="110" operator="equal" aboveAverage="0" equalAverage="0" bottom="0" percent="0" rank="0" text="" dxfId="1">
      <formula>"Completed"</formula>
    </cfRule>
    <cfRule type="cellIs" priority="111" operator="equal" aboveAverage="0" equalAverage="0" bottom="0" percent="0" rank="0" text="" dxfId="1">
      <formula>"Remediated"</formula>
    </cfRule>
    <cfRule type="cellIs" priority="112" operator="equal" aboveAverage="0" equalAverage="0" bottom="0" percent="0" rank="0" text="" dxfId="1">
      <formula>"Closed"</formula>
    </cfRule>
    <cfRule type="cellIs" priority="113" operator="equal" aboveAverage="0" equalAverage="0" bottom="0" percent="0" rank="0" text="" dxfId="1">
      <formula>"Resolved"</formula>
    </cfRule>
    <cfRule type="cellIs" priority="114" operator="equal" aboveAverage="0" equalAverage="0" bottom="0" percent="0" rank="0" text="" dxfId="1">
      <formula>"Done"</formula>
    </cfRule>
    <cfRule type="cellIs" priority="115" operator="equal" aboveAverage="0" equalAverage="0" bottom="0" percent="0" rank="0" text="" dxfId="1">
      <formula>"On plan"</formula>
    </cfRule>
    <cfRule type="cellIs" priority="116" operator="equal" aboveAverage="0" equalAverage="0" bottom="0" percent="0" rank="0" text="" dxfId="2">
      <formula>"In Progress"</formula>
    </cfRule>
    <cfRule type="cellIs" priority="117" operator="equal" aboveAverage="0" equalAverage="0" bottom="0" percent="0" rank="0" text="" dxfId="2">
      <formula>"Open"</formula>
    </cfRule>
    <cfRule type="cellIs" priority="118" operator="equal" aboveAverage="0" equalAverage="0" bottom="0" percent="0" rank="0" text="" dxfId="2">
      <formula>"Late start"</formula>
    </cfRule>
    <cfRule type="cellIs" priority="119" operator="equal" aboveAverage="0" equalAverage="0" bottom="0" percent="0" rank="0" text="" dxfId="2">
      <formula>"Changed"</formula>
    </cfRule>
    <cfRule type="cellIs" priority="120" operator="equal" aboveAverage="0" equalAverage="0" bottom="0" percent="0" rank="0" text="" dxfId="3">
      <formula>"Blocked"</formula>
    </cfRule>
    <cfRule type="cellIs" priority="121" operator="equal" aboveAverage="0" equalAverage="0" bottom="0" percent="0" rank="0" text="" dxfId="3">
      <formula>"Delayed"</formula>
    </cfRule>
    <cfRule type="cellIs" priority="122" operator="equal" aboveAverage="0" equalAverage="0" bottom="0" percent="0" rank="0" text="" dxfId="3">
      <formula>"Overdue"</formula>
    </cfRule>
    <cfRule type="cellIs" priority="123" operator="equal" aboveAverage="0" equalAverage="0" bottom="0" percent="0" rank="0" text="" dxfId="3">
      <formula>"Behind plan"</formula>
    </cfRule>
    <cfRule type="cellIs" priority="124" operator="equal" aboveAverage="0" equalAverage="0" bottom="0" percent="0" rank="0" text="" dxfId="3">
      <formula>"New"</formula>
    </cfRule>
    <cfRule type="cellIs" priority="125" operator="equal" aboveAverage="0" equalAverage="0" bottom="0" percent="0" rank="0" text="" dxfId="4">
      <formula>"Cancelled"</formula>
    </cfRule>
    <cfRule type="cellIs" priority="126" operator="equal" aboveAverage="0" equalAverage="0" bottom="0" percent="0" rank="0" text="" dxfId="4">
      <formula>"Risk Accepted"</formula>
    </cfRule>
    <cfRule type="cellIs" priority="127" operator="equal" aboveAverage="0" equalAverage="0" bottom="0" percent="0" rank="0" text="" dxfId="7">
      <formula>"Critical"</formula>
    </cfRule>
    <cfRule type="cellIs" priority="128" operator="equal" aboveAverage="0" equalAverage="0" bottom="0" percent="0" rank="0" text="" dxfId="3">
      <formula>"High"</formula>
    </cfRule>
    <cfRule type="cellIs" priority="129" operator="equal" aboveAverage="0" equalAverage="0" bottom="0" percent="0" rank="0" text="" dxfId="2">
      <formula>"Medium"</formula>
    </cfRule>
  </conditionalFormatting>
  <conditionalFormatting sqref="F35:F42">
    <cfRule type="cellIs" priority="130" operator="equal" aboveAverage="0" equalAverage="0" bottom="0" percent="0" rank="0" text="" dxfId="1">
      <formula>"Completed"</formula>
    </cfRule>
    <cfRule type="cellIs" priority="131" operator="equal" aboveAverage="0" equalAverage="0" bottom="0" percent="0" rank="0" text="" dxfId="1">
      <formula>"Remediated"</formula>
    </cfRule>
    <cfRule type="cellIs" priority="132" operator="equal" aboveAverage="0" equalAverage="0" bottom="0" percent="0" rank="0" text="" dxfId="1">
      <formula>"Closed"</formula>
    </cfRule>
    <cfRule type="cellIs" priority="133" operator="equal" aboveAverage="0" equalAverage="0" bottom="0" percent="0" rank="0" text="" dxfId="1">
      <formula>"Resolved"</formula>
    </cfRule>
    <cfRule type="cellIs" priority="134" operator="equal" aboveAverage="0" equalAverage="0" bottom="0" percent="0" rank="0" text="" dxfId="1">
      <formula>"Done"</formula>
    </cfRule>
    <cfRule type="cellIs" priority="135" operator="equal" aboveAverage="0" equalAverage="0" bottom="0" percent="0" rank="0" text="" dxfId="1">
      <formula>"On plan"</formula>
    </cfRule>
    <cfRule type="cellIs" priority="136" operator="equal" aboveAverage="0" equalAverage="0" bottom="0" percent="0" rank="0" text="" dxfId="2">
      <formula>"In Progress"</formula>
    </cfRule>
    <cfRule type="cellIs" priority="137" operator="equal" aboveAverage="0" equalAverage="0" bottom="0" percent="0" rank="0" text="" dxfId="2">
      <formula>"Open"</formula>
    </cfRule>
    <cfRule type="cellIs" priority="138" operator="equal" aboveAverage="0" equalAverage="0" bottom="0" percent="0" rank="0" text="" dxfId="2">
      <formula>"Late start"</formula>
    </cfRule>
    <cfRule type="cellIs" priority="139" operator="equal" aboveAverage="0" equalAverage="0" bottom="0" percent="0" rank="0" text="" dxfId="2">
      <formula>"Changed"</formula>
    </cfRule>
    <cfRule type="cellIs" priority="140" operator="equal" aboveAverage="0" equalAverage="0" bottom="0" percent="0" rank="0" text="" dxfId="3">
      <formula>"Blocked"</formula>
    </cfRule>
    <cfRule type="cellIs" priority="141" operator="equal" aboveAverage="0" equalAverage="0" bottom="0" percent="0" rank="0" text="" dxfId="3">
      <formula>"Delayed"</formula>
    </cfRule>
    <cfRule type="cellIs" priority="142" operator="equal" aboveAverage="0" equalAverage="0" bottom="0" percent="0" rank="0" text="" dxfId="3">
      <formula>"Overdue"</formula>
    </cfRule>
    <cfRule type="cellIs" priority="143" operator="equal" aboveAverage="0" equalAverage="0" bottom="0" percent="0" rank="0" text="" dxfId="3">
      <formula>"Behind plan"</formula>
    </cfRule>
    <cfRule type="cellIs" priority="144" operator="equal" aboveAverage="0" equalAverage="0" bottom="0" percent="0" rank="0" text="" dxfId="3">
      <formula>"New"</formula>
    </cfRule>
    <cfRule type="cellIs" priority="145" operator="equal" aboveAverage="0" equalAverage="0" bottom="0" percent="0" rank="0" text="" dxfId="4">
      <formula>"Cancelled"</formula>
    </cfRule>
    <cfRule type="cellIs" priority="146" operator="equal" aboveAverage="0" equalAverage="0" bottom="0" percent="0" rank="0" text="" dxfId="4">
      <formula>"Risk Accepted"</formula>
    </cfRule>
    <cfRule type="cellIs" priority="147" operator="equal" aboveAverage="0" equalAverage="0" bottom="0" percent="0" rank="0" text="" dxfId="7">
      <formula>"Critical"</formula>
    </cfRule>
    <cfRule type="cellIs" priority="148" operator="equal" aboveAverage="0" equalAverage="0" bottom="0" percent="0" rank="0" text="" dxfId="3">
      <formula>"High"</formula>
    </cfRule>
    <cfRule type="cellIs" priority="149" operator="equal" aboveAverage="0" equalAverage="0" bottom="0" percent="0" rank="0" text="" dxfId="2">
      <formula>"Medium"</formula>
    </cfRule>
  </conditionalFormatting>
  <conditionalFormatting sqref="D46:D53">
    <cfRule type="cellIs" priority="150" operator="equal" aboveAverage="0" equalAverage="0" bottom="0" percent="0" rank="0" text="" dxfId="1">
      <formula>"Completed"</formula>
    </cfRule>
    <cfRule type="cellIs" priority="151" operator="equal" aboveAverage="0" equalAverage="0" bottom="0" percent="0" rank="0" text="" dxfId="1">
      <formula>"Remediated"</formula>
    </cfRule>
    <cfRule type="cellIs" priority="152" operator="equal" aboveAverage="0" equalAverage="0" bottom="0" percent="0" rank="0" text="" dxfId="1">
      <formula>"Closed"</formula>
    </cfRule>
    <cfRule type="cellIs" priority="153" operator="equal" aboveAverage="0" equalAverage="0" bottom="0" percent="0" rank="0" text="" dxfId="1">
      <formula>"Resolved"</formula>
    </cfRule>
    <cfRule type="cellIs" priority="154" operator="equal" aboveAverage="0" equalAverage="0" bottom="0" percent="0" rank="0" text="" dxfId="1">
      <formula>"Done"</formula>
    </cfRule>
    <cfRule type="cellIs" priority="155" operator="equal" aboveAverage="0" equalAverage="0" bottom="0" percent="0" rank="0" text="" dxfId="1">
      <formula>"On plan"</formula>
    </cfRule>
    <cfRule type="cellIs" priority="156" operator="equal" aboveAverage="0" equalAverage="0" bottom="0" percent="0" rank="0" text="" dxfId="2">
      <formula>"In Progress"</formula>
    </cfRule>
    <cfRule type="cellIs" priority="157" operator="equal" aboveAverage="0" equalAverage="0" bottom="0" percent="0" rank="0" text="" dxfId="2">
      <formula>"Open"</formula>
    </cfRule>
    <cfRule type="cellIs" priority="158" operator="equal" aboveAverage="0" equalAverage="0" bottom="0" percent="0" rank="0" text="" dxfId="2">
      <formula>"Late start"</formula>
    </cfRule>
    <cfRule type="cellIs" priority="159" operator="equal" aboveAverage="0" equalAverage="0" bottom="0" percent="0" rank="0" text="" dxfId="2">
      <formula>"Changed"</formula>
    </cfRule>
    <cfRule type="cellIs" priority="160" operator="equal" aboveAverage="0" equalAverage="0" bottom="0" percent="0" rank="0" text="" dxfId="3">
      <formula>"Blocked"</formula>
    </cfRule>
    <cfRule type="cellIs" priority="161" operator="equal" aboveAverage="0" equalAverage="0" bottom="0" percent="0" rank="0" text="" dxfId="3">
      <formula>"Delayed"</formula>
    </cfRule>
    <cfRule type="cellIs" priority="162" operator="equal" aboveAverage="0" equalAverage="0" bottom="0" percent="0" rank="0" text="" dxfId="3">
      <formula>"Overdue"</formula>
    </cfRule>
    <cfRule type="cellIs" priority="163" operator="equal" aboveAverage="0" equalAverage="0" bottom="0" percent="0" rank="0" text="" dxfId="3">
      <formula>"Behind plan"</formula>
    </cfRule>
    <cfRule type="cellIs" priority="164" operator="equal" aboveAverage="0" equalAverage="0" bottom="0" percent="0" rank="0" text="" dxfId="3">
      <formula>"New"</formula>
    </cfRule>
    <cfRule type="cellIs" priority="165" operator="equal" aboveAverage="0" equalAverage="0" bottom="0" percent="0" rank="0" text="" dxfId="4">
      <formula>"Cancelled"</formula>
    </cfRule>
    <cfRule type="cellIs" priority="166" operator="equal" aboveAverage="0" equalAverage="0" bottom="0" percent="0" rank="0" text="" dxfId="4">
      <formula>"Risk Accepted"</formula>
    </cfRule>
    <cfRule type="cellIs" priority="167" operator="equal" aboveAverage="0" equalAverage="0" bottom="0" percent="0" rank="0" text="" dxfId="7">
      <formula>"Critical"</formula>
    </cfRule>
    <cfRule type="cellIs" priority="168" operator="equal" aboveAverage="0" equalAverage="0" bottom="0" percent="0" rank="0" text="" dxfId="3">
      <formula>"High"</formula>
    </cfRule>
    <cfRule type="cellIs" priority="169" operator="equal" aboveAverage="0" equalAverage="0" bottom="0" percent="0" rank="0" text="" dxfId="2">
      <formula>"Medium"</formula>
    </cfRule>
  </conditionalFormatting>
  <conditionalFormatting sqref="E46:E53">
    <cfRule type="cellIs" priority="170" operator="equal" aboveAverage="0" equalAverage="0" bottom="0" percent="0" rank="0" text="" dxfId="1">
      <formula>"Completed"</formula>
    </cfRule>
    <cfRule type="cellIs" priority="171" operator="equal" aboveAverage="0" equalAverage="0" bottom="0" percent="0" rank="0" text="" dxfId="1">
      <formula>"Remediated"</formula>
    </cfRule>
    <cfRule type="cellIs" priority="172" operator="equal" aboveAverage="0" equalAverage="0" bottom="0" percent="0" rank="0" text="" dxfId="1">
      <formula>"Closed"</formula>
    </cfRule>
    <cfRule type="cellIs" priority="173" operator="equal" aboveAverage="0" equalAverage="0" bottom="0" percent="0" rank="0" text="" dxfId="1">
      <formula>"Resolved"</formula>
    </cfRule>
    <cfRule type="cellIs" priority="174" operator="equal" aboveAverage="0" equalAverage="0" bottom="0" percent="0" rank="0" text="" dxfId="1">
      <formula>"Done"</formula>
    </cfRule>
    <cfRule type="cellIs" priority="175" operator="equal" aboveAverage="0" equalAverage="0" bottom="0" percent="0" rank="0" text="" dxfId="1">
      <formula>"On plan"</formula>
    </cfRule>
    <cfRule type="cellIs" priority="176" operator="equal" aboveAverage="0" equalAverage="0" bottom="0" percent="0" rank="0" text="" dxfId="2">
      <formula>"In Progress"</formula>
    </cfRule>
    <cfRule type="cellIs" priority="177" operator="equal" aboveAverage="0" equalAverage="0" bottom="0" percent="0" rank="0" text="" dxfId="2">
      <formula>"Open"</formula>
    </cfRule>
    <cfRule type="cellIs" priority="178" operator="equal" aboveAverage="0" equalAverage="0" bottom="0" percent="0" rank="0" text="" dxfId="2">
      <formula>"Late start"</formula>
    </cfRule>
    <cfRule type="cellIs" priority="179" operator="equal" aboveAverage="0" equalAverage="0" bottom="0" percent="0" rank="0" text="" dxfId="2">
      <formula>"Changed"</formula>
    </cfRule>
    <cfRule type="cellIs" priority="180" operator="equal" aboveAverage="0" equalAverage="0" bottom="0" percent="0" rank="0" text="" dxfId="3">
      <formula>"Blocked"</formula>
    </cfRule>
    <cfRule type="cellIs" priority="181" operator="equal" aboveAverage="0" equalAverage="0" bottom="0" percent="0" rank="0" text="" dxfId="3">
      <formula>"Delayed"</formula>
    </cfRule>
    <cfRule type="cellIs" priority="182" operator="equal" aboveAverage="0" equalAverage="0" bottom="0" percent="0" rank="0" text="" dxfId="3">
      <formula>"Overdue"</formula>
    </cfRule>
    <cfRule type="cellIs" priority="183" operator="equal" aboveAverage="0" equalAverage="0" bottom="0" percent="0" rank="0" text="" dxfId="3">
      <formula>"Behind plan"</formula>
    </cfRule>
    <cfRule type="cellIs" priority="184" operator="equal" aboveAverage="0" equalAverage="0" bottom="0" percent="0" rank="0" text="" dxfId="3">
      <formula>"New"</formula>
    </cfRule>
    <cfRule type="cellIs" priority="185" operator="equal" aboveAverage="0" equalAverage="0" bottom="0" percent="0" rank="0" text="" dxfId="4">
      <formula>"Cancelled"</formula>
    </cfRule>
    <cfRule type="cellIs" priority="186" operator="equal" aboveAverage="0" equalAverage="0" bottom="0" percent="0" rank="0" text="" dxfId="4">
      <formula>"Risk Accepted"</formula>
    </cfRule>
    <cfRule type="cellIs" priority="187" operator="equal" aboveAverage="0" equalAverage="0" bottom="0" percent="0" rank="0" text="" dxfId="7">
      <formula>"Critical"</formula>
    </cfRule>
    <cfRule type="cellIs" priority="188" operator="equal" aboveAverage="0" equalAverage="0" bottom="0" percent="0" rank="0" text="" dxfId="3">
      <formula>"High"</formula>
    </cfRule>
    <cfRule type="cellIs" priority="189" operator="equal" aboveAverage="0" equalAverage="0" bottom="0" percent="0" rank="0" text="" dxfId="2">
      <formula>"Medium"</formula>
    </cfRule>
  </conditionalFormatting>
  <conditionalFormatting sqref="F46:F53">
    <cfRule type="cellIs" priority="190" operator="equal" aboveAverage="0" equalAverage="0" bottom="0" percent="0" rank="0" text="" dxfId="1">
      <formula>"Completed"</formula>
    </cfRule>
    <cfRule type="cellIs" priority="191" operator="equal" aboveAverage="0" equalAverage="0" bottom="0" percent="0" rank="0" text="" dxfId="1">
      <formula>"Remediated"</formula>
    </cfRule>
    <cfRule type="cellIs" priority="192" operator="equal" aboveAverage="0" equalAverage="0" bottom="0" percent="0" rank="0" text="" dxfId="1">
      <formula>"Closed"</formula>
    </cfRule>
    <cfRule type="cellIs" priority="193" operator="equal" aboveAverage="0" equalAverage="0" bottom="0" percent="0" rank="0" text="" dxfId="1">
      <formula>"Resolved"</formula>
    </cfRule>
    <cfRule type="cellIs" priority="194" operator="equal" aboveAverage="0" equalAverage="0" bottom="0" percent="0" rank="0" text="" dxfId="1">
      <formula>"Done"</formula>
    </cfRule>
    <cfRule type="cellIs" priority="195" operator="equal" aboveAverage="0" equalAverage="0" bottom="0" percent="0" rank="0" text="" dxfId="1">
      <formula>"On plan"</formula>
    </cfRule>
    <cfRule type="cellIs" priority="196" operator="equal" aboveAverage="0" equalAverage="0" bottom="0" percent="0" rank="0" text="" dxfId="2">
      <formula>"In Progress"</formula>
    </cfRule>
    <cfRule type="cellIs" priority="197" operator="equal" aboveAverage="0" equalAverage="0" bottom="0" percent="0" rank="0" text="" dxfId="2">
      <formula>"Open"</formula>
    </cfRule>
    <cfRule type="cellIs" priority="198" operator="equal" aboveAverage="0" equalAverage="0" bottom="0" percent="0" rank="0" text="" dxfId="2">
      <formula>"Late start"</formula>
    </cfRule>
    <cfRule type="cellIs" priority="199" operator="equal" aboveAverage="0" equalAverage="0" bottom="0" percent="0" rank="0" text="" dxfId="2">
      <formula>"Changed"</formula>
    </cfRule>
    <cfRule type="cellIs" priority="200" operator="equal" aboveAverage="0" equalAverage="0" bottom="0" percent="0" rank="0" text="" dxfId="3">
      <formula>"Blocked"</formula>
    </cfRule>
    <cfRule type="cellIs" priority="201" operator="equal" aboveAverage="0" equalAverage="0" bottom="0" percent="0" rank="0" text="" dxfId="3">
      <formula>"Delayed"</formula>
    </cfRule>
    <cfRule type="cellIs" priority="202" operator="equal" aboveAverage="0" equalAverage="0" bottom="0" percent="0" rank="0" text="" dxfId="3">
      <formula>"Overdue"</formula>
    </cfRule>
    <cfRule type="cellIs" priority="203" operator="equal" aboveAverage="0" equalAverage="0" bottom="0" percent="0" rank="0" text="" dxfId="3">
      <formula>"Behind plan"</formula>
    </cfRule>
    <cfRule type="cellIs" priority="204" operator="equal" aboveAverage="0" equalAverage="0" bottom="0" percent="0" rank="0" text="" dxfId="3">
      <formula>"New"</formula>
    </cfRule>
    <cfRule type="cellIs" priority="205" operator="equal" aboveAverage="0" equalAverage="0" bottom="0" percent="0" rank="0" text="" dxfId="4">
      <formula>"Cancelled"</formula>
    </cfRule>
    <cfRule type="cellIs" priority="206" operator="equal" aboveAverage="0" equalAverage="0" bottom="0" percent="0" rank="0" text="" dxfId="4">
      <formula>"Risk Accepted"</formula>
    </cfRule>
    <cfRule type="cellIs" priority="207" operator="equal" aboveAverage="0" equalAverage="0" bottom="0" percent="0" rank="0" text="" dxfId="7">
      <formula>"Critical"</formula>
    </cfRule>
    <cfRule type="cellIs" priority="208" operator="equal" aboveAverage="0" equalAverage="0" bottom="0" percent="0" rank="0" text="" dxfId="3">
      <formula>"High"</formula>
    </cfRule>
    <cfRule type="cellIs" priority="209" operator="equal" aboveAverage="0" equalAverage="0" bottom="0" percent="0" rank="0" text="" dxfId="2">
      <formula>"Medium"</formula>
    </cfRule>
  </conditionalFormatting>
  <conditionalFormatting sqref="D57:D64">
    <cfRule type="cellIs" priority="210" operator="equal" aboveAverage="0" equalAverage="0" bottom="0" percent="0" rank="0" text="" dxfId="1">
      <formula>"Completed"</formula>
    </cfRule>
    <cfRule type="cellIs" priority="211" operator="equal" aboveAverage="0" equalAverage="0" bottom="0" percent="0" rank="0" text="" dxfId="1">
      <formula>"Remediated"</formula>
    </cfRule>
    <cfRule type="cellIs" priority="212" operator="equal" aboveAverage="0" equalAverage="0" bottom="0" percent="0" rank="0" text="" dxfId="1">
      <formula>"Closed"</formula>
    </cfRule>
    <cfRule type="cellIs" priority="213" operator="equal" aboveAverage="0" equalAverage="0" bottom="0" percent="0" rank="0" text="" dxfId="1">
      <formula>"Resolved"</formula>
    </cfRule>
    <cfRule type="cellIs" priority="214" operator="equal" aboveAverage="0" equalAverage="0" bottom="0" percent="0" rank="0" text="" dxfId="1">
      <formula>"Done"</formula>
    </cfRule>
    <cfRule type="cellIs" priority="215" operator="equal" aboveAverage="0" equalAverage="0" bottom="0" percent="0" rank="0" text="" dxfId="1">
      <formula>"On plan"</formula>
    </cfRule>
    <cfRule type="cellIs" priority="216" operator="equal" aboveAverage="0" equalAverage="0" bottom="0" percent="0" rank="0" text="" dxfId="2">
      <formula>"In Progress"</formula>
    </cfRule>
    <cfRule type="cellIs" priority="217" operator="equal" aboveAverage="0" equalAverage="0" bottom="0" percent="0" rank="0" text="" dxfId="2">
      <formula>"Open"</formula>
    </cfRule>
    <cfRule type="cellIs" priority="218" operator="equal" aboveAverage="0" equalAverage="0" bottom="0" percent="0" rank="0" text="" dxfId="2">
      <formula>"Late start"</formula>
    </cfRule>
    <cfRule type="cellIs" priority="219" operator="equal" aboveAverage="0" equalAverage="0" bottom="0" percent="0" rank="0" text="" dxfId="2">
      <formula>"Changed"</formula>
    </cfRule>
    <cfRule type="cellIs" priority="220" operator="equal" aboveAverage="0" equalAverage="0" bottom="0" percent="0" rank="0" text="" dxfId="3">
      <formula>"Blocked"</formula>
    </cfRule>
    <cfRule type="cellIs" priority="221" operator="equal" aboveAverage="0" equalAverage="0" bottom="0" percent="0" rank="0" text="" dxfId="3">
      <formula>"Delayed"</formula>
    </cfRule>
    <cfRule type="cellIs" priority="222" operator="equal" aboveAverage="0" equalAverage="0" bottom="0" percent="0" rank="0" text="" dxfId="3">
      <formula>"Overdue"</formula>
    </cfRule>
    <cfRule type="cellIs" priority="223" operator="equal" aboveAverage="0" equalAverage="0" bottom="0" percent="0" rank="0" text="" dxfId="3">
      <formula>"Behind plan"</formula>
    </cfRule>
    <cfRule type="cellIs" priority="224" operator="equal" aboveAverage="0" equalAverage="0" bottom="0" percent="0" rank="0" text="" dxfId="3">
      <formula>"New"</formula>
    </cfRule>
    <cfRule type="cellIs" priority="225" operator="equal" aboveAverage="0" equalAverage="0" bottom="0" percent="0" rank="0" text="" dxfId="4">
      <formula>"Cancelled"</formula>
    </cfRule>
    <cfRule type="cellIs" priority="226" operator="equal" aboveAverage="0" equalAverage="0" bottom="0" percent="0" rank="0" text="" dxfId="4">
      <formula>"Risk Accepted"</formula>
    </cfRule>
    <cfRule type="cellIs" priority="227" operator="equal" aboveAverage="0" equalAverage="0" bottom="0" percent="0" rank="0" text="" dxfId="7">
      <formula>"Critical"</formula>
    </cfRule>
    <cfRule type="cellIs" priority="228" operator="equal" aboveAverage="0" equalAverage="0" bottom="0" percent="0" rank="0" text="" dxfId="3">
      <formula>"High"</formula>
    </cfRule>
    <cfRule type="cellIs" priority="229" operator="equal" aboveAverage="0" equalAverage="0" bottom="0" percent="0" rank="0" text="" dxfId="2">
      <formula>"Medium"</formula>
    </cfRule>
  </conditionalFormatting>
  <conditionalFormatting sqref="E57:E64">
    <cfRule type="cellIs" priority="230" operator="equal" aboveAverage="0" equalAverage="0" bottom="0" percent="0" rank="0" text="" dxfId="1">
      <formula>"Completed"</formula>
    </cfRule>
    <cfRule type="cellIs" priority="231" operator="equal" aboveAverage="0" equalAverage="0" bottom="0" percent="0" rank="0" text="" dxfId="1">
      <formula>"Remediated"</formula>
    </cfRule>
    <cfRule type="cellIs" priority="232" operator="equal" aboveAverage="0" equalAverage="0" bottom="0" percent="0" rank="0" text="" dxfId="1">
      <formula>"Closed"</formula>
    </cfRule>
    <cfRule type="cellIs" priority="233" operator="equal" aboveAverage="0" equalAverage="0" bottom="0" percent="0" rank="0" text="" dxfId="1">
      <formula>"Resolved"</formula>
    </cfRule>
    <cfRule type="cellIs" priority="234" operator="equal" aboveAverage="0" equalAverage="0" bottom="0" percent="0" rank="0" text="" dxfId="1">
      <formula>"Done"</formula>
    </cfRule>
    <cfRule type="cellIs" priority="235" operator="equal" aboveAverage="0" equalAverage="0" bottom="0" percent="0" rank="0" text="" dxfId="1">
      <formula>"On plan"</formula>
    </cfRule>
    <cfRule type="cellIs" priority="236" operator="equal" aboveAverage="0" equalAverage="0" bottom="0" percent="0" rank="0" text="" dxfId="2">
      <formula>"In Progress"</formula>
    </cfRule>
    <cfRule type="cellIs" priority="237" operator="equal" aboveAverage="0" equalAverage="0" bottom="0" percent="0" rank="0" text="" dxfId="2">
      <formula>"Open"</formula>
    </cfRule>
    <cfRule type="cellIs" priority="238" operator="equal" aboveAverage="0" equalAverage="0" bottom="0" percent="0" rank="0" text="" dxfId="2">
      <formula>"Late start"</formula>
    </cfRule>
    <cfRule type="cellIs" priority="239" operator="equal" aboveAverage="0" equalAverage="0" bottom="0" percent="0" rank="0" text="" dxfId="2">
      <formula>"Changed"</formula>
    </cfRule>
    <cfRule type="cellIs" priority="240" operator="equal" aboveAverage="0" equalAverage="0" bottom="0" percent="0" rank="0" text="" dxfId="3">
      <formula>"Blocked"</formula>
    </cfRule>
    <cfRule type="cellIs" priority="241" operator="equal" aboveAverage="0" equalAverage="0" bottom="0" percent="0" rank="0" text="" dxfId="3">
      <formula>"Delayed"</formula>
    </cfRule>
    <cfRule type="cellIs" priority="242" operator="equal" aboveAverage="0" equalAverage="0" bottom="0" percent="0" rank="0" text="" dxfId="3">
      <formula>"Overdue"</formula>
    </cfRule>
    <cfRule type="cellIs" priority="243" operator="equal" aboveAverage="0" equalAverage="0" bottom="0" percent="0" rank="0" text="" dxfId="3">
      <formula>"Behind plan"</formula>
    </cfRule>
    <cfRule type="cellIs" priority="244" operator="equal" aboveAverage="0" equalAverage="0" bottom="0" percent="0" rank="0" text="" dxfId="3">
      <formula>"New"</formula>
    </cfRule>
    <cfRule type="cellIs" priority="245" operator="equal" aboveAverage="0" equalAverage="0" bottom="0" percent="0" rank="0" text="" dxfId="4">
      <formula>"Cancelled"</formula>
    </cfRule>
    <cfRule type="cellIs" priority="246" operator="equal" aboveAverage="0" equalAverage="0" bottom="0" percent="0" rank="0" text="" dxfId="4">
      <formula>"Risk Accepted"</formula>
    </cfRule>
    <cfRule type="cellIs" priority="247" operator="equal" aboveAverage="0" equalAverage="0" bottom="0" percent="0" rank="0" text="" dxfId="7">
      <formula>"Critical"</formula>
    </cfRule>
    <cfRule type="cellIs" priority="248" operator="equal" aboveAverage="0" equalAverage="0" bottom="0" percent="0" rank="0" text="" dxfId="3">
      <formula>"High"</formula>
    </cfRule>
    <cfRule type="cellIs" priority="249" operator="equal" aboveAverage="0" equalAverage="0" bottom="0" percent="0" rank="0" text="" dxfId="2">
      <formula>"Medium"</formula>
    </cfRule>
  </conditionalFormatting>
  <conditionalFormatting sqref="F57:F64">
    <cfRule type="cellIs" priority="250" operator="equal" aboveAverage="0" equalAverage="0" bottom="0" percent="0" rank="0" text="" dxfId="1">
      <formula>"Completed"</formula>
    </cfRule>
    <cfRule type="cellIs" priority="251" operator="equal" aboveAverage="0" equalAverage="0" bottom="0" percent="0" rank="0" text="" dxfId="1">
      <formula>"Remediated"</formula>
    </cfRule>
    <cfRule type="cellIs" priority="252" operator="equal" aboveAverage="0" equalAverage="0" bottom="0" percent="0" rank="0" text="" dxfId="1">
      <formula>"Closed"</formula>
    </cfRule>
    <cfRule type="cellIs" priority="253" operator="equal" aboveAverage="0" equalAverage="0" bottom="0" percent="0" rank="0" text="" dxfId="1">
      <formula>"Resolved"</formula>
    </cfRule>
    <cfRule type="cellIs" priority="254" operator="equal" aboveAverage="0" equalAverage="0" bottom="0" percent="0" rank="0" text="" dxfId="1">
      <formula>"Done"</formula>
    </cfRule>
    <cfRule type="cellIs" priority="255" operator="equal" aboveAverage="0" equalAverage="0" bottom="0" percent="0" rank="0" text="" dxfId="1">
      <formula>"On plan"</formula>
    </cfRule>
    <cfRule type="cellIs" priority="256" operator="equal" aboveAverage="0" equalAverage="0" bottom="0" percent="0" rank="0" text="" dxfId="2">
      <formula>"In Progress"</formula>
    </cfRule>
    <cfRule type="cellIs" priority="257" operator="equal" aboveAverage="0" equalAverage="0" bottom="0" percent="0" rank="0" text="" dxfId="2">
      <formula>"Open"</formula>
    </cfRule>
    <cfRule type="cellIs" priority="258" operator="equal" aboveAverage="0" equalAverage="0" bottom="0" percent="0" rank="0" text="" dxfId="2">
      <formula>"Late start"</formula>
    </cfRule>
    <cfRule type="cellIs" priority="259" operator="equal" aboveAverage="0" equalAverage="0" bottom="0" percent="0" rank="0" text="" dxfId="2">
      <formula>"Changed"</formula>
    </cfRule>
    <cfRule type="cellIs" priority="260" operator="equal" aboveAverage="0" equalAverage="0" bottom="0" percent="0" rank="0" text="" dxfId="3">
      <formula>"Blocked"</formula>
    </cfRule>
    <cfRule type="cellIs" priority="261" operator="equal" aboveAverage="0" equalAverage="0" bottom="0" percent="0" rank="0" text="" dxfId="3">
      <formula>"Delayed"</formula>
    </cfRule>
    <cfRule type="cellIs" priority="262" operator="equal" aboveAverage="0" equalAverage="0" bottom="0" percent="0" rank="0" text="" dxfId="3">
      <formula>"Overdue"</formula>
    </cfRule>
    <cfRule type="cellIs" priority="263" operator="equal" aboveAverage="0" equalAverage="0" bottom="0" percent="0" rank="0" text="" dxfId="3">
      <formula>"Behind plan"</formula>
    </cfRule>
    <cfRule type="cellIs" priority="264" operator="equal" aboveAverage="0" equalAverage="0" bottom="0" percent="0" rank="0" text="" dxfId="3">
      <formula>"New"</formula>
    </cfRule>
    <cfRule type="cellIs" priority="265" operator="equal" aboveAverage="0" equalAverage="0" bottom="0" percent="0" rank="0" text="" dxfId="4">
      <formula>"Cancelled"</formula>
    </cfRule>
    <cfRule type="cellIs" priority="266" operator="equal" aboveAverage="0" equalAverage="0" bottom="0" percent="0" rank="0" text="" dxfId="4">
      <formula>"Risk Accepted"</formula>
    </cfRule>
    <cfRule type="cellIs" priority="267" operator="equal" aboveAverage="0" equalAverage="0" bottom="0" percent="0" rank="0" text="" dxfId="7">
      <formula>"Critical"</formula>
    </cfRule>
    <cfRule type="cellIs" priority="268" operator="equal" aboveAverage="0" equalAverage="0" bottom="0" percent="0" rank="0" text="" dxfId="3">
      <formula>"High"</formula>
    </cfRule>
    <cfRule type="cellIs" priority="269" operator="equal" aboveAverage="0" equalAverage="0" bottom="0" percent="0" rank="0" text="" dxfId="2">
      <formula>"Medium"</formula>
    </cfRule>
  </conditionalFormatting>
  <conditionalFormatting sqref="D68:D75">
    <cfRule type="cellIs" priority="270" operator="equal" aboveAverage="0" equalAverage="0" bottom="0" percent="0" rank="0" text="" dxfId="1">
      <formula>"Completed"</formula>
    </cfRule>
    <cfRule type="cellIs" priority="271" operator="equal" aboveAverage="0" equalAverage="0" bottom="0" percent="0" rank="0" text="" dxfId="1">
      <formula>"Remediated"</formula>
    </cfRule>
    <cfRule type="cellIs" priority="272" operator="equal" aboveAverage="0" equalAverage="0" bottom="0" percent="0" rank="0" text="" dxfId="1">
      <formula>"Closed"</formula>
    </cfRule>
    <cfRule type="cellIs" priority="273" operator="equal" aboveAverage="0" equalAverage="0" bottom="0" percent="0" rank="0" text="" dxfId="1">
      <formula>"Resolved"</formula>
    </cfRule>
    <cfRule type="cellIs" priority="274" operator="equal" aboveAverage="0" equalAverage="0" bottom="0" percent="0" rank="0" text="" dxfId="1">
      <formula>"Done"</formula>
    </cfRule>
    <cfRule type="cellIs" priority="275" operator="equal" aboveAverage="0" equalAverage="0" bottom="0" percent="0" rank="0" text="" dxfId="1">
      <formula>"On plan"</formula>
    </cfRule>
    <cfRule type="cellIs" priority="276" operator="equal" aboveAverage="0" equalAverage="0" bottom="0" percent="0" rank="0" text="" dxfId="2">
      <formula>"In Progress"</formula>
    </cfRule>
    <cfRule type="cellIs" priority="277" operator="equal" aboveAverage="0" equalAverage="0" bottom="0" percent="0" rank="0" text="" dxfId="2">
      <formula>"Open"</formula>
    </cfRule>
    <cfRule type="cellIs" priority="278" operator="equal" aboveAverage="0" equalAverage="0" bottom="0" percent="0" rank="0" text="" dxfId="2">
      <formula>"Late start"</formula>
    </cfRule>
    <cfRule type="cellIs" priority="279" operator="equal" aboveAverage="0" equalAverage="0" bottom="0" percent="0" rank="0" text="" dxfId="2">
      <formula>"Changed"</formula>
    </cfRule>
    <cfRule type="cellIs" priority="280" operator="equal" aboveAverage="0" equalAverage="0" bottom="0" percent="0" rank="0" text="" dxfId="3">
      <formula>"Blocked"</formula>
    </cfRule>
    <cfRule type="cellIs" priority="281" operator="equal" aboveAverage="0" equalAverage="0" bottom="0" percent="0" rank="0" text="" dxfId="3">
      <formula>"Delayed"</formula>
    </cfRule>
    <cfRule type="cellIs" priority="282" operator="equal" aboveAverage="0" equalAverage="0" bottom="0" percent="0" rank="0" text="" dxfId="3">
      <formula>"Overdue"</formula>
    </cfRule>
    <cfRule type="cellIs" priority="283" operator="equal" aboveAverage="0" equalAverage="0" bottom="0" percent="0" rank="0" text="" dxfId="3">
      <formula>"Behind plan"</formula>
    </cfRule>
    <cfRule type="cellIs" priority="284" operator="equal" aboveAverage="0" equalAverage="0" bottom="0" percent="0" rank="0" text="" dxfId="3">
      <formula>"New"</formula>
    </cfRule>
    <cfRule type="cellIs" priority="285" operator="equal" aboveAverage="0" equalAverage="0" bottom="0" percent="0" rank="0" text="" dxfId="4">
      <formula>"Cancelled"</formula>
    </cfRule>
    <cfRule type="cellIs" priority="286" operator="equal" aboveAverage="0" equalAverage="0" bottom="0" percent="0" rank="0" text="" dxfId="4">
      <formula>"Risk Accepted"</formula>
    </cfRule>
    <cfRule type="cellIs" priority="287" operator="equal" aboveAverage="0" equalAverage="0" bottom="0" percent="0" rank="0" text="" dxfId="7">
      <formula>"Critical"</formula>
    </cfRule>
    <cfRule type="cellIs" priority="288" operator="equal" aboveAverage="0" equalAverage="0" bottom="0" percent="0" rank="0" text="" dxfId="3">
      <formula>"High"</formula>
    </cfRule>
    <cfRule type="cellIs" priority="289" operator="equal" aboveAverage="0" equalAverage="0" bottom="0" percent="0" rank="0" text="" dxfId="2">
      <formula>"Medium"</formula>
    </cfRule>
  </conditionalFormatting>
  <conditionalFormatting sqref="E68:E75">
    <cfRule type="cellIs" priority="290" operator="equal" aboveAverage="0" equalAverage="0" bottom="0" percent="0" rank="0" text="" dxfId="1">
      <formula>"Completed"</formula>
    </cfRule>
    <cfRule type="cellIs" priority="291" operator="equal" aboveAverage="0" equalAverage="0" bottom="0" percent="0" rank="0" text="" dxfId="1">
      <formula>"Remediated"</formula>
    </cfRule>
    <cfRule type="cellIs" priority="292" operator="equal" aboveAverage="0" equalAverage="0" bottom="0" percent="0" rank="0" text="" dxfId="1">
      <formula>"Closed"</formula>
    </cfRule>
    <cfRule type="cellIs" priority="293" operator="equal" aboveAverage="0" equalAverage="0" bottom="0" percent="0" rank="0" text="" dxfId="1">
      <formula>"Resolved"</formula>
    </cfRule>
    <cfRule type="cellIs" priority="294" operator="equal" aboveAverage="0" equalAverage="0" bottom="0" percent="0" rank="0" text="" dxfId="1">
      <formula>"Done"</formula>
    </cfRule>
    <cfRule type="cellIs" priority="295" operator="equal" aboveAverage="0" equalAverage="0" bottom="0" percent="0" rank="0" text="" dxfId="1">
      <formula>"On plan"</formula>
    </cfRule>
    <cfRule type="cellIs" priority="296" operator="equal" aboveAverage="0" equalAverage="0" bottom="0" percent="0" rank="0" text="" dxfId="2">
      <formula>"In Progress"</formula>
    </cfRule>
    <cfRule type="cellIs" priority="297" operator="equal" aboveAverage="0" equalAverage="0" bottom="0" percent="0" rank="0" text="" dxfId="2">
      <formula>"Open"</formula>
    </cfRule>
    <cfRule type="cellIs" priority="298" operator="equal" aboveAverage="0" equalAverage="0" bottom="0" percent="0" rank="0" text="" dxfId="2">
      <formula>"Late start"</formula>
    </cfRule>
    <cfRule type="cellIs" priority="299" operator="equal" aboveAverage="0" equalAverage="0" bottom="0" percent="0" rank="0" text="" dxfId="2">
      <formula>"Changed"</formula>
    </cfRule>
    <cfRule type="cellIs" priority="300" operator="equal" aboveAverage="0" equalAverage="0" bottom="0" percent="0" rank="0" text="" dxfId="3">
      <formula>"Blocked"</formula>
    </cfRule>
    <cfRule type="cellIs" priority="301" operator="equal" aboveAverage="0" equalAverage="0" bottom="0" percent="0" rank="0" text="" dxfId="3">
      <formula>"Delayed"</formula>
    </cfRule>
    <cfRule type="cellIs" priority="302" operator="equal" aboveAverage="0" equalAverage="0" bottom="0" percent="0" rank="0" text="" dxfId="3">
      <formula>"Overdue"</formula>
    </cfRule>
    <cfRule type="cellIs" priority="303" operator="equal" aboveAverage="0" equalAverage="0" bottom="0" percent="0" rank="0" text="" dxfId="3">
      <formula>"Behind plan"</formula>
    </cfRule>
    <cfRule type="cellIs" priority="304" operator="equal" aboveAverage="0" equalAverage="0" bottom="0" percent="0" rank="0" text="" dxfId="3">
      <formula>"New"</formula>
    </cfRule>
    <cfRule type="cellIs" priority="305" operator="equal" aboveAverage="0" equalAverage="0" bottom="0" percent="0" rank="0" text="" dxfId="4">
      <formula>"Cancelled"</formula>
    </cfRule>
    <cfRule type="cellIs" priority="306" operator="equal" aboveAverage="0" equalAverage="0" bottom="0" percent="0" rank="0" text="" dxfId="4">
      <formula>"Risk Accepted"</formula>
    </cfRule>
    <cfRule type="cellIs" priority="307" operator="equal" aboveAverage="0" equalAverage="0" bottom="0" percent="0" rank="0" text="" dxfId="7">
      <formula>"Critical"</formula>
    </cfRule>
    <cfRule type="cellIs" priority="308" operator="equal" aboveAverage="0" equalAverage="0" bottom="0" percent="0" rank="0" text="" dxfId="3">
      <formula>"High"</formula>
    </cfRule>
    <cfRule type="cellIs" priority="309" operator="equal" aboveAverage="0" equalAverage="0" bottom="0" percent="0" rank="0" text="" dxfId="2">
      <formula>"Medium"</formula>
    </cfRule>
  </conditionalFormatting>
  <conditionalFormatting sqref="F68:F75">
    <cfRule type="cellIs" priority="310" operator="equal" aboveAverage="0" equalAverage="0" bottom="0" percent="0" rank="0" text="" dxfId="1">
      <formula>"Completed"</formula>
    </cfRule>
    <cfRule type="cellIs" priority="311" operator="equal" aboveAverage="0" equalAverage="0" bottom="0" percent="0" rank="0" text="" dxfId="1">
      <formula>"Remediated"</formula>
    </cfRule>
    <cfRule type="cellIs" priority="312" operator="equal" aboveAverage="0" equalAverage="0" bottom="0" percent="0" rank="0" text="" dxfId="1">
      <formula>"Closed"</formula>
    </cfRule>
    <cfRule type="cellIs" priority="313" operator="equal" aboveAverage="0" equalAverage="0" bottom="0" percent="0" rank="0" text="" dxfId="1">
      <formula>"Resolved"</formula>
    </cfRule>
    <cfRule type="cellIs" priority="314" operator="equal" aboveAverage="0" equalAverage="0" bottom="0" percent="0" rank="0" text="" dxfId="1">
      <formula>"Done"</formula>
    </cfRule>
    <cfRule type="cellIs" priority="315" operator="equal" aboveAverage="0" equalAverage="0" bottom="0" percent="0" rank="0" text="" dxfId="1">
      <formula>"On plan"</formula>
    </cfRule>
    <cfRule type="cellIs" priority="316" operator="equal" aboveAverage="0" equalAverage="0" bottom="0" percent="0" rank="0" text="" dxfId="2">
      <formula>"In Progress"</formula>
    </cfRule>
    <cfRule type="cellIs" priority="317" operator="equal" aboveAverage="0" equalAverage="0" bottom="0" percent="0" rank="0" text="" dxfId="2">
      <formula>"Open"</formula>
    </cfRule>
    <cfRule type="cellIs" priority="318" operator="equal" aboveAverage="0" equalAverage="0" bottom="0" percent="0" rank="0" text="" dxfId="2">
      <formula>"Late start"</formula>
    </cfRule>
    <cfRule type="cellIs" priority="319" operator="equal" aboveAverage="0" equalAverage="0" bottom="0" percent="0" rank="0" text="" dxfId="2">
      <formula>"Changed"</formula>
    </cfRule>
    <cfRule type="cellIs" priority="320" operator="equal" aboveAverage="0" equalAverage="0" bottom="0" percent="0" rank="0" text="" dxfId="3">
      <formula>"Blocked"</formula>
    </cfRule>
    <cfRule type="cellIs" priority="321" operator="equal" aboveAverage="0" equalAverage="0" bottom="0" percent="0" rank="0" text="" dxfId="3">
      <formula>"Delayed"</formula>
    </cfRule>
    <cfRule type="cellIs" priority="322" operator="equal" aboveAverage="0" equalAverage="0" bottom="0" percent="0" rank="0" text="" dxfId="3">
      <formula>"Overdue"</formula>
    </cfRule>
    <cfRule type="cellIs" priority="323" operator="equal" aboveAverage="0" equalAverage="0" bottom="0" percent="0" rank="0" text="" dxfId="3">
      <formula>"Behind plan"</formula>
    </cfRule>
    <cfRule type="cellIs" priority="324" operator="equal" aboveAverage="0" equalAverage="0" bottom="0" percent="0" rank="0" text="" dxfId="3">
      <formula>"New"</formula>
    </cfRule>
    <cfRule type="cellIs" priority="325" operator="equal" aboveAverage="0" equalAverage="0" bottom="0" percent="0" rank="0" text="" dxfId="4">
      <formula>"Cancelled"</formula>
    </cfRule>
    <cfRule type="cellIs" priority="326" operator="equal" aboveAverage="0" equalAverage="0" bottom="0" percent="0" rank="0" text="" dxfId="4">
      <formula>"Risk Accepted"</formula>
    </cfRule>
    <cfRule type="cellIs" priority="327" operator="equal" aboveAverage="0" equalAverage="0" bottom="0" percent="0" rank="0" text="" dxfId="7">
      <formula>"Critical"</formula>
    </cfRule>
    <cfRule type="cellIs" priority="328" operator="equal" aboveAverage="0" equalAverage="0" bottom="0" percent="0" rank="0" text="" dxfId="3">
      <formula>"High"</formula>
    </cfRule>
    <cfRule type="cellIs" priority="329" operator="equal" aboveAverage="0" equalAverage="0" bottom="0" percent="0" rank="0" text="" dxfId="2">
      <formula>"Medium"</formula>
    </cfRule>
  </conditionalFormatting>
  <conditionalFormatting sqref="D79:D86">
    <cfRule type="cellIs" priority="330" operator="equal" aboveAverage="0" equalAverage="0" bottom="0" percent="0" rank="0" text="" dxfId="1">
      <formula>"Completed"</formula>
    </cfRule>
    <cfRule type="cellIs" priority="331" operator="equal" aboveAverage="0" equalAverage="0" bottom="0" percent="0" rank="0" text="" dxfId="1">
      <formula>"Remediated"</formula>
    </cfRule>
    <cfRule type="cellIs" priority="332" operator="equal" aboveAverage="0" equalAverage="0" bottom="0" percent="0" rank="0" text="" dxfId="1">
      <formula>"Closed"</formula>
    </cfRule>
    <cfRule type="cellIs" priority="333" operator="equal" aboveAverage="0" equalAverage="0" bottom="0" percent="0" rank="0" text="" dxfId="1">
      <formula>"Resolved"</formula>
    </cfRule>
    <cfRule type="cellIs" priority="334" operator="equal" aboveAverage="0" equalAverage="0" bottom="0" percent="0" rank="0" text="" dxfId="1">
      <formula>"Done"</formula>
    </cfRule>
    <cfRule type="cellIs" priority="335" operator="equal" aboveAverage="0" equalAverage="0" bottom="0" percent="0" rank="0" text="" dxfId="1">
      <formula>"On plan"</formula>
    </cfRule>
    <cfRule type="cellIs" priority="336" operator="equal" aboveAverage="0" equalAverage="0" bottom="0" percent="0" rank="0" text="" dxfId="2">
      <formula>"In Progress"</formula>
    </cfRule>
    <cfRule type="cellIs" priority="337" operator="equal" aboveAverage="0" equalAverage="0" bottom="0" percent="0" rank="0" text="" dxfId="2">
      <formula>"Open"</formula>
    </cfRule>
    <cfRule type="cellIs" priority="338" operator="equal" aboveAverage="0" equalAverage="0" bottom="0" percent="0" rank="0" text="" dxfId="2">
      <formula>"Late start"</formula>
    </cfRule>
    <cfRule type="cellIs" priority="339" operator="equal" aboveAverage="0" equalAverage="0" bottom="0" percent="0" rank="0" text="" dxfId="2">
      <formula>"Changed"</formula>
    </cfRule>
    <cfRule type="cellIs" priority="340" operator="equal" aboveAverage="0" equalAverage="0" bottom="0" percent="0" rank="0" text="" dxfId="3">
      <formula>"Blocked"</formula>
    </cfRule>
    <cfRule type="cellIs" priority="341" operator="equal" aboveAverage="0" equalAverage="0" bottom="0" percent="0" rank="0" text="" dxfId="3">
      <formula>"Delayed"</formula>
    </cfRule>
    <cfRule type="cellIs" priority="342" operator="equal" aboveAverage="0" equalAverage="0" bottom="0" percent="0" rank="0" text="" dxfId="3">
      <formula>"Overdue"</formula>
    </cfRule>
    <cfRule type="cellIs" priority="343" operator="equal" aboveAverage="0" equalAverage="0" bottom="0" percent="0" rank="0" text="" dxfId="3">
      <formula>"Behind plan"</formula>
    </cfRule>
    <cfRule type="cellIs" priority="344" operator="equal" aboveAverage="0" equalAverage="0" bottom="0" percent="0" rank="0" text="" dxfId="3">
      <formula>"New"</formula>
    </cfRule>
    <cfRule type="cellIs" priority="345" operator="equal" aboveAverage="0" equalAverage="0" bottom="0" percent="0" rank="0" text="" dxfId="4">
      <formula>"Cancelled"</formula>
    </cfRule>
    <cfRule type="cellIs" priority="346" operator="equal" aboveAverage="0" equalAverage="0" bottom="0" percent="0" rank="0" text="" dxfId="4">
      <formula>"Risk Accepted"</formula>
    </cfRule>
    <cfRule type="cellIs" priority="347" operator="equal" aboveAverage="0" equalAverage="0" bottom="0" percent="0" rank="0" text="" dxfId="7">
      <formula>"Critical"</formula>
    </cfRule>
    <cfRule type="cellIs" priority="348" operator="equal" aboveAverage="0" equalAverage="0" bottom="0" percent="0" rank="0" text="" dxfId="3">
      <formula>"High"</formula>
    </cfRule>
    <cfRule type="cellIs" priority="349" operator="equal" aboveAverage="0" equalAverage="0" bottom="0" percent="0" rank="0" text="" dxfId="2">
      <formula>"Medium"</formula>
    </cfRule>
  </conditionalFormatting>
  <conditionalFormatting sqref="E79:E86">
    <cfRule type="cellIs" priority="350" operator="equal" aboveAverage="0" equalAverage="0" bottom="0" percent="0" rank="0" text="" dxfId="1">
      <formula>"Completed"</formula>
    </cfRule>
    <cfRule type="cellIs" priority="351" operator="equal" aboveAverage="0" equalAverage="0" bottom="0" percent="0" rank="0" text="" dxfId="1">
      <formula>"Remediated"</formula>
    </cfRule>
    <cfRule type="cellIs" priority="352" operator="equal" aboveAverage="0" equalAverage="0" bottom="0" percent="0" rank="0" text="" dxfId="1">
      <formula>"Closed"</formula>
    </cfRule>
    <cfRule type="cellIs" priority="353" operator="equal" aboveAverage="0" equalAverage="0" bottom="0" percent="0" rank="0" text="" dxfId="1">
      <formula>"Resolved"</formula>
    </cfRule>
    <cfRule type="cellIs" priority="354" operator="equal" aboveAverage="0" equalAverage="0" bottom="0" percent="0" rank="0" text="" dxfId="1">
      <formula>"Done"</formula>
    </cfRule>
    <cfRule type="cellIs" priority="355" operator="equal" aboveAverage="0" equalAverage="0" bottom="0" percent="0" rank="0" text="" dxfId="1">
      <formula>"On plan"</formula>
    </cfRule>
    <cfRule type="cellIs" priority="356" operator="equal" aboveAverage="0" equalAverage="0" bottom="0" percent="0" rank="0" text="" dxfId="2">
      <formula>"In Progress"</formula>
    </cfRule>
    <cfRule type="cellIs" priority="357" operator="equal" aboveAverage="0" equalAverage="0" bottom="0" percent="0" rank="0" text="" dxfId="2">
      <formula>"Open"</formula>
    </cfRule>
    <cfRule type="cellIs" priority="358" operator="equal" aboveAverage="0" equalAverage="0" bottom="0" percent="0" rank="0" text="" dxfId="2">
      <formula>"Late start"</formula>
    </cfRule>
    <cfRule type="cellIs" priority="359" operator="equal" aboveAverage="0" equalAverage="0" bottom="0" percent="0" rank="0" text="" dxfId="2">
      <formula>"Changed"</formula>
    </cfRule>
    <cfRule type="cellIs" priority="360" operator="equal" aboveAverage="0" equalAverage="0" bottom="0" percent="0" rank="0" text="" dxfId="3">
      <formula>"Blocked"</formula>
    </cfRule>
    <cfRule type="cellIs" priority="361" operator="equal" aboveAverage="0" equalAverage="0" bottom="0" percent="0" rank="0" text="" dxfId="3">
      <formula>"Delayed"</formula>
    </cfRule>
    <cfRule type="cellIs" priority="362" operator="equal" aboveAverage="0" equalAverage="0" bottom="0" percent="0" rank="0" text="" dxfId="3">
      <formula>"Overdue"</formula>
    </cfRule>
    <cfRule type="cellIs" priority="363" operator="equal" aboveAverage="0" equalAverage="0" bottom="0" percent="0" rank="0" text="" dxfId="3">
      <formula>"Behind plan"</formula>
    </cfRule>
    <cfRule type="cellIs" priority="364" operator="equal" aboveAverage="0" equalAverage="0" bottom="0" percent="0" rank="0" text="" dxfId="3">
      <formula>"New"</formula>
    </cfRule>
    <cfRule type="cellIs" priority="365" operator="equal" aboveAverage="0" equalAverage="0" bottom="0" percent="0" rank="0" text="" dxfId="4">
      <formula>"Cancelled"</formula>
    </cfRule>
    <cfRule type="cellIs" priority="366" operator="equal" aboveAverage="0" equalAverage="0" bottom="0" percent="0" rank="0" text="" dxfId="4">
      <formula>"Risk Accepted"</formula>
    </cfRule>
    <cfRule type="cellIs" priority="367" operator="equal" aboveAverage="0" equalAverage="0" bottom="0" percent="0" rank="0" text="" dxfId="7">
      <formula>"Critical"</formula>
    </cfRule>
    <cfRule type="cellIs" priority="368" operator="equal" aboveAverage="0" equalAverage="0" bottom="0" percent="0" rank="0" text="" dxfId="3">
      <formula>"High"</formula>
    </cfRule>
    <cfRule type="cellIs" priority="369" operator="equal" aboveAverage="0" equalAverage="0" bottom="0" percent="0" rank="0" text="" dxfId="2">
      <formula>"Medium"</formula>
    </cfRule>
  </conditionalFormatting>
  <conditionalFormatting sqref="F79:F86">
    <cfRule type="cellIs" priority="370" operator="equal" aboveAverage="0" equalAverage="0" bottom="0" percent="0" rank="0" text="" dxfId="1">
      <formula>"Completed"</formula>
    </cfRule>
    <cfRule type="cellIs" priority="371" operator="equal" aboveAverage="0" equalAverage="0" bottom="0" percent="0" rank="0" text="" dxfId="1">
      <formula>"Remediated"</formula>
    </cfRule>
    <cfRule type="cellIs" priority="372" operator="equal" aboveAverage="0" equalAverage="0" bottom="0" percent="0" rank="0" text="" dxfId="1">
      <formula>"Closed"</formula>
    </cfRule>
    <cfRule type="cellIs" priority="373" operator="equal" aboveAverage="0" equalAverage="0" bottom="0" percent="0" rank="0" text="" dxfId="1">
      <formula>"Resolved"</formula>
    </cfRule>
    <cfRule type="cellIs" priority="374" operator="equal" aboveAverage="0" equalAverage="0" bottom="0" percent="0" rank="0" text="" dxfId="1">
      <formula>"Done"</formula>
    </cfRule>
    <cfRule type="cellIs" priority="375" operator="equal" aboveAverage="0" equalAverage="0" bottom="0" percent="0" rank="0" text="" dxfId="1">
      <formula>"On plan"</formula>
    </cfRule>
    <cfRule type="cellIs" priority="376" operator="equal" aboveAverage="0" equalAverage="0" bottom="0" percent="0" rank="0" text="" dxfId="2">
      <formula>"In Progress"</formula>
    </cfRule>
    <cfRule type="cellIs" priority="377" operator="equal" aboveAverage="0" equalAverage="0" bottom="0" percent="0" rank="0" text="" dxfId="2">
      <formula>"Open"</formula>
    </cfRule>
    <cfRule type="cellIs" priority="378" operator="equal" aboveAverage="0" equalAverage="0" bottom="0" percent="0" rank="0" text="" dxfId="2">
      <formula>"Late start"</formula>
    </cfRule>
    <cfRule type="cellIs" priority="379" operator="equal" aboveAverage="0" equalAverage="0" bottom="0" percent="0" rank="0" text="" dxfId="2">
      <formula>"Changed"</formula>
    </cfRule>
    <cfRule type="cellIs" priority="380" operator="equal" aboveAverage="0" equalAverage="0" bottom="0" percent="0" rank="0" text="" dxfId="3">
      <formula>"Blocked"</formula>
    </cfRule>
    <cfRule type="cellIs" priority="381" operator="equal" aboveAverage="0" equalAverage="0" bottom="0" percent="0" rank="0" text="" dxfId="3">
      <formula>"Delayed"</formula>
    </cfRule>
    <cfRule type="cellIs" priority="382" operator="equal" aboveAverage="0" equalAverage="0" bottom="0" percent="0" rank="0" text="" dxfId="3">
      <formula>"Overdue"</formula>
    </cfRule>
    <cfRule type="cellIs" priority="383" operator="equal" aboveAverage="0" equalAverage="0" bottom="0" percent="0" rank="0" text="" dxfId="3">
      <formula>"Behind plan"</formula>
    </cfRule>
    <cfRule type="cellIs" priority="384" operator="equal" aboveAverage="0" equalAverage="0" bottom="0" percent="0" rank="0" text="" dxfId="3">
      <formula>"New"</formula>
    </cfRule>
    <cfRule type="cellIs" priority="385" operator="equal" aboveAverage="0" equalAverage="0" bottom="0" percent="0" rank="0" text="" dxfId="4">
      <formula>"Cancelled"</formula>
    </cfRule>
    <cfRule type="cellIs" priority="386" operator="equal" aboveAverage="0" equalAverage="0" bottom="0" percent="0" rank="0" text="" dxfId="4">
      <formula>"Risk Accepted"</formula>
    </cfRule>
    <cfRule type="cellIs" priority="387" operator="equal" aboveAverage="0" equalAverage="0" bottom="0" percent="0" rank="0" text="" dxfId="7">
      <formula>"Critical"</formula>
    </cfRule>
    <cfRule type="cellIs" priority="388" operator="equal" aboveAverage="0" equalAverage="0" bottom="0" percent="0" rank="0" text="" dxfId="3">
      <formula>"High"</formula>
    </cfRule>
    <cfRule type="cellIs" priority="389" operator="equal" aboveAverage="0" equalAverage="0" bottom="0" percent="0" rank="0" text="" dxfId="2">
      <formula>"Medium"</formula>
    </cfRule>
  </conditionalFormatting>
  <dataValidations count="1">
    <dataValidation allowBlank="true" error="Enter a date, e.g. 20-Oct-2026" errorStyle="stop" operator="greaterThan" showDropDown="false" showErrorMessage="true" showInputMessage="false" sqref="C4:C5" type="date">
      <formula1>DATE(2020,1,1)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AEEAAD-C883-4D99-9665-F6A2C05F806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E10</xm:sqref>
        </x14:conditionalFormatting>
        <x14:conditionalFormatting xmlns:xm="http://schemas.microsoft.com/office/excel/2006/main">
          <x14:cfRule type="dataBar" id="{30DDA1A1-DD1A-4143-96C3-7E79E613445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G12:G14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E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0"/>
    <col collapsed="false" customWidth="true" hidden="false" outlineLevel="0" max="4" min="4" style="0" width="36"/>
    <col collapsed="false" customWidth="true" hidden="true" outlineLevel="0" max="5" min="5" style="0" width="13"/>
  </cols>
  <sheetData>
    <row r="1" customFormat="false" ht="19.7" hidden="false" customHeight="false" outlineLevel="0" collapsed="false">
      <c r="A1" s="30" t="s">
        <v>55</v>
      </c>
    </row>
    <row r="2" customFormat="false" ht="15" hidden="false" customHeight="false" outlineLevel="0" collapsed="false">
      <c r="A2" s="31" t="s">
        <v>56</v>
      </c>
    </row>
    <row r="3" customFormat="false" ht="15" hidden="false" customHeight="false" outlineLevel="0" collapsed="false">
      <c r="A3" s="32" t="s">
        <v>57</v>
      </c>
    </row>
    <row r="4" customFormat="false" ht="36" hidden="false" customHeight="true" outlineLevel="0" collapsed="false">
      <c r="A4" s="33" t="s">
        <v>58</v>
      </c>
      <c r="B4" s="33" t="s">
        <v>59</v>
      </c>
      <c r="C4" s="33" t="s">
        <v>22</v>
      </c>
      <c r="D4" s="33" t="s">
        <v>60</v>
      </c>
      <c r="E4" s="34" t="s">
        <v>61</v>
      </c>
    </row>
    <row r="5" customFormat="false" ht="23.85" hidden="false" customHeight="false" outlineLevel="0" collapsed="false">
      <c r="A5" s="35" t="n">
        <v>46315</v>
      </c>
      <c r="B5" s="36" t="s">
        <v>62</v>
      </c>
      <c r="C5" s="37" t="s">
        <v>63</v>
      </c>
      <c r="D5" s="26"/>
      <c r="E5" s="38" t="n">
        <f aca="false">IF(AND(N(A5)&gt;'Weekly Report'!$C$5,N(A5)&lt;='Weekly Report'!$C$4),COUNT(E$4:E4)+1,"")</f>
        <v>1</v>
      </c>
    </row>
    <row r="6" customFormat="false" ht="15" hidden="false" customHeight="false" outlineLevel="0" collapsed="false">
      <c r="A6" s="28"/>
      <c r="B6" s="27"/>
      <c r="C6" s="26"/>
      <c r="D6" s="26"/>
      <c r="E6" s="0" t="str">
        <f aca="false">IF(AND(N(A6)&gt;'Weekly Report'!$C$5,N(A6)&lt;='Weekly Report'!$C$4),COUNT(E$4:E5)+1,"")</f>
        <v/>
      </c>
    </row>
    <row r="7" customFormat="false" ht="15" hidden="false" customHeight="false" outlineLevel="0" collapsed="false">
      <c r="A7" s="28"/>
      <c r="B7" s="27"/>
      <c r="C7" s="26"/>
      <c r="D7" s="26"/>
      <c r="E7" s="0" t="str">
        <f aca="false">IF(AND(N(A7)&gt;'Weekly Report'!$C$5,N(A7)&lt;='Weekly Report'!$C$4),COUNT(E$4:E6)+1,"")</f>
        <v/>
      </c>
    </row>
    <row r="8" customFormat="false" ht="15" hidden="false" customHeight="false" outlineLevel="0" collapsed="false">
      <c r="A8" s="28"/>
      <c r="B8" s="27"/>
      <c r="C8" s="26"/>
      <c r="D8" s="26"/>
      <c r="E8" s="0" t="str">
        <f aca="false">IF(AND(N(A8)&gt;'Weekly Report'!$C$5,N(A8)&lt;='Weekly Report'!$C$4),COUNT(E$4:E7)+1,"")</f>
        <v/>
      </c>
    </row>
    <row r="9" customFormat="false" ht="15" hidden="false" customHeight="false" outlineLevel="0" collapsed="false">
      <c r="A9" s="28"/>
      <c r="B9" s="27"/>
      <c r="C9" s="26"/>
      <c r="D9" s="26"/>
      <c r="E9" s="0" t="str">
        <f aca="false">IF(AND(N(A9)&gt;'Weekly Report'!$C$5,N(A9)&lt;='Weekly Report'!$C$4),COUNT(E$4:E8)+1,"")</f>
        <v/>
      </c>
    </row>
    <row r="10" customFormat="false" ht="15" hidden="false" customHeight="false" outlineLevel="0" collapsed="false">
      <c r="A10" s="28"/>
      <c r="B10" s="27"/>
      <c r="C10" s="26"/>
      <c r="D10" s="26"/>
      <c r="E10" s="0" t="str">
        <f aca="false">IF(AND(N(A10)&gt;'Weekly Report'!$C$5,N(A10)&lt;='Weekly Report'!$C$4),COUNT(E$4:E9)+1,"")</f>
        <v/>
      </c>
    </row>
    <row r="11" customFormat="false" ht="15" hidden="false" customHeight="false" outlineLevel="0" collapsed="false">
      <c r="A11" s="28"/>
      <c r="B11" s="27"/>
      <c r="C11" s="26"/>
      <c r="D11" s="26"/>
      <c r="E11" s="0" t="str">
        <f aca="false">IF(AND(N(A11)&gt;'Weekly Report'!$C$5,N(A11)&lt;='Weekly Report'!$C$4),COUNT(E$4:E10)+1,"")</f>
        <v/>
      </c>
    </row>
    <row r="12" customFormat="false" ht="15" hidden="false" customHeight="false" outlineLevel="0" collapsed="false">
      <c r="A12" s="28"/>
      <c r="B12" s="27"/>
      <c r="C12" s="26"/>
      <c r="D12" s="26"/>
      <c r="E12" s="0" t="str">
        <f aca="false">IF(AND(N(A12)&gt;'Weekly Report'!$C$5,N(A12)&lt;='Weekly Report'!$C$4),COUNT(E$4:E11)+1,"")</f>
        <v/>
      </c>
    </row>
    <row r="13" customFormat="false" ht="15" hidden="false" customHeight="false" outlineLevel="0" collapsed="false">
      <c r="A13" s="28"/>
      <c r="B13" s="27"/>
      <c r="C13" s="26"/>
      <c r="D13" s="26"/>
      <c r="E13" s="0" t="str">
        <f aca="false">IF(AND(N(A13)&gt;'Weekly Report'!$C$5,N(A13)&lt;='Weekly Report'!$C$4),COUNT(E$4:E12)+1,"")</f>
        <v/>
      </c>
    </row>
    <row r="14" customFormat="false" ht="15" hidden="false" customHeight="false" outlineLevel="0" collapsed="false">
      <c r="A14" s="28"/>
      <c r="B14" s="27"/>
      <c r="C14" s="26"/>
      <c r="D14" s="26"/>
      <c r="E14" s="0" t="str">
        <f aca="false">IF(AND(N(A14)&gt;'Weekly Report'!$C$5,N(A14)&lt;='Weekly Report'!$C$4),COUNT(E$4:E13)+1,"")</f>
        <v/>
      </c>
    </row>
    <row r="15" customFormat="false" ht="15" hidden="false" customHeight="false" outlineLevel="0" collapsed="false">
      <c r="A15" s="28"/>
      <c r="B15" s="27"/>
      <c r="C15" s="26"/>
      <c r="D15" s="26"/>
      <c r="E15" s="0" t="str">
        <f aca="false">IF(AND(N(A15)&gt;'Weekly Report'!$C$5,N(A15)&lt;='Weekly Report'!$C$4),COUNT(E$4:E14)+1,"")</f>
        <v/>
      </c>
    </row>
    <row r="16" customFormat="false" ht="15" hidden="false" customHeight="false" outlineLevel="0" collapsed="false">
      <c r="A16" s="28"/>
      <c r="B16" s="27"/>
      <c r="C16" s="26"/>
      <c r="D16" s="26"/>
      <c r="E16" s="0" t="str">
        <f aca="false">IF(AND(N(A16)&gt;'Weekly Report'!$C$5,N(A16)&lt;='Weekly Report'!$C$4),COUNT(E$4:E15)+1,"")</f>
        <v/>
      </c>
    </row>
    <row r="17" customFormat="false" ht="15" hidden="false" customHeight="false" outlineLevel="0" collapsed="false">
      <c r="A17" s="28"/>
      <c r="B17" s="27"/>
      <c r="C17" s="26"/>
      <c r="D17" s="26"/>
      <c r="E17" s="0" t="str">
        <f aca="false">IF(AND(N(A17)&gt;'Weekly Report'!$C$5,N(A17)&lt;='Weekly Report'!$C$4),COUNT(E$4:E16)+1,"")</f>
        <v/>
      </c>
    </row>
    <row r="18" customFormat="false" ht="15" hidden="false" customHeight="false" outlineLevel="0" collapsed="false">
      <c r="A18" s="28"/>
      <c r="B18" s="27"/>
      <c r="C18" s="26"/>
      <c r="D18" s="26"/>
      <c r="E18" s="0" t="str">
        <f aca="false">IF(AND(N(A18)&gt;'Weekly Report'!$C$5,N(A18)&lt;='Weekly Report'!$C$4),COUNT(E$4:E17)+1,"")</f>
        <v/>
      </c>
    </row>
    <row r="19" customFormat="false" ht="15" hidden="false" customHeight="false" outlineLevel="0" collapsed="false">
      <c r="A19" s="28"/>
      <c r="B19" s="27"/>
      <c r="C19" s="26"/>
      <c r="D19" s="26"/>
      <c r="E19" s="0" t="str">
        <f aca="false">IF(AND(N(A19)&gt;'Weekly Report'!$C$5,N(A19)&lt;='Weekly Report'!$C$4),COUNT(E$4:E18)+1,"")</f>
        <v/>
      </c>
    </row>
    <row r="20" customFormat="false" ht="15" hidden="false" customHeight="false" outlineLevel="0" collapsed="false">
      <c r="A20" s="28"/>
      <c r="B20" s="27"/>
      <c r="C20" s="26"/>
      <c r="D20" s="26"/>
      <c r="E20" s="0" t="str">
        <f aca="false">IF(AND(N(A20)&gt;'Weekly Report'!$C$5,N(A20)&lt;='Weekly Report'!$C$4),COUNT(E$4:E19)+1,"")</f>
        <v/>
      </c>
    </row>
    <row r="21" customFormat="false" ht="15" hidden="false" customHeight="false" outlineLevel="0" collapsed="false">
      <c r="A21" s="28"/>
      <c r="B21" s="27"/>
      <c r="C21" s="26"/>
      <c r="D21" s="26"/>
      <c r="E21" s="0" t="str">
        <f aca="false">IF(AND(N(A21)&gt;'Weekly Report'!$C$5,N(A21)&lt;='Weekly Report'!$C$4),COUNT(E$4:E20)+1,"")</f>
        <v/>
      </c>
    </row>
    <row r="22" customFormat="false" ht="15" hidden="false" customHeight="false" outlineLevel="0" collapsed="false">
      <c r="A22" s="28"/>
      <c r="B22" s="27"/>
      <c r="C22" s="26"/>
      <c r="D22" s="26"/>
      <c r="E22" s="0" t="str">
        <f aca="false">IF(AND(N(A22)&gt;'Weekly Report'!$C$5,N(A22)&lt;='Weekly Report'!$C$4),COUNT(E$4:E21)+1,"")</f>
        <v/>
      </c>
    </row>
    <row r="23" customFormat="false" ht="15" hidden="false" customHeight="false" outlineLevel="0" collapsed="false">
      <c r="A23" s="28"/>
      <c r="B23" s="27"/>
      <c r="C23" s="26"/>
      <c r="D23" s="26"/>
      <c r="E23" s="0" t="str">
        <f aca="false">IF(AND(N(A23)&gt;'Weekly Report'!$C$5,N(A23)&lt;='Weekly Report'!$C$4),COUNT(E$4:E22)+1,"")</f>
        <v/>
      </c>
    </row>
    <row r="24" customFormat="false" ht="15" hidden="false" customHeight="false" outlineLevel="0" collapsed="false">
      <c r="A24" s="28"/>
      <c r="B24" s="27"/>
      <c r="C24" s="26"/>
      <c r="D24" s="26"/>
      <c r="E24" s="0" t="str">
        <f aca="false">IF(AND(N(A24)&gt;'Weekly Report'!$C$5,N(A24)&lt;='Weekly Report'!$C$4),COUNT(E$4:E23)+1,"")</f>
        <v/>
      </c>
    </row>
    <row r="25" customFormat="false" ht="15" hidden="false" customHeight="false" outlineLevel="0" collapsed="false">
      <c r="A25" s="28"/>
      <c r="B25" s="27"/>
      <c r="C25" s="26"/>
      <c r="D25" s="26"/>
      <c r="E25" s="0" t="str">
        <f aca="false">IF(AND(N(A25)&gt;'Weekly Report'!$C$5,N(A25)&lt;='Weekly Report'!$C$4),COUNT(E$4:E24)+1,"")</f>
        <v/>
      </c>
    </row>
    <row r="26" customFormat="false" ht="15" hidden="false" customHeight="false" outlineLevel="0" collapsed="false">
      <c r="A26" s="28"/>
      <c r="B26" s="27"/>
      <c r="C26" s="26"/>
      <c r="D26" s="26"/>
      <c r="E26" s="0" t="str">
        <f aca="false">IF(AND(N(A26)&gt;'Weekly Report'!$C$5,N(A26)&lt;='Weekly Report'!$C$4),COUNT(E$4:E25)+1,"")</f>
        <v/>
      </c>
    </row>
    <row r="27" customFormat="false" ht="15" hidden="false" customHeight="false" outlineLevel="0" collapsed="false">
      <c r="A27" s="28"/>
      <c r="B27" s="27"/>
      <c r="C27" s="26"/>
      <c r="D27" s="26"/>
      <c r="E27" s="0" t="str">
        <f aca="false">IF(AND(N(A27)&gt;'Weekly Report'!$C$5,N(A27)&lt;='Weekly Report'!$C$4),COUNT(E$4:E26)+1,"")</f>
        <v/>
      </c>
    </row>
    <row r="28" customFormat="false" ht="15" hidden="false" customHeight="false" outlineLevel="0" collapsed="false">
      <c r="A28" s="28"/>
      <c r="B28" s="27"/>
      <c r="C28" s="26"/>
      <c r="D28" s="26"/>
      <c r="E28" s="0" t="str">
        <f aca="false">IF(AND(N(A28)&gt;'Weekly Report'!$C$5,N(A28)&lt;='Weekly Report'!$C$4),COUNT(E$4:E27)+1,"")</f>
        <v/>
      </c>
    </row>
    <row r="29" customFormat="false" ht="15" hidden="false" customHeight="false" outlineLevel="0" collapsed="false">
      <c r="A29" s="28"/>
      <c r="B29" s="27"/>
      <c r="C29" s="26"/>
      <c r="D29" s="26"/>
      <c r="E29" s="0" t="str">
        <f aca="false">IF(AND(N(A29)&gt;'Weekly Report'!$C$5,N(A29)&lt;='Weekly Report'!$C$4),COUNT(E$4:E28)+1,"")</f>
        <v/>
      </c>
    </row>
    <row r="30" customFormat="false" ht="15" hidden="false" customHeight="false" outlineLevel="0" collapsed="false">
      <c r="A30" s="28"/>
      <c r="B30" s="27"/>
      <c r="C30" s="26"/>
      <c r="D30" s="26"/>
      <c r="E30" s="0" t="str">
        <f aca="false">IF(AND(N(A30)&gt;'Weekly Report'!$C$5,N(A30)&lt;='Weekly Report'!$C$4),COUNT(E$4:E29)+1,"")</f>
        <v/>
      </c>
    </row>
    <row r="31" customFormat="false" ht="15" hidden="false" customHeight="false" outlineLevel="0" collapsed="false">
      <c r="A31" s="28"/>
      <c r="B31" s="27"/>
      <c r="C31" s="26"/>
      <c r="D31" s="26"/>
      <c r="E31" s="0" t="str">
        <f aca="false">IF(AND(N(A31)&gt;'Weekly Report'!$C$5,N(A31)&lt;='Weekly Report'!$C$4),COUNT(E$4:E30)+1,"")</f>
        <v/>
      </c>
    </row>
    <row r="32" customFormat="false" ht="15" hidden="false" customHeight="false" outlineLevel="0" collapsed="false">
      <c r="A32" s="28"/>
      <c r="B32" s="27"/>
      <c r="C32" s="26"/>
      <c r="D32" s="26"/>
      <c r="E32" s="0" t="str">
        <f aca="false">IF(AND(N(A32)&gt;'Weekly Report'!$C$5,N(A32)&lt;='Weekly Report'!$C$4),COUNT(E$4:E31)+1,"")</f>
        <v/>
      </c>
    </row>
    <row r="33" customFormat="false" ht="15" hidden="false" customHeight="false" outlineLevel="0" collapsed="false">
      <c r="A33" s="28"/>
      <c r="B33" s="27"/>
      <c r="C33" s="26"/>
      <c r="D33" s="26"/>
      <c r="E33" s="0" t="str">
        <f aca="false">IF(AND(N(A33)&gt;'Weekly Report'!$C$5,N(A33)&lt;='Weekly Report'!$C$4),COUNT(E$4:E32)+1,"")</f>
        <v/>
      </c>
    </row>
    <row r="34" customFormat="false" ht="15" hidden="false" customHeight="false" outlineLevel="0" collapsed="false">
      <c r="A34" s="28"/>
      <c r="B34" s="27"/>
      <c r="C34" s="26"/>
      <c r="D34" s="26"/>
      <c r="E34" s="0" t="str">
        <f aca="false">IF(AND(N(A34)&gt;'Weekly Report'!$C$5,N(A34)&lt;='Weekly Report'!$C$4),COUNT(E$4:E33)+1,"")</f>
        <v/>
      </c>
    </row>
    <row r="35" customFormat="false" ht="15" hidden="false" customHeight="false" outlineLevel="0" collapsed="false">
      <c r="A35" s="28"/>
      <c r="B35" s="27"/>
      <c r="C35" s="26"/>
      <c r="D35" s="26"/>
      <c r="E35" s="0" t="str">
        <f aca="false">IF(AND(N(A35)&gt;'Weekly Report'!$C$5,N(A35)&lt;='Weekly Report'!$C$4),COUNT(E$4:E34)+1,"")</f>
        <v/>
      </c>
    </row>
    <row r="36" customFormat="false" ht="15" hidden="false" customHeight="false" outlineLevel="0" collapsed="false">
      <c r="A36" s="28"/>
      <c r="B36" s="27"/>
      <c r="C36" s="26"/>
      <c r="D36" s="26"/>
      <c r="E36" s="0" t="str">
        <f aca="false">IF(AND(N(A36)&gt;'Weekly Report'!$C$5,N(A36)&lt;='Weekly Report'!$C$4),COUNT(E$4:E35)+1,"")</f>
        <v/>
      </c>
    </row>
    <row r="37" customFormat="false" ht="15" hidden="false" customHeight="false" outlineLevel="0" collapsed="false">
      <c r="A37" s="28"/>
      <c r="B37" s="27"/>
      <c r="C37" s="26"/>
      <c r="D37" s="26"/>
      <c r="E37" s="0" t="str">
        <f aca="false">IF(AND(N(A37)&gt;'Weekly Report'!$C$5,N(A37)&lt;='Weekly Report'!$C$4),COUNT(E$4:E36)+1,"")</f>
        <v/>
      </c>
    </row>
    <row r="38" customFormat="false" ht="15" hidden="false" customHeight="false" outlineLevel="0" collapsed="false">
      <c r="A38" s="28"/>
      <c r="B38" s="27"/>
      <c r="C38" s="26"/>
      <c r="D38" s="26"/>
      <c r="E38" s="0" t="str">
        <f aca="false">IF(AND(N(A38)&gt;'Weekly Report'!$C$5,N(A38)&lt;='Weekly Report'!$C$4),COUNT(E$4:E37)+1,"")</f>
        <v/>
      </c>
    </row>
    <row r="39" customFormat="false" ht="15" hidden="false" customHeight="false" outlineLevel="0" collapsed="false">
      <c r="A39" s="28"/>
      <c r="B39" s="27"/>
      <c r="C39" s="26"/>
      <c r="D39" s="26"/>
      <c r="E39" s="0" t="str">
        <f aca="false">IF(AND(N(A39)&gt;'Weekly Report'!$C$5,N(A39)&lt;='Weekly Report'!$C$4),COUNT(E$4:E38)+1,"")</f>
        <v/>
      </c>
    </row>
    <row r="40" customFormat="false" ht="15" hidden="false" customHeight="false" outlineLevel="0" collapsed="false">
      <c r="A40" s="28"/>
      <c r="B40" s="27"/>
      <c r="C40" s="26"/>
      <c r="D40" s="26"/>
      <c r="E40" s="0" t="str">
        <f aca="false">IF(AND(N(A40)&gt;'Weekly Report'!$C$5,N(A40)&lt;='Weekly Report'!$C$4),COUNT(E$4:E39)+1,"")</f>
        <v/>
      </c>
    </row>
    <row r="41" customFormat="false" ht="15" hidden="false" customHeight="false" outlineLevel="0" collapsed="false">
      <c r="A41" s="28"/>
      <c r="B41" s="27"/>
      <c r="C41" s="26"/>
      <c r="D41" s="26"/>
      <c r="E41" s="0" t="str">
        <f aca="false">IF(AND(N(A41)&gt;'Weekly Report'!$C$5,N(A41)&lt;='Weekly Report'!$C$4),COUNT(E$4:E40)+1,"")</f>
        <v/>
      </c>
    </row>
    <row r="42" customFormat="false" ht="15" hidden="false" customHeight="false" outlineLevel="0" collapsed="false">
      <c r="A42" s="28"/>
      <c r="B42" s="27"/>
      <c r="C42" s="26"/>
      <c r="D42" s="26"/>
      <c r="E42" s="0" t="str">
        <f aca="false">IF(AND(N(A42)&gt;'Weekly Report'!$C$5,N(A42)&lt;='Weekly Report'!$C$4),COUNT(E$4:E41)+1,"")</f>
        <v/>
      </c>
    </row>
    <row r="43" customFormat="false" ht="15" hidden="false" customHeight="false" outlineLevel="0" collapsed="false">
      <c r="A43" s="28"/>
      <c r="B43" s="27"/>
      <c r="C43" s="26"/>
      <c r="D43" s="26"/>
      <c r="E43" s="0" t="str">
        <f aca="false">IF(AND(N(A43)&gt;'Weekly Report'!$C$5,N(A43)&lt;='Weekly Report'!$C$4),COUNT(E$4:E42)+1,"")</f>
        <v/>
      </c>
    </row>
    <row r="44" customFormat="false" ht="15" hidden="false" customHeight="false" outlineLevel="0" collapsed="false">
      <c r="A44" s="28"/>
      <c r="B44" s="27"/>
      <c r="C44" s="26"/>
      <c r="D44" s="26"/>
      <c r="E44" s="0" t="str">
        <f aca="false">IF(AND(N(A44)&gt;'Weekly Report'!$C$5,N(A44)&lt;='Weekly Report'!$C$4),COUNT(E$4:E43)+1,"")</f>
        <v/>
      </c>
    </row>
    <row r="45" customFormat="false" ht="15" hidden="false" customHeight="false" outlineLevel="0" collapsed="false">
      <c r="A45" s="28"/>
      <c r="B45" s="27"/>
      <c r="C45" s="26"/>
      <c r="D45" s="26"/>
      <c r="E45" s="0" t="str">
        <f aca="false">IF(AND(N(A45)&gt;'Weekly Report'!$C$5,N(A45)&lt;='Weekly Report'!$C$4),COUNT(E$4:E44)+1,"")</f>
        <v/>
      </c>
    </row>
    <row r="46" customFormat="false" ht="15" hidden="false" customHeight="false" outlineLevel="0" collapsed="false">
      <c r="A46" s="28"/>
      <c r="B46" s="27"/>
      <c r="C46" s="26"/>
      <c r="D46" s="26"/>
      <c r="E46" s="0" t="str">
        <f aca="false">IF(AND(N(A46)&gt;'Weekly Report'!$C$5,N(A46)&lt;='Weekly Report'!$C$4),COUNT(E$4:E45)+1,"")</f>
        <v/>
      </c>
    </row>
    <row r="47" customFormat="false" ht="15" hidden="false" customHeight="false" outlineLevel="0" collapsed="false">
      <c r="A47" s="28"/>
      <c r="B47" s="27"/>
      <c r="C47" s="26"/>
      <c r="D47" s="26"/>
      <c r="E47" s="0" t="str">
        <f aca="false">IF(AND(N(A47)&gt;'Weekly Report'!$C$5,N(A47)&lt;='Weekly Report'!$C$4),COUNT(E$4:E46)+1,"")</f>
        <v/>
      </c>
    </row>
    <row r="48" customFormat="false" ht="15" hidden="false" customHeight="false" outlineLevel="0" collapsed="false">
      <c r="A48" s="28"/>
      <c r="B48" s="27"/>
      <c r="C48" s="26"/>
      <c r="D48" s="26"/>
      <c r="E48" s="0" t="str">
        <f aca="false">IF(AND(N(A48)&gt;'Weekly Report'!$C$5,N(A48)&lt;='Weekly Report'!$C$4),COUNT(E$4:E47)+1,"")</f>
        <v/>
      </c>
    </row>
    <row r="49" customFormat="false" ht="15" hidden="false" customHeight="false" outlineLevel="0" collapsed="false">
      <c r="A49" s="28"/>
      <c r="B49" s="27"/>
      <c r="C49" s="26"/>
      <c r="D49" s="26"/>
      <c r="E49" s="0" t="str">
        <f aca="false">IF(AND(N(A49)&gt;'Weekly Report'!$C$5,N(A49)&lt;='Weekly Report'!$C$4),COUNT(E$4:E48)+1,"")</f>
        <v/>
      </c>
    </row>
    <row r="50" customFormat="false" ht="15" hidden="false" customHeight="false" outlineLevel="0" collapsed="false">
      <c r="A50" s="28"/>
      <c r="B50" s="27"/>
      <c r="C50" s="26"/>
      <c r="D50" s="26"/>
      <c r="E50" s="0" t="str">
        <f aca="false">IF(AND(N(A50)&gt;'Weekly Report'!$C$5,N(A50)&lt;='Weekly Report'!$C$4),COUNT(E$4:E49)+1,"")</f>
        <v/>
      </c>
    </row>
    <row r="51" customFormat="false" ht="15" hidden="false" customHeight="false" outlineLevel="0" collapsed="false">
      <c r="A51" s="28"/>
      <c r="B51" s="27"/>
      <c r="C51" s="26"/>
      <c r="D51" s="26"/>
      <c r="E51" s="0" t="str">
        <f aca="false">IF(AND(N(A51)&gt;'Weekly Report'!$C$5,N(A51)&lt;='Weekly Report'!$C$4),COUNT(E$4:E50)+1,"")</f>
        <v/>
      </c>
    </row>
    <row r="52" customFormat="false" ht="15" hidden="false" customHeight="false" outlineLevel="0" collapsed="false">
      <c r="A52" s="28"/>
      <c r="B52" s="27"/>
      <c r="C52" s="26"/>
      <c r="D52" s="26"/>
      <c r="E52" s="0" t="str">
        <f aca="false">IF(AND(N(A52)&gt;'Weekly Report'!$C$5,N(A52)&lt;='Weekly Report'!$C$4),COUNT(E$4:E51)+1,"")</f>
        <v/>
      </c>
    </row>
    <row r="53" customFormat="false" ht="15" hidden="false" customHeight="false" outlineLevel="0" collapsed="false">
      <c r="A53" s="28"/>
      <c r="B53" s="27"/>
      <c r="C53" s="26"/>
      <c r="D53" s="26"/>
      <c r="E53" s="0" t="str">
        <f aca="false">IF(AND(N(A53)&gt;'Weekly Report'!$C$5,N(A53)&lt;='Weekly Report'!$C$4),COUNT(E$4:E52)+1,"")</f>
        <v/>
      </c>
    </row>
    <row r="54" customFormat="false" ht="15" hidden="false" customHeight="false" outlineLevel="0" collapsed="false">
      <c r="A54" s="28"/>
      <c r="B54" s="27"/>
      <c r="C54" s="26"/>
      <c r="D54" s="26"/>
      <c r="E54" s="0" t="str">
        <f aca="false">IF(AND(N(A54)&gt;'Weekly Report'!$C$5,N(A54)&lt;='Weekly Report'!$C$4),COUNT(E$4:E53)+1,"")</f>
        <v/>
      </c>
    </row>
    <row r="55" customFormat="false" ht="15" hidden="false" customHeight="false" outlineLevel="0" collapsed="false">
      <c r="A55" s="28"/>
      <c r="B55" s="27"/>
      <c r="C55" s="26"/>
      <c r="D55" s="26"/>
      <c r="E55" s="0" t="str">
        <f aca="false">IF(AND(N(A55)&gt;'Weekly Report'!$C$5,N(A55)&lt;='Weekly Report'!$C$4),COUNT(E$4:E54)+1,"")</f>
        <v/>
      </c>
    </row>
    <row r="56" customFormat="false" ht="15" hidden="false" customHeight="false" outlineLevel="0" collapsed="false">
      <c r="A56" s="28"/>
      <c r="B56" s="27"/>
      <c r="C56" s="26"/>
      <c r="D56" s="26"/>
      <c r="E56" s="0" t="str">
        <f aca="false">IF(AND(N(A56)&gt;'Weekly Report'!$C$5,N(A56)&lt;='Weekly Report'!$C$4),COUNT(E$4:E55)+1,"")</f>
        <v/>
      </c>
    </row>
    <row r="57" customFormat="false" ht="15" hidden="false" customHeight="false" outlineLevel="0" collapsed="false">
      <c r="A57" s="28"/>
      <c r="B57" s="27"/>
      <c r="C57" s="26"/>
      <c r="D57" s="26"/>
      <c r="E57" s="0" t="str">
        <f aca="false">IF(AND(N(A57)&gt;'Weekly Report'!$C$5,N(A57)&lt;='Weekly Report'!$C$4),COUNT(E$4:E56)+1,"")</f>
        <v/>
      </c>
    </row>
    <row r="58" customFormat="false" ht="15" hidden="false" customHeight="false" outlineLevel="0" collapsed="false">
      <c r="A58" s="28"/>
      <c r="B58" s="27"/>
      <c r="C58" s="26"/>
      <c r="D58" s="26"/>
      <c r="E58" s="0" t="str">
        <f aca="false">IF(AND(N(A58)&gt;'Weekly Report'!$C$5,N(A58)&lt;='Weekly Report'!$C$4),COUNT(E$4:E57)+1,"")</f>
        <v/>
      </c>
    </row>
    <row r="59" customFormat="false" ht="15" hidden="false" customHeight="false" outlineLevel="0" collapsed="false">
      <c r="A59" s="28"/>
      <c r="B59" s="27"/>
      <c r="C59" s="26"/>
      <c r="D59" s="26"/>
      <c r="E59" s="0" t="str">
        <f aca="false">IF(AND(N(A59)&gt;'Weekly Report'!$C$5,N(A59)&lt;='Weekly Report'!$C$4),COUNT(E$4:E58)+1,"")</f>
        <v/>
      </c>
    </row>
    <row r="60" customFormat="false" ht="15" hidden="false" customHeight="false" outlineLevel="0" collapsed="false">
      <c r="A60" s="28"/>
      <c r="B60" s="27"/>
      <c r="C60" s="26"/>
      <c r="D60" s="26"/>
      <c r="E60" s="0" t="str">
        <f aca="false">IF(AND(N(A60)&gt;'Weekly Report'!$C$5,N(A60)&lt;='Weekly Report'!$C$4),COUNT(E$4:E59)+1,"")</f>
        <v/>
      </c>
    </row>
    <row r="61" customFormat="false" ht="15" hidden="false" customHeight="false" outlineLevel="0" collapsed="false">
      <c r="A61" s="28"/>
      <c r="B61" s="27"/>
      <c r="C61" s="26"/>
      <c r="D61" s="26"/>
      <c r="E61" s="0" t="str">
        <f aca="false">IF(AND(N(A61)&gt;'Weekly Report'!$C$5,N(A61)&lt;='Weekly Report'!$C$4),COUNT(E$4:E60)+1,"")</f>
        <v/>
      </c>
    </row>
    <row r="62" customFormat="false" ht="15" hidden="false" customHeight="false" outlineLevel="0" collapsed="false">
      <c r="A62" s="28"/>
      <c r="B62" s="27"/>
      <c r="C62" s="26"/>
      <c r="D62" s="26"/>
      <c r="E62" s="0" t="str">
        <f aca="false">IF(AND(N(A62)&gt;'Weekly Report'!$C$5,N(A62)&lt;='Weekly Report'!$C$4),COUNT(E$4:E61)+1,"")</f>
        <v/>
      </c>
    </row>
    <row r="63" customFormat="false" ht="15" hidden="false" customHeight="false" outlineLevel="0" collapsed="false">
      <c r="A63" s="28"/>
      <c r="B63" s="27"/>
      <c r="C63" s="26"/>
      <c r="D63" s="26"/>
      <c r="E63" s="0" t="str">
        <f aca="false">IF(AND(N(A63)&gt;'Weekly Report'!$C$5,N(A63)&lt;='Weekly Report'!$C$4),COUNT(E$4:E62)+1,"")</f>
        <v/>
      </c>
    </row>
    <row r="64" customFormat="false" ht="15" hidden="false" customHeight="false" outlineLevel="0" collapsed="false">
      <c r="A64" s="28"/>
      <c r="B64" s="27"/>
      <c r="C64" s="26"/>
      <c r="D64" s="26"/>
      <c r="E64" s="0" t="str">
        <f aca="false">IF(AND(N(A64)&gt;'Weekly Report'!$C$5,N(A64)&lt;='Weekly Report'!$C$4),COUNT(E$4:E63)+1,"")</f>
        <v/>
      </c>
    </row>
    <row r="65" customFormat="false" ht="15" hidden="false" customHeight="false" outlineLevel="0" collapsed="false">
      <c r="A65" s="28"/>
      <c r="B65" s="27"/>
      <c r="C65" s="26"/>
      <c r="D65" s="26"/>
      <c r="E65" s="0" t="str">
        <f aca="false">IF(AND(N(A65)&gt;'Weekly Report'!$C$5,N(A65)&lt;='Weekly Report'!$C$4),COUNT(E$4:E64)+1,"")</f>
        <v/>
      </c>
    </row>
    <row r="66" customFormat="false" ht="15" hidden="false" customHeight="false" outlineLevel="0" collapsed="false">
      <c r="A66" s="28"/>
      <c r="B66" s="27"/>
      <c r="C66" s="26"/>
      <c r="D66" s="26"/>
      <c r="E66" s="0" t="str">
        <f aca="false">IF(AND(N(A66)&gt;'Weekly Report'!$C$5,N(A66)&lt;='Weekly Report'!$C$4),COUNT(E$4:E65)+1,"")</f>
        <v/>
      </c>
    </row>
    <row r="67" customFormat="false" ht="15" hidden="false" customHeight="false" outlineLevel="0" collapsed="false">
      <c r="A67" s="28"/>
      <c r="B67" s="27"/>
      <c r="C67" s="26"/>
      <c r="D67" s="26"/>
      <c r="E67" s="0" t="str">
        <f aca="false">IF(AND(N(A67)&gt;'Weekly Report'!$C$5,N(A67)&lt;='Weekly Report'!$C$4),COUNT(E$4:E66)+1,"")</f>
        <v/>
      </c>
    </row>
    <row r="68" customFormat="false" ht="15" hidden="false" customHeight="false" outlineLevel="0" collapsed="false">
      <c r="A68" s="28"/>
      <c r="B68" s="27"/>
      <c r="C68" s="26"/>
      <c r="D68" s="26"/>
      <c r="E68" s="0" t="str">
        <f aca="false">IF(AND(N(A68)&gt;'Weekly Report'!$C$5,N(A68)&lt;='Weekly Report'!$C$4),COUNT(E$4:E67)+1,"")</f>
        <v/>
      </c>
    </row>
    <row r="69" customFormat="false" ht="15" hidden="false" customHeight="false" outlineLevel="0" collapsed="false">
      <c r="A69" s="28"/>
      <c r="B69" s="27"/>
      <c r="C69" s="26"/>
      <c r="D69" s="26"/>
      <c r="E69" s="0" t="str">
        <f aca="false">IF(AND(N(A69)&gt;'Weekly Report'!$C$5,N(A69)&lt;='Weekly Report'!$C$4),COUNT(E$4:E68)+1,"")</f>
        <v/>
      </c>
    </row>
    <row r="70" customFormat="false" ht="15" hidden="false" customHeight="false" outlineLevel="0" collapsed="false">
      <c r="A70" s="28"/>
      <c r="B70" s="27"/>
      <c r="C70" s="26"/>
      <c r="D70" s="26"/>
      <c r="E70" s="0" t="str">
        <f aca="false">IF(AND(N(A70)&gt;'Weekly Report'!$C$5,N(A70)&lt;='Weekly Report'!$C$4),COUNT(E$4:E69)+1,"")</f>
        <v/>
      </c>
    </row>
    <row r="71" customFormat="false" ht="15" hidden="false" customHeight="false" outlineLevel="0" collapsed="false">
      <c r="A71" s="28"/>
      <c r="B71" s="27"/>
      <c r="C71" s="26"/>
      <c r="D71" s="26"/>
      <c r="E71" s="0" t="str">
        <f aca="false">IF(AND(N(A71)&gt;'Weekly Report'!$C$5,N(A71)&lt;='Weekly Report'!$C$4),COUNT(E$4:E70)+1,"")</f>
        <v/>
      </c>
    </row>
    <row r="72" customFormat="false" ht="15" hidden="false" customHeight="false" outlineLevel="0" collapsed="false">
      <c r="A72" s="28"/>
      <c r="B72" s="27"/>
      <c r="C72" s="26"/>
      <c r="D72" s="26"/>
      <c r="E72" s="0" t="str">
        <f aca="false">IF(AND(N(A72)&gt;'Weekly Report'!$C$5,N(A72)&lt;='Weekly Report'!$C$4),COUNT(E$4:E71)+1,"")</f>
        <v/>
      </c>
    </row>
    <row r="73" customFormat="false" ht="15" hidden="false" customHeight="false" outlineLevel="0" collapsed="false">
      <c r="A73" s="28"/>
      <c r="B73" s="27"/>
      <c r="C73" s="26"/>
      <c r="D73" s="26"/>
      <c r="E73" s="0" t="str">
        <f aca="false">IF(AND(N(A73)&gt;'Weekly Report'!$C$5,N(A73)&lt;='Weekly Report'!$C$4),COUNT(E$4:E72)+1,"")</f>
        <v/>
      </c>
    </row>
    <row r="74" customFormat="false" ht="15" hidden="false" customHeight="false" outlineLevel="0" collapsed="false">
      <c r="A74" s="28"/>
      <c r="B74" s="27"/>
      <c r="C74" s="26"/>
      <c r="D74" s="26"/>
      <c r="E74" s="0" t="str">
        <f aca="false">IF(AND(N(A74)&gt;'Weekly Report'!$C$5,N(A74)&lt;='Weekly Report'!$C$4),COUNT(E$4:E73)+1,"")</f>
        <v/>
      </c>
    </row>
    <row r="75" customFormat="false" ht="15" hidden="false" customHeight="false" outlineLevel="0" collapsed="false">
      <c r="A75" s="28"/>
      <c r="B75" s="27"/>
      <c r="C75" s="26"/>
      <c r="D75" s="26"/>
      <c r="E75" s="0" t="str">
        <f aca="false">IF(AND(N(A75)&gt;'Weekly Report'!$C$5,N(A75)&lt;='Weekly Report'!$C$4),COUNT(E$4:E74)+1,"")</f>
        <v/>
      </c>
    </row>
    <row r="76" customFormat="false" ht="15" hidden="false" customHeight="false" outlineLevel="0" collapsed="false">
      <c r="A76" s="28"/>
      <c r="B76" s="27"/>
      <c r="C76" s="26"/>
      <c r="D76" s="26"/>
      <c r="E76" s="0" t="str">
        <f aca="false">IF(AND(N(A76)&gt;'Weekly Report'!$C$5,N(A76)&lt;='Weekly Report'!$C$4),COUNT(E$4:E75)+1,"")</f>
        <v/>
      </c>
    </row>
    <row r="77" customFormat="false" ht="15" hidden="false" customHeight="false" outlineLevel="0" collapsed="false">
      <c r="A77" s="28"/>
      <c r="B77" s="27"/>
      <c r="C77" s="26"/>
      <c r="D77" s="26"/>
      <c r="E77" s="0" t="str">
        <f aca="false">IF(AND(N(A77)&gt;'Weekly Report'!$C$5,N(A77)&lt;='Weekly Report'!$C$4),COUNT(E$4:E76)+1,"")</f>
        <v/>
      </c>
    </row>
    <row r="78" customFormat="false" ht="15" hidden="false" customHeight="false" outlineLevel="0" collapsed="false">
      <c r="A78" s="28"/>
      <c r="B78" s="27"/>
      <c r="C78" s="26"/>
      <c r="D78" s="26"/>
      <c r="E78" s="0" t="str">
        <f aca="false">IF(AND(N(A78)&gt;'Weekly Report'!$C$5,N(A78)&lt;='Weekly Report'!$C$4),COUNT(E$4:E77)+1,"")</f>
        <v/>
      </c>
    </row>
    <row r="79" customFormat="false" ht="15" hidden="false" customHeight="false" outlineLevel="0" collapsed="false">
      <c r="A79" s="28"/>
      <c r="B79" s="27"/>
      <c r="C79" s="26"/>
      <c r="D79" s="26"/>
      <c r="E79" s="0" t="str">
        <f aca="false">IF(AND(N(A79)&gt;'Weekly Report'!$C$5,N(A79)&lt;='Weekly Report'!$C$4),COUNT(E$4:E78)+1,"")</f>
        <v/>
      </c>
    </row>
    <row r="80" customFormat="false" ht="15" hidden="false" customHeight="false" outlineLevel="0" collapsed="false">
      <c r="A80" s="28"/>
      <c r="B80" s="27"/>
      <c r="C80" s="26"/>
      <c r="D80" s="26"/>
      <c r="E80" s="0" t="str">
        <f aca="false">IF(AND(N(A80)&gt;'Weekly Report'!$C$5,N(A80)&lt;='Weekly Report'!$C$4),COUNT(E$4:E79)+1,"")</f>
        <v/>
      </c>
    </row>
    <row r="81" customFormat="false" ht="15" hidden="false" customHeight="false" outlineLevel="0" collapsed="false">
      <c r="A81" s="28"/>
      <c r="B81" s="27"/>
      <c r="C81" s="26"/>
      <c r="D81" s="26"/>
      <c r="E81" s="0" t="str">
        <f aca="false">IF(AND(N(A81)&gt;'Weekly Report'!$C$5,N(A81)&lt;='Weekly Report'!$C$4),COUNT(E$4:E80)+1,"")</f>
        <v/>
      </c>
    </row>
    <row r="82" customFormat="false" ht="15" hidden="false" customHeight="false" outlineLevel="0" collapsed="false">
      <c r="A82" s="28"/>
      <c r="B82" s="27"/>
      <c r="C82" s="26"/>
      <c r="D82" s="26"/>
      <c r="E82" s="0" t="str">
        <f aca="false">IF(AND(N(A82)&gt;'Weekly Report'!$C$5,N(A82)&lt;='Weekly Report'!$C$4),COUNT(E$4:E81)+1,"")</f>
        <v/>
      </c>
    </row>
    <row r="83" customFormat="false" ht="15" hidden="false" customHeight="false" outlineLevel="0" collapsed="false">
      <c r="A83" s="28"/>
      <c r="B83" s="27"/>
      <c r="C83" s="26"/>
      <c r="D83" s="26"/>
      <c r="E83" s="0" t="str">
        <f aca="false">IF(AND(N(A83)&gt;'Weekly Report'!$C$5,N(A83)&lt;='Weekly Report'!$C$4),COUNT(E$4:E82)+1,"")</f>
        <v/>
      </c>
    </row>
    <row r="84" customFormat="false" ht="15" hidden="false" customHeight="false" outlineLevel="0" collapsed="false">
      <c r="A84" s="28"/>
      <c r="B84" s="27"/>
      <c r="C84" s="26"/>
      <c r="D84" s="26"/>
      <c r="E84" s="0" t="str">
        <f aca="false">IF(AND(N(A84)&gt;'Weekly Report'!$C$5,N(A84)&lt;='Weekly Report'!$C$4),COUNT(E$4:E83)+1,"")</f>
        <v/>
      </c>
    </row>
    <row r="85" customFormat="false" ht="15" hidden="false" customHeight="false" outlineLevel="0" collapsed="false">
      <c r="A85" s="28"/>
      <c r="B85" s="27"/>
      <c r="C85" s="26"/>
      <c r="D85" s="26"/>
      <c r="E85" s="0" t="str">
        <f aca="false">IF(AND(N(A85)&gt;'Weekly Report'!$C$5,N(A85)&lt;='Weekly Report'!$C$4),COUNT(E$4:E84)+1,"")</f>
        <v/>
      </c>
    </row>
    <row r="86" customFormat="false" ht="15" hidden="false" customHeight="false" outlineLevel="0" collapsed="false">
      <c r="A86" s="28"/>
      <c r="B86" s="27"/>
      <c r="C86" s="26"/>
      <c r="D86" s="26"/>
      <c r="E86" s="0" t="str">
        <f aca="false">IF(AND(N(A86)&gt;'Weekly Report'!$C$5,N(A86)&lt;='Weekly Report'!$C$4),COUNT(E$4:E85)+1,"")</f>
        <v/>
      </c>
    </row>
    <row r="87" customFormat="false" ht="15" hidden="false" customHeight="false" outlineLevel="0" collapsed="false">
      <c r="A87" s="28"/>
      <c r="B87" s="27"/>
      <c r="C87" s="26"/>
      <c r="D87" s="26"/>
      <c r="E87" s="0" t="str">
        <f aca="false">IF(AND(N(A87)&gt;'Weekly Report'!$C$5,N(A87)&lt;='Weekly Report'!$C$4),COUNT(E$4:E86)+1,"")</f>
        <v/>
      </c>
    </row>
    <row r="88" customFormat="false" ht="15" hidden="false" customHeight="false" outlineLevel="0" collapsed="false">
      <c r="A88" s="28"/>
      <c r="B88" s="27"/>
      <c r="C88" s="26"/>
      <c r="D88" s="26"/>
      <c r="E88" s="0" t="str">
        <f aca="false">IF(AND(N(A88)&gt;'Weekly Report'!$C$5,N(A88)&lt;='Weekly Report'!$C$4),COUNT(E$4:E87)+1,"")</f>
        <v/>
      </c>
    </row>
    <row r="89" customFormat="false" ht="15" hidden="false" customHeight="false" outlineLevel="0" collapsed="false">
      <c r="A89" s="28"/>
      <c r="B89" s="27"/>
      <c r="C89" s="26"/>
      <c r="D89" s="26"/>
      <c r="E89" s="0" t="str">
        <f aca="false">IF(AND(N(A89)&gt;'Weekly Report'!$C$5,N(A89)&lt;='Weekly Report'!$C$4),COUNT(E$4:E88)+1,"")</f>
        <v/>
      </c>
    </row>
    <row r="90" customFormat="false" ht="15" hidden="false" customHeight="false" outlineLevel="0" collapsed="false">
      <c r="A90" s="28"/>
      <c r="B90" s="27"/>
      <c r="C90" s="26"/>
      <c r="D90" s="26"/>
      <c r="E90" s="0" t="str">
        <f aca="false">IF(AND(N(A90)&gt;'Weekly Report'!$C$5,N(A90)&lt;='Weekly Report'!$C$4),COUNT(E$4:E89)+1,"")</f>
        <v/>
      </c>
    </row>
    <row r="91" customFormat="false" ht="15" hidden="false" customHeight="false" outlineLevel="0" collapsed="false">
      <c r="A91" s="28"/>
      <c r="B91" s="27"/>
      <c r="C91" s="26"/>
      <c r="D91" s="26"/>
      <c r="E91" s="0" t="str">
        <f aca="false">IF(AND(N(A91)&gt;'Weekly Report'!$C$5,N(A91)&lt;='Weekly Report'!$C$4),COUNT(E$4:E90)+1,"")</f>
        <v/>
      </c>
    </row>
    <row r="92" customFormat="false" ht="15" hidden="false" customHeight="false" outlineLevel="0" collapsed="false">
      <c r="A92" s="28"/>
      <c r="B92" s="27"/>
      <c r="C92" s="26"/>
      <c r="D92" s="26"/>
      <c r="E92" s="0" t="str">
        <f aca="false">IF(AND(N(A92)&gt;'Weekly Report'!$C$5,N(A92)&lt;='Weekly Report'!$C$4),COUNT(E$4:E91)+1,"")</f>
        <v/>
      </c>
    </row>
    <row r="93" customFormat="false" ht="15" hidden="false" customHeight="false" outlineLevel="0" collapsed="false">
      <c r="A93" s="28"/>
      <c r="B93" s="27"/>
      <c r="C93" s="26"/>
      <c r="D93" s="26"/>
      <c r="E93" s="0" t="str">
        <f aca="false">IF(AND(N(A93)&gt;'Weekly Report'!$C$5,N(A93)&lt;='Weekly Report'!$C$4),COUNT(E$4:E92)+1,"")</f>
        <v/>
      </c>
    </row>
    <row r="94" customFormat="false" ht="15" hidden="false" customHeight="false" outlineLevel="0" collapsed="false">
      <c r="A94" s="28"/>
      <c r="B94" s="27"/>
      <c r="C94" s="26"/>
      <c r="D94" s="26"/>
      <c r="E94" s="0" t="str">
        <f aca="false">IF(AND(N(A94)&gt;'Weekly Report'!$C$5,N(A94)&lt;='Weekly Report'!$C$4),COUNT(E$4:E93)+1,"")</f>
        <v/>
      </c>
    </row>
    <row r="95" customFormat="false" ht="15" hidden="false" customHeight="false" outlineLevel="0" collapsed="false">
      <c r="A95" s="28"/>
      <c r="B95" s="27"/>
      <c r="C95" s="26"/>
      <c r="D95" s="26"/>
      <c r="E95" s="0" t="str">
        <f aca="false">IF(AND(N(A95)&gt;'Weekly Report'!$C$5,N(A95)&lt;='Weekly Report'!$C$4),COUNT(E$4:E94)+1,"")</f>
        <v/>
      </c>
    </row>
    <row r="96" customFormat="false" ht="15" hidden="false" customHeight="false" outlineLevel="0" collapsed="false">
      <c r="A96" s="28"/>
      <c r="B96" s="27"/>
      <c r="C96" s="26"/>
      <c r="D96" s="26"/>
      <c r="E96" s="0" t="str">
        <f aca="false">IF(AND(N(A96)&gt;'Weekly Report'!$C$5,N(A96)&lt;='Weekly Report'!$C$4),COUNT(E$4:E95)+1,"")</f>
        <v/>
      </c>
    </row>
    <row r="97" customFormat="false" ht="15" hidden="false" customHeight="false" outlineLevel="0" collapsed="false">
      <c r="A97" s="28"/>
      <c r="B97" s="27"/>
      <c r="C97" s="26"/>
      <c r="D97" s="26"/>
      <c r="E97" s="0" t="str">
        <f aca="false">IF(AND(N(A97)&gt;'Weekly Report'!$C$5,N(A97)&lt;='Weekly Report'!$C$4),COUNT(E$4:E96)+1,"")</f>
        <v/>
      </c>
    </row>
    <row r="98" customFormat="false" ht="15" hidden="false" customHeight="false" outlineLevel="0" collapsed="false">
      <c r="A98" s="28"/>
      <c r="B98" s="27"/>
      <c r="C98" s="26"/>
      <c r="D98" s="26"/>
      <c r="E98" s="0" t="str">
        <f aca="false">IF(AND(N(A98)&gt;'Weekly Report'!$C$5,N(A98)&lt;='Weekly Report'!$C$4),COUNT(E$4:E97)+1,"")</f>
        <v/>
      </c>
    </row>
    <row r="99" customFormat="false" ht="15" hidden="false" customHeight="false" outlineLevel="0" collapsed="false">
      <c r="A99" s="28"/>
      <c r="B99" s="27"/>
      <c r="C99" s="26"/>
      <c r="D99" s="26"/>
      <c r="E99" s="0" t="str">
        <f aca="false">IF(AND(N(A99)&gt;'Weekly Report'!$C$5,N(A99)&lt;='Weekly Report'!$C$4),COUNT(E$4:E98)+1,"")</f>
        <v/>
      </c>
    </row>
    <row r="100" customFormat="false" ht="15" hidden="false" customHeight="false" outlineLevel="0" collapsed="false">
      <c r="A100" s="28"/>
      <c r="B100" s="27"/>
      <c r="C100" s="26"/>
      <c r="D100" s="26"/>
      <c r="E100" s="0" t="str">
        <f aca="false">IF(AND(N(A100)&gt;'Weekly Report'!$C$5,N(A100)&lt;='Weekly Report'!$C$4),COUNT(E$4:E99)+1,"")</f>
        <v/>
      </c>
    </row>
    <row r="101" customFormat="false" ht="15" hidden="false" customHeight="false" outlineLevel="0" collapsed="false">
      <c r="A101" s="28"/>
      <c r="B101" s="27"/>
      <c r="C101" s="26"/>
      <c r="D101" s="26"/>
      <c r="E101" s="0" t="str">
        <f aca="false">IF(AND(N(A101)&gt;'Weekly Report'!$C$5,N(A101)&lt;='Weekly Report'!$C$4),COUNT(E$4:E100)+1,"")</f>
        <v/>
      </c>
    </row>
    <row r="102" customFormat="false" ht="15" hidden="false" customHeight="false" outlineLevel="0" collapsed="false">
      <c r="A102" s="28"/>
      <c r="B102" s="27"/>
      <c r="C102" s="26"/>
      <c r="D102" s="26"/>
      <c r="E102" s="0" t="str">
        <f aca="false">IF(AND(N(A102)&gt;'Weekly Report'!$C$5,N(A102)&lt;='Weekly Report'!$C$4),COUNT(E$4:E101)+1,"")</f>
        <v/>
      </c>
    </row>
    <row r="103" customFormat="false" ht="15" hidden="false" customHeight="false" outlineLevel="0" collapsed="false">
      <c r="A103" s="28"/>
      <c r="B103" s="27"/>
      <c r="C103" s="26"/>
      <c r="D103" s="26"/>
      <c r="E103" s="0" t="str">
        <f aca="false">IF(AND(N(A103)&gt;'Weekly Report'!$C$5,N(A103)&lt;='Weekly Report'!$C$4),COUNT(E$4:E102)+1,"")</f>
        <v/>
      </c>
    </row>
    <row r="104" customFormat="false" ht="15" hidden="false" customHeight="false" outlineLevel="0" collapsed="false">
      <c r="A104" s="28"/>
      <c r="B104" s="27"/>
      <c r="C104" s="26"/>
      <c r="D104" s="26"/>
      <c r="E104" s="0" t="str">
        <f aca="false">IF(AND(N(A104)&gt;'Weekly Report'!$C$5,N(A104)&lt;='Weekly Report'!$C$4),COUNT(E$4:E103)+1,"")</f>
        <v/>
      </c>
    </row>
    <row r="105" customFormat="false" ht="15" hidden="false" customHeight="false" outlineLevel="0" collapsed="false">
      <c r="A105" s="28"/>
      <c r="B105" s="27"/>
      <c r="C105" s="26"/>
      <c r="D105" s="26"/>
      <c r="E105" s="0" t="str">
        <f aca="false">IF(AND(N(A105)&gt;'Weekly Report'!$C$5,N(A105)&lt;='Weekly Report'!$C$4),COUNT(E$4:E104)+1,"")</f>
        <v/>
      </c>
    </row>
    <row r="106" customFormat="false" ht="15" hidden="false" customHeight="false" outlineLevel="0" collapsed="false">
      <c r="A106" s="28"/>
      <c r="B106" s="27"/>
      <c r="C106" s="26"/>
      <c r="D106" s="26"/>
      <c r="E106" s="0" t="str">
        <f aca="false">IF(AND(N(A106)&gt;'Weekly Report'!$C$5,N(A106)&lt;='Weekly Report'!$C$4),COUNT(E$4:E105)+1,"")</f>
        <v/>
      </c>
    </row>
    <row r="107" customFormat="false" ht="15" hidden="false" customHeight="false" outlineLevel="0" collapsed="false">
      <c r="A107" s="28"/>
      <c r="B107" s="27"/>
      <c r="C107" s="26"/>
      <c r="D107" s="26"/>
      <c r="E107" s="0" t="str">
        <f aca="false">IF(AND(N(A107)&gt;'Weekly Report'!$C$5,N(A107)&lt;='Weekly Report'!$C$4),COUNT(E$4:E106)+1,"")</f>
        <v/>
      </c>
    </row>
    <row r="108" customFormat="false" ht="15" hidden="false" customHeight="false" outlineLevel="0" collapsed="false">
      <c r="A108" s="28"/>
      <c r="B108" s="27"/>
      <c r="C108" s="26"/>
      <c r="D108" s="26"/>
      <c r="E108" s="0" t="str">
        <f aca="false">IF(AND(N(A108)&gt;'Weekly Report'!$C$5,N(A108)&lt;='Weekly Report'!$C$4),COUNT(E$4:E107)+1,"")</f>
        <v/>
      </c>
    </row>
    <row r="109" customFormat="false" ht="15" hidden="false" customHeight="false" outlineLevel="0" collapsed="false">
      <c r="A109" s="28"/>
      <c r="B109" s="27"/>
      <c r="C109" s="26"/>
      <c r="D109" s="26"/>
      <c r="E109" s="0" t="str">
        <f aca="false">IF(AND(N(A109)&gt;'Weekly Report'!$C$5,N(A109)&lt;='Weekly Report'!$C$4),COUNT(E$4:E108)+1,"")</f>
        <v/>
      </c>
    </row>
    <row r="110" customFormat="false" ht="15" hidden="false" customHeight="false" outlineLevel="0" collapsed="false">
      <c r="A110" s="28"/>
      <c r="B110" s="27"/>
      <c r="C110" s="26"/>
      <c r="D110" s="26"/>
      <c r="E110" s="0" t="str">
        <f aca="false">IF(AND(N(A110)&gt;'Weekly Report'!$C$5,N(A110)&lt;='Weekly Report'!$C$4),COUNT(E$4:E109)+1,"")</f>
        <v/>
      </c>
    </row>
    <row r="111" customFormat="false" ht="15" hidden="false" customHeight="false" outlineLevel="0" collapsed="false">
      <c r="A111" s="28"/>
      <c r="B111" s="27"/>
      <c r="C111" s="26"/>
      <c r="D111" s="26"/>
      <c r="E111" s="0" t="str">
        <f aca="false">IF(AND(N(A111)&gt;'Weekly Report'!$C$5,N(A111)&lt;='Weekly Report'!$C$4),COUNT(E$4:E110)+1,"")</f>
        <v/>
      </c>
    </row>
    <row r="112" customFormat="false" ht="15" hidden="false" customHeight="false" outlineLevel="0" collapsed="false">
      <c r="A112" s="28"/>
      <c r="B112" s="27"/>
      <c r="C112" s="26"/>
      <c r="D112" s="26"/>
      <c r="E112" s="0" t="str">
        <f aca="false">IF(AND(N(A112)&gt;'Weekly Report'!$C$5,N(A112)&lt;='Weekly Report'!$C$4),COUNT(E$4:E111)+1,"")</f>
        <v/>
      </c>
    </row>
    <row r="113" customFormat="false" ht="15" hidden="false" customHeight="false" outlineLevel="0" collapsed="false">
      <c r="A113" s="28"/>
      <c r="B113" s="27"/>
      <c r="C113" s="26"/>
      <c r="D113" s="26"/>
      <c r="E113" s="0" t="str">
        <f aca="false">IF(AND(N(A113)&gt;'Weekly Report'!$C$5,N(A113)&lt;='Weekly Report'!$C$4),COUNT(E$4:E112)+1,"")</f>
        <v/>
      </c>
    </row>
    <row r="114" customFormat="false" ht="15" hidden="false" customHeight="false" outlineLevel="0" collapsed="false">
      <c r="A114" s="28"/>
      <c r="B114" s="27"/>
      <c r="C114" s="26"/>
      <c r="D114" s="26"/>
      <c r="E114" s="0" t="str">
        <f aca="false">IF(AND(N(A114)&gt;'Weekly Report'!$C$5,N(A114)&lt;='Weekly Report'!$C$4),COUNT(E$4:E113)+1,"")</f>
        <v/>
      </c>
    </row>
    <row r="115" customFormat="false" ht="15" hidden="false" customHeight="false" outlineLevel="0" collapsed="false">
      <c r="A115" s="28"/>
      <c r="B115" s="27"/>
      <c r="C115" s="26"/>
      <c r="D115" s="26"/>
      <c r="E115" s="0" t="str">
        <f aca="false">IF(AND(N(A115)&gt;'Weekly Report'!$C$5,N(A115)&lt;='Weekly Report'!$C$4),COUNT(E$4:E114)+1,"")</f>
        <v/>
      </c>
    </row>
    <row r="116" customFormat="false" ht="15" hidden="false" customHeight="false" outlineLevel="0" collapsed="false">
      <c r="A116" s="28"/>
      <c r="B116" s="27"/>
      <c r="C116" s="26"/>
      <c r="D116" s="26"/>
      <c r="E116" s="0" t="str">
        <f aca="false">IF(AND(N(A116)&gt;'Weekly Report'!$C$5,N(A116)&lt;='Weekly Report'!$C$4),COUNT(E$4:E115)+1,"")</f>
        <v/>
      </c>
    </row>
    <row r="117" customFormat="false" ht="15" hidden="false" customHeight="false" outlineLevel="0" collapsed="false">
      <c r="A117" s="28"/>
      <c r="B117" s="27"/>
      <c r="C117" s="26"/>
      <c r="D117" s="26"/>
      <c r="E117" s="0" t="str">
        <f aca="false">IF(AND(N(A117)&gt;'Weekly Report'!$C$5,N(A117)&lt;='Weekly Report'!$C$4),COUNT(E$4:E116)+1,"")</f>
        <v/>
      </c>
    </row>
    <row r="118" customFormat="false" ht="15" hidden="false" customHeight="false" outlineLevel="0" collapsed="false">
      <c r="A118" s="28"/>
      <c r="B118" s="27"/>
      <c r="C118" s="26"/>
      <c r="D118" s="26"/>
      <c r="E118" s="0" t="str">
        <f aca="false">IF(AND(N(A118)&gt;'Weekly Report'!$C$5,N(A118)&lt;='Weekly Report'!$C$4),COUNT(E$4:E117)+1,"")</f>
        <v/>
      </c>
    </row>
    <row r="119" customFormat="false" ht="15" hidden="false" customHeight="false" outlineLevel="0" collapsed="false">
      <c r="A119" s="28"/>
      <c r="B119" s="27"/>
      <c r="C119" s="26"/>
      <c r="D119" s="26"/>
      <c r="E119" s="0" t="str">
        <f aca="false">IF(AND(N(A119)&gt;'Weekly Report'!$C$5,N(A119)&lt;='Weekly Report'!$C$4),COUNT(E$4:E118)+1,"")</f>
        <v/>
      </c>
    </row>
    <row r="120" customFormat="false" ht="15" hidden="false" customHeight="false" outlineLevel="0" collapsed="false">
      <c r="A120" s="28"/>
      <c r="B120" s="27"/>
      <c r="C120" s="26"/>
      <c r="D120" s="26"/>
      <c r="E120" s="0" t="str">
        <f aca="false">IF(AND(N(A120)&gt;'Weekly Report'!$C$5,N(A120)&lt;='Weekly Report'!$C$4),COUNT(E$4:E119)+1,"")</f>
        <v/>
      </c>
    </row>
    <row r="121" customFormat="false" ht="15" hidden="false" customHeight="false" outlineLevel="0" collapsed="false">
      <c r="A121" s="28"/>
      <c r="B121" s="27"/>
      <c r="C121" s="26"/>
      <c r="D121" s="26"/>
      <c r="E121" s="0" t="str">
        <f aca="false">IF(AND(N(A121)&gt;'Weekly Report'!$C$5,N(A121)&lt;='Weekly Report'!$C$4),COUNT(E$4:E120)+1,"")</f>
        <v/>
      </c>
    </row>
    <row r="122" customFormat="false" ht="15" hidden="false" customHeight="false" outlineLevel="0" collapsed="false">
      <c r="A122" s="28"/>
      <c r="B122" s="27"/>
      <c r="C122" s="26"/>
      <c r="D122" s="26"/>
      <c r="E122" s="0" t="str">
        <f aca="false">IF(AND(N(A122)&gt;'Weekly Report'!$C$5,N(A122)&lt;='Weekly Report'!$C$4),COUNT(E$4:E121)+1,"")</f>
        <v/>
      </c>
    </row>
    <row r="123" customFormat="false" ht="15" hidden="false" customHeight="false" outlineLevel="0" collapsed="false">
      <c r="A123" s="28"/>
      <c r="B123" s="27"/>
      <c r="C123" s="26"/>
      <c r="D123" s="26"/>
      <c r="E123" s="0" t="str">
        <f aca="false">IF(AND(N(A123)&gt;'Weekly Report'!$C$5,N(A123)&lt;='Weekly Report'!$C$4),COUNT(E$4:E122)+1,"")</f>
        <v/>
      </c>
    </row>
    <row r="124" customFormat="false" ht="15" hidden="false" customHeight="false" outlineLevel="0" collapsed="false">
      <c r="A124" s="28"/>
      <c r="B124" s="27"/>
      <c r="C124" s="26"/>
      <c r="D124" s="26"/>
      <c r="E124" s="0" t="str">
        <f aca="false">IF(AND(N(A124)&gt;'Weekly Report'!$C$5,N(A124)&lt;='Weekly Report'!$C$4),COUNT(E$4:E123)+1,"")</f>
        <v/>
      </c>
    </row>
    <row r="125" customFormat="false" ht="15" hidden="false" customHeight="false" outlineLevel="0" collapsed="false">
      <c r="A125" s="28"/>
      <c r="B125" s="27"/>
      <c r="C125" s="26"/>
      <c r="D125" s="26"/>
      <c r="E125" s="0" t="str">
        <f aca="false">IF(AND(N(A125)&gt;'Weekly Report'!$C$5,N(A125)&lt;='Weekly Report'!$C$4),COUNT(E$4:E124)+1,"")</f>
        <v/>
      </c>
    </row>
    <row r="126" customFormat="false" ht="15" hidden="false" customHeight="false" outlineLevel="0" collapsed="false">
      <c r="A126" s="28"/>
      <c r="B126" s="27"/>
      <c r="C126" s="26"/>
      <c r="D126" s="26"/>
      <c r="E126" s="0" t="str">
        <f aca="false">IF(AND(N(A126)&gt;'Weekly Report'!$C$5,N(A126)&lt;='Weekly Report'!$C$4),COUNT(E$4:E125)+1,"")</f>
        <v/>
      </c>
    </row>
    <row r="127" customFormat="false" ht="15" hidden="false" customHeight="false" outlineLevel="0" collapsed="false">
      <c r="A127" s="28"/>
      <c r="B127" s="27"/>
      <c r="C127" s="26"/>
      <c r="D127" s="26"/>
      <c r="E127" s="0" t="str">
        <f aca="false">IF(AND(N(A127)&gt;'Weekly Report'!$C$5,N(A127)&lt;='Weekly Report'!$C$4),COUNT(E$4:E126)+1,"")</f>
        <v/>
      </c>
    </row>
    <row r="128" customFormat="false" ht="15" hidden="false" customHeight="false" outlineLevel="0" collapsed="false">
      <c r="A128" s="28"/>
      <c r="B128" s="27"/>
      <c r="C128" s="26"/>
      <c r="D128" s="26"/>
      <c r="E128" s="0" t="str">
        <f aca="false">IF(AND(N(A128)&gt;'Weekly Report'!$C$5,N(A128)&lt;='Weekly Report'!$C$4),COUNT(E$4:E127)+1,"")</f>
        <v/>
      </c>
    </row>
    <row r="129" customFormat="false" ht="15" hidden="false" customHeight="false" outlineLevel="0" collapsed="false">
      <c r="A129" s="28"/>
      <c r="B129" s="27"/>
      <c r="C129" s="26"/>
      <c r="D129" s="26"/>
      <c r="E129" s="0" t="str">
        <f aca="false">IF(AND(N(A129)&gt;'Weekly Report'!$C$5,N(A129)&lt;='Weekly Report'!$C$4),COUNT(E$4:E128)+1,"")</f>
        <v/>
      </c>
    </row>
    <row r="130" customFormat="false" ht="15" hidden="false" customHeight="false" outlineLevel="0" collapsed="false">
      <c r="A130" s="28"/>
      <c r="B130" s="27"/>
      <c r="C130" s="26"/>
      <c r="D130" s="26"/>
      <c r="E130" s="0" t="str">
        <f aca="false">IF(AND(N(A130)&gt;'Weekly Report'!$C$5,N(A130)&lt;='Weekly Report'!$C$4),COUNT(E$4:E129)+1,"")</f>
        <v/>
      </c>
    </row>
    <row r="131" customFormat="false" ht="15" hidden="false" customHeight="false" outlineLevel="0" collapsed="false">
      <c r="A131" s="28"/>
      <c r="B131" s="27"/>
      <c r="C131" s="26"/>
      <c r="D131" s="26"/>
      <c r="E131" s="0" t="str">
        <f aca="false">IF(AND(N(A131)&gt;'Weekly Report'!$C$5,N(A131)&lt;='Weekly Report'!$C$4),COUNT(E$4:E130)+1,"")</f>
        <v/>
      </c>
    </row>
    <row r="132" customFormat="false" ht="15" hidden="false" customHeight="false" outlineLevel="0" collapsed="false">
      <c r="A132" s="28"/>
      <c r="B132" s="27"/>
      <c r="C132" s="26"/>
      <c r="D132" s="26"/>
      <c r="E132" s="0" t="str">
        <f aca="false">IF(AND(N(A132)&gt;'Weekly Report'!$C$5,N(A132)&lt;='Weekly Report'!$C$4),COUNT(E$4:E131)+1,"")</f>
        <v/>
      </c>
    </row>
    <row r="133" customFormat="false" ht="15" hidden="false" customHeight="false" outlineLevel="0" collapsed="false">
      <c r="A133" s="28"/>
      <c r="B133" s="27"/>
      <c r="C133" s="26"/>
      <c r="D133" s="26"/>
      <c r="E133" s="0" t="str">
        <f aca="false">IF(AND(N(A133)&gt;'Weekly Report'!$C$5,N(A133)&lt;='Weekly Report'!$C$4),COUNT(E$4:E132)+1,"")</f>
        <v/>
      </c>
    </row>
    <row r="134" customFormat="false" ht="15" hidden="false" customHeight="false" outlineLevel="0" collapsed="false">
      <c r="A134" s="28"/>
      <c r="B134" s="27"/>
      <c r="C134" s="26"/>
      <c r="D134" s="26"/>
      <c r="E134" s="0" t="str">
        <f aca="false">IF(AND(N(A134)&gt;'Weekly Report'!$C$5,N(A134)&lt;='Weekly Report'!$C$4),COUNT(E$4:E133)+1,"")</f>
        <v/>
      </c>
    </row>
    <row r="135" customFormat="false" ht="15" hidden="false" customHeight="false" outlineLevel="0" collapsed="false">
      <c r="A135" s="28"/>
      <c r="B135" s="27"/>
      <c r="C135" s="26"/>
      <c r="D135" s="26"/>
      <c r="E135" s="0" t="str">
        <f aca="false">IF(AND(N(A135)&gt;'Weekly Report'!$C$5,N(A135)&lt;='Weekly Report'!$C$4),COUNT(E$4:E134)+1,"")</f>
        <v/>
      </c>
    </row>
    <row r="136" customFormat="false" ht="15" hidden="false" customHeight="false" outlineLevel="0" collapsed="false">
      <c r="A136" s="28"/>
      <c r="B136" s="27"/>
      <c r="C136" s="26"/>
      <c r="D136" s="26"/>
      <c r="E136" s="0" t="str">
        <f aca="false">IF(AND(N(A136)&gt;'Weekly Report'!$C$5,N(A136)&lt;='Weekly Report'!$C$4),COUNT(E$4:E135)+1,"")</f>
        <v/>
      </c>
    </row>
    <row r="137" customFormat="false" ht="15" hidden="false" customHeight="false" outlineLevel="0" collapsed="false">
      <c r="A137" s="28"/>
      <c r="B137" s="27"/>
      <c r="C137" s="26"/>
      <c r="D137" s="26"/>
      <c r="E137" s="0" t="str">
        <f aca="false">IF(AND(N(A137)&gt;'Weekly Report'!$C$5,N(A137)&lt;='Weekly Report'!$C$4),COUNT(E$4:E136)+1,"")</f>
        <v/>
      </c>
    </row>
    <row r="138" customFormat="false" ht="15" hidden="false" customHeight="false" outlineLevel="0" collapsed="false">
      <c r="A138" s="28"/>
      <c r="B138" s="27"/>
      <c r="C138" s="26"/>
      <c r="D138" s="26"/>
      <c r="E138" s="0" t="str">
        <f aca="false">IF(AND(N(A138)&gt;'Weekly Report'!$C$5,N(A138)&lt;='Weekly Report'!$C$4),COUNT(E$4:E137)+1,"")</f>
        <v/>
      </c>
    </row>
    <row r="139" customFormat="false" ht="15" hidden="false" customHeight="false" outlineLevel="0" collapsed="false">
      <c r="A139" s="28"/>
      <c r="B139" s="27"/>
      <c r="C139" s="26"/>
      <c r="D139" s="26"/>
      <c r="E139" s="0" t="str">
        <f aca="false">IF(AND(N(A139)&gt;'Weekly Report'!$C$5,N(A139)&lt;='Weekly Report'!$C$4),COUNT(E$4:E138)+1,"")</f>
        <v/>
      </c>
    </row>
    <row r="140" customFormat="false" ht="15" hidden="false" customHeight="false" outlineLevel="0" collapsed="false">
      <c r="A140" s="28"/>
      <c r="B140" s="27"/>
      <c r="C140" s="26"/>
      <c r="D140" s="26"/>
      <c r="E140" s="0" t="str">
        <f aca="false">IF(AND(N(A140)&gt;'Weekly Report'!$C$5,N(A140)&lt;='Weekly Report'!$C$4),COUNT(E$4:E139)+1,"")</f>
        <v/>
      </c>
    </row>
    <row r="141" customFormat="false" ht="15" hidden="false" customHeight="false" outlineLevel="0" collapsed="false">
      <c r="A141" s="28"/>
      <c r="B141" s="27"/>
      <c r="C141" s="26"/>
      <c r="D141" s="26"/>
      <c r="E141" s="0" t="str">
        <f aca="false">IF(AND(N(A141)&gt;'Weekly Report'!$C$5,N(A141)&lt;='Weekly Report'!$C$4),COUNT(E$4:E140)+1,"")</f>
        <v/>
      </c>
    </row>
    <row r="142" customFormat="false" ht="15" hidden="false" customHeight="false" outlineLevel="0" collapsed="false">
      <c r="A142" s="28"/>
      <c r="B142" s="27"/>
      <c r="C142" s="26"/>
      <c r="D142" s="26"/>
      <c r="E142" s="0" t="str">
        <f aca="false">IF(AND(N(A142)&gt;'Weekly Report'!$C$5,N(A142)&lt;='Weekly Report'!$C$4),COUNT(E$4:E141)+1,"")</f>
        <v/>
      </c>
    </row>
    <row r="143" customFormat="false" ht="15" hidden="false" customHeight="false" outlineLevel="0" collapsed="false">
      <c r="A143" s="28"/>
      <c r="B143" s="27"/>
      <c r="C143" s="26"/>
      <c r="D143" s="26"/>
      <c r="E143" s="0" t="str">
        <f aca="false">IF(AND(N(A143)&gt;'Weekly Report'!$C$5,N(A143)&lt;='Weekly Report'!$C$4),COUNT(E$4:E142)+1,"")</f>
        <v/>
      </c>
    </row>
    <row r="144" customFormat="false" ht="15" hidden="false" customHeight="false" outlineLevel="0" collapsed="false">
      <c r="A144" s="28"/>
      <c r="B144" s="27"/>
      <c r="C144" s="26"/>
      <c r="D144" s="26"/>
      <c r="E144" s="0" t="str">
        <f aca="false">IF(AND(N(A144)&gt;'Weekly Report'!$C$5,N(A144)&lt;='Weekly Report'!$C$4),COUNT(E$4:E143)+1,"")</f>
        <v/>
      </c>
    </row>
    <row r="145" customFormat="false" ht="15" hidden="false" customHeight="false" outlineLevel="0" collapsed="false">
      <c r="A145" s="28"/>
      <c r="B145" s="27"/>
      <c r="C145" s="26"/>
      <c r="D145" s="26"/>
      <c r="E145" s="0" t="str">
        <f aca="false">IF(AND(N(A145)&gt;'Weekly Report'!$C$5,N(A145)&lt;='Weekly Report'!$C$4),COUNT(E$4:E144)+1,"")</f>
        <v/>
      </c>
    </row>
    <row r="146" customFormat="false" ht="15" hidden="false" customHeight="false" outlineLevel="0" collapsed="false">
      <c r="A146" s="28"/>
      <c r="B146" s="27"/>
      <c r="C146" s="26"/>
      <c r="D146" s="26"/>
      <c r="E146" s="0" t="str">
        <f aca="false">IF(AND(N(A146)&gt;'Weekly Report'!$C$5,N(A146)&lt;='Weekly Report'!$C$4),COUNT(E$4:E145)+1,"")</f>
        <v/>
      </c>
    </row>
    <row r="147" customFormat="false" ht="15" hidden="false" customHeight="false" outlineLevel="0" collapsed="false">
      <c r="A147" s="28"/>
      <c r="B147" s="27"/>
      <c r="C147" s="26"/>
      <c r="D147" s="26"/>
      <c r="E147" s="0" t="str">
        <f aca="false">IF(AND(N(A147)&gt;'Weekly Report'!$C$5,N(A147)&lt;='Weekly Report'!$C$4),COUNT(E$4:E146)+1,"")</f>
        <v/>
      </c>
    </row>
    <row r="148" customFormat="false" ht="15" hidden="false" customHeight="false" outlineLevel="0" collapsed="false">
      <c r="A148" s="28"/>
      <c r="B148" s="27"/>
      <c r="C148" s="26"/>
      <c r="D148" s="26"/>
      <c r="E148" s="0" t="str">
        <f aca="false">IF(AND(N(A148)&gt;'Weekly Report'!$C$5,N(A148)&lt;='Weekly Report'!$C$4),COUNT(E$4:E147)+1,"")</f>
        <v/>
      </c>
    </row>
    <row r="149" customFormat="false" ht="15" hidden="false" customHeight="false" outlineLevel="0" collapsed="false">
      <c r="A149" s="28"/>
      <c r="B149" s="27"/>
      <c r="C149" s="26"/>
      <c r="D149" s="26"/>
      <c r="E149" s="0" t="str">
        <f aca="false">IF(AND(N(A149)&gt;'Weekly Report'!$C$5,N(A149)&lt;='Weekly Report'!$C$4),COUNT(E$4:E148)+1,"")</f>
        <v/>
      </c>
    </row>
    <row r="150" customFormat="false" ht="15" hidden="false" customHeight="false" outlineLevel="0" collapsed="false">
      <c r="A150" s="28"/>
      <c r="B150" s="27"/>
      <c r="C150" s="26"/>
      <c r="D150" s="26"/>
      <c r="E150" s="0" t="str">
        <f aca="false">IF(AND(N(A150)&gt;'Weekly Report'!$C$5,N(A150)&lt;='Weekly Report'!$C$4),COUNT(E$4:E149)+1,"")</f>
        <v/>
      </c>
    </row>
    <row r="151" customFormat="false" ht="15" hidden="false" customHeight="false" outlineLevel="0" collapsed="false">
      <c r="A151" s="28"/>
      <c r="B151" s="27"/>
      <c r="C151" s="26"/>
      <c r="D151" s="26"/>
      <c r="E151" s="0" t="str">
        <f aca="false">IF(AND(N(A151)&gt;'Weekly Report'!$C$5,N(A151)&lt;='Weekly Report'!$C$4),COUNT(E$4:E150)+1,"")</f>
        <v/>
      </c>
    </row>
    <row r="152" customFormat="false" ht="15" hidden="false" customHeight="false" outlineLevel="0" collapsed="false">
      <c r="A152" s="28"/>
      <c r="B152" s="27"/>
      <c r="C152" s="26"/>
      <c r="D152" s="26"/>
      <c r="E152" s="0" t="str">
        <f aca="false">IF(AND(N(A152)&gt;'Weekly Report'!$C$5,N(A152)&lt;='Weekly Report'!$C$4),COUNT(E$4:E151)+1,"")</f>
        <v/>
      </c>
    </row>
    <row r="153" customFormat="false" ht="15" hidden="false" customHeight="false" outlineLevel="0" collapsed="false">
      <c r="A153" s="28"/>
      <c r="B153" s="27"/>
      <c r="C153" s="26"/>
      <c r="D153" s="26"/>
      <c r="E153" s="0" t="str">
        <f aca="false">IF(AND(N(A153)&gt;'Weekly Report'!$C$5,N(A153)&lt;='Weekly Report'!$C$4),COUNT(E$4:E152)+1,"")</f>
        <v/>
      </c>
    </row>
    <row r="154" customFormat="false" ht="15" hidden="false" customHeight="false" outlineLevel="0" collapsed="false">
      <c r="A154" s="28"/>
      <c r="B154" s="27"/>
      <c r="C154" s="26"/>
      <c r="D154" s="26"/>
      <c r="E154" s="0" t="str">
        <f aca="false">IF(AND(N(A154)&gt;'Weekly Report'!$C$5,N(A154)&lt;='Weekly Report'!$C$4),COUNT(E$4:E153)+1,"")</f>
        <v/>
      </c>
    </row>
    <row r="155" customFormat="false" ht="15" hidden="false" customHeight="false" outlineLevel="0" collapsed="false">
      <c r="A155" s="28"/>
      <c r="B155" s="27"/>
      <c r="C155" s="26"/>
      <c r="D155" s="26"/>
      <c r="E155" s="0" t="str">
        <f aca="false">IF(AND(N(A155)&gt;'Weekly Report'!$C$5,N(A155)&lt;='Weekly Report'!$C$4),COUNT(E$4:E154)+1,"")</f>
        <v/>
      </c>
    </row>
    <row r="156" customFormat="false" ht="15" hidden="false" customHeight="false" outlineLevel="0" collapsed="false">
      <c r="A156" s="28"/>
      <c r="B156" s="27"/>
      <c r="C156" s="26"/>
      <c r="D156" s="26"/>
      <c r="E156" s="0" t="str">
        <f aca="false">IF(AND(N(A156)&gt;'Weekly Report'!$C$5,N(A156)&lt;='Weekly Report'!$C$4),COUNT(E$4:E155)+1,"")</f>
        <v/>
      </c>
    </row>
    <row r="157" customFormat="false" ht="15" hidden="false" customHeight="false" outlineLevel="0" collapsed="false">
      <c r="A157" s="28"/>
      <c r="B157" s="27"/>
      <c r="C157" s="26"/>
      <c r="D157" s="26"/>
      <c r="E157" s="0" t="str">
        <f aca="false">IF(AND(N(A157)&gt;'Weekly Report'!$C$5,N(A157)&lt;='Weekly Report'!$C$4),COUNT(E$4:E156)+1,"")</f>
        <v/>
      </c>
    </row>
    <row r="158" customFormat="false" ht="15" hidden="false" customHeight="false" outlineLevel="0" collapsed="false">
      <c r="A158" s="28"/>
      <c r="B158" s="27"/>
      <c r="C158" s="26"/>
      <c r="D158" s="26"/>
      <c r="E158" s="0" t="str">
        <f aca="false">IF(AND(N(A158)&gt;'Weekly Report'!$C$5,N(A158)&lt;='Weekly Report'!$C$4),COUNT(E$4:E157)+1,"")</f>
        <v/>
      </c>
    </row>
    <row r="159" customFormat="false" ht="15" hidden="false" customHeight="false" outlineLevel="0" collapsed="false">
      <c r="A159" s="28"/>
      <c r="B159" s="27"/>
      <c r="C159" s="26"/>
      <c r="D159" s="26"/>
      <c r="E159" s="0" t="str">
        <f aca="false">IF(AND(N(A159)&gt;'Weekly Report'!$C$5,N(A159)&lt;='Weekly Report'!$C$4),COUNT(E$4:E158)+1,"")</f>
        <v/>
      </c>
    </row>
    <row r="160" customFormat="false" ht="15" hidden="false" customHeight="false" outlineLevel="0" collapsed="false">
      <c r="A160" s="28"/>
      <c r="B160" s="27"/>
      <c r="C160" s="26"/>
      <c r="D160" s="26"/>
      <c r="E160" s="0" t="str">
        <f aca="false">IF(AND(N(A160)&gt;'Weekly Report'!$C$5,N(A160)&lt;='Weekly Report'!$C$4),COUNT(E$4:E159)+1,"")</f>
        <v/>
      </c>
    </row>
    <row r="161" customFormat="false" ht="15" hidden="false" customHeight="false" outlineLevel="0" collapsed="false">
      <c r="A161" s="28"/>
      <c r="B161" s="27"/>
      <c r="C161" s="26"/>
      <c r="D161" s="26"/>
      <c r="E161" s="0" t="str">
        <f aca="false">IF(AND(N(A161)&gt;'Weekly Report'!$C$5,N(A161)&lt;='Weekly Report'!$C$4),COUNT(E$4:E160)+1,"")</f>
        <v/>
      </c>
    </row>
    <row r="162" customFormat="false" ht="15" hidden="false" customHeight="false" outlineLevel="0" collapsed="false">
      <c r="A162" s="28"/>
      <c r="B162" s="27"/>
      <c r="C162" s="26"/>
      <c r="D162" s="26"/>
      <c r="E162" s="0" t="str">
        <f aca="false">IF(AND(N(A162)&gt;'Weekly Report'!$C$5,N(A162)&lt;='Weekly Report'!$C$4),COUNT(E$4:E161)+1,"")</f>
        <v/>
      </c>
    </row>
    <row r="163" customFormat="false" ht="15" hidden="false" customHeight="false" outlineLevel="0" collapsed="false">
      <c r="A163" s="28"/>
      <c r="B163" s="27"/>
      <c r="C163" s="26"/>
      <c r="D163" s="26"/>
      <c r="E163" s="0" t="str">
        <f aca="false">IF(AND(N(A163)&gt;'Weekly Report'!$C$5,N(A163)&lt;='Weekly Report'!$C$4),COUNT(E$4:E162)+1,"")</f>
        <v/>
      </c>
    </row>
    <row r="164" customFormat="false" ht="15" hidden="false" customHeight="false" outlineLevel="0" collapsed="false">
      <c r="A164" s="28"/>
      <c r="B164" s="27"/>
      <c r="C164" s="26"/>
      <c r="D164" s="26"/>
      <c r="E164" s="0" t="str">
        <f aca="false">IF(AND(N(A164)&gt;'Weekly Report'!$C$5,N(A164)&lt;='Weekly Report'!$C$4),COUNT(E$4:E163)+1,"")</f>
        <v/>
      </c>
    </row>
    <row r="165" customFormat="false" ht="15" hidden="false" customHeight="false" outlineLevel="0" collapsed="false">
      <c r="A165" s="28"/>
      <c r="B165" s="27"/>
      <c r="C165" s="26"/>
      <c r="D165" s="26"/>
      <c r="E165" s="0" t="str">
        <f aca="false">IF(AND(N(A165)&gt;'Weekly Report'!$C$5,N(A165)&lt;='Weekly Report'!$C$4),COUNT(E$4:E164)+1,"")</f>
        <v/>
      </c>
    </row>
    <row r="166" customFormat="false" ht="15" hidden="false" customHeight="false" outlineLevel="0" collapsed="false">
      <c r="A166" s="28"/>
      <c r="B166" s="27"/>
      <c r="C166" s="26"/>
      <c r="D166" s="26"/>
      <c r="E166" s="0" t="str">
        <f aca="false">IF(AND(N(A166)&gt;'Weekly Report'!$C$5,N(A166)&lt;='Weekly Report'!$C$4),COUNT(E$4:E165)+1,"")</f>
        <v/>
      </c>
    </row>
    <row r="167" customFormat="false" ht="15" hidden="false" customHeight="false" outlineLevel="0" collapsed="false">
      <c r="A167" s="28"/>
      <c r="B167" s="27"/>
      <c r="C167" s="26"/>
      <c r="D167" s="26"/>
      <c r="E167" s="0" t="str">
        <f aca="false">IF(AND(N(A167)&gt;'Weekly Report'!$C$5,N(A167)&lt;='Weekly Report'!$C$4),COUNT(E$4:E166)+1,"")</f>
        <v/>
      </c>
    </row>
    <row r="168" customFormat="false" ht="15" hidden="false" customHeight="false" outlineLevel="0" collapsed="false">
      <c r="A168" s="28"/>
      <c r="B168" s="27"/>
      <c r="C168" s="26"/>
      <c r="D168" s="26"/>
      <c r="E168" s="0" t="str">
        <f aca="false">IF(AND(N(A168)&gt;'Weekly Report'!$C$5,N(A168)&lt;='Weekly Report'!$C$4),COUNT(E$4:E167)+1,"")</f>
        <v/>
      </c>
    </row>
    <row r="169" customFormat="false" ht="15" hidden="false" customHeight="false" outlineLevel="0" collapsed="false">
      <c r="A169" s="28"/>
      <c r="B169" s="27"/>
      <c r="C169" s="26"/>
      <c r="D169" s="26"/>
      <c r="E169" s="0" t="str">
        <f aca="false">IF(AND(N(A169)&gt;'Weekly Report'!$C$5,N(A169)&lt;='Weekly Report'!$C$4),COUNT(E$4:E168)+1,"")</f>
        <v/>
      </c>
    </row>
    <row r="170" customFormat="false" ht="15" hidden="false" customHeight="false" outlineLevel="0" collapsed="false">
      <c r="A170" s="28"/>
      <c r="B170" s="27"/>
      <c r="C170" s="26"/>
      <c r="D170" s="26"/>
      <c r="E170" s="0" t="str">
        <f aca="false">IF(AND(N(A170)&gt;'Weekly Report'!$C$5,N(A170)&lt;='Weekly Report'!$C$4),COUNT(E$4:E169)+1,"")</f>
        <v/>
      </c>
    </row>
    <row r="171" customFormat="false" ht="15" hidden="false" customHeight="false" outlineLevel="0" collapsed="false">
      <c r="A171" s="28"/>
      <c r="B171" s="27"/>
      <c r="C171" s="26"/>
      <c r="D171" s="26"/>
      <c r="E171" s="0" t="str">
        <f aca="false">IF(AND(N(A171)&gt;'Weekly Report'!$C$5,N(A171)&lt;='Weekly Report'!$C$4),COUNT(E$4:E170)+1,"")</f>
        <v/>
      </c>
    </row>
    <row r="172" customFormat="false" ht="15" hidden="false" customHeight="false" outlineLevel="0" collapsed="false">
      <c r="A172" s="28"/>
      <c r="B172" s="27"/>
      <c r="C172" s="26"/>
      <c r="D172" s="26"/>
      <c r="E172" s="0" t="str">
        <f aca="false">IF(AND(N(A172)&gt;'Weekly Report'!$C$5,N(A172)&lt;='Weekly Report'!$C$4),COUNT(E$4:E171)+1,"")</f>
        <v/>
      </c>
    </row>
    <row r="173" customFormat="false" ht="15" hidden="false" customHeight="false" outlineLevel="0" collapsed="false">
      <c r="A173" s="28"/>
      <c r="B173" s="27"/>
      <c r="C173" s="26"/>
      <c r="D173" s="26"/>
      <c r="E173" s="0" t="str">
        <f aca="false">IF(AND(N(A173)&gt;'Weekly Report'!$C$5,N(A173)&lt;='Weekly Report'!$C$4),COUNT(E$4:E172)+1,"")</f>
        <v/>
      </c>
    </row>
    <row r="174" customFormat="false" ht="15" hidden="false" customHeight="false" outlineLevel="0" collapsed="false">
      <c r="A174" s="28"/>
      <c r="B174" s="27"/>
      <c r="C174" s="26"/>
      <c r="D174" s="26"/>
      <c r="E174" s="0" t="str">
        <f aca="false">IF(AND(N(A174)&gt;'Weekly Report'!$C$5,N(A174)&lt;='Weekly Report'!$C$4),COUNT(E$4:E173)+1,"")</f>
        <v/>
      </c>
    </row>
    <row r="175" customFormat="false" ht="15" hidden="false" customHeight="false" outlineLevel="0" collapsed="false">
      <c r="A175" s="28"/>
      <c r="B175" s="27"/>
      <c r="C175" s="26"/>
      <c r="D175" s="26"/>
      <c r="E175" s="0" t="str">
        <f aca="false">IF(AND(N(A175)&gt;'Weekly Report'!$C$5,N(A175)&lt;='Weekly Report'!$C$4),COUNT(E$4:E174)+1,"")</f>
        <v/>
      </c>
    </row>
    <row r="176" customFormat="false" ht="15" hidden="false" customHeight="false" outlineLevel="0" collapsed="false">
      <c r="A176" s="28"/>
      <c r="B176" s="27"/>
      <c r="C176" s="26"/>
      <c r="D176" s="26"/>
      <c r="E176" s="0" t="str">
        <f aca="false">IF(AND(N(A176)&gt;'Weekly Report'!$C$5,N(A176)&lt;='Weekly Report'!$C$4),COUNT(E$4:E175)+1,"")</f>
        <v/>
      </c>
    </row>
    <row r="177" customFormat="false" ht="15" hidden="false" customHeight="false" outlineLevel="0" collapsed="false">
      <c r="A177" s="28"/>
      <c r="B177" s="27"/>
      <c r="C177" s="26"/>
      <c r="D177" s="26"/>
      <c r="E177" s="0" t="str">
        <f aca="false">IF(AND(N(A177)&gt;'Weekly Report'!$C$5,N(A177)&lt;='Weekly Report'!$C$4),COUNT(E$4:E176)+1,"")</f>
        <v/>
      </c>
    </row>
    <row r="178" customFormat="false" ht="15" hidden="false" customHeight="false" outlineLevel="0" collapsed="false">
      <c r="A178" s="28"/>
      <c r="B178" s="27"/>
      <c r="C178" s="26"/>
      <c r="D178" s="26"/>
      <c r="E178" s="0" t="str">
        <f aca="false">IF(AND(N(A178)&gt;'Weekly Report'!$C$5,N(A178)&lt;='Weekly Report'!$C$4),COUNT(E$4:E177)+1,"")</f>
        <v/>
      </c>
    </row>
    <row r="179" customFormat="false" ht="15" hidden="false" customHeight="false" outlineLevel="0" collapsed="false">
      <c r="A179" s="28"/>
      <c r="B179" s="27"/>
      <c r="C179" s="26"/>
      <c r="D179" s="26"/>
      <c r="E179" s="0" t="str">
        <f aca="false">IF(AND(N(A179)&gt;'Weekly Report'!$C$5,N(A179)&lt;='Weekly Report'!$C$4),COUNT(E$4:E178)+1,"")</f>
        <v/>
      </c>
    </row>
    <row r="180" customFormat="false" ht="15" hidden="false" customHeight="false" outlineLevel="0" collapsed="false">
      <c r="A180" s="28"/>
      <c r="B180" s="27"/>
      <c r="C180" s="26"/>
      <c r="D180" s="26"/>
      <c r="E180" s="0" t="str">
        <f aca="false">IF(AND(N(A180)&gt;'Weekly Report'!$C$5,N(A180)&lt;='Weekly Report'!$C$4),COUNT(E$4:E179)+1,"")</f>
        <v/>
      </c>
    </row>
    <row r="181" customFormat="false" ht="15" hidden="false" customHeight="false" outlineLevel="0" collapsed="false">
      <c r="A181" s="28"/>
      <c r="B181" s="27"/>
      <c r="C181" s="26"/>
      <c r="D181" s="26"/>
      <c r="E181" s="0" t="str">
        <f aca="false">IF(AND(N(A181)&gt;'Weekly Report'!$C$5,N(A181)&lt;='Weekly Report'!$C$4),COUNT(E$4:E180)+1,"")</f>
        <v/>
      </c>
    </row>
    <row r="182" customFormat="false" ht="15" hidden="false" customHeight="false" outlineLevel="0" collapsed="false">
      <c r="A182" s="28"/>
      <c r="B182" s="27"/>
      <c r="C182" s="26"/>
      <c r="D182" s="26"/>
      <c r="E182" s="0" t="str">
        <f aca="false">IF(AND(N(A182)&gt;'Weekly Report'!$C$5,N(A182)&lt;='Weekly Report'!$C$4),COUNT(E$4:E181)+1,"")</f>
        <v/>
      </c>
    </row>
    <row r="183" customFormat="false" ht="15" hidden="false" customHeight="false" outlineLevel="0" collapsed="false">
      <c r="A183" s="28"/>
      <c r="B183" s="27"/>
      <c r="C183" s="26"/>
      <c r="D183" s="26"/>
      <c r="E183" s="0" t="str">
        <f aca="false">IF(AND(N(A183)&gt;'Weekly Report'!$C$5,N(A183)&lt;='Weekly Report'!$C$4),COUNT(E$4:E182)+1,"")</f>
        <v/>
      </c>
    </row>
    <row r="184" customFormat="false" ht="15" hidden="false" customHeight="false" outlineLevel="0" collapsed="false">
      <c r="A184" s="28"/>
      <c r="B184" s="27"/>
      <c r="C184" s="26"/>
      <c r="D184" s="26"/>
      <c r="E184" s="0" t="str">
        <f aca="false">IF(AND(N(A184)&gt;'Weekly Report'!$C$5,N(A184)&lt;='Weekly Report'!$C$4),COUNT(E$4:E183)+1,"")</f>
        <v/>
      </c>
    </row>
    <row r="185" customFormat="false" ht="15" hidden="false" customHeight="false" outlineLevel="0" collapsed="false">
      <c r="A185" s="28"/>
      <c r="B185" s="27"/>
      <c r="C185" s="26"/>
      <c r="D185" s="26"/>
      <c r="E185" s="0" t="str">
        <f aca="false">IF(AND(N(A185)&gt;'Weekly Report'!$C$5,N(A185)&lt;='Weekly Report'!$C$4),COUNT(E$4:E184)+1,"")</f>
        <v/>
      </c>
    </row>
    <row r="186" customFormat="false" ht="15" hidden="false" customHeight="false" outlineLevel="0" collapsed="false">
      <c r="A186" s="28"/>
      <c r="B186" s="27"/>
      <c r="C186" s="26"/>
      <c r="D186" s="26"/>
      <c r="E186" s="0" t="str">
        <f aca="false">IF(AND(N(A186)&gt;'Weekly Report'!$C$5,N(A186)&lt;='Weekly Report'!$C$4),COUNT(E$4:E185)+1,"")</f>
        <v/>
      </c>
    </row>
    <row r="187" customFormat="false" ht="15" hidden="false" customHeight="false" outlineLevel="0" collapsed="false">
      <c r="A187" s="28"/>
      <c r="B187" s="27"/>
      <c r="C187" s="26"/>
      <c r="D187" s="26"/>
      <c r="E187" s="0" t="str">
        <f aca="false">IF(AND(N(A187)&gt;'Weekly Report'!$C$5,N(A187)&lt;='Weekly Report'!$C$4),COUNT(E$4:E186)+1,"")</f>
        <v/>
      </c>
    </row>
    <row r="188" customFormat="false" ht="15" hidden="false" customHeight="false" outlineLevel="0" collapsed="false">
      <c r="A188" s="28"/>
      <c r="B188" s="27"/>
      <c r="C188" s="26"/>
      <c r="D188" s="26"/>
      <c r="E188" s="0" t="str">
        <f aca="false">IF(AND(N(A188)&gt;'Weekly Report'!$C$5,N(A188)&lt;='Weekly Report'!$C$4),COUNT(E$4:E187)+1,"")</f>
        <v/>
      </c>
    </row>
    <row r="189" customFormat="false" ht="15" hidden="false" customHeight="false" outlineLevel="0" collapsed="false">
      <c r="A189" s="28"/>
      <c r="B189" s="27"/>
      <c r="C189" s="26"/>
      <c r="D189" s="26"/>
      <c r="E189" s="0" t="str">
        <f aca="false">IF(AND(N(A189)&gt;'Weekly Report'!$C$5,N(A189)&lt;='Weekly Report'!$C$4),COUNT(E$4:E188)+1,"")</f>
        <v/>
      </c>
    </row>
    <row r="190" customFormat="false" ht="15" hidden="false" customHeight="false" outlineLevel="0" collapsed="false">
      <c r="A190" s="28"/>
      <c r="B190" s="27"/>
      <c r="C190" s="26"/>
      <c r="D190" s="26"/>
      <c r="E190" s="0" t="str">
        <f aca="false">IF(AND(N(A190)&gt;'Weekly Report'!$C$5,N(A190)&lt;='Weekly Report'!$C$4),COUNT(E$4:E189)+1,"")</f>
        <v/>
      </c>
    </row>
    <row r="191" customFormat="false" ht="15" hidden="false" customHeight="false" outlineLevel="0" collapsed="false">
      <c r="A191" s="28"/>
      <c r="B191" s="27"/>
      <c r="C191" s="26"/>
      <c r="D191" s="26"/>
      <c r="E191" s="0" t="str">
        <f aca="false">IF(AND(N(A191)&gt;'Weekly Report'!$C$5,N(A191)&lt;='Weekly Report'!$C$4),COUNT(E$4:E190)+1,"")</f>
        <v/>
      </c>
    </row>
    <row r="192" customFormat="false" ht="15" hidden="false" customHeight="false" outlineLevel="0" collapsed="false">
      <c r="A192" s="28"/>
      <c r="B192" s="27"/>
      <c r="C192" s="26"/>
      <c r="D192" s="26"/>
      <c r="E192" s="0" t="str">
        <f aca="false">IF(AND(N(A192)&gt;'Weekly Report'!$C$5,N(A192)&lt;='Weekly Report'!$C$4),COUNT(E$4:E191)+1,"")</f>
        <v/>
      </c>
    </row>
    <row r="193" customFormat="false" ht="15" hidden="false" customHeight="false" outlineLevel="0" collapsed="false">
      <c r="A193" s="28"/>
      <c r="B193" s="27"/>
      <c r="C193" s="26"/>
      <c r="D193" s="26"/>
      <c r="E193" s="0" t="str">
        <f aca="false">IF(AND(N(A193)&gt;'Weekly Report'!$C$5,N(A193)&lt;='Weekly Report'!$C$4),COUNT(E$4:E192)+1,"")</f>
        <v/>
      </c>
    </row>
    <row r="194" customFormat="false" ht="15" hidden="false" customHeight="false" outlineLevel="0" collapsed="false">
      <c r="A194" s="28"/>
      <c r="B194" s="27"/>
      <c r="C194" s="26"/>
      <c r="D194" s="26"/>
      <c r="E194" s="0" t="str">
        <f aca="false">IF(AND(N(A194)&gt;'Weekly Report'!$C$5,N(A194)&lt;='Weekly Report'!$C$4),COUNT(E$4:E193)+1,"")</f>
        <v/>
      </c>
    </row>
    <row r="195" customFormat="false" ht="15" hidden="false" customHeight="false" outlineLevel="0" collapsed="false">
      <c r="A195" s="28"/>
      <c r="B195" s="27"/>
      <c r="C195" s="26"/>
      <c r="D195" s="26"/>
      <c r="E195" s="0" t="str">
        <f aca="false">IF(AND(N(A195)&gt;'Weekly Report'!$C$5,N(A195)&lt;='Weekly Report'!$C$4),COUNT(E$4:E194)+1,"")</f>
        <v/>
      </c>
    </row>
    <row r="196" customFormat="false" ht="15" hidden="false" customHeight="false" outlineLevel="0" collapsed="false">
      <c r="A196" s="28"/>
      <c r="B196" s="27"/>
      <c r="C196" s="26"/>
      <c r="D196" s="26"/>
      <c r="E196" s="0" t="str">
        <f aca="false">IF(AND(N(A196)&gt;'Weekly Report'!$C$5,N(A196)&lt;='Weekly Report'!$C$4),COUNT(E$4:E195)+1,"")</f>
        <v/>
      </c>
    </row>
    <row r="197" customFormat="false" ht="15" hidden="false" customHeight="false" outlineLevel="0" collapsed="false">
      <c r="A197" s="28"/>
      <c r="B197" s="27"/>
      <c r="C197" s="26"/>
      <c r="D197" s="26"/>
      <c r="E197" s="0" t="str">
        <f aca="false">IF(AND(N(A197)&gt;'Weekly Report'!$C$5,N(A197)&lt;='Weekly Report'!$C$4),COUNT(E$4:E196)+1,"")</f>
        <v/>
      </c>
    </row>
    <row r="198" customFormat="false" ht="15" hidden="false" customHeight="false" outlineLevel="0" collapsed="false">
      <c r="A198" s="28"/>
      <c r="B198" s="27"/>
      <c r="C198" s="26"/>
      <c r="D198" s="26"/>
      <c r="E198" s="0" t="str">
        <f aca="false">IF(AND(N(A198)&gt;'Weekly Report'!$C$5,N(A198)&lt;='Weekly Report'!$C$4),COUNT(E$4:E197)+1,"")</f>
        <v/>
      </c>
    </row>
    <row r="199" customFormat="false" ht="15" hidden="false" customHeight="false" outlineLevel="0" collapsed="false">
      <c r="A199" s="28"/>
      <c r="B199" s="27"/>
      <c r="C199" s="26"/>
      <c r="D199" s="26"/>
      <c r="E199" s="0" t="str">
        <f aca="false">IF(AND(N(A199)&gt;'Weekly Report'!$C$5,N(A199)&lt;='Weekly Report'!$C$4),COUNT(E$4:E198)+1,"")</f>
        <v/>
      </c>
    </row>
    <row r="200" customFormat="false" ht="15" hidden="false" customHeight="false" outlineLevel="0" collapsed="false">
      <c r="A200" s="28"/>
      <c r="B200" s="27"/>
      <c r="C200" s="26"/>
      <c r="D200" s="26"/>
      <c r="E200" s="0" t="str">
        <f aca="false">IF(AND(N(A200)&gt;'Weekly Report'!$C$5,N(A200)&lt;='Weekly Report'!$C$4),COUNT(E$4:E199)+1,"")</f>
        <v/>
      </c>
    </row>
    <row r="201" customFormat="false" ht="15" hidden="false" customHeight="false" outlineLevel="0" collapsed="false">
      <c r="A201" s="28"/>
      <c r="B201" s="27"/>
      <c r="C201" s="26"/>
      <c r="D201" s="26"/>
      <c r="E201" s="0" t="str">
        <f aca="false">IF(AND(N(A201)&gt;'Weekly Report'!$C$5,N(A201)&lt;='Weekly Report'!$C$4),COUNT(E$4:E200)+1,"")</f>
        <v/>
      </c>
    </row>
    <row r="202" customFormat="false" ht="15" hidden="false" customHeight="false" outlineLevel="0" collapsed="false">
      <c r="A202" s="28"/>
      <c r="B202" s="27"/>
      <c r="C202" s="26"/>
      <c r="D202" s="26"/>
      <c r="E202" s="0" t="str">
        <f aca="false">IF(AND(N(A202)&gt;'Weekly Report'!$C$5,N(A202)&lt;='Weekly Report'!$C$4),COUNT(E$4:E201)+1,"")</f>
        <v/>
      </c>
    </row>
    <row r="203" customFormat="false" ht="15" hidden="false" customHeight="false" outlineLevel="0" collapsed="false">
      <c r="A203" s="28"/>
      <c r="B203" s="27"/>
      <c r="C203" s="26"/>
      <c r="D203" s="26"/>
      <c r="E203" s="0" t="str">
        <f aca="false">IF(AND(N(A203)&gt;'Weekly Report'!$C$5,N(A203)&lt;='Weekly Report'!$C$4),COUNT(E$4:E202)+1,"")</f>
        <v/>
      </c>
    </row>
    <row r="204" customFormat="false" ht="15" hidden="false" customHeight="false" outlineLevel="0" collapsed="false">
      <c r="A204" s="28"/>
      <c r="B204" s="27"/>
      <c r="C204" s="26"/>
      <c r="D204" s="26"/>
      <c r="E204" s="0" t="str">
        <f aca="false">IF(AND(N(A204)&gt;'Weekly Report'!$C$5,N(A204)&lt;='Weekly Report'!$C$4),COUNT(E$4:E203)+1,"")</f>
        <v/>
      </c>
    </row>
  </sheetData>
  <autoFilter ref="A4:D204"/>
  <conditionalFormatting sqref="B5:B204">
    <cfRule type="cellIs" priority="2" operator="equal" aboveAverage="0" equalAverage="0" bottom="0" percent="0" rank="0" text="" dxfId="5">
      <formula>"Green"</formula>
    </cfRule>
    <cfRule type="cellIs" priority="3" operator="equal" aboveAverage="0" equalAverage="0" bottom="0" percent="0" rank="0" text="" dxfId="6">
      <formula>"Amber"</formula>
    </cfRule>
    <cfRule type="cellIs" priority="4" operator="equal" aboveAverage="0" equalAverage="0" bottom="0" percent="0" rank="0" text="" dxfId="7">
      <formula>"Red"</formula>
    </cfRule>
  </conditionalFormatting>
  <dataValidations count="2">
    <dataValidation allowBlank="true" error="Enter a date, e.g. 20-Oct-2026" errorStyle="stop" operator="greaterThan" showDropDown="false" showErrorMessage="true" showInputMessage="false" sqref="A5:A204" type="date">
      <formula1>DATE(2020,1,1)</formula1>
      <formula2>0</formula2>
    </dataValidation>
    <dataValidation allowBlank="true" errorStyle="stop" operator="between" showDropDown="false" showErrorMessage="false" showInputMessage="false" sqref="B5:B204" type="list">
      <formula1>Lists!$F$4:$F$6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30" t="s">
        <v>64</v>
      </c>
    </row>
    <row r="2" customFormat="false" ht="15" hidden="false" customHeight="false" outlineLevel="0" collapsed="false">
      <c r="A2" s="31" t="s">
        <v>65</v>
      </c>
    </row>
    <row r="3" customFormat="false" ht="15" hidden="false" customHeight="false" outlineLevel="0" collapsed="false">
      <c r="A3" s="32" t="s">
        <v>57</v>
      </c>
    </row>
    <row r="4" customFormat="false" ht="15" hidden="false" customHeight="false" outlineLevel="0" collapsed="false">
      <c r="A4" s="39" t="s">
        <v>66</v>
      </c>
      <c r="B4" s="40" t="s">
        <v>67</v>
      </c>
      <c r="C4" s="40"/>
      <c r="D4" s="40"/>
      <c r="E4" s="40"/>
    </row>
    <row r="5" customFormat="false" ht="15" hidden="false" customHeight="false" outlineLevel="0" collapsed="false">
      <c r="A5" s="39" t="s">
        <v>68</v>
      </c>
      <c r="B5" s="41" t="n">
        <v>46300</v>
      </c>
    </row>
    <row r="6" customFormat="false" ht="15" hidden="false" customHeight="false" outlineLevel="0" collapsed="false">
      <c r="A6" s="39" t="s">
        <v>69</v>
      </c>
      <c r="B6" s="41" t="n">
        <v>46416</v>
      </c>
    </row>
    <row r="8" customFormat="false" ht="30" hidden="false" customHeight="true" outlineLevel="0" collapsed="false">
      <c r="A8" s="33" t="s">
        <v>7</v>
      </c>
      <c r="B8" s="33" t="s">
        <v>14</v>
      </c>
      <c r="C8" s="33" t="s">
        <v>70</v>
      </c>
      <c r="D8" s="33" t="s">
        <v>71</v>
      </c>
      <c r="E8" s="33" t="s">
        <v>72</v>
      </c>
      <c r="F8" s="33" t="s">
        <v>73</v>
      </c>
      <c r="G8" s="33" t="s">
        <v>18</v>
      </c>
      <c r="H8" s="33" t="s">
        <v>74</v>
      </c>
      <c r="I8" s="33" t="s">
        <v>75</v>
      </c>
      <c r="J8" s="33" t="s">
        <v>76</v>
      </c>
      <c r="K8" s="33" t="s">
        <v>77</v>
      </c>
      <c r="L8" s="33" t="s">
        <v>78</v>
      </c>
    </row>
    <row r="9" customFormat="false" ht="15" hidden="false" customHeight="false" outlineLevel="0" collapsed="false">
      <c r="A9" s="42" t="s">
        <v>79</v>
      </c>
      <c r="B9" s="43" t="s">
        <v>80</v>
      </c>
      <c r="C9" s="44" t="n">
        <v>46300</v>
      </c>
      <c r="D9" s="44" t="n">
        <v>46318</v>
      </c>
      <c r="E9" s="44" t="n">
        <v>46300</v>
      </c>
      <c r="F9" s="45"/>
      <c r="G9" s="46" t="s">
        <v>81</v>
      </c>
      <c r="H9" s="42" t="n">
        <f aca="false">COUNTIFS(Actions!$C$5:$C$204,"&lt;&gt;",Actions!$B$5:$B$204,B9,Actions!$I$5:$I$204,"&lt;&gt;Cancelled")</f>
        <v>1</v>
      </c>
      <c r="I9" s="42" t="n">
        <f aca="false">COUNTIFS(Actions!$C$5:$C$204,"&lt;&gt;",Actions!$B$5:$B$204,B9,Actions!$I$5:$I$204,"Completed")</f>
        <v>1</v>
      </c>
      <c r="J9" s="47" t="n">
        <f aca="false">IF(H9=0,0,I9/H9)</f>
        <v>1</v>
      </c>
      <c r="K9" s="42" t="str">
        <f aca="false">IF(G9="Completed","Done",IF(D9="","",IF(D9&lt;'Weekly Report'!$C$4,"Behind plan",IF(AND(C9&lt;&gt;"",C9&lt;='Weekly Report'!$C$4,G9="Not Started"),"Late start","On plan"))))</f>
        <v>On plan</v>
      </c>
      <c r="L9" s="48"/>
    </row>
    <row r="10" customFormat="false" ht="15" hidden="false" customHeight="false" outlineLevel="0" collapsed="false">
      <c r="A10" s="42" t="s">
        <v>82</v>
      </c>
      <c r="B10" s="43" t="s">
        <v>83</v>
      </c>
      <c r="C10" s="44" t="n">
        <v>46321</v>
      </c>
      <c r="D10" s="44" t="n">
        <v>46374</v>
      </c>
      <c r="E10" s="44"/>
      <c r="F10" s="45"/>
      <c r="G10" s="46" t="s">
        <v>84</v>
      </c>
      <c r="H10" s="42" t="n">
        <f aca="false">COUNTIFS(Actions!$C$5:$C$204,"&lt;&gt;",Actions!$B$5:$B$204,B10,Actions!$I$5:$I$204,"&lt;&gt;Cancelled")</f>
        <v>2</v>
      </c>
      <c r="I10" s="42" t="n">
        <f aca="false">COUNTIFS(Actions!$C$5:$C$204,"&lt;&gt;",Actions!$B$5:$B$204,B10,Actions!$I$5:$I$204,"Completed")</f>
        <v>0</v>
      </c>
      <c r="J10" s="47" t="n">
        <f aca="false">IF(H10=0,0,I10/H10)</f>
        <v>0</v>
      </c>
      <c r="K10" s="42" t="str">
        <f aca="false">IF(G10="Completed","Done",IF(D10="","",IF(D10&lt;'Weekly Report'!$C$4,"Behind plan",IF(AND(C10&lt;&gt;"",C10&lt;='Weekly Report'!$C$4,G10="Not Started"),"Late start","On plan"))))</f>
        <v>On plan</v>
      </c>
      <c r="L10" s="48"/>
    </row>
    <row r="11" customFormat="false" ht="15" hidden="false" customHeight="false" outlineLevel="0" collapsed="false">
      <c r="A11" s="42" t="s">
        <v>85</v>
      </c>
      <c r="B11" s="43" t="s">
        <v>86</v>
      </c>
      <c r="C11" s="44" t="n">
        <v>46391</v>
      </c>
      <c r="D11" s="44" t="n">
        <v>46416</v>
      </c>
      <c r="E11" s="44"/>
      <c r="F11" s="45"/>
      <c r="G11" s="46" t="s">
        <v>84</v>
      </c>
      <c r="H11" s="42" t="n">
        <f aca="false">COUNTIFS(Actions!$C$5:$C$204,"&lt;&gt;",Actions!$B$5:$B$204,B11,Actions!$I$5:$I$204,"&lt;&gt;Cancelled")</f>
        <v>0</v>
      </c>
      <c r="I11" s="42" t="n">
        <f aca="false">COUNTIFS(Actions!$C$5:$C$204,"&lt;&gt;",Actions!$B$5:$B$204,B11,Actions!$I$5:$I$204,"Completed")</f>
        <v>0</v>
      </c>
      <c r="J11" s="47" t="n">
        <f aca="false">IF(H11=0,0,I11/H11)</f>
        <v>0</v>
      </c>
      <c r="K11" s="42" t="str">
        <f aca="false">IF(G11="Completed","Done",IF(D11="","",IF(D11&lt;'Weekly Report'!$C$4,"Behind plan",IF(AND(C11&lt;&gt;"",C11&lt;='Weekly Report'!$C$4,G11="Not Started"),"Late start","On plan"))))</f>
        <v>On plan</v>
      </c>
      <c r="L11" s="48"/>
    </row>
    <row r="14" customFormat="false" ht="15" hidden="false" customHeight="false" outlineLevel="0" collapsed="false">
      <c r="A14" s="49" t="s">
        <v>87</v>
      </c>
    </row>
    <row r="15" customFormat="false" ht="30" hidden="false" customHeight="true" outlineLevel="0" collapsed="false">
      <c r="A15" s="33" t="s">
        <v>88</v>
      </c>
      <c r="B15" s="33" t="s">
        <v>89</v>
      </c>
      <c r="C15" s="33" t="s">
        <v>90</v>
      </c>
      <c r="D15" s="33" t="s">
        <v>91</v>
      </c>
      <c r="E15" s="33" t="s">
        <v>92</v>
      </c>
      <c r="F15" s="33" t="s">
        <v>93</v>
      </c>
      <c r="G15" s="33" t="s">
        <v>94</v>
      </c>
    </row>
    <row r="16" customFormat="false" ht="15" hidden="false" customHeight="false" outlineLevel="0" collapsed="false">
      <c r="A16" s="50" t="s">
        <v>95</v>
      </c>
      <c r="B16" s="51" t="n">
        <f aca="false">COUNTIFS(Actions!$C$5:$C$204,"&lt;&gt;",Actions!$E$5:$E$204,$A16,Actions!$D$5:$D$204,B$15,Actions!$I$5:$I$204,"&lt;&gt;Cancelled")</f>
        <v>0</v>
      </c>
      <c r="C16" s="51" t="n">
        <f aca="false">COUNTIFS(Actions!$C$5:$C$204,"&lt;&gt;",Actions!$E$5:$E$204,$A16,Actions!$D$5:$D$204,C$15,Actions!$I$5:$I$204,"&lt;&gt;Cancelled")</f>
        <v>0</v>
      </c>
      <c r="D16" s="51" t="n">
        <f aca="false">COUNTIFS(Actions!$C$5:$C$204,"&lt;&gt;",Actions!$E$5:$E$204,$A16,Actions!$D$5:$D$204,D$15,Actions!$I$5:$I$204,"&lt;&gt;Cancelled")</f>
        <v>1</v>
      </c>
      <c r="E16" s="51" t="n">
        <f aca="false">COUNTIFS(Actions!$C$5:$C$204,"&lt;&gt;",Actions!$E$5:$E$204,$A16,Actions!$D$5:$D$204,E$15,Actions!$I$5:$I$204,"&lt;&gt;Cancelled")</f>
        <v>0</v>
      </c>
      <c r="F16" s="52" t="n">
        <f aca="false">COUNTIFS(Actions!$C$5:$C$204,"&lt;&gt;",Actions!$E$5:$E$204,$A16,Actions!$I$5:$I$204,"&lt;&gt;Cancelled")</f>
        <v>1</v>
      </c>
      <c r="G16" s="52" t="n">
        <f aca="false">COUNTIFS(Findings!$E$5:$E$204,"&lt;&gt;",Findings!$C$5:$C$204,$A16,Findings!$I$5:$I$204,"&lt;&gt;Remediated",Findings!$I$5:$I$204,"&lt;&gt;Closed",Findings!$I$5:$I$204,"&lt;&gt;Risk Accepted")</f>
        <v>1</v>
      </c>
    </row>
    <row r="17" customFormat="false" ht="15" hidden="false" customHeight="false" outlineLevel="0" collapsed="false">
      <c r="A17" s="50" t="s">
        <v>96</v>
      </c>
      <c r="B17" s="51" t="n">
        <f aca="false">COUNTIFS(Actions!$C$5:$C$204,"&lt;&gt;",Actions!$E$5:$E$204,$A17,Actions!$D$5:$D$204,B$15,Actions!$I$5:$I$204,"&lt;&gt;Cancelled")</f>
        <v>1</v>
      </c>
      <c r="C17" s="51" t="n">
        <f aca="false">COUNTIFS(Actions!$C$5:$C$204,"&lt;&gt;",Actions!$E$5:$E$204,$A17,Actions!$D$5:$D$204,C$15,Actions!$I$5:$I$204,"&lt;&gt;Cancelled")</f>
        <v>1</v>
      </c>
      <c r="D17" s="51" t="n">
        <f aca="false">COUNTIFS(Actions!$C$5:$C$204,"&lt;&gt;",Actions!$E$5:$E$204,$A17,Actions!$D$5:$D$204,D$15,Actions!$I$5:$I$204,"&lt;&gt;Cancelled")</f>
        <v>0</v>
      </c>
      <c r="E17" s="51" t="n">
        <f aca="false">COUNTIFS(Actions!$C$5:$C$204,"&lt;&gt;",Actions!$E$5:$E$204,$A17,Actions!$D$5:$D$204,E$15,Actions!$I$5:$I$204,"&lt;&gt;Cancelled")</f>
        <v>0</v>
      </c>
      <c r="F17" s="52" t="n">
        <f aca="false">COUNTIFS(Actions!$C$5:$C$204,"&lt;&gt;",Actions!$E$5:$E$204,$A17,Actions!$I$5:$I$204,"&lt;&gt;Cancelled")</f>
        <v>2</v>
      </c>
      <c r="G17" s="52" t="n">
        <f aca="false">COUNTIFS(Findings!$E$5:$E$204,"&lt;&gt;",Findings!$C$5:$C$204,$A17,Findings!$I$5:$I$204,"&lt;&gt;Remediated",Findings!$I$5:$I$204,"&lt;&gt;Closed",Findings!$I$5:$I$204,"&lt;&gt;Risk Accepted")</f>
        <v>0</v>
      </c>
    </row>
    <row r="18" customFormat="false" ht="15" hidden="false" customHeight="false" outlineLevel="0" collapsed="false">
      <c r="A18" s="50" t="s">
        <v>97</v>
      </c>
      <c r="B18" s="51" t="n">
        <f aca="false">COUNTIFS(Actions!$C$5:$C$204,"&lt;&gt;",Actions!$E$5:$E$204,$A18,Actions!$D$5:$D$204,B$15,Actions!$I$5:$I$204,"&lt;&gt;Cancelled")</f>
        <v>0</v>
      </c>
      <c r="C18" s="51" t="n">
        <f aca="false">COUNTIFS(Actions!$C$5:$C$204,"&lt;&gt;",Actions!$E$5:$E$204,$A18,Actions!$D$5:$D$204,C$15,Actions!$I$5:$I$204,"&lt;&gt;Cancelled")</f>
        <v>0</v>
      </c>
      <c r="D18" s="51" t="n">
        <f aca="false">COUNTIFS(Actions!$C$5:$C$204,"&lt;&gt;",Actions!$E$5:$E$204,$A18,Actions!$D$5:$D$204,D$15,Actions!$I$5:$I$204,"&lt;&gt;Cancelled")</f>
        <v>0</v>
      </c>
      <c r="E18" s="51" t="n">
        <f aca="false">COUNTIFS(Actions!$C$5:$C$204,"&lt;&gt;",Actions!$E$5:$E$204,$A18,Actions!$D$5:$D$204,E$15,Actions!$I$5:$I$204,"&lt;&gt;Cancelled")</f>
        <v>0</v>
      </c>
      <c r="F18" s="52" t="n">
        <f aca="false">COUNTIFS(Actions!$C$5:$C$204,"&lt;&gt;",Actions!$E$5:$E$204,$A18,Actions!$I$5:$I$204,"&lt;&gt;Cancelled")</f>
        <v>0</v>
      </c>
      <c r="G18" s="52" t="n">
        <f aca="false">COUNTIFS(Findings!$E$5:$E$204,"&lt;&gt;",Findings!$C$5:$C$204,$A18,Findings!$I$5:$I$204,"&lt;&gt;Remediated",Findings!$I$5:$I$204,"&lt;&gt;Closed",Findings!$I$5:$I$204,"&lt;&gt;Risk Accepted")</f>
        <v>0</v>
      </c>
    </row>
    <row r="19" customFormat="false" ht="15" hidden="false" customHeight="false" outlineLevel="0" collapsed="false">
      <c r="A19" s="50" t="s">
        <v>98</v>
      </c>
      <c r="B19" s="51" t="n">
        <f aca="false">COUNTIFS(Actions!$C$5:$C$204,"&lt;&gt;",Actions!$E$5:$E$204,$A19,Actions!$D$5:$D$204,B$15,Actions!$I$5:$I$204,"&lt;&gt;Cancelled")</f>
        <v>0</v>
      </c>
      <c r="C19" s="51" t="n">
        <f aca="false">COUNTIFS(Actions!$C$5:$C$204,"&lt;&gt;",Actions!$E$5:$E$204,$A19,Actions!$D$5:$D$204,C$15,Actions!$I$5:$I$204,"&lt;&gt;Cancelled")</f>
        <v>0</v>
      </c>
      <c r="D19" s="51" t="n">
        <f aca="false">COUNTIFS(Actions!$C$5:$C$204,"&lt;&gt;",Actions!$E$5:$E$204,$A19,Actions!$D$5:$D$204,D$15,Actions!$I$5:$I$204,"&lt;&gt;Cancelled")</f>
        <v>0</v>
      </c>
      <c r="E19" s="51" t="n">
        <f aca="false">COUNTIFS(Actions!$C$5:$C$204,"&lt;&gt;",Actions!$E$5:$E$204,$A19,Actions!$D$5:$D$204,E$15,Actions!$I$5:$I$204,"&lt;&gt;Cancelled")</f>
        <v>0</v>
      </c>
      <c r="F19" s="52" t="n">
        <f aca="false">COUNTIFS(Actions!$C$5:$C$204,"&lt;&gt;",Actions!$E$5:$E$204,$A19,Actions!$I$5:$I$204,"&lt;&gt;Cancelled")</f>
        <v>0</v>
      </c>
      <c r="G19" s="52" t="n">
        <f aca="false">COUNTIFS(Findings!$E$5:$E$204,"&lt;&gt;",Findings!$C$5:$C$204,$A19,Findings!$I$5:$I$204,"&lt;&gt;Remediated",Findings!$I$5:$I$204,"&lt;&gt;Closed",Findings!$I$5:$I$204,"&lt;&gt;Risk Accepted")</f>
        <v>0</v>
      </c>
    </row>
    <row r="21" customFormat="false" ht="15" hidden="false" customHeight="false" outlineLevel="0" collapsed="false">
      <c r="A21" s="7" t="s">
        <v>99</v>
      </c>
    </row>
  </sheetData>
  <mergeCells count="1">
    <mergeCell ref="B4:E4"/>
  </mergeCells>
  <conditionalFormatting sqref="G9:G11">
    <cfRule type="cellIs" priority="2" operator="equal" aboveAverage="0" equalAverage="0" bottom="0" percent="0" rank="0" text="" dxfId="1">
      <formula>"Completed"</formula>
    </cfRule>
    <cfRule type="cellIs" priority="3" operator="equal" aboveAverage="0" equalAverage="0" bottom="0" percent="0" rank="0" text="" dxfId="1">
      <formula>"Remediated"</formula>
    </cfRule>
    <cfRule type="cellIs" priority="4" operator="equal" aboveAverage="0" equalAverage="0" bottom="0" percent="0" rank="0" text="" dxfId="1">
      <formula>"Closed"</formula>
    </cfRule>
    <cfRule type="cellIs" priority="5" operator="equal" aboveAverage="0" equalAverage="0" bottom="0" percent="0" rank="0" text="" dxfId="1">
      <formula>"Resolved"</formula>
    </cfRule>
    <cfRule type="cellIs" priority="6" operator="equal" aboveAverage="0" equalAverage="0" bottom="0" percent="0" rank="0" text="" dxfId="1">
      <formula>"Done"</formula>
    </cfRule>
    <cfRule type="cellIs" priority="7" operator="equal" aboveAverage="0" equalAverage="0" bottom="0" percent="0" rank="0" text="" dxfId="1">
      <formula>"On plan"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2">
      <formula>"Open"</formula>
    </cfRule>
    <cfRule type="cellIs" priority="10" operator="equal" aboveAverage="0" equalAverage="0" bottom="0" percent="0" rank="0" text="" dxfId="2">
      <formula>"Late start"</formula>
    </cfRule>
    <cfRule type="cellIs" priority="11" operator="equal" aboveAverage="0" equalAverage="0" bottom="0" percent="0" rank="0" text="" dxfId="2">
      <formula>"Changed"</formula>
    </cfRule>
    <cfRule type="cellIs" priority="12" operator="equal" aboveAverage="0" equalAverage="0" bottom="0" percent="0" rank="0" text="" dxfId="3">
      <formula>"Blocked"</formula>
    </cfRule>
    <cfRule type="cellIs" priority="13" operator="equal" aboveAverage="0" equalAverage="0" bottom="0" percent="0" rank="0" text="" dxfId="3">
      <formula>"Delayed"</formula>
    </cfRule>
    <cfRule type="cellIs" priority="14" operator="equal" aboveAverage="0" equalAverage="0" bottom="0" percent="0" rank="0" text="" dxfId="3">
      <formula>"Overdue"</formula>
    </cfRule>
    <cfRule type="cellIs" priority="15" operator="equal" aboveAverage="0" equalAverage="0" bottom="0" percent="0" rank="0" text="" dxfId="3">
      <formula>"Behind plan"</formula>
    </cfRule>
    <cfRule type="cellIs" priority="16" operator="equal" aboveAverage="0" equalAverage="0" bottom="0" percent="0" rank="0" text="" dxfId="3">
      <formula>"New"</formula>
    </cfRule>
    <cfRule type="cellIs" priority="17" operator="equal" aboveAverage="0" equalAverage="0" bottom="0" percent="0" rank="0" text="" dxfId="4">
      <formula>"Cancelled"</formula>
    </cfRule>
    <cfRule type="cellIs" priority="18" operator="equal" aboveAverage="0" equalAverage="0" bottom="0" percent="0" rank="0" text="" dxfId="4">
      <formula>"Risk Accepted"</formula>
    </cfRule>
  </conditionalFormatting>
  <conditionalFormatting sqref="K9:K11">
    <cfRule type="cellIs" priority="19" operator="equal" aboveAverage="0" equalAverage="0" bottom="0" percent="0" rank="0" text="" dxfId="1">
      <formula>"Completed"</formula>
    </cfRule>
    <cfRule type="cellIs" priority="20" operator="equal" aboveAverage="0" equalAverage="0" bottom="0" percent="0" rank="0" text="" dxfId="1">
      <formula>"Remediated"</formula>
    </cfRule>
    <cfRule type="cellIs" priority="21" operator="equal" aboveAverage="0" equalAverage="0" bottom="0" percent="0" rank="0" text="" dxfId="1">
      <formula>"Closed"</formula>
    </cfRule>
    <cfRule type="cellIs" priority="22" operator="equal" aboveAverage="0" equalAverage="0" bottom="0" percent="0" rank="0" text="" dxfId="1">
      <formula>"Resolved"</formula>
    </cfRule>
    <cfRule type="cellIs" priority="23" operator="equal" aboveAverage="0" equalAverage="0" bottom="0" percent="0" rank="0" text="" dxfId="1">
      <formula>"Done"</formula>
    </cfRule>
    <cfRule type="cellIs" priority="24" operator="equal" aboveAverage="0" equalAverage="0" bottom="0" percent="0" rank="0" text="" dxfId="1">
      <formula>"On plan"</formula>
    </cfRule>
    <cfRule type="cellIs" priority="25" operator="equal" aboveAverage="0" equalAverage="0" bottom="0" percent="0" rank="0" text="" dxfId="2">
      <formula>"In Progress"</formula>
    </cfRule>
    <cfRule type="cellIs" priority="26" operator="equal" aboveAverage="0" equalAverage="0" bottom="0" percent="0" rank="0" text="" dxfId="2">
      <formula>"Open"</formula>
    </cfRule>
    <cfRule type="cellIs" priority="27" operator="equal" aboveAverage="0" equalAverage="0" bottom="0" percent="0" rank="0" text="" dxfId="2">
      <formula>"Late start"</formula>
    </cfRule>
    <cfRule type="cellIs" priority="28" operator="equal" aboveAverage="0" equalAverage="0" bottom="0" percent="0" rank="0" text="" dxfId="2">
      <formula>"Changed"</formula>
    </cfRule>
    <cfRule type="cellIs" priority="29" operator="equal" aboveAverage="0" equalAverage="0" bottom="0" percent="0" rank="0" text="" dxfId="3">
      <formula>"Blocked"</formula>
    </cfRule>
    <cfRule type="cellIs" priority="30" operator="equal" aboveAverage="0" equalAverage="0" bottom="0" percent="0" rank="0" text="" dxfId="3">
      <formula>"Delayed"</formula>
    </cfRule>
    <cfRule type="cellIs" priority="31" operator="equal" aboveAverage="0" equalAverage="0" bottom="0" percent="0" rank="0" text="" dxfId="3">
      <formula>"Overdue"</formula>
    </cfRule>
    <cfRule type="cellIs" priority="32" operator="equal" aboveAverage="0" equalAverage="0" bottom="0" percent="0" rank="0" text="" dxfId="3">
      <formula>"Behind plan"</formula>
    </cfRule>
    <cfRule type="cellIs" priority="33" operator="equal" aboveAverage="0" equalAverage="0" bottom="0" percent="0" rank="0" text="" dxfId="3">
      <formula>"New"</formula>
    </cfRule>
    <cfRule type="cellIs" priority="34" operator="equal" aboveAverage="0" equalAverage="0" bottom="0" percent="0" rank="0" text="" dxfId="4">
      <formula>"Cancelled"</formula>
    </cfRule>
    <cfRule type="cellIs" priority="35" operator="equal" aboveAverage="0" equalAverage="0" bottom="0" percent="0" rank="0" text="" dxfId="4">
      <formula>"Risk Accepted"</formula>
    </cfRule>
  </conditionalFormatting>
  <conditionalFormatting sqref="J9:J11">
    <cfRule type="dataBar" priority="36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{A6A9F02D-3EED-4357-A5C8-5F8B1187C0C1}</x14:id>
        </ext>
      </extLst>
    </cfRule>
  </conditionalFormatting>
  <conditionalFormatting sqref="B16:E19">
    <cfRule type="cellIs" priority="37" operator="equal" aboveAverage="0" equalAverage="0" bottom="0" percent="0" rank="0" text="" dxfId="13">
      <formula>0</formula>
    </cfRule>
  </conditionalFormatting>
  <dataValidations count="3">
    <dataValidation allowBlank="true" error="Enter a date, e.g. 20-Oct-2026" errorStyle="stop" operator="greaterThan" showDropDown="false" showErrorMessage="true" showInputMessage="false" sqref="B5:B6" type="date">
      <formula1>DATE(2020,1,1)</formula1>
      <formula2>0</formula2>
    </dataValidation>
    <dataValidation allowBlank="true" errorStyle="stop" operator="between" showDropDown="false" showErrorMessage="false" showInputMessage="false" sqref="G9:G11" type="list">
      <formula1>Lists!$E$4:$E$7</formula1>
      <formula2>0</formula2>
    </dataValidation>
    <dataValidation allowBlank="true" error="Enter a date, e.g. 20-Oct-2026" errorStyle="stop" operator="greaterThan" showDropDown="false" showErrorMessage="true" showInputMessage="false" sqref="C9:F11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A9F02D-3EED-4357-A5C8-5F8B1187C0C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J9:J11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T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40"/>
    <col collapsed="false" customWidth="true" hidden="false" outlineLevel="0" max="13" min="13" style="0" width="32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true" outlineLevel="0" max="20" min="17" style="0" width="13"/>
  </cols>
  <sheetData>
    <row r="1" customFormat="false" ht="19.7" hidden="false" customHeight="false" outlineLevel="0" collapsed="false">
      <c r="A1" s="30" t="s">
        <v>74</v>
      </c>
    </row>
    <row r="2" customFormat="false" ht="15" hidden="false" customHeight="false" outlineLevel="0" collapsed="false">
      <c r="A2" s="31" t="s">
        <v>100</v>
      </c>
    </row>
    <row r="3" customFormat="false" ht="15" hidden="false" customHeight="false" outlineLevel="0" collapsed="false">
      <c r="A3" s="32" t="s">
        <v>57</v>
      </c>
    </row>
    <row r="4" customFormat="false" ht="36" hidden="false" customHeight="true" outlineLevel="0" collapsed="false">
      <c r="A4" s="33" t="s">
        <v>30</v>
      </c>
      <c r="B4" s="33" t="s">
        <v>14</v>
      </c>
      <c r="C4" s="33" t="s">
        <v>101</v>
      </c>
      <c r="D4" s="33" t="s">
        <v>102</v>
      </c>
      <c r="E4" s="33" t="s">
        <v>88</v>
      </c>
      <c r="F4" s="33" t="s">
        <v>32</v>
      </c>
      <c r="G4" s="33" t="s">
        <v>103</v>
      </c>
      <c r="H4" s="33" t="s">
        <v>104</v>
      </c>
      <c r="I4" s="33" t="s">
        <v>18</v>
      </c>
      <c r="J4" s="33" t="s">
        <v>105</v>
      </c>
      <c r="K4" s="33" t="s">
        <v>106</v>
      </c>
      <c r="L4" s="33" t="s">
        <v>107</v>
      </c>
      <c r="M4" s="33" t="s">
        <v>108</v>
      </c>
      <c r="N4" s="33" t="s">
        <v>109</v>
      </c>
      <c r="O4" s="33" t="s">
        <v>110</v>
      </c>
      <c r="P4" s="33" t="s">
        <v>111</v>
      </c>
      <c r="Q4" s="34" t="s">
        <v>112</v>
      </c>
      <c r="R4" s="34" t="s">
        <v>113</v>
      </c>
      <c r="S4" s="34" t="s">
        <v>114</v>
      </c>
      <c r="T4" s="34" t="s">
        <v>115</v>
      </c>
    </row>
    <row r="5" customFormat="false" ht="23.85" hidden="false" customHeight="false" outlineLevel="0" collapsed="false">
      <c r="A5" s="53" t="s">
        <v>116</v>
      </c>
      <c r="B5" s="36" t="s">
        <v>80</v>
      </c>
      <c r="C5" s="37" t="s">
        <v>117</v>
      </c>
      <c r="D5" s="36" t="s">
        <v>90</v>
      </c>
      <c r="E5" s="36" t="s">
        <v>96</v>
      </c>
      <c r="F5" s="36" t="s">
        <v>118</v>
      </c>
      <c r="G5" s="35" t="n">
        <v>46300</v>
      </c>
      <c r="H5" s="35" t="n">
        <v>46311</v>
      </c>
      <c r="I5" s="36" t="s">
        <v>75</v>
      </c>
      <c r="J5" s="35" t="n">
        <v>46310</v>
      </c>
      <c r="K5" s="35" t="n">
        <v>46310</v>
      </c>
      <c r="L5" s="37" t="s">
        <v>119</v>
      </c>
      <c r="M5" s="26"/>
      <c r="N5" s="27"/>
      <c r="O5" s="36" t="s">
        <v>120</v>
      </c>
      <c r="P5" s="54" t="str">
        <f aca="true">IF(OR(C5="",H5="",I5="Completed",I5="Cancelled"),"",IF(H5&lt;TODAY(),"Overdue",""))</f>
        <v/>
      </c>
      <c r="Q5" s="38" t="n">
        <f aca="false">IF(AND(C5&lt;&gt;"",I5&lt;&gt;"Cancelled",OR(AND(N(J5)&gt;'Weekly Report'!$C$5,N(J5)&lt;='Weekly Report'!$C$4),AND(N(K5)&gt;'Weekly Report'!$C$5,N(K5)&lt;='Weekly Report'!$C$4))),COUNT(Q$4:Q4)+1,"")</f>
        <v>1</v>
      </c>
      <c r="R5" s="0" t="str">
        <f aca="false">IF(AND(C5&lt;&gt;"",I5="In Progress"),COUNT(R$4:R4)+1,"")</f>
        <v/>
      </c>
      <c r="S5" s="0" t="str">
        <f aca="false">IF(AND(C5&lt;&gt;"",I5&lt;&gt;"Completed",I5&lt;&gt;"Cancelled",OR(I5="Blocked",M5&lt;&gt;"")),COUNT(S$4:S4)+1,"")</f>
        <v/>
      </c>
      <c r="T5" s="0" t="str">
        <f aca="false">IF(AND(C5&lt;&gt;"",I5&lt;&gt;"Completed",I5&lt;&gt;"Cancelled",OR(O5="Yes",AND(N(H5)&gt;'Weekly Report'!$C$4,N(H5)&lt;='Weekly Report'!$C$4+7))),COUNT(T$4:T4)+1,"")</f>
        <v/>
      </c>
    </row>
    <row r="6" customFormat="false" ht="23.85" hidden="false" customHeight="false" outlineLevel="0" collapsed="false">
      <c r="A6" s="53" t="s">
        <v>121</v>
      </c>
      <c r="B6" s="36" t="s">
        <v>83</v>
      </c>
      <c r="C6" s="37" t="s">
        <v>122</v>
      </c>
      <c r="D6" s="36" t="s">
        <v>91</v>
      </c>
      <c r="E6" s="36" t="s">
        <v>95</v>
      </c>
      <c r="F6" s="36" t="s">
        <v>118</v>
      </c>
      <c r="G6" s="35" t="n">
        <v>46309</v>
      </c>
      <c r="H6" s="35" t="n">
        <v>46332</v>
      </c>
      <c r="I6" s="36" t="s">
        <v>81</v>
      </c>
      <c r="J6" s="28"/>
      <c r="K6" s="35" t="n">
        <v>46314</v>
      </c>
      <c r="L6" s="37" t="s">
        <v>123</v>
      </c>
      <c r="M6" s="26"/>
      <c r="N6" s="27"/>
      <c r="O6" s="36" t="s">
        <v>124</v>
      </c>
      <c r="P6" s="54" t="str">
        <f aca="true">IF(OR(C6="",H6="",I6="Completed",I6="Cancelled"),"",IF(H6&lt;TODAY(),"Overdue",""))</f>
        <v/>
      </c>
      <c r="Q6" s="38" t="n">
        <f aca="false">IF(AND(C6&lt;&gt;"",I6&lt;&gt;"Cancelled",OR(AND(N(J6)&gt;'Weekly Report'!$C$5,N(J6)&lt;='Weekly Report'!$C$4),AND(N(K6)&gt;'Weekly Report'!$C$5,N(K6)&lt;='Weekly Report'!$C$4))),COUNT(Q$4:Q5)+1,"")</f>
        <v>2</v>
      </c>
      <c r="R6" s="38" t="n">
        <f aca="false">IF(AND(C6&lt;&gt;"",I6="In Progress"),COUNT(R$4:R5)+1,"")</f>
        <v>1</v>
      </c>
      <c r="S6" s="0" t="str">
        <f aca="false">IF(AND(C6&lt;&gt;"",I6&lt;&gt;"Completed",I6&lt;&gt;"Cancelled",OR(I6="Blocked",M6&lt;&gt;"")),COUNT(S$4:S5)+1,"")</f>
        <v/>
      </c>
      <c r="T6" s="38" t="n">
        <f aca="false">IF(AND(C6&lt;&gt;"",I6&lt;&gt;"Completed",I6&lt;&gt;"Cancelled",OR(O6="Yes",AND(N(H6)&gt;'Weekly Report'!$C$4,N(H6)&lt;='Weekly Report'!$C$4+7))),COUNT(T$4:T5)+1,"")</f>
        <v>1</v>
      </c>
    </row>
    <row r="7" customFormat="false" ht="23.85" hidden="false" customHeight="false" outlineLevel="0" collapsed="false">
      <c r="A7" s="53" t="s">
        <v>125</v>
      </c>
      <c r="B7" s="36" t="s">
        <v>83</v>
      </c>
      <c r="C7" s="37" t="s">
        <v>126</v>
      </c>
      <c r="D7" s="36" t="s">
        <v>89</v>
      </c>
      <c r="E7" s="36" t="s">
        <v>96</v>
      </c>
      <c r="F7" s="36" t="s">
        <v>118</v>
      </c>
      <c r="G7" s="35" t="n">
        <v>46314</v>
      </c>
      <c r="H7" s="35" t="n">
        <v>46322</v>
      </c>
      <c r="I7" s="36" t="s">
        <v>127</v>
      </c>
      <c r="J7" s="28"/>
      <c r="K7" s="28"/>
      <c r="L7" s="26"/>
      <c r="M7" s="37" t="s">
        <v>128</v>
      </c>
      <c r="N7" s="36" t="s">
        <v>129</v>
      </c>
      <c r="O7" s="36" t="s">
        <v>124</v>
      </c>
      <c r="P7" s="54" t="str">
        <f aca="true">IF(OR(C7="",H7="",I7="Completed",I7="Cancelled"),"",IF(H7&lt;TODAY(),"Overdue",""))</f>
        <v/>
      </c>
      <c r="Q7" s="0" t="str">
        <f aca="false">IF(AND(C7&lt;&gt;"",I7&lt;&gt;"Cancelled",OR(AND(N(J7)&gt;'Weekly Report'!$C$5,N(J7)&lt;='Weekly Report'!$C$4),AND(N(K7)&gt;'Weekly Report'!$C$5,N(K7)&lt;='Weekly Report'!$C$4))),COUNT(Q$4:Q6)+1,"")</f>
        <v/>
      </c>
      <c r="R7" s="0" t="str">
        <f aca="false">IF(AND(C7&lt;&gt;"",I7="In Progress"),COUNT(R$4:R6)+1,"")</f>
        <v/>
      </c>
      <c r="S7" s="38" t="n">
        <f aca="false">IF(AND(C7&lt;&gt;"",I7&lt;&gt;"Completed",I7&lt;&gt;"Cancelled",OR(I7="Blocked",M7&lt;&gt;"")),COUNT(S$4:S6)+1,"")</f>
        <v>1</v>
      </c>
      <c r="T7" s="38" t="n">
        <f aca="false">IF(AND(C7&lt;&gt;"",I7&lt;&gt;"Completed",I7&lt;&gt;"Cancelled",OR(O7="Yes",AND(N(H7)&gt;'Weekly Report'!$C$4,N(H7)&lt;='Weekly Report'!$C$4+7))),COUNT(T$4:T6)+1,"")</f>
        <v>2</v>
      </c>
    </row>
    <row r="8" customFormat="false" ht="15" hidden="false" customHeight="false" outlineLevel="0" collapsed="false">
      <c r="A8" s="53" t="s">
        <v>130</v>
      </c>
      <c r="B8" s="27"/>
      <c r="C8" s="26"/>
      <c r="D8" s="27"/>
      <c r="E8" s="27"/>
      <c r="F8" s="27"/>
      <c r="G8" s="28"/>
      <c r="H8" s="28"/>
      <c r="I8" s="27"/>
      <c r="J8" s="28"/>
      <c r="K8" s="28"/>
      <c r="L8" s="26"/>
      <c r="M8" s="26"/>
      <c r="N8" s="27"/>
      <c r="O8" s="27"/>
      <c r="P8" s="54" t="str">
        <f aca="true">IF(OR(C8="",H8="",I8="Completed",I8="Cancelled"),"",IF(H8&lt;TODAY(),"Overdue",""))</f>
        <v/>
      </c>
      <c r="Q8" s="0" t="str">
        <f aca="false">IF(AND(C8&lt;&gt;"",I8&lt;&gt;"Cancelled",OR(AND(N(J8)&gt;'Weekly Report'!$C$5,N(J8)&lt;='Weekly Report'!$C$4),AND(N(K8)&gt;'Weekly Report'!$C$5,N(K8)&lt;='Weekly Report'!$C$4))),COUNT(Q$4:Q7)+1,"")</f>
        <v/>
      </c>
      <c r="R8" s="0" t="str">
        <f aca="false">IF(AND(C8&lt;&gt;"",I8="In Progress"),COUNT(R$4:R7)+1,"")</f>
        <v/>
      </c>
      <c r="S8" s="0" t="str">
        <f aca="false">IF(AND(C8&lt;&gt;"",I8&lt;&gt;"Completed",I8&lt;&gt;"Cancelled",OR(I8="Blocked",M8&lt;&gt;"")),COUNT(S$4:S7)+1,"")</f>
        <v/>
      </c>
      <c r="T8" s="0" t="str">
        <f aca="false">IF(AND(C8&lt;&gt;"",I8&lt;&gt;"Completed",I8&lt;&gt;"Cancelled",OR(O8="Yes",AND(N(H8)&gt;'Weekly Report'!$C$4,N(H8)&lt;='Weekly Report'!$C$4+7))),COUNT(T$4:T7)+1,"")</f>
        <v/>
      </c>
    </row>
    <row r="9" customFormat="false" ht="15" hidden="false" customHeight="false" outlineLevel="0" collapsed="false">
      <c r="A9" s="53" t="s">
        <v>131</v>
      </c>
      <c r="B9" s="27"/>
      <c r="C9" s="26"/>
      <c r="D9" s="27"/>
      <c r="E9" s="27"/>
      <c r="F9" s="27"/>
      <c r="G9" s="28"/>
      <c r="H9" s="28"/>
      <c r="I9" s="27"/>
      <c r="J9" s="28"/>
      <c r="K9" s="28"/>
      <c r="L9" s="26"/>
      <c r="M9" s="26"/>
      <c r="N9" s="27"/>
      <c r="O9" s="27"/>
      <c r="P9" s="54" t="str">
        <f aca="true">IF(OR(C9="",H9="",I9="Completed",I9="Cancelled"),"",IF(H9&lt;TODAY(),"Overdue",""))</f>
        <v/>
      </c>
      <c r="Q9" s="0" t="str">
        <f aca="false">IF(AND(C9&lt;&gt;"",I9&lt;&gt;"Cancelled",OR(AND(N(J9)&gt;'Weekly Report'!$C$5,N(J9)&lt;='Weekly Report'!$C$4),AND(N(K9)&gt;'Weekly Report'!$C$5,N(K9)&lt;='Weekly Report'!$C$4))),COUNT(Q$4:Q8)+1,"")</f>
        <v/>
      </c>
      <c r="R9" s="0" t="str">
        <f aca="false">IF(AND(C9&lt;&gt;"",I9="In Progress"),COUNT(R$4:R8)+1,"")</f>
        <v/>
      </c>
      <c r="S9" s="0" t="str">
        <f aca="false">IF(AND(C9&lt;&gt;"",I9&lt;&gt;"Completed",I9&lt;&gt;"Cancelled",OR(I9="Blocked",M9&lt;&gt;"")),COUNT(S$4:S8)+1,"")</f>
        <v/>
      </c>
      <c r="T9" s="0" t="str">
        <f aca="false">IF(AND(C9&lt;&gt;"",I9&lt;&gt;"Completed",I9&lt;&gt;"Cancelled",OR(O9="Yes",AND(N(H9)&gt;'Weekly Report'!$C$4,N(H9)&lt;='Weekly Report'!$C$4+7))),COUNT(T$4:T8)+1,"")</f>
        <v/>
      </c>
    </row>
    <row r="10" customFormat="false" ht="15" hidden="false" customHeight="false" outlineLevel="0" collapsed="false">
      <c r="A10" s="53" t="s">
        <v>132</v>
      </c>
      <c r="B10" s="27"/>
      <c r="C10" s="26"/>
      <c r="D10" s="27"/>
      <c r="E10" s="27"/>
      <c r="F10" s="27"/>
      <c r="G10" s="28"/>
      <c r="H10" s="28"/>
      <c r="I10" s="27"/>
      <c r="J10" s="28"/>
      <c r="K10" s="28"/>
      <c r="L10" s="26"/>
      <c r="M10" s="26"/>
      <c r="N10" s="27"/>
      <c r="O10" s="27"/>
      <c r="P10" s="54" t="str">
        <f aca="true">IF(OR(C10="",H10="",I10="Completed",I10="Cancelled"),"",IF(H10&lt;TODAY(),"Overdue",""))</f>
        <v/>
      </c>
      <c r="Q10" s="0" t="str">
        <f aca="false">IF(AND(C10&lt;&gt;"",I10&lt;&gt;"Cancelled",OR(AND(N(J10)&gt;'Weekly Report'!$C$5,N(J10)&lt;='Weekly Report'!$C$4),AND(N(K10)&gt;'Weekly Report'!$C$5,N(K10)&lt;='Weekly Report'!$C$4))),COUNT(Q$4:Q9)+1,"")</f>
        <v/>
      </c>
      <c r="R10" s="0" t="str">
        <f aca="false">IF(AND(C10&lt;&gt;"",I10="In Progress"),COUNT(R$4:R9)+1,"")</f>
        <v/>
      </c>
      <c r="S10" s="0" t="str">
        <f aca="false">IF(AND(C10&lt;&gt;"",I10&lt;&gt;"Completed",I10&lt;&gt;"Cancelled",OR(I10="Blocked",M10&lt;&gt;"")),COUNT(S$4:S9)+1,"")</f>
        <v/>
      </c>
      <c r="T10" s="0" t="str">
        <f aca="false">IF(AND(C10&lt;&gt;"",I10&lt;&gt;"Completed",I10&lt;&gt;"Cancelled",OR(O10="Yes",AND(N(H10)&gt;'Weekly Report'!$C$4,N(H10)&lt;='Weekly Report'!$C$4+7))),COUNT(T$4:T9)+1,"")</f>
        <v/>
      </c>
    </row>
    <row r="11" customFormat="false" ht="15" hidden="false" customHeight="false" outlineLevel="0" collapsed="false">
      <c r="A11" s="53" t="s">
        <v>133</v>
      </c>
      <c r="B11" s="27"/>
      <c r="C11" s="26"/>
      <c r="D11" s="27"/>
      <c r="E11" s="27"/>
      <c r="F11" s="27"/>
      <c r="G11" s="28"/>
      <c r="H11" s="28"/>
      <c r="I11" s="27"/>
      <c r="J11" s="28"/>
      <c r="K11" s="28"/>
      <c r="L11" s="26"/>
      <c r="M11" s="26"/>
      <c r="N11" s="27"/>
      <c r="O11" s="27"/>
      <c r="P11" s="54" t="str">
        <f aca="true">IF(OR(C11="",H11="",I11="Completed",I11="Cancelled"),"",IF(H11&lt;TODAY(),"Overdue",""))</f>
        <v/>
      </c>
      <c r="Q11" s="0" t="str">
        <f aca="false">IF(AND(C11&lt;&gt;"",I11&lt;&gt;"Cancelled",OR(AND(N(J11)&gt;'Weekly Report'!$C$5,N(J11)&lt;='Weekly Report'!$C$4),AND(N(K11)&gt;'Weekly Report'!$C$5,N(K11)&lt;='Weekly Report'!$C$4))),COUNT(Q$4:Q10)+1,"")</f>
        <v/>
      </c>
      <c r="R11" s="0" t="str">
        <f aca="false">IF(AND(C11&lt;&gt;"",I11="In Progress"),COUNT(R$4:R10)+1,"")</f>
        <v/>
      </c>
      <c r="S11" s="0" t="str">
        <f aca="false">IF(AND(C11&lt;&gt;"",I11&lt;&gt;"Completed",I11&lt;&gt;"Cancelled",OR(I11="Blocked",M11&lt;&gt;"")),COUNT(S$4:S10)+1,"")</f>
        <v/>
      </c>
      <c r="T11" s="0" t="str">
        <f aca="false">IF(AND(C11&lt;&gt;"",I11&lt;&gt;"Completed",I11&lt;&gt;"Cancelled",OR(O11="Yes",AND(N(H11)&gt;'Weekly Report'!$C$4,N(H11)&lt;='Weekly Report'!$C$4+7))),COUNT(T$4:T10)+1,"")</f>
        <v/>
      </c>
    </row>
    <row r="12" customFormat="false" ht="15" hidden="false" customHeight="false" outlineLevel="0" collapsed="false">
      <c r="A12" s="53" t="s">
        <v>134</v>
      </c>
      <c r="B12" s="27"/>
      <c r="C12" s="26"/>
      <c r="D12" s="27"/>
      <c r="E12" s="27"/>
      <c r="F12" s="27"/>
      <c r="G12" s="28"/>
      <c r="H12" s="28"/>
      <c r="I12" s="27"/>
      <c r="J12" s="28"/>
      <c r="K12" s="28"/>
      <c r="L12" s="26"/>
      <c r="M12" s="26"/>
      <c r="N12" s="27"/>
      <c r="O12" s="27"/>
      <c r="P12" s="54" t="str">
        <f aca="true">IF(OR(C12="",H12="",I12="Completed",I12="Cancelled"),"",IF(H12&lt;TODAY(),"Overdue",""))</f>
        <v/>
      </c>
      <c r="Q12" s="0" t="str">
        <f aca="false">IF(AND(C12&lt;&gt;"",I12&lt;&gt;"Cancelled",OR(AND(N(J12)&gt;'Weekly Report'!$C$5,N(J12)&lt;='Weekly Report'!$C$4),AND(N(K12)&gt;'Weekly Report'!$C$5,N(K12)&lt;='Weekly Report'!$C$4))),COUNT(Q$4:Q11)+1,"")</f>
        <v/>
      </c>
      <c r="R12" s="0" t="str">
        <f aca="false">IF(AND(C12&lt;&gt;"",I12="In Progress"),COUNT(R$4:R11)+1,"")</f>
        <v/>
      </c>
      <c r="S12" s="0" t="str">
        <f aca="false">IF(AND(C12&lt;&gt;"",I12&lt;&gt;"Completed",I12&lt;&gt;"Cancelled",OR(I12="Blocked",M12&lt;&gt;"")),COUNT(S$4:S11)+1,"")</f>
        <v/>
      </c>
      <c r="T12" s="0" t="str">
        <f aca="false">IF(AND(C12&lt;&gt;"",I12&lt;&gt;"Completed",I12&lt;&gt;"Cancelled",OR(O12="Yes",AND(N(H12)&gt;'Weekly Report'!$C$4,N(H12)&lt;='Weekly Report'!$C$4+7))),COUNT(T$4:T11)+1,"")</f>
        <v/>
      </c>
    </row>
    <row r="13" customFormat="false" ht="15" hidden="false" customHeight="false" outlineLevel="0" collapsed="false">
      <c r="A13" s="53" t="s">
        <v>135</v>
      </c>
      <c r="B13" s="27"/>
      <c r="C13" s="26"/>
      <c r="D13" s="27"/>
      <c r="E13" s="27"/>
      <c r="F13" s="27"/>
      <c r="G13" s="28"/>
      <c r="H13" s="28"/>
      <c r="I13" s="27"/>
      <c r="J13" s="28"/>
      <c r="K13" s="28"/>
      <c r="L13" s="26"/>
      <c r="M13" s="26"/>
      <c r="N13" s="27"/>
      <c r="O13" s="27"/>
      <c r="P13" s="54" t="str">
        <f aca="true">IF(OR(C13="",H13="",I13="Completed",I13="Cancelled"),"",IF(H13&lt;TODAY(),"Overdue",""))</f>
        <v/>
      </c>
      <c r="Q13" s="0" t="str">
        <f aca="false">IF(AND(C13&lt;&gt;"",I13&lt;&gt;"Cancelled",OR(AND(N(J13)&gt;'Weekly Report'!$C$5,N(J13)&lt;='Weekly Report'!$C$4),AND(N(K13)&gt;'Weekly Report'!$C$5,N(K13)&lt;='Weekly Report'!$C$4))),COUNT(Q$4:Q12)+1,"")</f>
        <v/>
      </c>
      <c r="R13" s="0" t="str">
        <f aca="false">IF(AND(C13&lt;&gt;"",I13="In Progress"),COUNT(R$4:R12)+1,"")</f>
        <v/>
      </c>
      <c r="S13" s="0" t="str">
        <f aca="false">IF(AND(C13&lt;&gt;"",I13&lt;&gt;"Completed",I13&lt;&gt;"Cancelled",OR(I13="Blocked",M13&lt;&gt;"")),COUNT(S$4:S12)+1,"")</f>
        <v/>
      </c>
      <c r="T13" s="0" t="str">
        <f aca="false">IF(AND(C13&lt;&gt;"",I13&lt;&gt;"Completed",I13&lt;&gt;"Cancelled",OR(O13="Yes",AND(N(H13)&gt;'Weekly Report'!$C$4,N(H13)&lt;='Weekly Report'!$C$4+7))),COUNT(T$4:T12)+1,"")</f>
        <v/>
      </c>
    </row>
    <row r="14" customFormat="false" ht="15" hidden="false" customHeight="false" outlineLevel="0" collapsed="false">
      <c r="A14" s="53" t="s">
        <v>136</v>
      </c>
      <c r="B14" s="27"/>
      <c r="C14" s="26"/>
      <c r="D14" s="27"/>
      <c r="E14" s="27"/>
      <c r="F14" s="27"/>
      <c r="G14" s="28"/>
      <c r="H14" s="28"/>
      <c r="I14" s="27"/>
      <c r="J14" s="28"/>
      <c r="K14" s="28"/>
      <c r="L14" s="26"/>
      <c r="M14" s="26"/>
      <c r="N14" s="27"/>
      <c r="O14" s="27"/>
      <c r="P14" s="54" t="str">
        <f aca="true">IF(OR(C14="",H14="",I14="Completed",I14="Cancelled"),"",IF(H14&lt;TODAY(),"Overdue",""))</f>
        <v/>
      </c>
      <c r="Q14" s="0" t="str">
        <f aca="false">IF(AND(C14&lt;&gt;"",I14&lt;&gt;"Cancelled",OR(AND(N(J14)&gt;'Weekly Report'!$C$5,N(J14)&lt;='Weekly Report'!$C$4),AND(N(K14)&gt;'Weekly Report'!$C$5,N(K14)&lt;='Weekly Report'!$C$4))),COUNT(Q$4:Q13)+1,"")</f>
        <v/>
      </c>
      <c r="R14" s="0" t="str">
        <f aca="false">IF(AND(C14&lt;&gt;"",I14="In Progress"),COUNT(R$4:R13)+1,"")</f>
        <v/>
      </c>
      <c r="S14" s="0" t="str">
        <f aca="false">IF(AND(C14&lt;&gt;"",I14&lt;&gt;"Completed",I14&lt;&gt;"Cancelled",OR(I14="Blocked",M14&lt;&gt;"")),COUNT(S$4:S13)+1,"")</f>
        <v/>
      </c>
      <c r="T14" s="0" t="str">
        <f aca="false">IF(AND(C14&lt;&gt;"",I14&lt;&gt;"Completed",I14&lt;&gt;"Cancelled",OR(O14="Yes",AND(N(H14)&gt;'Weekly Report'!$C$4,N(H14)&lt;='Weekly Report'!$C$4+7))),COUNT(T$4:T13)+1,"")</f>
        <v/>
      </c>
    </row>
    <row r="15" customFormat="false" ht="15" hidden="false" customHeight="false" outlineLevel="0" collapsed="false">
      <c r="A15" s="53" t="s">
        <v>137</v>
      </c>
      <c r="B15" s="27"/>
      <c r="C15" s="26"/>
      <c r="D15" s="27"/>
      <c r="E15" s="27"/>
      <c r="F15" s="27"/>
      <c r="G15" s="28"/>
      <c r="H15" s="28"/>
      <c r="I15" s="27"/>
      <c r="J15" s="28"/>
      <c r="K15" s="28"/>
      <c r="L15" s="26"/>
      <c r="M15" s="26"/>
      <c r="N15" s="27"/>
      <c r="O15" s="27"/>
      <c r="P15" s="54" t="str">
        <f aca="true">IF(OR(C15="",H15="",I15="Completed",I15="Cancelled"),"",IF(H15&lt;TODAY(),"Overdue",""))</f>
        <v/>
      </c>
      <c r="Q15" s="0" t="str">
        <f aca="false">IF(AND(C15&lt;&gt;"",I15&lt;&gt;"Cancelled",OR(AND(N(J15)&gt;'Weekly Report'!$C$5,N(J15)&lt;='Weekly Report'!$C$4),AND(N(K15)&gt;'Weekly Report'!$C$5,N(K15)&lt;='Weekly Report'!$C$4))),COUNT(Q$4:Q14)+1,"")</f>
        <v/>
      </c>
      <c r="R15" s="0" t="str">
        <f aca="false">IF(AND(C15&lt;&gt;"",I15="In Progress"),COUNT(R$4:R14)+1,"")</f>
        <v/>
      </c>
      <c r="S15" s="0" t="str">
        <f aca="false">IF(AND(C15&lt;&gt;"",I15&lt;&gt;"Completed",I15&lt;&gt;"Cancelled",OR(I15="Blocked",M15&lt;&gt;"")),COUNT(S$4:S14)+1,"")</f>
        <v/>
      </c>
      <c r="T15" s="0" t="str">
        <f aca="false">IF(AND(C15&lt;&gt;"",I15&lt;&gt;"Completed",I15&lt;&gt;"Cancelled",OR(O15="Yes",AND(N(H15)&gt;'Weekly Report'!$C$4,N(H15)&lt;='Weekly Report'!$C$4+7))),COUNT(T$4:T14)+1,"")</f>
        <v/>
      </c>
    </row>
    <row r="16" customFormat="false" ht="15" hidden="false" customHeight="false" outlineLevel="0" collapsed="false">
      <c r="A16" s="53" t="s">
        <v>138</v>
      </c>
      <c r="B16" s="27"/>
      <c r="C16" s="26"/>
      <c r="D16" s="27"/>
      <c r="E16" s="27"/>
      <c r="F16" s="27"/>
      <c r="G16" s="28"/>
      <c r="H16" s="28"/>
      <c r="I16" s="27"/>
      <c r="J16" s="28"/>
      <c r="K16" s="28"/>
      <c r="L16" s="26"/>
      <c r="M16" s="26"/>
      <c r="N16" s="27"/>
      <c r="O16" s="27"/>
      <c r="P16" s="54" t="str">
        <f aca="true">IF(OR(C16="",H16="",I16="Completed",I16="Cancelled"),"",IF(H16&lt;TODAY(),"Overdue",""))</f>
        <v/>
      </c>
      <c r="Q16" s="0" t="str">
        <f aca="false">IF(AND(C16&lt;&gt;"",I16&lt;&gt;"Cancelled",OR(AND(N(J16)&gt;'Weekly Report'!$C$5,N(J16)&lt;='Weekly Report'!$C$4),AND(N(K16)&gt;'Weekly Report'!$C$5,N(K16)&lt;='Weekly Report'!$C$4))),COUNT(Q$4:Q15)+1,"")</f>
        <v/>
      </c>
      <c r="R16" s="0" t="str">
        <f aca="false">IF(AND(C16&lt;&gt;"",I16="In Progress"),COUNT(R$4:R15)+1,"")</f>
        <v/>
      </c>
      <c r="S16" s="0" t="str">
        <f aca="false">IF(AND(C16&lt;&gt;"",I16&lt;&gt;"Completed",I16&lt;&gt;"Cancelled",OR(I16="Blocked",M16&lt;&gt;"")),COUNT(S$4:S15)+1,"")</f>
        <v/>
      </c>
      <c r="T16" s="0" t="str">
        <f aca="false">IF(AND(C16&lt;&gt;"",I16&lt;&gt;"Completed",I16&lt;&gt;"Cancelled",OR(O16="Yes",AND(N(H16)&gt;'Weekly Report'!$C$4,N(H16)&lt;='Weekly Report'!$C$4+7))),COUNT(T$4:T15)+1,"")</f>
        <v/>
      </c>
    </row>
    <row r="17" customFormat="false" ht="15" hidden="false" customHeight="false" outlineLevel="0" collapsed="false">
      <c r="A17" s="53" t="s">
        <v>139</v>
      </c>
      <c r="B17" s="27"/>
      <c r="C17" s="26"/>
      <c r="D17" s="27"/>
      <c r="E17" s="27"/>
      <c r="F17" s="27"/>
      <c r="G17" s="28"/>
      <c r="H17" s="28"/>
      <c r="I17" s="27"/>
      <c r="J17" s="28"/>
      <c r="K17" s="28"/>
      <c r="L17" s="26"/>
      <c r="M17" s="26"/>
      <c r="N17" s="27"/>
      <c r="O17" s="27"/>
      <c r="P17" s="54" t="str">
        <f aca="true">IF(OR(C17="",H17="",I17="Completed",I17="Cancelled"),"",IF(H17&lt;TODAY(),"Overdue",""))</f>
        <v/>
      </c>
      <c r="Q17" s="0" t="str">
        <f aca="false">IF(AND(C17&lt;&gt;"",I17&lt;&gt;"Cancelled",OR(AND(N(J17)&gt;'Weekly Report'!$C$5,N(J17)&lt;='Weekly Report'!$C$4),AND(N(K17)&gt;'Weekly Report'!$C$5,N(K17)&lt;='Weekly Report'!$C$4))),COUNT(Q$4:Q16)+1,"")</f>
        <v/>
      </c>
      <c r="R17" s="0" t="str">
        <f aca="false">IF(AND(C17&lt;&gt;"",I17="In Progress"),COUNT(R$4:R16)+1,"")</f>
        <v/>
      </c>
      <c r="S17" s="0" t="str">
        <f aca="false">IF(AND(C17&lt;&gt;"",I17&lt;&gt;"Completed",I17&lt;&gt;"Cancelled",OR(I17="Blocked",M17&lt;&gt;"")),COUNT(S$4:S16)+1,"")</f>
        <v/>
      </c>
      <c r="T17" s="0" t="str">
        <f aca="false">IF(AND(C17&lt;&gt;"",I17&lt;&gt;"Completed",I17&lt;&gt;"Cancelled",OR(O17="Yes",AND(N(H17)&gt;'Weekly Report'!$C$4,N(H17)&lt;='Weekly Report'!$C$4+7))),COUNT(T$4:T16)+1,"")</f>
        <v/>
      </c>
    </row>
    <row r="18" customFormat="false" ht="15" hidden="false" customHeight="false" outlineLevel="0" collapsed="false">
      <c r="A18" s="53" t="s">
        <v>140</v>
      </c>
      <c r="B18" s="27"/>
      <c r="C18" s="26"/>
      <c r="D18" s="27"/>
      <c r="E18" s="27"/>
      <c r="F18" s="27"/>
      <c r="G18" s="28"/>
      <c r="H18" s="28"/>
      <c r="I18" s="27"/>
      <c r="J18" s="28"/>
      <c r="K18" s="28"/>
      <c r="L18" s="26"/>
      <c r="M18" s="26"/>
      <c r="N18" s="27"/>
      <c r="O18" s="27"/>
      <c r="P18" s="54" t="str">
        <f aca="true">IF(OR(C18="",H18="",I18="Completed",I18="Cancelled"),"",IF(H18&lt;TODAY(),"Overdue",""))</f>
        <v/>
      </c>
      <c r="Q18" s="0" t="str">
        <f aca="false">IF(AND(C18&lt;&gt;"",I18&lt;&gt;"Cancelled",OR(AND(N(J18)&gt;'Weekly Report'!$C$5,N(J18)&lt;='Weekly Report'!$C$4),AND(N(K18)&gt;'Weekly Report'!$C$5,N(K18)&lt;='Weekly Report'!$C$4))),COUNT(Q$4:Q17)+1,"")</f>
        <v/>
      </c>
      <c r="R18" s="0" t="str">
        <f aca="false">IF(AND(C18&lt;&gt;"",I18="In Progress"),COUNT(R$4:R17)+1,"")</f>
        <v/>
      </c>
      <c r="S18" s="0" t="str">
        <f aca="false">IF(AND(C18&lt;&gt;"",I18&lt;&gt;"Completed",I18&lt;&gt;"Cancelled",OR(I18="Blocked",M18&lt;&gt;"")),COUNT(S$4:S17)+1,"")</f>
        <v/>
      </c>
      <c r="T18" s="0" t="str">
        <f aca="false">IF(AND(C18&lt;&gt;"",I18&lt;&gt;"Completed",I18&lt;&gt;"Cancelled",OR(O18="Yes",AND(N(H18)&gt;'Weekly Report'!$C$4,N(H18)&lt;='Weekly Report'!$C$4+7))),COUNT(T$4:T17)+1,"")</f>
        <v/>
      </c>
    </row>
    <row r="19" customFormat="false" ht="15" hidden="false" customHeight="false" outlineLevel="0" collapsed="false">
      <c r="A19" s="53" t="s">
        <v>141</v>
      </c>
      <c r="B19" s="27"/>
      <c r="C19" s="26"/>
      <c r="D19" s="27"/>
      <c r="E19" s="27"/>
      <c r="F19" s="27"/>
      <c r="G19" s="28"/>
      <c r="H19" s="28"/>
      <c r="I19" s="27"/>
      <c r="J19" s="28"/>
      <c r="K19" s="28"/>
      <c r="L19" s="26"/>
      <c r="M19" s="26"/>
      <c r="N19" s="27"/>
      <c r="O19" s="27"/>
      <c r="P19" s="54" t="str">
        <f aca="true">IF(OR(C19="",H19="",I19="Completed",I19="Cancelled"),"",IF(H19&lt;TODAY(),"Overdue",""))</f>
        <v/>
      </c>
      <c r="Q19" s="0" t="str">
        <f aca="false">IF(AND(C19&lt;&gt;"",I19&lt;&gt;"Cancelled",OR(AND(N(J19)&gt;'Weekly Report'!$C$5,N(J19)&lt;='Weekly Report'!$C$4),AND(N(K19)&gt;'Weekly Report'!$C$5,N(K19)&lt;='Weekly Report'!$C$4))),COUNT(Q$4:Q18)+1,"")</f>
        <v/>
      </c>
      <c r="R19" s="0" t="str">
        <f aca="false">IF(AND(C19&lt;&gt;"",I19="In Progress"),COUNT(R$4:R18)+1,"")</f>
        <v/>
      </c>
      <c r="S19" s="0" t="str">
        <f aca="false">IF(AND(C19&lt;&gt;"",I19&lt;&gt;"Completed",I19&lt;&gt;"Cancelled",OR(I19="Blocked",M19&lt;&gt;"")),COUNT(S$4:S18)+1,"")</f>
        <v/>
      </c>
      <c r="T19" s="0" t="str">
        <f aca="false">IF(AND(C19&lt;&gt;"",I19&lt;&gt;"Completed",I19&lt;&gt;"Cancelled",OR(O19="Yes",AND(N(H19)&gt;'Weekly Report'!$C$4,N(H19)&lt;='Weekly Report'!$C$4+7))),COUNT(T$4:T18)+1,"")</f>
        <v/>
      </c>
    </row>
    <row r="20" customFormat="false" ht="15" hidden="false" customHeight="false" outlineLevel="0" collapsed="false">
      <c r="A20" s="53" t="s">
        <v>142</v>
      </c>
      <c r="B20" s="27"/>
      <c r="C20" s="26"/>
      <c r="D20" s="27"/>
      <c r="E20" s="27"/>
      <c r="F20" s="27"/>
      <c r="G20" s="28"/>
      <c r="H20" s="28"/>
      <c r="I20" s="27"/>
      <c r="J20" s="28"/>
      <c r="K20" s="28"/>
      <c r="L20" s="26"/>
      <c r="M20" s="26"/>
      <c r="N20" s="27"/>
      <c r="O20" s="27"/>
      <c r="P20" s="54" t="str">
        <f aca="true">IF(OR(C20="",H20="",I20="Completed",I20="Cancelled"),"",IF(H20&lt;TODAY(),"Overdue",""))</f>
        <v/>
      </c>
      <c r="Q20" s="0" t="str">
        <f aca="false">IF(AND(C20&lt;&gt;"",I20&lt;&gt;"Cancelled",OR(AND(N(J20)&gt;'Weekly Report'!$C$5,N(J20)&lt;='Weekly Report'!$C$4),AND(N(K20)&gt;'Weekly Report'!$C$5,N(K20)&lt;='Weekly Report'!$C$4))),COUNT(Q$4:Q19)+1,"")</f>
        <v/>
      </c>
      <c r="R20" s="0" t="str">
        <f aca="false">IF(AND(C20&lt;&gt;"",I20="In Progress"),COUNT(R$4:R19)+1,"")</f>
        <v/>
      </c>
      <c r="S20" s="0" t="str">
        <f aca="false">IF(AND(C20&lt;&gt;"",I20&lt;&gt;"Completed",I20&lt;&gt;"Cancelled",OR(I20="Blocked",M20&lt;&gt;"")),COUNT(S$4:S19)+1,"")</f>
        <v/>
      </c>
      <c r="T20" s="0" t="str">
        <f aca="false">IF(AND(C20&lt;&gt;"",I20&lt;&gt;"Completed",I20&lt;&gt;"Cancelled",OR(O20="Yes",AND(N(H20)&gt;'Weekly Report'!$C$4,N(H20)&lt;='Weekly Report'!$C$4+7))),COUNT(T$4:T19)+1,"")</f>
        <v/>
      </c>
    </row>
    <row r="21" customFormat="false" ht="15" hidden="false" customHeight="false" outlineLevel="0" collapsed="false">
      <c r="A21" s="53" t="s">
        <v>143</v>
      </c>
      <c r="B21" s="27"/>
      <c r="C21" s="26"/>
      <c r="D21" s="27"/>
      <c r="E21" s="27"/>
      <c r="F21" s="27"/>
      <c r="G21" s="28"/>
      <c r="H21" s="28"/>
      <c r="I21" s="27"/>
      <c r="J21" s="28"/>
      <c r="K21" s="28"/>
      <c r="L21" s="26"/>
      <c r="M21" s="26"/>
      <c r="N21" s="27"/>
      <c r="O21" s="27"/>
      <c r="P21" s="54" t="str">
        <f aca="true">IF(OR(C21="",H21="",I21="Completed",I21="Cancelled"),"",IF(H21&lt;TODAY(),"Overdue",""))</f>
        <v/>
      </c>
      <c r="Q21" s="0" t="str">
        <f aca="false">IF(AND(C21&lt;&gt;"",I21&lt;&gt;"Cancelled",OR(AND(N(J21)&gt;'Weekly Report'!$C$5,N(J21)&lt;='Weekly Report'!$C$4),AND(N(K21)&gt;'Weekly Report'!$C$5,N(K21)&lt;='Weekly Report'!$C$4))),COUNT(Q$4:Q20)+1,"")</f>
        <v/>
      </c>
      <c r="R21" s="0" t="str">
        <f aca="false">IF(AND(C21&lt;&gt;"",I21="In Progress"),COUNT(R$4:R20)+1,"")</f>
        <v/>
      </c>
      <c r="S21" s="0" t="str">
        <f aca="false">IF(AND(C21&lt;&gt;"",I21&lt;&gt;"Completed",I21&lt;&gt;"Cancelled",OR(I21="Blocked",M21&lt;&gt;"")),COUNT(S$4:S20)+1,"")</f>
        <v/>
      </c>
      <c r="T21" s="0" t="str">
        <f aca="false">IF(AND(C21&lt;&gt;"",I21&lt;&gt;"Completed",I21&lt;&gt;"Cancelled",OR(O21="Yes",AND(N(H21)&gt;'Weekly Report'!$C$4,N(H21)&lt;='Weekly Report'!$C$4+7))),COUNT(T$4:T20)+1,"")</f>
        <v/>
      </c>
    </row>
    <row r="22" customFormat="false" ht="15" hidden="false" customHeight="false" outlineLevel="0" collapsed="false">
      <c r="A22" s="53" t="s">
        <v>144</v>
      </c>
      <c r="B22" s="27"/>
      <c r="C22" s="26"/>
      <c r="D22" s="27"/>
      <c r="E22" s="27"/>
      <c r="F22" s="27"/>
      <c r="G22" s="28"/>
      <c r="H22" s="28"/>
      <c r="I22" s="27"/>
      <c r="J22" s="28"/>
      <c r="K22" s="28"/>
      <c r="L22" s="26"/>
      <c r="M22" s="26"/>
      <c r="N22" s="27"/>
      <c r="O22" s="27"/>
      <c r="P22" s="54" t="str">
        <f aca="true">IF(OR(C22="",H22="",I22="Completed",I22="Cancelled"),"",IF(H22&lt;TODAY(),"Overdue",""))</f>
        <v/>
      </c>
      <c r="Q22" s="0" t="str">
        <f aca="false">IF(AND(C22&lt;&gt;"",I22&lt;&gt;"Cancelled",OR(AND(N(J22)&gt;'Weekly Report'!$C$5,N(J22)&lt;='Weekly Report'!$C$4),AND(N(K22)&gt;'Weekly Report'!$C$5,N(K22)&lt;='Weekly Report'!$C$4))),COUNT(Q$4:Q21)+1,"")</f>
        <v/>
      </c>
      <c r="R22" s="0" t="str">
        <f aca="false">IF(AND(C22&lt;&gt;"",I22="In Progress"),COUNT(R$4:R21)+1,"")</f>
        <v/>
      </c>
      <c r="S22" s="0" t="str">
        <f aca="false">IF(AND(C22&lt;&gt;"",I22&lt;&gt;"Completed",I22&lt;&gt;"Cancelled",OR(I22="Blocked",M22&lt;&gt;"")),COUNT(S$4:S21)+1,"")</f>
        <v/>
      </c>
      <c r="T22" s="0" t="str">
        <f aca="false">IF(AND(C22&lt;&gt;"",I22&lt;&gt;"Completed",I22&lt;&gt;"Cancelled",OR(O22="Yes",AND(N(H22)&gt;'Weekly Report'!$C$4,N(H22)&lt;='Weekly Report'!$C$4+7))),COUNT(T$4:T21)+1,"")</f>
        <v/>
      </c>
    </row>
    <row r="23" customFormat="false" ht="15" hidden="false" customHeight="false" outlineLevel="0" collapsed="false">
      <c r="A23" s="53" t="s">
        <v>145</v>
      </c>
      <c r="B23" s="27"/>
      <c r="C23" s="26"/>
      <c r="D23" s="27"/>
      <c r="E23" s="27"/>
      <c r="F23" s="27"/>
      <c r="G23" s="28"/>
      <c r="H23" s="28"/>
      <c r="I23" s="27"/>
      <c r="J23" s="28"/>
      <c r="K23" s="28"/>
      <c r="L23" s="26"/>
      <c r="M23" s="26"/>
      <c r="N23" s="27"/>
      <c r="O23" s="27"/>
      <c r="P23" s="54" t="str">
        <f aca="true">IF(OR(C23="",H23="",I23="Completed",I23="Cancelled"),"",IF(H23&lt;TODAY(),"Overdue",""))</f>
        <v/>
      </c>
      <c r="Q23" s="0" t="str">
        <f aca="false">IF(AND(C23&lt;&gt;"",I23&lt;&gt;"Cancelled",OR(AND(N(J23)&gt;'Weekly Report'!$C$5,N(J23)&lt;='Weekly Report'!$C$4),AND(N(K23)&gt;'Weekly Report'!$C$5,N(K23)&lt;='Weekly Report'!$C$4))),COUNT(Q$4:Q22)+1,"")</f>
        <v/>
      </c>
      <c r="R23" s="0" t="str">
        <f aca="false">IF(AND(C23&lt;&gt;"",I23="In Progress"),COUNT(R$4:R22)+1,"")</f>
        <v/>
      </c>
      <c r="S23" s="0" t="str">
        <f aca="false">IF(AND(C23&lt;&gt;"",I23&lt;&gt;"Completed",I23&lt;&gt;"Cancelled",OR(I23="Blocked",M23&lt;&gt;"")),COUNT(S$4:S22)+1,"")</f>
        <v/>
      </c>
      <c r="T23" s="0" t="str">
        <f aca="false">IF(AND(C23&lt;&gt;"",I23&lt;&gt;"Completed",I23&lt;&gt;"Cancelled",OR(O23="Yes",AND(N(H23)&gt;'Weekly Report'!$C$4,N(H23)&lt;='Weekly Report'!$C$4+7))),COUNT(T$4:T22)+1,"")</f>
        <v/>
      </c>
    </row>
    <row r="24" customFormat="false" ht="15" hidden="false" customHeight="false" outlineLevel="0" collapsed="false">
      <c r="A24" s="53" t="s">
        <v>146</v>
      </c>
      <c r="B24" s="27"/>
      <c r="C24" s="26"/>
      <c r="D24" s="27"/>
      <c r="E24" s="27"/>
      <c r="F24" s="27"/>
      <c r="G24" s="28"/>
      <c r="H24" s="28"/>
      <c r="I24" s="27"/>
      <c r="J24" s="28"/>
      <c r="K24" s="28"/>
      <c r="L24" s="26"/>
      <c r="M24" s="26"/>
      <c r="N24" s="27"/>
      <c r="O24" s="27"/>
      <c r="P24" s="54" t="str">
        <f aca="true">IF(OR(C24="",H24="",I24="Completed",I24="Cancelled"),"",IF(H24&lt;TODAY(),"Overdue",""))</f>
        <v/>
      </c>
      <c r="Q24" s="0" t="str">
        <f aca="false">IF(AND(C24&lt;&gt;"",I24&lt;&gt;"Cancelled",OR(AND(N(J24)&gt;'Weekly Report'!$C$5,N(J24)&lt;='Weekly Report'!$C$4),AND(N(K24)&gt;'Weekly Report'!$C$5,N(K24)&lt;='Weekly Report'!$C$4))),COUNT(Q$4:Q23)+1,"")</f>
        <v/>
      </c>
      <c r="R24" s="0" t="str">
        <f aca="false">IF(AND(C24&lt;&gt;"",I24="In Progress"),COUNT(R$4:R23)+1,"")</f>
        <v/>
      </c>
      <c r="S24" s="0" t="str">
        <f aca="false">IF(AND(C24&lt;&gt;"",I24&lt;&gt;"Completed",I24&lt;&gt;"Cancelled",OR(I24="Blocked",M24&lt;&gt;"")),COUNT(S$4:S23)+1,"")</f>
        <v/>
      </c>
      <c r="T24" s="0" t="str">
        <f aca="false">IF(AND(C24&lt;&gt;"",I24&lt;&gt;"Completed",I24&lt;&gt;"Cancelled",OR(O24="Yes",AND(N(H24)&gt;'Weekly Report'!$C$4,N(H24)&lt;='Weekly Report'!$C$4+7))),COUNT(T$4:T23)+1,"")</f>
        <v/>
      </c>
    </row>
    <row r="25" customFormat="false" ht="15" hidden="false" customHeight="false" outlineLevel="0" collapsed="false">
      <c r="A25" s="53" t="s">
        <v>147</v>
      </c>
      <c r="B25" s="27"/>
      <c r="C25" s="26"/>
      <c r="D25" s="27"/>
      <c r="E25" s="27"/>
      <c r="F25" s="27"/>
      <c r="G25" s="28"/>
      <c r="H25" s="28"/>
      <c r="I25" s="27"/>
      <c r="J25" s="28"/>
      <c r="K25" s="28"/>
      <c r="L25" s="26"/>
      <c r="M25" s="26"/>
      <c r="N25" s="27"/>
      <c r="O25" s="27"/>
      <c r="P25" s="54" t="str">
        <f aca="true">IF(OR(C25="",H25="",I25="Completed",I25="Cancelled"),"",IF(H25&lt;TODAY(),"Overdue",""))</f>
        <v/>
      </c>
      <c r="Q25" s="0" t="str">
        <f aca="false">IF(AND(C25&lt;&gt;"",I25&lt;&gt;"Cancelled",OR(AND(N(J25)&gt;'Weekly Report'!$C$5,N(J25)&lt;='Weekly Report'!$C$4),AND(N(K25)&gt;'Weekly Report'!$C$5,N(K25)&lt;='Weekly Report'!$C$4))),COUNT(Q$4:Q24)+1,"")</f>
        <v/>
      </c>
      <c r="R25" s="0" t="str">
        <f aca="false">IF(AND(C25&lt;&gt;"",I25="In Progress"),COUNT(R$4:R24)+1,"")</f>
        <v/>
      </c>
      <c r="S25" s="0" t="str">
        <f aca="false">IF(AND(C25&lt;&gt;"",I25&lt;&gt;"Completed",I25&lt;&gt;"Cancelled",OR(I25="Blocked",M25&lt;&gt;"")),COUNT(S$4:S24)+1,"")</f>
        <v/>
      </c>
      <c r="T25" s="0" t="str">
        <f aca="false">IF(AND(C25&lt;&gt;"",I25&lt;&gt;"Completed",I25&lt;&gt;"Cancelled",OR(O25="Yes",AND(N(H25)&gt;'Weekly Report'!$C$4,N(H25)&lt;='Weekly Report'!$C$4+7))),COUNT(T$4:T24)+1,"")</f>
        <v/>
      </c>
    </row>
    <row r="26" customFormat="false" ht="15" hidden="false" customHeight="false" outlineLevel="0" collapsed="false">
      <c r="A26" s="53" t="s">
        <v>148</v>
      </c>
      <c r="B26" s="27"/>
      <c r="C26" s="26"/>
      <c r="D26" s="27"/>
      <c r="E26" s="27"/>
      <c r="F26" s="27"/>
      <c r="G26" s="28"/>
      <c r="H26" s="28"/>
      <c r="I26" s="27"/>
      <c r="J26" s="28"/>
      <c r="K26" s="28"/>
      <c r="L26" s="26"/>
      <c r="M26" s="26"/>
      <c r="N26" s="27"/>
      <c r="O26" s="27"/>
      <c r="P26" s="54" t="str">
        <f aca="true">IF(OR(C26="",H26="",I26="Completed",I26="Cancelled"),"",IF(H26&lt;TODAY(),"Overdue",""))</f>
        <v/>
      </c>
      <c r="Q26" s="0" t="str">
        <f aca="false">IF(AND(C26&lt;&gt;"",I26&lt;&gt;"Cancelled",OR(AND(N(J26)&gt;'Weekly Report'!$C$5,N(J26)&lt;='Weekly Report'!$C$4),AND(N(K26)&gt;'Weekly Report'!$C$5,N(K26)&lt;='Weekly Report'!$C$4))),COUNT(Q$4:Q25)+1,"")</f>
        <v/>
      </c>
      <c r="R26" s="0" t="str">
        <f aca="false">IF(AND(C26&lt;&gt;"",I26="In Progress"),COUNT(R$4:R25)+1,"")</f>
        <v/>
      </c>
      <c r="S26" s="0" t="str">
        <f aca="false">IF(AND(C26&lt;&gt;"",I26&lt;&gt;"Completed",I26&lt;&gt;"Cancelled",OR(I26="Blocked",M26&lt;&gt;"")),COUNT(S$4:S25)+1,"")</f>
        <v/>
      </c>
      <c r="T26" s="0" t="str">
        <f aca="false">IF(AND(C26&lt;&gt;"",I26&lt;&gt;"Completed",I26&lt;&gt;"Cancelled",OR(O26="Yes",AND(N(H26)&gt;'Weekly Report'!$C$4,N(H26)&lt;='Weekly Report'!$C$4+7))),COUNT(T$4:T25)+1,"")</f>
        <v/>
      </c>
    </row>
    <row r="27" customFormat="false" ht="15" hidden="false" customHeight="false" outlineLevel="0" collapsed="false">
      <c r="A27" s="53" t="s">
        <v>149</v>
      </c>
      <c r="B27" s="27"/>
      <c r="C27" s="26"/>
      <c r="D27" s="27"/>
      <c r="E27" s="27"/>
      <c r="F27" s="27"/>
      <c r="G27" s="28"/>
      <c r="H27" s="28"/>
      <c r="I27" s="27"/>
      <c r="J27" s="28"/>
      <c r="K27" s="28"/>
      <c r="L27" s="26"/>
      <c r="M27" s="26"/>
      <c r="N27" s="27"/>
      <c r="O27" s="27"/>
      <c r="P27" s="54" t="str">
        <f aca="true">IF(OR(C27="",H27="",I27="Completed",I27="Cancelled"),"",IF(H27&lt;TODAY(),"Overdue",""))</f>
        <v/>
      </c>
      <c r="Q27" s="0" t="str">
        <f aca="false">IF(AND(C27&lt;&gt;"",I27&lt;&gt;"Cancelled",OR(AND(N(J27)&gt;'Weekly Report'!$C$5,N(J27)&lt;='Weekly Report'!$C$4),AND(N(K27)&gt;'Weekly Report'!$C$5,N(K27)&lt;='Weekly Report'!$C$4))),COUNT(Q$4:Q26)+1,"")</f>
        <v/>
      </c>
      <c r="R27" s="0" t="str">
        <f aca="false">IF(AND(C27&lt;&gt;"",I27="In Progress"),COUNT(R$4:R26)+1,"")</f>
        <v/>
      </c>
      <c r="S27" s="0" t="str">
        <f aca="false">IF(AND(C27&lt;&gt;"",I27&lt;&gt;"Completed",I27&lt;&gt;"Cancelled",OR(I27="Blocked",M27&lt;&gt;"")),COUNT(S$4:S26)+1,"")</f>
        <v/>
      </c>
      <c r="T27" s="0" t="str">
        <f aca="false">IF(AND(C27&lt;&gt;"",I27&lt;&gt;"Completed",I27&lt;&gt;"Cancelled",OR(O27="Yes",AND(N(H27)&gt;'Weekly Report'!$C$4,N(H27)&lt;='Weekly Report'!$C$4+7))),COUNT(T$4:T26)+1,"")</f>
        <v/>
      </c>
    </row>
    <row r="28" customFormat="false" ht="15" hidden="false" customHeight="false" outlineLevel="0" collapsed="false">
      <c r="A28" s="53" t="s">
        <v>150</v>
      </c>
      <c r="B28" s="27"/>
      <c r="C28" s="26"/>
      <c r="D28" s="27"/>
      <c r="E28" s="27"/>
      <c r="F28" s="27"/>
      <c r="G28" s="28"/>
      <c r="H28" s="28"/>
      <c r="I28" s="27"/>
      <c r="J28" s="28"/>
      <c r="K28" s="28"/>
      <c r="L28" s="26"/>
      <c r="M28" s="26"/>
      <c r="N28" s="27"/>
      <c r="O28" s="27"/>
      <c r="P28" s="54" t="str">
        <f aca="true">IF(OR(C28="",H28="",I28="Completed",I28="Cancelled"),"",IF(H28&lt;TODAY(),"Overdue",""))</f>
        <v/>
      </c>
      <c r="Q28" s="0" t="str">
        <f aca="false">IF(AND(C28&lt;&gt;"",I28&lt;&gt;"Cancelled",OR(AND(N(J28)&gt;'Weekly Report'!$C$5,N(J28)&lt;='Weekly Report'!$C$4),AND(N(K28)&gt;'Weekly Report'!$C$5,N(K28)&lt;='Weekly Report'!$C$4))),COUNT(Q$4:Q27)+1,"")</f>
        <v/>
      </c>
      <c r="R28" s="0" t="str">
        <f aca="false">IF(AND(C28&lt;&gt;"",I28="In Progress"),COUNT(R$4:R27)+1,"")</f>
        <v/>
      </c>
      <c r="S28" s="0" t="str">
        <f aca="false">IF(AND(C28&lt;&gt;"",I28&lt;&gt;"Completed",I28&lt;&gt;"Cancelled",OR(I28="Blocked",M28&lt;&gt;"")),COUNT(S$4:S27)+1,"")</f>
        <v/>
      </c>
      <c r="T28" s="0" t="str">
        <f aca="false">IF(AND(C28&lt;&gt;"",I28&lt;&gt;"Completed",I28&lt;&gt;"Cancelled",OR(O28="Yes",AND(N(H28)&gt;'Weekly Report'!$C$4,N(H28)&lt;='Weekly Report'!$C$4+7))),COUNT(T$4:T27)+1,"")</f>
        <v/>
      </c>
    </row>
    <row r="29" customFormat="false" ht="15" hidden="false" customHeight="false" outlineLevel="0" collapsed="false">
      <c r="A29" s="53" t="s">
        <v>151</v>
      </c>
      <c r="B29" s="27"/>
      <c r="C29" s="26"/>
      <c r="D29" s="27"/>
      <c r="E29" s="27"/>
      <c r="F29" s="27"/>
      <c r="G29" s="28"/>
      <c r="H29" s="28"/>
      <c r="I29" s="27"/>
      <c r="J29" s="28"/>
      <c r="K29" s="28"/>
      <c r="L29" s="26"/>
      <c r="M29" s="26"/>
      <c r="N29" s="27"/>
      <c r="O29" s="27"/>
      <c r="P29" s="54" t="str">
        <f aca="true">IF(OR(C29="",H29="",I29="Completed",I29="Cancelled"),"",IF(H29&lt;TODAY(),"Overdue",""))</f>
        <v/>
      </c>
      <c r="Q29" s="0" t="str">
        <f aca="false">IF(AND(C29&lt;&gt;"",I29&lt;&gt;"Cancelled",OR(AND(N(J29)&gt;'Weekly Report'!$C$5,N(J29)&lt;='Weekly Report'!$C$4),AND(N(K29)&gt;'Weekly Report'!$C$5,N(K29)&lt;='Weekly Report'!$C$4))),COUNT(Q$4:Q28)+1,"")</f>
        <v/>
      </c>
      <c r="R29" s="0" t="str">
        <f aca="false">IF(AND(C29&lt;&gt;"",I29="In Progress"),COUNT(R$4:R28)+1,"")</f>
        <v/>
      </c>
      <c r="S29" s="0" t="str">
        <f aca="false">IF(AND(C29&lt;&gt;"",I29&lt;&gt;"Completed",I29&lt;&gt;"Cancelled",OR(I29="Blocked",M29&lt;&gt;"")),COUNT(S$4:S28)+1,"")</f>
        <v/>
      </c>
      <c r="T29" s="0" t="str">
        <f aca="false">IF(AND(C29&lt;&gt;"",I29&lt;&gt;"Completed",I29&lt;&gt;"Cancelled",OR(O29="Yes",AND(N(H29)&gt;'Weekly Report'!$C$4,N(H29)&lt;='Weekly Report'!$C$4+7))),COUNT(T$4:T28)+1,"")</f>
        <v/>
      </c>
    </row>
    <row r="30" customFormat="false" ht="15" hidden="false" customHeight="false" outlineLevel="0" collapsed="false">
      <c r="A30" s="53" t="s">
        <v>152</v>
      </c>
      <c r="B30" s="27"/>
      <c r="C30" s="26"/>
      <c r="D30" s="27"/>
      <c r="E30" s="27"/>
      <c r="F30" s="27"/>
      <c r="G30" s="28"/>
      <c r="H30" s="28"/>
      <c r="I30" s="27"/>
      <c r="J30" s="28"/>
      <c r="K30" s="28"/>
      <c r="L30" s="26"/>
      <c r="M30" s="26"/>
      <c r="N30" s="27"/>
      <c r="O30" s="27"/>
      <c r="P30" s="54" t="str">
        <f aca="true">IF(OR(C30="",H30="",I30="Completed",I30="Cancelled"),"",IF(H30&lt;TODAY(),"Overdue",""))</f>
        <v/>
      </c>
      <c r="Q30" s="0" t="str">
        <f aca="false">IF(AND(C30&lt;&gt;"",I30&lt;&gt;"Cancelled",OR(AND(N(J30)&gt;'Weekly Report'!$C$5,N(J30)&lt;='Weekly Report'!$C$4),AND(N(K30)&gt;'Weekly Report'!$C$5,N(K30)&lt;='Weekly Report'!$C$4))),COUNT(Q$4:Q29)+1,"")</f>
        <v/>
      </c>
      <c r="R30" s="0" t="str">
        <f aca="false">IF(AND(C30&lt;&gt;"",I30="In Progress"),COUNT(R$4:R29)+1,"")</f>
        <v/>
      </c>
      <c r="S30" s="0" t="str">
        <f aca="false">IF(AND(C30&lt;&gt;"",I30&lt;&gt;"Completed",I30&lt;&gt;"Cancelled",OR(I30="Blocked",M30&lt;&gt;"")),COUNT(S$4:S29)+1,"")</f>
        <v/>
      </c>
      <c r="T30" s="0" t="str">
        <f aca="false">IF(AND(C30&lt;&gt;"",I30&lt;&gt;"Completed",I30&lt;&gt;"Cancelled",OR(O30="Yes",AND(N(H30)&gt;'Weekly Report'!$C$4,N(H30)&lt;='Weekly Report'!$C$4+7))),COUNT(T$4:T29)+1,"")</f>
        <v/>
      </c>
    </row>
    <row r="31" customFormat="false" ht="15" hidden="false" customHeight="false" outlineLevel="0" collapsed="false">
      <c r="A31" s="53" t="s">
        <v>153</v>
      </c>
      <c r="B31" s="27"/>
      <c r="C31" s="26"/>
      <c r="D31" s="27"/>
      <c r="E31" s="27"/>
      <c r="F31" s="27"/>
      <c r="G31" s="28"/>
      <c r="H31" s="28"/>
      <c r="I31" s="27"/>
      <c r="J31" s="28"/>
      <c r="K31" s="28"/>
      <c r="L31" s="26"/>
      <c r="M31" s="26"/>
      <c r="N31" s="27"/>
      <c r="O31" s="27"/>
      <c r="P31" s="54" t="str">
        <f aca="true">IF(OR(C31="",H31="",I31="Completed",I31="Cancelled"),"",IF(H31&lt;TODAY(),"Overdue",""))</f>
        <v/>
      </c>
      <c r="Q31" s="0" t="str">
        <f aca="false">IF(AND(C31&lt;&gt;"",I31&lt;&gt;"Cancelled",OR(AND(N(J31)&gt;'Weekly Report'!$C$5,N(J31)&lt;='Weekly Report'!$C$4),AND(N(K31)&gt;'Weekly Report'!$C$5,N(K31)&lt;='Weekly Report'!$C$4))),COUNT(Q$4:Q30)+1,"")</f>
        <v/>
      </c>
      <c r="R31" s="0" t="str">
        <f aca="false">IF(AND(C31&lt;&gt;"",I31="In Progress"),COUNT(R$4:R30)+1,"")</f>
        <v/>
      </c>
      <c r="S31" s="0" t="str">
        <f aca="false">IF(AND(C31&lt;&gt;"",I31&lt;&gt;"Completed",I31&lt;&gt;"Cancelled",OR(I31="Blocked",M31&lt;&gt;"")),COUNT(S$4:S30)+1,"")</f>
        <v/>
      </c>
      <c r="T31" s="0" t="str">
        <f aca="false">IF(AND(C31&lt;&gt;"",I31&lt;&gt;"Completed",I31&lt;&gt;"Cancelled",OR(O31="Yes",AND(N(H31)&gt;'Weekly Report'!$C$4,N(H31)&lt;='Weekly Report'!$C$4+7))),COUNT(T$4:T30)+1,"")</f>
        <v/>
      </c>
    </row>
    <row r="32" customFormat="false" ht="15" hidden="false" customHeight="false" outlineLevel="0" collapsed="false">
      <c r="A32" s="53" t="s">
        <v>154</v>
      </c>
      <c r="B32" s="27"/>
      <c r="C32" s="26"/>
      <c r="D32" s="27"/>
      <c r="E32" s="27"/>
      <c r="F32" s="27"/>
      <c r="G32" s="28"/>
      <c r="H32" s="28"/>
      <c r="I32" s="27"/>
      <c r="J32" s="28"/>
      <c r="K32" s="28"/>
      <c r="L32" s="26"/>
      <c r="M32" s="26"/>
      <c r="N32" s="27"/>
      <c r="O32" s="27"/>
      <c r="P32" s="54" t="str">
        <f aca="true">IF(OR(C32="",H32="",I32="Completed",I32="Cancelled"),"",IF(H32&lt;TODAY(),"Overdue",""))</f>
        <v/>
      </c>
      <c r="Q32" s="0" t="str">
        <f aca="false">IF(AND(C32&lt;&gt;"",I32&lt;&gt;"Cancelled",OR(AND(N(J32)&gt;'Weekly Report'!$C$5,N(J32)&lt;='Weekly Report'!$C$4),AND(N(K32)&gt;'Weekly Report'!$C$5,N(K32)&lt;='Weekly Report'!$C$4))),COUNT(Q$4:Q31)+1,"")</f>
        <v/>
      </c>
      <c r="R32" s="0" t="str">
        <f aca="false">IF(AND(C32&lt;&gt;"",I32="In Progress"),COUNT(R$4:R31)+1,"")</f>
        <v/>
      </c>
      <c r="S32" s="0" t="str">
        <f aca="false">IF(AND(C32&lt;&gt;"",I32&lt;&gt;"Completed",I32&lt;&gt;"Cancelled",OR(I32="Blocked",M32&lt;&gt;"")),COUNT(S$4:S31)+1,"")</f>
        <v/>
      </c>
      <c r="T32" s="0" t="str">
        <f aca="false">IF(AND(C32&lt;&gt;"",I32&lt;&gt;"Completed",I32&lt;&gt;"Cancelled",OR(O32="Yes",AND(N(H32)&gt;'Weekly Report'!$C$4,N(H32)&lt;='Weekly Report'!$C$4+7))),COUNT(T$4:T31)+1,"")</f>
        <v/>
      </c>
    </row>
    <row r="33" customFormat="false" ht="15" hidden="false" customHeight="false" outlineLevel="0" collapsed="false">
      <c r="A33" s="53" t="s">
        <v>155</v>
      </c>
      <c r="B33" s="27"/>
      <c r="C33" s="26"/>
      <c r="D33" s="27"/>
      <c r="E33" s="27"/>
      <c r="F33" s="27"/>
      <c r="G33" s="28"/>
      <c r="H33" s="28"/>
      <c r="I33" s="27"/>
      <c r="J33" s="28"/>
      <c r="K33" s="28"/>
      <c r="L33" s="26"/>
      <c r="M33" s="26"/>
      <c r="N33" s="27"/>
      <c r="O33" s="27"/>
      <c r="P33" s="54" t="str">
        <f aca="true">IF(OR(C33="",H33="",I33="Completed",I33="Cancelled"),"",IF(H33&lt;TODAY(),"Overdue",""))</f>
        <v/>
      </c>
      <c r="Q33" s="0" t="str">
        <f aca="false">IF(AND(C33&lt;&gt;"",I33&lt;&gt;"Cancelled",OR(AND(N(J33)&gt;'Weekly Report'!$C$5,N(J33)&lt;='Weekly Report'!$C$4),AND(N(K33)&gt;'Weekly Report'!$C$5,N(K33)&lt;='Weekly Report'!$C$4))),COUNT(Q$4:Q32)+1,"")</f>
        <v/>
      </c>
      <c r="R33" s="0" t="str">
        <f aca="false">IF(AND(C33&lt;&gt;"",I33="In Progress"),COUNT(R$4:R32)+1,"")</f>
        <v/>
      </c>
      <c r="S33" s="0" t="str">
        <f aca="false">IF(AND(C33&lt;&gt;"",I33&lt;&gt;"Completed",I33&lt;&gt;"Cancelled",OR(I33="Blocked",M33&lt;&gt;"")),COUNT(S$4:S32)+1,"")</f>
        <v/>
      </c>
      <c r="T33" s="0" t="str">
        <f aca="false">IF(AND(C33&lt;&gt;"",I33&lt;&gt;"Completed",I33&lt;&gt;"Cancelled",OR(O33="Yes",AND(N(H33)&gt;'Weekly Report'!$C$4,N(H33)&lt;='Weekly Report'!$C$4+7))),COUNT(T$4:T32)+1,"")</f>
        <v/>
      </c>
    </row>
    <row r="34" customFormat="false" ht="15" hidden="false" customHeight="false" outlineLevel="0" collapsed="false">
      <c r="A34" s="53" t="s">
        <v>156</v>
      </c>
      <c r="B34" s="27"/>
      <c r="C34" s="26"/>
      <c r="D34" s="27"/>
      <c r="E34" s="27"/>
      <c r="F34" s="27"/>
      <c r="G34" s="28"/>
      <c r="H34" s="28"/>
      <c r="I34" s="27"/>
      <c r="J34" s="28"/>
      <c r="K34" s="28"/>
      <c r="L34" s="26"/>
      <c r="M34" s="26"/>
      <c r="N34" s="27"/>
      <c r="O34" s="27"/>
      <c r="P34" s="54" t="str">
        <f aca="true">IF(OR(C34="",H34="",I34="Completed",I34="Cancelled"),"",IF(H34&lt;TODAY(),"Overdue",""))</f>
        <v/>
      </c>
      <c r="Q34" s="0" t="str">
        <f aca="false">IF(AND(C34&lt;&gt;"",I34&lt;&gt;"Cancelled",OR(AND(N(J34)&gt;'Weekly Report'!$C$5,N(J34)&lt;='Weekly Report'!$C$4),AND(N(K34)&gt;'Weekly Report'!$C$5,N(K34)&lt;='Weekly Report'!$C$4))),COUNT(Q$4:Q33)+1,"")</f>
        <v/>
      </c>
      <c r="R34" s="0" t="str">
        <f aca="false">IF(AND(C34&lt;&gt;"",I34="In Progress"),COUNT(R$4:R33)+1,"")</f>
        <v/>
      </c>
      <c r="S34" s="0" t="str">
        <f aca="false">IF(AND(C34&lt;&gt;"",I34&lt;&gt;"Completed",I34&lt;&gt;"Cancelled",OR(I34="Blocked",M34&lt;&gt;"")),COUNT(S$4:S33)+1,"")</f>
        <v/>
      </c>
      <c r="T34" s="0" t="str">
        <f aca="false">IF(AND(C34&lt;&gt;"",I34&lt;&gt;"Completed",I34&lt;&gt;"Cancelled",OR(O34="Yes",AND(N(H34)&gt;'Weekly Report'!$C$4,N(H34)&lt;='Weekly Report'!$C$4+7))),COUNT(T$4:T33)+1,"")</f>
        <v/>
      </c>
    </row>
    <row r="35" customFormat="false" ht="15" hidden="false" customHeight="false" outlineLevel="0" collapsed="false">
      <c r="A35" s="53" t="s">
        <v>157</v>
      </c>
      <c r="B35" s="27"/>
      <c r="C35" s="26"/>
      <c r="D35" s="27"/>
      <c r="E35" s="27"/>
      <c r="F35" s="27"/>
      <c r="G35" s="28"/>
      <c r="H35" s="28"/>
      <c r="I35" s="27"/>
      <c r="J35" s="28"/>
      <c r="K35" s="28"/>
      <c r="L35" s="26"/>
      <c r="M35" s="26"/>
      <c r="N35" s="27"/>
      <c r="O35" s="27"/>
      <c r="P35" s="54" t="str">
        <f aca="true">IF(OR(C35="",H35="",I35="Completed",I35="Cancelled"),"",IF(H35&lt;TODAY(),"Overdue",""))</f>
        <v/>
      </c>
      <c r="Q35" s="0" t="str">
        <f aca="false">IF(AND(C35&lt;&gt;"",I35&lt;&gt;"Cancelled",OR(AND(N(J35)&gt;'Weekly Report'!$C$5,N(J35)&lt;='Weekly Report'!$C$4),AND(N(K35)&gt;'Weekly Report'!$C$5,N(K35)&lt;='Weekly Report'!$C$4))),COUNT(Q$4:Q34)+1,"")</f>
        <v/>
      </c>
      <c r="R35" s="0" t="str">
        <f aca="false">IF(AND(C35&lt;&gt;"",I35="In Progress"),COUNT(R$4:R34)+1,"")</f>
        <v/>
      </c>
      <c r="S35" s="0" t="str">
        <f aca="false">IF(AND(C35&lt;&gt;"",I35&lt;&gt;"Completed",I35&lt;&gt;"Cancelled",OR(I35="Blocked",M35&lt;&gt;"")),COUNT(S$4:S34)+1,"")</f>
        <v/>
      </c>
      <c r="T35" s="0" t="str">
        <f aca="false">IF(AND(C35&lt;&gt;"",I35&lt;&gt;"Completed",I35&lt;&gt;"Cancelled",OR(O35="Yes",AND(N(H35)&gt;'Weekly Report'!$C$4,N(H35)&lt;='Weekly Report'!$C$4+7))),COUNT(T$4:T34)+1,"")</f>
        <v/>
      </c>
    </row>
    <row r="36" customFormat="false" ht="15" hidden="false" customHeight="false" outlineLevel="0" collapsed="false">
      <c r="A36" s="53" t="s">
        <v>158</v>
      </c>
      <c r="B36" s="27"/>
      <c r="C36" s="26"/>
      <c r="D36" s="27"/>
      <c r="E36" s="27"/>
      <c r="F36" s="27"/>
      <c r="G36" s="28"/>
      <c r="H36" s="28"/>
      <c r="I36" s="27"/>
      <c r="J36" s="28"/>
      <c r="K36" s="28"/>
      <c r="L36" s="26"/>
      <c r="M36" s="26"/>
      <c r="N36" s="27"/>
      <c r="O36" s="27"/>
      <c r="P36" s="54" t="str">
        <f aca="true">IF(OR(C36="",H36="",I36="Completed",I36="Cancelled"),"",IF(H36&lt;TODAY(),"Overdue",""))</f>
        <v/>
      </c>
      <c r="Q36" s="0" t="str">
        <f aca="false">IF(AND(C36&lt;&gt;"",I36&lt;&gt;"Cancelled",OR(AND(N(J36)&gt;'Weekly Report'!$C$5,N(J36)&lt;='Weekly Report'!$C$4),AND(N(K36)&gt;'Weekly Report'!$C$5,N(K36)&lt;='Weekly Report'!$C$4))),COUNT(Q$4:Q35)+1,"")</f>
        <v/>
      </c>
      <c r="R36" s="0" t="str">
        <f aca="false">IF(AND(C36&lt;&gt;"",I36="In Progress"),COUNT(R$4:R35)+1,"")</f>
        <v/>
      </c>
      <c r="S36" s="0" t="str">
        <f aca="false">IF(AND(C36&lt;&gt;"",I36&lt;&gt;"Completed",I36&lt;&gt;"Cancelled",OR(I36="Blocked",M36&lt;&gt;"")),COUNT(S$4:S35)+1,"")</f>
        <v/>
      </c>
      <c r="T36" s="0" t="str">
        <f aca="false">IF(AND(C36&lt;&gt;"",I36&lt;&gt;"Completed",I36&lt;&gt;"Cancelled",OR(O36="Yes",AND(N(H36)&gt;'Weekly Report'!$C$4,N(H36)&lt;='Weekly Report'!$C$4+7))),COUNT(T$4:T35)+1,"")</f>
        <v/>
      </c>
    </row>
    <row r="37" customFormat="false" ht="15" hidden="false" customHeight="false" outlineLevel="0" collapsed="false">
      <c r="A37" s="53" t="s">
        <v>159</v>
      </c>
      <c r="B37" s="27"/>
      <c r="C37" s="26"/>
      <c r="D37" s="27"/>
      <c r="E37" s="27"/>
      <c r="F37" s="27"/>
      <c r="G37" s="28"/>
      <c r="H37" s="28"/>
      <c r="I37" s="27"/>
      <c r="J37" s="28"/>
      <c r="K37" s="28"/>
      <c r="L37" s="26"/>
      <c r="M37" s="26"/>
      <c r="N37" s="27"/>
      <c r="O37" s="27"/>
      <c r="P37" s="54" t="str">
        <f aca="true">IF(OR(C37="",H37="",I37="Completed",I37="Cancelled"),"",IF(H37&lt;TODAY(),"Overdue",""))</f>
        <v/>
      </c>
      <c r="Q37" s="0" t="str">
        <f aca="false">IF(AND(C37&lt;&gt;"",I37&lt;&gt;"Cancelled",OR(AND(N(J37)&gt;'Weekly Report'!$C$5,N(J37)&lt;='Weekly Report'!$C$4),AND(N(K37)&gt;'Weekly Report'!$C$5,N(K37)&lt;='Weekly Report'!$C$4))),COUNT(Q$4:Q36)+1,"")</f>
        <v/>
      </c>
      <c r="R37" s="0" t="str">
        <f aca="false">IF(AND(C37&lt;&gt;"",I37="In Progress"),COUNT(R$4:R36)+1,"")</f>
        <v/>
      </c>
      <c r="S37" s="0" t="str">
        <f aca="false">IF(AND(C37&lt;&gt;"",I37&lt;&gt;"Completed",I37&lt;&gt;"Cancelled",OR(I37="Blocked",M37&lt;&gt;"")),COUNT(S$4:S36)+1,"")</f>
        <v/>
      </c>
      <c r="T37" s="0" t="str">
        <f aca="false">IF(AND(C37&lt;&gt;"",I37&lt;&gt;"Completed",I37&lt;&gt;"Cancelled",OR(O37="Yes",AND(N(H37)&gt;'Weekly Report'!$C$4,N(H37)&lt;='Weekly Report'!$C$4+7))),COUNT(T$4:T36)+1,"")</f>
        <v/>
      </c>
    </row>
    <row r="38" customFormat="false" ht="15" hidden="false" customHeight="false" outlineLevel="0" collapsed="false">
      <c r="A38" s="53" t="s">
        <v>160</v>
      </c>
      <c r="B38" s="27"/>
      <c r="C38" s="26"/>
      <c r="D38" s="27"/>
      <c r="E38" s="27"/>
      <c r="F38" s="27"/>
      <c r="G38" s="28"/>
      <c r="H38" s="28"/>
      <c r="I38" s="27"/>
      <c r="J38" s="28"/>
      <c r="K38" s="28"/>
      <c r="L38" s="26"/>
      <c r="M38" s="26"/>
      <c r="N38" s="27"/>
      <c r="O38" s="27"/>
      <c r="P38" s="54" t="str">
        <f aca="true">IF(OR(C38="",H38="",I38="Completed",I38="Cancelled"),"",IF(H38&lt;TODAY(),"Overdue",""))</f>
        <v/>
      </c>
      <c r="Q38" s="0" t="str">
        <f aca="false">IF(AND(C38&lt;&gt;"",I38&lt;&gt;"Cancelled",OR(AND(N(J38)&gt;'Weekly Report'!$C$5,N(J38)&lt;='Weekly Report'!$C$4),AND(N(K38)&gt;'Weekly Report'!$C$5,N(K38)&lt;='Weekly Report'!$C$4))),COUNT(Q$4:Q37)+1,"")</f>
        <v/>
      </c>
      <c r="R38" s="0" t="str">
        <f aca="false">IF(AND(C38&lt;&gt;"",I38="In Progress"),COUNT(R$4:R37)+1,"")</f>
        <v/>
      </c>
      <c r="S38" s="0" t="str">
        <f aca="false">IF(AND(C38&lt;&gt;"",I38&lt;&gt;"Completed",I38&lt;&gt;"Cancelled",OR(I38="Blocked",M38&lt;&gt;"")),COUNT(S$4:S37)+1,"")</f>
        <v/>
      </c>
      <c r="T38" s="0" t="str">
        <f aca="false">IF(AND(C38&lt;&gt;"",I38&lt;&gt;"Completed",I38&lt;&gt;"Cancelled",OR(O38="Yes",AND(N(H38)&gt;'Weekly Report'!$C$4,N(H38)&lt;='Weekly Report'!$C$4+7))),COUNT(T$4:T37)+1,"")</f>
        <v/>
      </c>
    </row>
    <row r="39" customFormat="false" ht="15" hidden="false" customHeight="false" outlineLevel="0" collapsed="false">
      <c r="A39" s="53" t="s">
        <v>161</v>
      </c>
      <c r="B39" s="27"/>
      <c r="C39" s="26"/>
      <c r="D39" s="27"/>
      <c r="E39" s="27"/>
      <c r="F39" s="27"/>
      <c r="G39" s="28"/>
      <c r="H39" s="28"/>
      <c r="I39" s="27"/>
      <c r="J39" s="28"/>
      <c r="K39" s="28"/>
      <c r="L39" s="26"/>
      <c r="M39" s="26"/>
      <c r="N39" s="27"/>
      <c r="O39" s="27"/>
      <c r="P39" s="54" t="str">
        <f aca="true">IF(OR(C39="",H39="",I39="Completed",I39="Cancelled"),"",IF(H39&lt;TODAY(),"Overdue",""))</f>
        <v/>
      </c>
      <c r="Q39" s="0" t="str">
        <f aca="false">IF(AND(C39&lt;&gt;"",I39&lt;&gt;"Cancelled",OR(AND(N(J39)&gt;'Weekly Report'!$C$5,N(J39)&lt;='Weekly Report'!$C$4),AND(N(K39)&gt;'Weekly Report'!$C$5,N(K39)&lt;='Weekly Report'!$C$4))),COUNT(Q$4:Q38)+1,"")</f>
        <v/>
      </c>
      <c r="R39" s="0" t="str">
        <f aca="false">IF(AND(C39&lt;&gt;"",I39="In Progress"),COUNT(R$4:R38)+1,"")</f>
        <v/>
      </c>
      <c r="S39" s="0" t="str">
        <f aca="false">IF(AND(C39&lt;&gt;"",I39&lt;&gt;"Completed",I39&lt;&gt;"Cancelled",OR(I39="Blocked",M39&lt;&gt;"")),COUNT(S$4:S38)+1,"")</f>
        <v/>
      </c>
      <c r="T39" s="0" t="str">
        <f aca="false">IF(AND(C39&lt;&gt;"",I39&lt;&gt;"Completed",I39&lt;&gt;"Cancelled",OR(O39="Yes",AND(N(H39)&gt;'Weekly Report'!$C$4,N(H39)&lt;='Weekly Report'!$C$4+7))),COUNT(T$4:T38)+1,"")</f>
        <v/>
      </c>
    </row>
    <row r="40" customFormat="false" ht="15" hidden="false" customHeight="false" outlineLevel="0" collapsed="false">
      <c r="A40" s="53" t="s">
        <v>162</v>
      </c>
      <c r="B40" s="27"/>
      <c r="C40" s="26"/>
      <c r="D40" s="27"/>
      <c r="E40" s="27"/>
      <c r="F40" s="27"/>
      <c r="G40" s="28"/>
      <c r="H40" s="28"/>
      <c r="I40" s="27"/>
      <c r="J40" s="28"/>
      <c r="K40" s="28"/>
      <c r="L40" s="26"/>
      <c r="M40" s="26"/>
      <c r="N40" s="27"/>
      <c r="O40" s="27"/>
      <c r="P40" s="54" t="str">
        <f aca="true">IF(OR(C40="",H40="",I40="Completed",I40="Cancelled"),"",IF(H40&lt;TODAY(),"Overdue",""))</f>
        <v/>
      </c>
      <c r="Q40" s="0" t="str">
        <f aca="false">IF(AND(C40&lt;&gt;"",I40&lt;&gt;"Cancelled",OR(AND(N(J40)&gt;'Weekly Report'!$C$5,N(J40)&lt;='Weekly Report'!$C$4),AND(N(K40)&gt;'Weekly Report'!$C$5,N(K40)&lt;='Weekly Report'!$C$4))),COUNT(Q$4:Q39)+1,"")</f>
        <v/>
      </c>
      <c r="R40" s="0" t="str">
        <f aca="false">IF(AND(C40&lt;&gt;"",I40="In Progress"),COUNT(R$4:R39)+1,"")</f>
        <v/>
      </c>
      <c r="S40" s="0" t="str">
        <f aca="false">IF(AND(C40&lt;&gt;"",I40&lt;&gt;"Completed",I40&lt;&gt;"Cancelled",OR(I40="Blocked",M40&lt;&gt;"")),COUNT(S$4:S39)+1,"")</f>
        <v/>
      </c>
      <c r="T40" s="0" t="str">
        <f aca="false">IF(AND(C40&lt;&gt;"",I40&lt;&gt;"Completed",I40&lt;&gt;"Cancelled",OR(O40="Yes",AND(N(H40)&gt;'Weekly Report'!$C$4,N(H40)&lt;='Weekly Report'!$C$4+7))),COUNT(T$4:T39)+1,"")</f>
        <v/>
      </c>
    </row>
    <row r="41" customFormat="false" ht="15" hidden="false" customHeight="false" outlineLevel="0" collapsed="false">
      <c r="A41" s="53" t="s">
        <v>163</v>
      </c>
      <c r="B41" s="27"/>
      <c r="C41" s="26"/>
      <c r="D41" s="27"/>
      <c r="E41" s="27"/>
      <c r="F41" s="27"/>
      <c r="G41" s="28"/>
      <c r="H41" s="28"/>
      <c r="I41" s="27"/>
      <c r="J41" s="28"/>
      <c r="K41" s="28"/>
      <c r="L41" s="26"/>
      <c r="M41" s="26"/>
      <c r="N41" s="27"/>
      <c r="O41" s="27"/>
      <c r="P41" s="54" t="str">
        <f aca="true">IF(OR(C41="",H41="",I41="Completed",I41="Cancelled"),"",IF(H41&lt;TODAY(),"Overdue",""))</f>
        <v/>
      </c>
      <c r="Q41" s="0" t="str">
        <f aca="false">IF(AND(C41&lt;&gt;"",I41&lt;&gt;"Cancelled",OR(AND(N(J41)&gt;'Weekly Report'!$C$5,N(J41)&lt;='Weekly Report'!$C$4),AND(N(K41)&gt;'Weekly Report'!$C$5,N(K41)&lt;='Weekly Report'!$C$4))),COUNT(Q$4:Q40)+1,"")</f>
        <v/>
      </c>
      <c r="R41" s="0" t="str">
        <f aca="false">IF(AND(C41&lt;&gt;"",I41="In Progress"),COUNT(R$4:R40)+1,"")</f>
        <v/>
      </c>
      <c r="S41" s="0" t="str">
        <f aca="false">IF(AND(C41&lt;&gt;"",I41&lt;&gt;"Completed",I41&lt;&gt;"Cancelled",OR(I41="Blocked",M41&lt;&gt;"")),COUNT(S$4:S40)+1,"")</f>
        <v/>
      </c>
      <c r="T41" s="0" t="str">
        <f aca="false">IF(AND(C41&lt;&gt;"",I41&lt;&gt;"Completed",I41&lt;&gt;"Cancelled",OR(O41="Yes",AND(N(H41)&gt;'Weekly Report'!$C$4,N(H41)&lt;='Weekly Report'!$C$4+7))),COUNT(T$4:T40)+1,"")</f>
        <v/>
      </c>
    </row>
    <row r="42" customFormat="false" ht="15" hidden="false" customHeight="false" outlineLevel="0" collapsed="false">
      <c r="A42" s="53" t="s">
        <v>164</v>
      </c>
      <c r="B42" s="27"/>
      <c r="C42" s="26"/>
      <c r="D42" s="27"/>
      <c r="E42" s="27"/>
      <c r="F42" s="27"/>
      <c r="G42" s="28"/>
      <c r="H42" s="28"/>
      <c r="I42" s="27"/>
      <c r="J42" s="28"/>
      <c r="K42" s="28"/>
      <c r="L42" s="26"/>
      <c r="M42" s="26"/>
      <c r="N42" s="27"/>
      <c r="O42" s="27"/>
      <c r="P42" s="54" t="str">
        <f aca="true">IF(OR(C42="",H42="",I42="Completed",I42="Cancelled"),"",IF(H42&lt;TODAY(),"Overdue",""))</f>
        <v/>
      </c>
      <c r="Q42" s="0" t="str">
        <f aca="false">IF(AND(C42&lt;&gt;"",I42&lt;&gt;"Cancelled",OR(AND(N(J42)&gt;'Weekly Report'!$C$5,N(J42)&lt;='Weekly Report'!$C$4),AND(N(K42)&gt;'Weekly Report'!$C$5,N(K42)&lt;='Weekly Report'!$C$4))),COUNT(Q$4:Q41)+1,"")</f>
        <v/>
      </c>
      <c r="R42" s="0" t="str">
        <f aca="false">IF(AND(C42&lt;&gt;"",I42="In Progress"),COUNT(R$4:R41)+1,"")</f>
        <v/>
      </c>
      <c r="S42" s="0" t="str">
        <f aca="false">IF(AND(C42&lt;&gt;"",I42&lt;&gt;"Completed",I42&lt;&gt;"Cancelled",OR(I42="Blocked",M42&lt;&gt;"")),COUNT(S$4:S41)+1,"")</f>
        <v/>
      </c>
      <c r="T42" s="0" t="str">
        <f aca="false">IF(AND(C42&lt;&gt;"",I42&lt;&gt;"Completed",I42&lt;&gt;"Cancelled",OR(O42="Yes",AND(N(H42)&gt;'Weekly Report'!$C$4,N(H42)&lt;='Weekly Report'!$C$4+7))),COUNT(T$4:T41)+1,"")</f>
        <v/>
      </c>
    </row>
    <row r="43" customFormat="false" ht="15" hidden="false" customHeight="false" outlineLevel="0" collapsed="false">
      <c r="A43" s="53" t="s">
        <v>165</v>
      </c>
      <c r="B43" s="27"/>
      <c r="C43" s="26"/>
      <c r="D43" s="27"/>
      <c r="E43" s="27"/>
      <c r="F43" s="27"/>
      <c r="G43" s="28"/>
      <c r="H43" s="28"/>
      <c r="I43" s="27"/>
      <c r="J43" s="28"/>
      <c r="K43" s="28"/>
      <c r="L43" s="26"/>
      <c r="M43" s="26"/>
      <c r="N43" s="27"/>
      <c r="O43" s="27"/>
      <c r="P43" s="54" t="str">
        <f aca="true">IF(OR(C43="",H43="",I43="Completed",I43="Cancelled"),"",IF(H43&lt;TODAY(),"Overdue",""))</f>
        <v/>
      </c>
      <c r="Q43" s="0" t="str">
        <f aca="false">IF(AND(C43&lt;&gt;"",I43&lt;&gt;"Cancelled",OR(AND(N(J43)&gt;'Weekly Report'!$C$5,N(J43)&lt;='Weekly Report'!$C$4),AND(N(K43)&gt;'Weekly Report'!$C$5,N(K43)&lt;='Weekly Report'!$C$4))),COUNT(Q$4:Q42)+1,"")</f>
        <v/>
      </c>
      <c r="R43" s="0" t="str">
        <f aca="false">IF(AND(C43&lt;&gt;"",I43="In Progress"),COUNT(R$4:R42)+1,"")</f>
        <v/>
      </c>
      <c r="S43" s="0" t="str">
        <f aca="false">IF(AND(C43&lt;&gt;"",I43&lt;&gt;"Completed",I43&lt;&gt;"Cancelled",OR(I43="Blocked",M43&lt;&gt;"")),COUNT(S$4:S42)+1,"")</f>
        <v/>
      </c>
      <c r="T43" s="0" t="str">
        <f aca="false">IF(AND(C43&lt;&gt;"",I43&lt;&gt;"Completed",I43&lt;&gt;"Cancelled",OR(O43="Yes",AND(N(H43)&gt;'Weekly Report'!$C$4,N(H43)&lt;='Weekly Report'!$C$4+7))),COUNT(T$4:T42)+1,"")</f>
        <v/>
      </c>
    </row>
    <row r="44" customFormat="false" ht="15" hidden="false" customHeight="false" outlineLevel="0" collapsed="false">
      <c r="A44" s="53" t="s">
        <v>166</v>
      </c>
      <c r="B44" s="27"/>
      <c r="C44" s="26"/>
      <c r="D44" s="27"/>
      <c r="E44" s="27"/>
      <c r="F44" s="27"/>
      <c r="G44" s="28"/>
      <c r="H44" s="28"/>
      <c r="I44" s="27"/>
      <c r="J44" s="28"/>
      <c r="K44" s="28"/>
      <c r="L44" s="26"/>
      <c r="M44" s="26"/>
      <c r="N44" s="27"/>
      <c r="O44" s="27"/>
      <c r="P44" s="54" t="str">
        <f aca="true">IF(OR(C44="",H44="",I44="Completed",I44="Cancelled"),"",IF(H44&lt;TODAY(),"Overdue",""))</f>
        <v/>
      </c>
      <c r="Q44" s="0" t="str">
        <f aca="false">IF(AND(C44&lt;&gt;"",I44&lt;&gt;"Cancelled",OR(AND(N(J44)&gt;'Weekly Report'!$C$5,N(J44)&lt;='Weekly Report'!$C$4),AND(N(K44)&gt;'Weekly Report'!$C$5,N(K44)&lt;='Weekly Report'!$C$4))),COUNT(Q$4:Q43)+1,"")</f>
        <v/>
      </c>
      <c r="R44" s="0" t="str">
        <f aca="false">IF(AND(C44&lt;&gt;"",I44="In Progress"),COUNT(R$4:R43)+1,"")</f>
        <v/>
      </c>
      <c r="S44" s="0" t="str">
        <f aca="false">IF(AND(C44&lt;&gt;"",I44&lt;&gt;"Completed",I44&lt;&gt;"Cancelled",OR(I44="Blocked",M44&lt;&gt;"")),COUNT(S$4:S43)+1,"")</f>
        <v/>
      </c>
      <c r="T44" s="0" t="str">
        <f aca="false">IF(AND(C44&lt;&gt;"",I44&lt;&gt;"Completed",I44&lt;&gt;"Cancelled",OR(O44="Yes",AND(N(H44)&gt;'Weekly Report'!$C$4,N(H44)&lt;='Weekly Report'!$C$4+7))),COUNT(T$4:T43)+1,"")</f>
        <v/>
      </c>
    </row>
    <row r="45" customFormat="false" ht="15" hidden="false" customHeight="false" outlineLevel="0" collapsed="false">
      <c r="A45" s="53" t="s">
        <v>167</v>
      </c>
      <c r="B45" s="27"/>
      <c r="C45" s="26"/>
      <c r="D45" s="27"/>
      <c r="E45" s="27"/>
      <c r="F45" s="27"/>
      <c r="G45" s="28"/>
      <c r="H45" s="28"/>
      <c r="I45" s="27"/>
      <c r="J45" s="28"/>
      <c r="K45" s="28"/>
      <c r="L45" s="26"/>
      <c r="M45" s="26"/>
      <c r="N45" s="27"/>
      <c r="O45" s="27"/>
      <c r="P45" s="54" t="str">
        <f aca="true">IF(OR(C45="",H45="",I45="Completed",I45="Cancelled"),"",IF(H45&lt;TODAY(),"Overdue",""))</f>
        <v/>
      </c>
      <c r="Q45" s="0" t="str">
        <f aca="false">IF(AND(C45&lt;&gt;"",I45&lt;&gt;"Cancelled",OR(AND(N(J45)&gt;'Weekly Report'!$C$5,N(J45)&lt;='Weekly Report'!$C$4),AND(N(K45)&gt;'Weekly Report'!$C$5,N(K45)&lt;='Weekly Report'!$C$4))),COUNT(Q$4:Q44)+1,"")</f>
        <v/>
      </c>
      <c r="R45" s="0" t="str">
        <f aca="false">IF(AND(C45&lt;&gt;"",I45="In Progress"),COUNT(R$4:R44)+1,"")</f>
        <v/>
      </c>
      <c r="S45" s="0" t="str">
        <f aca="false">IF(AND(C45&lt;&gt;"",I45&lt;&gt;"Completed",I45&lt;&gt;"Cancelled",OR(I45="Blocked",M45&lt;&gt;"")),COUNT(S$4:S44)+1,"")</f>
        <v/>
      </c>
      <c r="T45" s="0" t="str">
        <f aca="false">IF(AND(C45&lt;&gt;"",I45&lt;&gt;"Completed",I45&lt;&gt;"Cancelled",OR(O45="Yes",AND(N(H45)&gt;'Weekly Report'!$C$4,N(H45)&lt;='Weekly Report'!$C$4+7))),COUNT(T$4:T44)+1,"")</f>
        <v/>
      </c>
    </row>
    <row r="46" customFormat="false" ht="15" hidden="false" customHeight="false" outlineLevel="0" collapsed="false">
      <c r="A46" s="53" t="s">
        <v>168</v>
      </c>
      <c r="B46" s="27"/>
      <c r="C46" s="26"/>
      <c r="D46" s="27"/>
      <c r="E46" s="27"/>
      <c r="F46" s="27"/>
      <c r="G46" s="28"/>
      <c r="H46" s="28"/>
      <c r="I46" s="27"/>
      <c r="J46" s="28"/>
      <c r="K46" s="28"/>
      <c r="L46" s="26"/>
      <c r="M46" s="26"/>
      <c r="N46" s="27"/>
      <c r="O46" s="27"/>
      <c r="P46" s="54" t="str">
        <f aca="true">IF(OR(C46="",H46="",I46="Completed",I46="Cancelled"),"",IF(H46&lt;TODAY(),"Overdue",""))</f>
        <v/>
      </c>
      <c r="Q46" s="0" t="str">
        <f aca="false">IF(AND(C46&lt;&gt;"",I46&lt;&gt;"Cancelled",OR(AND(N(J46)&gt;'Weekly Report'!$C$5,N(J46)&lt;='Weekly Report'!$C$4),AND(N(K46)&gt;'Weekly Report'!$C$5,N(K46)&lt;='Weekly Report'!$C$4))),COUNT(Q$4:Q45)+1,"")</f>
        <v/>
      </c>
      <c r="R46" s="0" t="str">
        <f aca="false">IF(AND(C46&lt;&gt;"",I46="In Progress"),COUNT(R$4:R45)+1,"")</f>
        <v/>
      </c>
      <c r="S46" s="0" t="str">
        <f aca="false">IF(AND(C46&lt;&gt;"",I46&lt;&gt;"Completed",I46&lt;&gt;"Cancelled",OR(I46="Blocked",M46&lt;&gt;"")),COUNT(S$4:S45)+1,"")</f>
        <v/>
      </c>
      <c r="T46" s="0" t="str">
        <f aca="false">IF(AND(C46&lt;&gt;"",I46&lt;&gt;"Completed",I46&lt;&gt;"Cancelled",OR(O46="Yes",AND(N(H46)&gt;'Weekly Report'!$C$4,N(H46)&lt;='Weekly Report'!$C$4+7))),COUNT(T$4:T45)+1,"")</f>
        <v/>
      </c>
    </row>
    <row r="47" customFormat="false" ht="15" hidden="false" customHeight="false" outlineLevel="0" collapsed="false">
      <c r="A47" s="53" t="s">
        <v>169</v>
      </c>
      <c r="B47" s="27"/>
      <c r="C47" s="26"/>
      <c r="D47" s="27"/>
      <c r="E47" s="27"/>
      <c r="F47" s="27"/>
      <c r="G47" s="28"/>
      <c r="H47" s="28"/>
      <c r="I47" s="27"/>
      <c r="J47" s="28"/>
      <c r="K47" s="28"/>
      <c r="L47" s="26"/>
      <c r="M47" s="26"/>
      <c r="N47" s="27"/>
      <c r="O47" s="27"/>
      <c r="P47" s="54" t="str">
        <f aca="true">IF(OR(C47="",H47="",I47="Completed",I47="Cancelled"),"",IF(H47&lt;TODAY(),"Overdue",""))</f>
        <v/>
      </c>
      <c r="Q47" s="0" t="str">
        <f aca="false">IF(AND(C47&lt;&gt;"",I47&lt;&gt;"Cancelled",OR(AND(N(J47)&gt;'Weekly Report'!$C$5,N(J47)&lt;='Weekly Report'!$C$4),AND(N(K47)&gt;'Weekly Report'!$C$5,N(K47)&lt;='Weekly Report'!$C$4))),COUNT(Q$4:Q46)+1,"")</f>
        <v/>
      </c>
      <c r="R47" s="0" t="str">
        <f aca="false">IF(AND(C47&lt;&gt;"",I47="In Progress"),COUNT(R$4:R46)+1,"")</f>
        <v/>
      </c>
      <c r="S47" s="0" t="str">
        <f aca="false">IF(AND(C47&lt;&gt;"",I47&lt;&gt;"Completed",I47&lt;&gt;"Cancelled",OR(I47="Blocked",M47&lt;&gt;"")),COUNT(S$4:S46)+1,"")</f>
        <v/>
      </c>
      <c r="T47" s="0" t="str">
        <f aca="false">IF(AND(C47&lt;&gt;"",I47&lt;&gt;"Completed",I47&lt;&gt;"Cancelled",OR(O47="Yes",AND(N(H47)&gt;'Weekly Report'!$C$4,N(H47)&lt;='Weekly Report'!$C$4+7))),COUNT(T$4:T46)+1,"")</f>
        <v/>
      </c>
    </row>
    <row r="48" customFormat="false" ht="15" hidden="false" customHeight="false" outlineLevel="0" collapsed="false">
      <c r="A48" s="53" t="s">
        <v>170</v>
      </c>
      <c r="B48" s="27"/>
      <c r="C48" s="26"/>
      <c r="D48" s="27"/>
      <c r="E48" s="27"/>
      <c r="F48" s="27"/>
      <c r="G48" s="28"/>
      <c r="H48" s="28"/>
      <c r="I48" s="27"/>
      <c r="J48" s="28"/>
      <c r="K48" s="28"/>
      <c r="L48" s="26"/>
      <c r="M48" s="26"/>
      <c r="N48" s="27"/>
      <c r="O48" s="27"/>
      <c r="P48" s="54" t="str">
        <f aca="true">IF(OR(C48="",H48="",I48="Completed",I48="Cancelled"),"",IF(H48&lt;TODAY(),"Overdue",""))</f>
        <v/>
      </c>
      <c r="Q48" s="0" t="str">
        <f aca="false">IF(AND(C48&lt;&gt;"",I48&lt;&gt;"Cancelled",OR(AND(N(J48)&gt;'Weekly Report'!$C$5,N(J48)&lt;='Weekly Report'!$C$4),AND(N(K48)&gt;'Weekly Report'!$C$5,N(K48)&lt;='Weekly Report'!$C$4))),COUNT(Q$4:Q47)+1,"")</f>
        <v/>
      </c>
      <c r="R48" s="0" t="str">
        <f aca="false">IF(AND(C48&lt;&gt;"",I48="In Progress"),COUNT(R$4:R47)+1,"")</f>
        <v/>
      </c>
      <c r="S48" s="0" t="str">
        <f aca="false">IF(AND(C48&lt;&gt;"",I48&lt;&gt;"Completed",I48&lt;&gt;"Cancelled",OR(I48="Blocked",M48&lt;&gt;"")),COUNT(S$4:S47)+1,"")</f>
        <v/>
      </c>
      <c r="T48" s="0" t="str">
        <f aca="false">IF(AND(C48&lt;&gt;"",I48&lt;&gt;"Completed",I48&lt;&gt;"Cancelled",OR(O48="Yes",AND(N(H48)&gt;'Weekly Report'!$C$4,N(H48)&lt;='Weekly Report'!$C$4+7))),COUNT(T$4:T47)+1,"")</f>
        <v/>
      </c>
    </row>
    <row r="49" customFormat="false" ht="15" hidden="false" customHeight="false" outlineLevel="0" collapsed="false">
      <c r="A49" s="53" t="s">
        <v>171</v>
      </c>
      <c r="B49" s="27"/>
      <c r="C49" s="26"/>
      <c r="D49" s="27"/>
      <c r="E49" s="27"/>
      <c r="F49" s="27"/>
      <c r="G49" s="28"/>
      <c r="H49" s="28"/>
      <c r="I49" s="27"/>
      <c r="J49" s="28"/>
      <c r="K49" s="28"/>
      <c r="L49" s="26"/>
      <c r="M49" s="26"/>
      <c r="N49" s="27"/>
      <c r="O49" s="27"/>
      <c r="P49" s="54" t="str">
        <f aca="true">IF(OR(C49="",H49="",I49="Completed",I49="Cancelled"),"",IF(H49&lt;TODAY(),"Overdue",""))</f>
        <v/>
      </c>
      <c r="Q49" s="0" t="str">
        <f aca="false">IF(AND(C49&lt;&gt;"",I49&lt;&gt;"Cancelled",OR(AND(N(J49)&gt;'Weekly Report'!$C$5,N(J49)&lt;='Weekly Report'!$C$4),AND(N(K49)&gt;'Weekly Report'!$C$5,N(K49)&lt;='Weekly Report'!$C$4))),COUNT(Q$4:Q48)+1,"")</f>
        <v/>
      </c>
      <c r="R49" s="0" t="str">
        <f aca="false">IF(AND(C49&lt;&gt;"",I49="In Progress"),COUNT(R$4:R48)+1,"")</f>
        <v/>
      </c>
      <c r="S49" s="0" t="str">
        <f aca="false">IF(AND(C49&lt;&gt;"",I49&lt;&gt;"Completed",I49&lt;&gt;"Cancelled",OR(I49="Blocked",M49&lt;&gt;"")),COUNT(S$4:S48)+1,"")</f>
        <v/>
      </c>
      <c r="T49" s="0" t="str">
        <f aca="false">IF(AND(C49&lt;&gt;"",I49&lt;&gt;"Completed",I49&lt;&gt;"Cancelled",OR(O49="Yes",AND(N(H49)&gt;'Weekly Report'!$C$4,N(H49)&lt;='Weekly Report'!$C$4+7))),COUNT(T$4:T48)+1,"")</f>
        <v/>
      </c>
    </row>
    <row r="50" customFormat="false" ht="15" hidden="false" customHeight="false" outlineLevel="0" collapsed="false">
      <c r="A50" s="53" t="s">
        <v>172</v>
      </c>
      <c r="B50" s="27"/>
      <c r="C50" s="26"/>
      <c r="D50" s="27"/>
      <c r="E50" s="27"/>
      <c r="F50" s="27"/>
      <c r="G50" s="28"/>
      <c r="H50" s="28"/>
      <c r="I50" s="27"/>
      <c r="J50" s="28"/>
      <c r="K50" s="28"/>
      <c r="L50" s="26"/>
      <c r="M50" s="26"/>
      <c r="N50" s="27"/>
      <c r="O50" s="27"/>
      <c r="P50" s="54" t="str">
        <f aca="true">IF(OR(C50="",H50="",I50="Completed",I50="Cancelled"),"",IF(H50&lt;TODAY(),"Overdue",""))</f>
        <v/>
      </c>
      <c r="Q50" s="0" t="str">
        <f aca="false">IF(AND(C50&lt;&gt;"",I50&lt;&gt;"Cancelled",OR(AND(N(J50)&gt;'Weekly Report'!$C$5,N(J50)&lt;='Weekly Report'!$C$4),AND(N(K50)&gt;'Weekly Report'!$C$5,N(K50)&lt;='Weekly Report'!$C$4))),COUNT(Q$4:Q49)+1,"")</f>
        <v/>
      </c>
      <c r="R50" s="0" t="str">
        <f aca="false">IF(AND(C50&lt;&gt;"",I50="In Progress"),COUNT(R$4:R49)+1,"")</f>
        <v/>
      </c>
      <c r="S50" s="0" t="str">
        <f aca="false">IF(AND(C50&lt;&gt;"",I50&lt;&gt;"Completed",I50&lt;&gt;"Cancelled",OR(I50="Blocked",M50&lt;&gt;"")),COUNT(S$4:S49)+1,"")</f>
        <v/>
      </c>
      <c r="T50" s="0" t="str">
        <f aca="false">IF(AND(C50&lt;&gt;"",I50&lt;&gt;"Completed",I50&lt;&gt;"Cancelled",OR(O50="Yes",AND(N(H50)&gt;'Weekly Report'!$C$4,N(H50)&lt;='Weekly Report'!$C$4+7))),COUNT(T$4:T49)+1,"")</f>
        <v/>
      </c>
    </row>
    <row r="51" customFormat="false" ht="15" hidden="false" customHeight="false" outlineLevel="0" collapsed="false">
      <c r="A51" s="53" t="s">
        <v>173</v>
      </c>
      <c r="B51" s="27"/>
      <c r="C51" s="26"/>
      <c r="D51" s="27"/>
      <c r="E51" s="27"/>
      <c r="F51" s="27"/>
      <c r="G51" s="28"/>
      <c r="H51" s="28"/>
      <c r="I51" s="27"/>
      <c r="J51" s="28"/>
      <c r="K51" s="28"/>
      <c r="L51" s="26"/>
      <c r="M51" s="26"/>
      <c r="N51" s="27"/>
      <c r="O51" s="27"/>
      <c r="P51" s="54" t="str">
        <f aca="true">IF(OR(C51="",H51="",I51="Completed",I51="Cancelled"),"",IF(H51&lt;TODAY(),"Overdue",""))</f>
        <v/>
      </c>
      <c r="Q51" s="0" t="str">
        <f aca="false">IF(AND(C51&lt;&gt;"",I51&lt;&gt;"Cancelled",OR(AND(N(J51)&gt;'Weekly Report'!$C$5,N(J51)&lt;='Weekly Report'!$C$4),AND(N(K51)&gt;'Weekly Report'!$C$5,N(K51)&lt;='Weekly Report'!$C$4))),COUNT(Q$4:Q50)+1,"")</f>
        <v/>
      </c>
      <c r="R51" s="0" t="str">
        <f aca="false">IF(AND(C51&lt;&gt;"",I51="In Progress"),COUNT(R$4:R50)+1,"")</f>
        <v/>
      </c>
      <c r="S51" s="0" t="str">
        <f aca="false">IF(AND(C51&lt;&gt;"",I51&lt;&gt;"Completed",I51&lt;&gt;"Cancelled",OR(I51="Blocked",M51&lt;&gt;"")),COUNT(S$4:S50)+1,"")</f>
        <v/>
      </c>
      <c r="T51" s="0" t="str">
        <f aca="false">IF(AND(C51&lt;&gt;"",I51&lt;&gt;"Completed",I51&lt;&gt;"Cancelled",OR(O51="Yes",AND(N(H51)&gt;'Weekly Report'!$C$4,N(H51)&lt;='Weekly Report'!$C$4+7))),COUNT(T$4:T50)+1,"")</f>
        <v/>
      </c>
    </row>
    <row r="52" customFormat="false" ht="15" hidden="false" customHeight="false" outlineLevel="0" collapsed="false">
      <c r="A52" s="53" t="s">
        <v>174</v>
      </c>
      <c r="B52" s="27"/>
      <c r="C52" s="26"/>
      <c r="D52" s="27"/>
      <c r="E52" s="27"/>
      <c r="F52" s="27"/>
      <c r="G52" s="28"/>
      <c r="H52" s="28"/>
      <c r="I52" s="27"/>
      <c r="J52" s="28"/>
      <c r="K52" s="28"/>
      <c r="L52" s="26"/>
      <c r="M52" s="26"/>
      <c r="N52" s="27"/>
      <c r="O52" s="27"/>
      <c r="P52" s="54" t="str">
        <f aca="true">IF(OR(C52="",H52="",I52="Completed",I52="Cancelled"),"",IF(H52&lt;TODAY(),"Overdue",""))</f>
        <v/>
      </c>
      <c r="Q52" s="0" t="str">
        <f aca="false">IF(AND(C52&lt;&gt;"",I52&lt;&gt;"Cancelled",OR(AND(N(J52)&gt;'Weekly Report'!$C$5,N(J52)&lt;='Weekly Report'!$C$4),AND(N(K52)&gt;'Weekly Report'!$C$5,N(K52)&lt;='Weekly Report'!$C$4))),COUNT(Q$4:Q51)+1,"")</f>
        <v/>
      </c>
      <c r="R52" s="0" t="str">
        <f aca="false">IF(AND(C52&lt;&gt;"",I52="In Progress"),COUNT(R$4:R51)+1,"")</f>
        <v/>
      </c>
      <c r="S52" s="0" t="str">
        <f aca="false">IF(AND(C52&lt;&gt;"",I52&lt;&gt;"Completed",I52&lt;&gt;"Cancelled",OR(I52="Blocked",M52&lt;&gt;"")),COUNT(S$4:S51)+1,"")</f>
        <v/>
      </c>
      <c r="T52" s="0" t="str">
        <f aca="false">IF(AND(C52&lt;&gt;"",I52&lt;&gt;"Completed",I52&lt;&gt;"Cancelled",OR(O52="Yes",AND(N(H52)&gt;'Weekly Report'!$C$4,N(H52)&lt;='Weekly Report'!$C$4+7))),COUNT(T$4:T51)+1,"")</f>
        <v/>
      </c>
    </row>
    <row r="53" customFormat="false" ht="15" hidden="false" customHeight="false" outlineLevel="0" collapsed="false">
      <c r="A53" s="53" t="s">
        <v>175</v>
      </c>
      <c r="B53" s="27"/>
      <c r="C53" s="26"/>
      <c r="D53" s="27"/>
      <c r="E53" s="27"/>
      <c r="F53" s="27"/>
      <c r="G53" s="28"/>
      <c r="H53" s="28"/>
      <c r="I53" s="27"/>
      <c r="J53" s="28"/>
      <c r="K53" s="28"/>
      <c r="L53" s="26"/>
      <c r="M53" s="26"/>
      <c r="N53" s="27"/>
      <c r="O53" s="27"/>
      <c r="P53" s="54" t="str">
        <f aca="true">IF(OR(C53="",H53="",I53="Completed",I53="Cancelled"),"",IF(H53&lt;TODAY(),"Overdue",""))</f>
        <v/>
      </c>
      <c r="Q53" s="0" t="str">
        <f aca="false">IF(AND(C53&lt;&gt;"",I53&lt;&gt;"Cancelled",OR(AND(N(J53)&gt;'Weekly Report'!$C$5,N(J53)&lt;='Weekly Report'!$C$4),AND(N(K53)&gt;'Weekly Report'!$C$5,N(K53)&lt;='Weekly Report'!$C$4))),COUNT(Q$4:Q52)+1,"")</f>
        <v/>
      </c>
      <c r="R53" s="0" t="str">
        <f aca="false">IF(AND(C53&lt;&gt;"",I53="In Progress"),COUNT(R$4:R52)+1,"")</f>
        <v/>
      </c>
      <c r="S53" s="0" t="str">
        <f aca="false">IF(AND(C53&lt;&gt;"",I53&lt;&gt;"Completed",I53&lt;&gt;"Cancelled",OR(I53="Blocked",M53&lt;&gt;"")),COUNT(S$4:S52)+1,"")</f>
        <v/>
      </c>
      <c r="T53" s="0" t="str">
        <f aca="false">IF(AND(C53&lt;&gt;"",I53&lt;&gt;"Completed",I53&lt;&gt;"Cancelled",OR(O53="Yes",AND(N(H53)&gt;'Weekly Report'!$C$4,N(H53)&lt;='Weekly Report'!$C$4+7))),COUNT(T$4:T52)+1,"")</f>
        <v/>
      </c>
    </row>
    <row r="54" customFormat="false" ht="15" hidden="false" customHeight="false" outlineLevel="0" collapsed="false">
      <c r="A54" s="53" t="s">
        <v>176</v>
      </c>
      <c r="B54" s="27"/>
      <c r="C54" s="26"/>
      <c r="D54" s="27"/>
      <c r="E54" s="27"/>
      <c r="F54" s="27"/>
      <c r="G54" s="28"/>
      <c r="H54" s="28"/>
      <c r="I54" s="27"/>
      <c r="J54" s="28"/>
      <c r="K54" s="28"/>
      <c r="L54" s="26"/>
      <c r="M54" s="26"/>
      <c r="N54" s="27"/>
      <c r="O54" s="27"/>
      <c r="P54" s="54" t="str">
        <f aca="true">IF(OR(C54="",H54="",I54="Completed",I54="Cancelled"),"",IF(H54&lt;TODAY(),"Overdue",""))</f>
        <v/>
      </c>
      <c r="Q54" s="0" t="str">
        <f aca="false">IF(AND(C54&lt;&gt;"",I54&lt;&gt;"Cancelled",OR(AND(N(J54)&gt;'Weekly Report'!$C$5,N(J54)&lt;='Weekly Report'!$C$4),AND(N(K54)&gt;'Weekly Report'!$C$5,N(K54)&lt;='Weekly Report'!$C$4))),COUNT(Q$4:Q53)+1,"")</f>
        <v/>
      </c>
      <c r="R54" s="0" t="str">
        <f aca="false">IF(AND(C54&lt;&gt;"",I54="In Progress"),COUNT(R$4:R53)+1,"")</f>
        <v/>
      </c>
      <c r="S54" s="0" t="str">
        <f aca="false">IF(AND(C54&lt;&gt;"",I54&lt;&gt;"Completed",I54&lt;&gt;"Cancelled",OR(I54="Blocked",M54&lt;&gt;"")),COUNT(S$4:S53)+1,"")</f>
        <v/>
      </c>
      <c r="T54" s="0" t="str">
        <f aca="false">IF(AND(C54&lt;&gt;"",I54&lt;&gt;"Completed",I54&lt;&gt;"Cancelled",OR(O54="Yes",AND(N(H54)&gt;'Weekly Report'!$C$4,N(H54)&lt;='Weekly Report'!$C$4+7))),COUNT(T$4:T53)+1,"")</f>
        <v/>
      </c>
    </row>
    <row r="55" customFormat="false" ht="15" hidden="false" customHeight="false" outlineLevel="0" collapsed="false">
      <c r="A55" s="53" t="s">
        <v>177</v>
      </c>
      <c r="B55" s="27"/>
      <c r="C55" s="26"/>
      <c r="D55" s="27"/>
      <c r="E55" s="27"/>
      <c r="F55" s="27"/>
      <c r="G55" s="28"/>
      <c r="H55" s="28"/>
      <c r="I55" s="27"/>
      <c r="J55" s="28"/>
      <c r="K55" s="28"/>
      <c r="L55" s="26"/>
      <c r="M55" s="26"/>
      <c r="N55" s="27"/>
      <c r="O55" s="27"/>
      <c r="P55" s="54" t="str">
        <f aca="true">IF(OR(C55="",H55="",I55="Completed",I55="Cancelled"),"",IF(H55&lt;TODAY(),"Overdue",""))</f>
        <v/>
      </c>
      <c r="Q55" s="0" t="str">
        <f aca="false">IF(AND(C55&lt;&gt;"",I55&lt;&gt;"Cancelled",OR(AND(N(J55)&gt;'Weekly Report'!$C$5,N(J55)&lt;='Weekly Report'!$C$4),AND(N(K55)&gt;'Weekly Report'!$C$5,N(K55)&lt;='Weekly Report'!$C$4))),COUNT(Q$4:Q54)+1,"")</f>
        <v/>
      </c>
      <c r="R55" s="0" t="str">
        <f aca="false">IF(AND(C55&lt;&gt;"",I55="In Progress"),COUNT(R$4:R54)+1,"")</f>
        <v/>
      </c>
      <c r="S55" s="0" t="str">
        <f aca="false">IF(AND(C55&lt;&gt;"",I55&lt;&gt;"Completed",I55&lt;&gt;"Cancelled",OR(I55="Blocked",M55&lt;&gt;"")),COUNT(S$4:S54)+1,"")</f>
        <v/>
      </c>
      <c r="T55" s="0" t="str">
        <f aca="false">IF(AND(C55&lt;&gt;"",I55&lt;&gt;"Completed",I55&lt;&gt;"Cancelled",OR(O55="Yes",AND(N(H55)&gt;'Weekly Report'!$C$4,N(H55)&lt;='Weekly Report'!$C$4+7))),COUNT(T$4:T54)+1,"")</f>
        <v/>
      </c>
    </row>
    <row r="56" customFormat="false" ht="15" hidden="false" customHeight="false" outlineLevel="0" collapsed="false">
      <c r="A56" s="53" t="s">
        <v>178</v>
      </c>
      <c r="B56" s="27"/>
      <c r="C56" s="26"/>
      <c r="D56" s="27"/>
      <c r="E56" s="27"/>
      <c r="F56" s="27"/>
      <c r="G56" s="28"/>
      <c r="H56" s="28"/>
      <c r="I56" s="27"/>
      <c r="J56" s="28"/>
      <c r="K56" s="28"/>
      <c r="L56" s="26"/>
      <c r="M56" s="26"/>
      <c r="N56" s="27"/>
      <c r="O56" s="27"/>
      <c r="P56" s="54" t="str">
        <f aca="true">IF(OR(C56="",H56="",I56="Completed",I56="Cancelled"),"",IF(H56&lt;TODAY(),"Overdue",""))</f>
        <v/>
      </c>
      <c r="Q56" s="0" t="str">
        <f aca="false">IF(AND(C56&lt;&gt;"",I56&lt;&gt;"Cancelled",OR(AND(N(J56)&gt;'Weekly Report'!$C$5,N(J56)&lt;='Weekly Report'!$C$4),AND(N(K56)&gt;'Weekly Report'!$C$5,N(K56)&lt;='Weekly Report'!$C$4))),COUNT(Q$4:Q55)+1,"")</f>
        <v/>
      </c>
      <c r="R56" s="0" t="str">
        <f aca="false">IF(AND(C56&lt;&gt;"",I56="In Progress"),COUNT(R$4:R55)+1,"")</f>
        <v/>
      </c>
      <c r="S56" s="0" t="str">
        <f aca="false">IF(AND(C56&lt;&gt;"",I56&lt;&gt;"Completed",I56&lt;&gt;"Cancelled",OR(I56="Blocked",M56&lt;&gt;"")),COUNT(S$4:S55)+1,"")</f>
        <v/>
      </c>
      <c r="T56" s="0" t="str">
        <f aca="false">IF(AND(C56&lt;&gt;"",I56&lt;&gt;"Completed",I56&lt;&gt;"Cancelled",OR(O56="Yes",AND(N(H56)&gt;'Weekly Report'!$C$4,N(H56)&lt;='Weekly Report'!$C$4+7))),COUNT(T$4:T55)+1,"")</f>
        <v/>
      </c>
    </row>
    <row r="57" customFormat="false" ht="15" hidden="false" customHeight="false" outlineLevel="0" collapsed="false">
      <c r="A57" s="53" t="s">
        <v>179</v>
      </c>
      <c r="B57" s="27"/>
      <c r="C57" s="26"/>
      <c r="D57" s="27"/>
      <c r="E57" s="27"/>
      <c r="F57" s="27"/>
      <c r="G57" s="28"/>
      <c r="H57" s="28"/>
      <c r="I57" s="27"/>
      <c r="J57" s="28"/>
      <c r="K57" s="28"/>
      <c r="L57" s="26"/>
      <c r="M57" s="26"/>
      <c r="N57" s="27"/>
      <c r="O57" s="27"/>
      <c r="P57" s="54" t="str">
        <f aca="true">IF(OR(C57="",H57="",I57="Completed",I57="Cancelled"),"",IF(H57&lt;TODAY(),"Overdue",""))</f>
        <v/>
      </c>
      <c r="Q57" s="0" t="str">
        <f aca="false">IF(AND(C57&lt;&gt;"",I57&lt;&gt;"Cancelled",OR(AND(N(J57)&gt;'Weekly Report'!$C$5,N(J57)&lt;='Weekly Report'!$C$4),AND(N(K57)&gt;'Weekly Report'!$C$5,N(K57)&lt;='Weekly Report'!$C$4))),COUNT(Q$4:Q56)+1,"")</f>
        <v/>
      </c>
      <c r="R57" s="0" t="str">
        <f aca="false">IF(AND(C57&lt;&gt;"",I57="In Progress"),COUNT(R$4:R56)+1,"")</f>
        <v/>
      </c>
      <c r="S57" s="0" t="str">
        <f aca="false">IF(AND(C57&lt;&gt;"",I57&lt;&gt;"Completed",I57&lt;&gt;"Cancelled",OR(I57="Blocked",M57&lt;&gt;"")),COUNT(S$4:S56)+1,"")</f>
        <v/>
      </c>
      <c r="T57" s="0" t="str">
        <f aca="false">IF(AND(C57&lt;&gt;"",I57&lt;&gt;"Completed",I57&lt;&gt;"Cancelled",OR(O57="Yes",AND(N(H57)&gt;'Weekly Report'!$C$4,N(H57)&lt;='Weekly Report'!$C$4+7))),COUNT(T$4:T56)+1,"")</f>
        <v/>
      </c>
    </row>
    <row r="58" customFormat="false" ht="15" hidden="false" customHeight="false" outlineLevel="0" collapsed="false">
      <c r="A58" s="53" t="s">
        <v>180</v>
      </c>
      <c r="B58" s="27"/>
      <c r="C58" s="26"/>
      <c r="D58" s="27"/>
      <c r="E58" s="27"/>
      <c r="F58" s="27"/>
      <c r="G58" s="28"/>
      <c r="H58" s="28"/>
      <c r="I58" s="27"/>
      <c r="J58" s="28"/>
      <c r="K58" s="28"/>
      <c r="L58" s="26"/>
      <c r="M58" s="26"/>
      <c r="N58" s="27"/>
      <c r="O58" s="27"/>
      <c r="P58" s="54" t="str">
        <f aca="true">IF(OR(C58="",H58="",I58="Completed",I58="Cancelled"),"",IF(H58&lt;TODAY(),"Overdue",""))</f>
        <v/>
      </c>
      <c r="Q58" s="0" t="str">
        <f aca="false">IF(AND(C58&lt;&gt;"",I58&lt;&gt;"Cancelled",OR(AND(N(J58)&gt;'Weekly Report'!$C$5,N(J58)&lt;='Weekly Report'!$C$4),AND(N(K58)&gt;'Weekly Report'!$C$5,N(K58)&lt;='Weekly Report'!$C$4))),COUNT(Q$4:Q57)+1,"")</f>
        <v/>
      </c>
      <c r="R58" s="0" t="str">
        <f aca="false">IF(AND(C58&lt;&gt;"",I58="In Progress"),COUNT(R$4:R57)+1,"")</f>
        <v/>
      </c>
      <c r="S58" s="0" t="str">
        <f aca="false">IF(AND(C58&lt;&gt;"",I58&lt;&gt;"Completed",I58&lt;&gt;"Cancelled",OR(I58="Blocked",M58&lt;&gt;"")),COUNT(S$4:S57)+1,"")</f>
        <v/>
      </c>
      <c r="T58" s="0" t="str">
        <f aca="false">IF(AND(C58&lt;&gt;"",I58&lt;&gt;"Completed",I58&lt;&gt;"Cancelled",OR(O58="Yes",AND(N(H58)&gt;'Weekly Report'!$C$4,N(H58)&lt;='Weekly Report'!$C$4+7))),COUNT(T$4:T57)+1,"")</f>
        <v/>
      </c>
    </row>
    <row r="59" customFormat="false" ht="15" hidden="false" customHeight="false" outlineLevel="0" collapsed="false">
      <c r="A59" s="53" t="s">
        <v>181</v>
      </c>
      <c r="B59" s="27"/>
      <c r="C59" s="26"/>
      <c r="D59" s="27"/>
      <c r="E59" s="27"/>
      <c r="F59" s="27"/>
      <c r="G59" s="28"/>
      <c r="H59" s="28"/>
      <c r="I59" s="27"/>
      <c r="J59" s="28"/>
      <c r="K59" s="28"/>
      <c r="L59" s="26"/>
      <c r="M59" s="26"/>
      <c r="N59" s="27"/>
      <c r="O59" s="27"/>
      <c r="P59" s="54" t="str">
        <f aca="true">IF(OR(C59="",H59="",I59="Completed",I59="Cancelled"),"",IF(H59&lt;TODAY(),"Overdue",""))</f>
        <v/>
      </c>
      <c r="Q59" s="0" t="str">
        <f aca="false">IF(AND(C59&lt;&gt;"",I59&lt;&gt;"Cancelled",OR(AND(N(J59)&gt;'Weekly Report'!$C$5,N(J59)&lt;='Weekly Report'!$C$4),AND(N(K59)&gt;'Weekly Report'!$C$5,N(K59)&lt;='Weekly Report'!$C$4))),COUNT(Q$4:Q58)+1,"")</f>
        <v/>
      </c>
      <c r="R59" s="0" t="str">
        <f aca="false">IF(AND(C59&lt;&gt;"",I59="In Progress"),COUNT(R$4:R58)+1,"")</f>
        <v/>
      </c>
      <c r="S59" s="0" t="str">
        <f aca="false">IF(AND(C59&lt;&gt;"",I59&lt;&gt;"Completed",I59&lt;&gt;"Cancelled",OR(I59="Blocked",M59&lt;&gt;"")),COUNT(S$4:S58)+1,"")</f>
        <v/>
      </c>
      <c r="T59" s="0" t="str">
        <f aca="false">IF(AND(C59&lt;&gt;"",I59&lt;&gt;"Completed",I59&lt;&gt;"Cancelled",OR(O59="Yes",AND(N(H59)&gt;'Weekly Report'!$C$4,N(H59)&lt;='Weekly Report'!$C$4+7))),COUNT(T$4:T58)+1,"")</f>
        <v/>
      </c>
    </row>
    <row r="60" customFormat="false" ht="15" hidden="false" customHeight="false" outlineLevel="0" collapsed="false">
      <c r="A60" s="53" t="s">
        <v>182</v>
      </c>
      <c r="B60" s="27"/>
      <c r="C60" s="26"/>
      <c r="D60" s="27"/>
      <c r="E60" s="27"/>
      <c r="F60" s="27"/>
      <c r="G60" s="28"/>
      <c r="H60" s="28"/>
      <c r="I60" s="27"/>
      <c r="J60" s="28"/>
      <c r="K60" s="28"/>
      <c r="L60" s="26"/>
      <c r="M60" s="26"/>
      <c r="N60" s="27"/>
      <c r="O60" s="27"/>
      <c r="P60" s="54" t="str">
        <f aca="true">IF(OR(C60="",H60="",I60="Completed",I60="Cancelled"),"",IF(H60&lt;TODAY(),"Overdue",""))</f>
        <v/>
      </c>
      <c r="Q60" s="0" t="str">
        <f aca="false">IF(AND(C60&lt;&gt;"",I60&lt;&gt;"Cancelled",OR(AND(N(J60)&gt;'Weekly Report'!$C$5,N(J60)&lt;='Weekly Report'!$C$4),AND(N(K60)&gt;'Weekly Report'!$C$5,N(K60)&lt;='Weekly Report'!$C$4))),COUNT(Q$4:Q59)+1,"")</f>
        <v/>
      </c>
      <c r="R60" s="0" t="str">
        <f aca="false">IF(AND(C60&lt;&gt;"",I60="In Progress"),COUNT(R$4:R59)+1,"")</f>
        <v/>
      </c>
      <c r="S60" s="0" t="str">
        <f aca="false">IF(AND(C60&lt;&gt;"",I60&lt;&gt;"Completed",I60&lt;&gt;"Cancelled",OR(I60="Blocked",M60&lt;&gt;"")),COUNT(S$4:S59)+1,"")</f>
        <v/>
      </c>
      <c r="T60" s="0" t="str">
        <f aca="false">IF(AND(C60&lt;&gt;"",I60&lt;&gt;"Completed",I60&lt;&gt;"Cancelled",OR(O60="Yes",AND(N(H60)&gt;'Weekly Report'!$C$4,N(H60)&lt;='Weekly Report'!$C$4+7))),COUNT(T$4:T59)+1,"")</f>
        <v/>
      </c>
    </row>
    <row r="61" customFormat="false" ht="15" hidden="false" customHeight="false" outlineLevel="0" collapsed="false">
      <c r="A61" s="53" t="s">
        <v>183</v>
      </c>
      <c r="B61" s="27"/>
      <c r="C61" s="26"/>
      <c r="D61" s="27"/>
      <c r="E61" s="27"/>
      <c r="F61" s="27"/>
      <c r="G61" s="28"/>
      <c r="H61" s="28"/>
      <c r="I61" s="27"/>
      <c r="J61" s="28"/>
      <c r="K61" s="28"/>
      <c r="L61" s="26"/>
      <c r="M61" s="26"/>
      <c r="N61" s="27"/>
      <c r="O61" s="27"/>
      <c r="P61" s="54" t="str">
        <f aca="true">IF(OR(C61="",H61="",I61="Completed",I61="Cancelled"),"",IF(H61&lt;TODAY(),"Overdue",""))</f>
        <v/>
      </c>
      <c r="Q61" s="0" t="str">
        <f aca="false">IF(AND(C61&lt;&gt;"",I61&lt;&gt;"Cancelled",OR(AND(N(J61)&gt;'Weekly Report'!$C$5,N(J61)&lt;='Weekly Report'!$C$4),AND(N(K61)&gt;'Weekly Report'!$C$5,N(K61)&lt;='Weekly Report'!$C$4))),COUNT(Q$4:Q60)+1,"")</f>
        <v/>
      </c>
      <c r="R61" s="0" t="str">
        <f aca="false">IF(AND(C61&lt;&gt;"",I61="In Progress"),COUNT(R$4:R60)+1,"")</f>
        <v/>
      </c>
      <c r="S61" s="0" t="str">
        <f aca="false">IF(AND(C61&lt;&gt;"",I61&lt;&gt;"Completed",I61&lt;&gt;"Cancelled",OR(I61="Blocked",M61&lt;&gt;"")),COUNT(S$4:S60)+1,"")</f>
        <v/>
      </c>
      <c r="T61" s="0" t="str">
        <f aca="false">IF(AND(C61&lt;&gt;"",I61&lt;&gt;"Completed",I61&lt;&gt;"Cancelled",OR(O61="Yes",AND(N(H61)&gt;'Weekly Report'!$C$4,N(H61)&lt;='Weekly Report'!$C$4+7))),COUNT(T$4:T60)+1,"")</f>
        <v/>
      </c>
    </row>
    <row r="62" customFormat="false" ht="15" hidden="false" customHeight="false" outlineLevel="0" collapsed="false">
      <c r="A62" s="53" t="s">
        <v>184</v>
      </c>
      <c r="B62" s="27"/>
      <c r="C62" s="26"/>
      <c r="D62" s="27"/>
      <c r="E62" s="27"/>
      <c r="F62" s="27"/>
      <c r="G62" s="28"/>
      <c r="H62" s="28"/>
      <c r="I62" s="27"/>
      <c r="J62" s="28"/>
      <c r="K62" s="28"/>
      <c r="L62" s="26"/>
      <c r="M62" s="26"/>
      <c r="N62" s="27"/>
      <c r="O62" s="27"/>
      <c r="P62" s="54" t="str">
        <f aca="true">IF(OR(C62="",H62="",I62="Completed",I62="Cancelled"),"",IF(H62&lt;TODAY(),"Overdue",""))</f>
        <v/>
      </c>
      <c r="Q62" s="0" t="str">
        <f aca="false">IF(AND(C62&lt;&gt;"",I62&lt;&gt;"Cancelled",OR(AND(N(J62)&gt;'Weekly Report'!$C$5,N(J62)&lt;='Weekly Report'!$C$4),AND(N(K62)&gt;'Weekly Report'!$C$5,N(K62)&lt;='Weekly Report'!$C$4))),COUNT(Q$4:Q61)+1,"")</f>
        <v/>
      </c>
      <c r="R62" s="0" t="str">
        <f aca="false">IF(AND(C62&lt;&gt;"",I62="In Progress"),COUNT(R$4:R61)+1,"")</f>
        <v/>
      </c>
      <c r="S62" s="0" t="str">
        <f aca="false">IF(AND(C62&lt;&gt;"",I62&lt;&gt;"Completed",I62&lt;&gt;"Cancelled",OR(I62="Blocked",M62&lt;&gt;"")),COUNT(S$4:S61)+1,"")</f>
        <v/>
      </c>
      <c r="T62" s="0" t="str">
        <f aca="false">IF(AND(C62&lt;&gt;"",I62&lt;&gt;"Completed",I62&lt;&gt;"Cancelled",OR(O62="Yes",AND(N(H62)&gt;'Weekly Report'!$C$4,N(H62)&lt;='Weekly Report'!$C$4+7))),COUNT(T$4:T61)+1,"")</f>
        <v/>
      </c>
    </row>
    <row r="63" customFormat="false" ht="15" hidden="false" customHeight="false" outlineLevel="0" collapsed="false">
      <c r="A63" s="53" t="s">
        <v>185</v>
      </c>
      <c r="B63" s="27"/>
      <c r="C63" s="26"/>
      <c r="D63" s="27"/>
      <c r="E63" s="27"/>
      <c r="F63" s="27"/>
      <c r="G63" s="28"/>
      <c r="H63" s="28"/>
      <c r="I63" s="27"/>
      <c r="J63" s="28"/>
      <c r="K63" s="28"/>
      <c r="L63" s="26"/>
      <c r="M63" s="26"/>
      <c r="N63" s="27"/>
      <c r="O63" s="27"/>
      <c r="P63" s="54" t="str">
        <f aca="true">IF(OR(C63="",H63="",I63="Completed",I63="Cancelled"),"",IF(H63&lt;TODAY(),"Overdue",""))</f>
        <v/>
      </c>
      <c r="Q63" s="0" t="str">
        <f aca="false">IF(AND(C63&lt;&gt;"",I63&lt;&gt;"Cancelled",OR(AND(N(J63)&gt;'Weekly Report'!$C$5,N(J63)&lt;='Weekly Report'!$C$4),AND(N(K63)&gt;'Weekly Report'!$C$5,N(K63)&lt;='Weekly Report'!$C$4))),COUNT(Q$4:Q62)+1,"")</f>
        <v/>
      </c>
      <c r="R63" s="0" t="str">
        <f aca="false">IF(AND(C63&lt;&gt;"",I63="In Progress"),COUNT(R$4:R62)+1,"")</f>
        <v/>
      </c>
      <c r="S63" s="0" t="str">
        <f aca="false">IF(AND(C63&lt;&gt;"",I63&lt;&gt;"Completed",I63&lt;&gt;"Cancelled",OR(I63="Blocked",M63&lt;&gt;"")),COUNT(S$4:S62)+1,"")</f>
        <v/>
      </c>
      <c r="T63" s="0" t="str">
        <f aca="false">IF(AND(C63&lt;&gt;"",I63&lt;&gt;"Completed",I63&lt;&gt;"Cancelled",OR(O63="Yes",AND(N(H63)&gt;'Weekly Report'!$C$4,N(H63)&lt;='Weekly Report'!$C$4+7))),COUNT(T$4:T62)+1,"")</f>
        <v/>
      </c>
    </row>
    <row r="64" customFormat="false" ht="15" hidden="false" customHeight="false" outlineLevel="0" collapsed="false">
      <c r="A64" s="53" t="s">
        <v>186</v>
      </c>
      <c r="B64" s="27"/>
      <c r="C64" s="26"/>
      <c r="D64" s="27"/>
      <c r="E64" s="27"/>
      <c r="F64" s="27"/>
      <c r="G64" s="28"/>
      <c r="H64" s="28"/>
      <c r="I64" s="27"/>
      <c r="J64" s="28"/>
      <c r="K64" s="28"/>
      <c r="L64" s="26"/>
      <c r="M64" s="26"/>
      <c r="N64" s="27"/>
      <c r="O64" s="27"/>
      <c r="P64" s="54" t="str">
        <f aca="true">IF(OR(C64="",H64="",I64="Completed",I64="Cancelled"),"",IF(H64&lt;TODAY(),"Overdue",""))</f>
        <v/>
      </c>
      <c r="Q64" s="0" t="str">
        <f aca="false">IF(AND(C64&lt;&gt;"",I64&lt;&gt;"Cancelled",OR(AND(N(J64)&gt;'Weekly Report'!$C$5,N(J64)&lt;='Weekly Report'!$C$4),AND(N(K64)&gt;'Weekly Report'!$C$5,N(K64)&lt;='Weekly Report'!$C$4))),COUNT(Q$4:Q63)+1,"")</f>
        <v/>
      </c>
      <c r="R64" s="0" t="str">
        <f aca="false">IF(AND(C64&lt;&gt;"",I64="In Progress"),COUNT(R$4:R63)+1,"")</f>
        <v/>
      </c>
      <c r="S64" s="0" t="str">
        <f aca="false">IF(AND(C64&lt;&gt;"",I64&lt;&gt;"Completed",I64&lt;&gt;"Cancelled",OR(I64="Blocked",M64&lt;&gt;"")),COUNT(S$4:S63)+1,"")</f>
        <v/>
      </c>
      <c r="T64" s="0" t="str">
        <f aca="false">IF(AND(C64&lt;&gt;"",I64&lt;&gt;"Completed",I64&lt;&gt;"Cancelled",OR(O64="Yes",AND(N(H64)&gt;'Weekly Report'!$C$4,N(H64)&lt;='Weekly Report'!$C$4+7))),COUNT(T$4:T63)+1,"")</f>
        <v/>
      </c>
    </row>
    <row r="65" customFormat="false" ht="15" hidden="false" customHeight="false" outlineLevel="0" collapsed="false">
      <c r="A65" s="53" t="s">
        <v>187</v>
      </c>
      <c r="B65" s="27"/>
      <c r="C65" s="26"/>
      <c r="D65" s="27"/>
      <c r="E65" s="27"/>
      <c r="F65" s="27"/>
      <c r="G65" s="28"/>
      <c r="H65" s="28"/>
      <c r="I65" s="27"/>
      <c r="J65" s="28"/>
      <c r="K65" s="28"/>
      <c r="L65" s="26"/>
      <c r="M65" s="26"/>
      <c r="N65" s="27"/>
      <c r="O65" s="27"/>
      <c r="P65" s="54" t="str">
        <f aca="true">IF(OR(C65="",H65="",I65="Completed",I65="Cancelled"),"",IF(H65&lt;TODAY(),"Overdue",""))</f>
        <v/>
      </c>
      <c r="Q65" s="0" t="str">
        <f aca="false">IF(AND(C65&lt;&gt;"",I65&lt;&gt;"Cancelled",OR(AND(N(J65)&gt;'Weekly Report'!$C$5,N(J65)&lt;='Weekly Report'!$C$4),AND(N(K65)&gt;'Weekly Report'!$C$5,N(K65)&lt;='Weekly Report'!$C$4))),COUNT(Q$4:Q64)+1,"")</f>
        <v/>
      </c>
      <c r="R65" s="0" t="str">
        <f aca="false">IF(AND(C65&lt;&gt;"",I65="In Progress"),COUNT(R$4:R64)+1,"")</f>
        <v/>
      </c>
      <c r="S65" s="0" t="str">
        <f aca="false">IF(AND(C65&lt;&gt;"",I65&lt;&gt;"Completed",I65&lt;&gt;"Cancelled",OR(I65="Blocked",M65&lt;&gt;"")),COUNT(S$4:S64)+1,"")</f>
        <v/>
      </c>
      <c r="T65" s="0" t="str">
        <f aca="false">IF(AND(C65&lt;&gt;"",I65&lt;&gt;"Completed",I65&lt;&gt;"Cancelled",OR(O65="Yes",AND(N(H65)&gt;'Weekly Report'!$C$4,N(H65)&lt;='Weekly Report'!$C$4+7))),COUNT(T$4:T64)+1,"")</f>
        <v/>
      </c>
    </row>
    <row r="66" customFormat="false" ht="15" hidden="false" customHeight="false" outlineLevel="0" collapsed="false">
      <c r="A66" s="53" t="s">
        <v>188</v>
      </c>
      <c r="B66" s="27"/>
      <c r="C66" s="26"/>
      <c r="D66" s="27"/>
      <c r="E66" s="27"/>
      <c r="F66" s="27"/>
      <c r="G66" s="28"/>
      <c r="H66" s="28"/>
      <c r="I66" s="27"/>
      <c r="J66" s="28"/>
      <c r="K66" s="28"/>
      <c r="L66" s="26"/>
      <c r="M66" s="26"/>
      <c r="N66" s="27"/>
      <c r="O66" s="27"/>
      <c r="P66" s="54" t="str">
        <f aca="true">IF(OR(C66="",H66="",I66="Completed",I66="Cancelled"),"",IF(H66&lt;TODAY(),"Overdue",""))</f>
        <v/>
      </c>
      <c r="Q66" s="0" t="str">
        <f aca="false">IF(AND(C66&lt;&gt;"",I66&lt;&gt;"Cancelled",OR(AND(N(J66)&gt;'Weekly Report'!$C$5,N(J66)&lt;='Weekly Report'!$C$4),AND(N(K66)&gt;'Weekly Report'!$C$5,N(K66)&lt;='Weekly Report'!$C$4))),COUNT(Q$4:Q65)+1,"")</f>
        <v/>
      </c>
      <c r="R66" s="0" t="str">
        <f aca="false">IF(AND(C66&lt;&gt;"",I66="In Progress"),COUNT(R$4:R65)+1,"")</f>
        <v/>
      </c>
      <c r="S66" s="0" t="str">
        <f aca="false">IF(AND(C66&lt;&gt;"",I66&lt;&gt;"Completed",I66&lt;&gt;"Cancelled",OR(I66="Blocked",M66&lt;&gt;"")),COUNT(S$4:S65)+1,"")</f>
        <v/>
      </c>
      <c r="T66" s="0" t="str">
        <f aca="false">IF(AND(C66&lt;&gt;"",I66&lt;&gt;"Completed",I66&lt;&gt;"Cancelled",OR(O66="Yes",AND(N(H66)&gt;'Weekly Report'!$C$4,N(H66)&lt;='Weekly Report'!$C$4+7))),COUNT(T$4:T65)+1,"")</f>
        <v/>
      </c>
    </row>
    <row r="67" customFormat="false" ht="15" hidden="false" customHeight="false" outlineLevel="0" collapsed="false">
      <c r="A67" s="53" t="s">
        <v>189</v>
      </c>
      <c r="B67" s="27"/>
      <c r="C67" s="26"/>
      <c r="D67" s="27"/>
      <c r="E67" s="27"/>
      <c r="F67" s="27"/>
      <c r="G67" s="28"/>
      <c r="H67" s="28"/>
      <c r="I67" s="27"/>
      <c r="J67" s="28"/>
      <c r="K67" s="28"/>
      <c r="L67" s="26"/>
      <c r="M67" s="26"/>
      <c r="N67" s="27"/>
      <c r="O67" s="27"/>
      <c r="P67" s="54" t="str">
        <f aca="true">IF(OR(C67="",H67="",I67="Completed",I67="Cancelled"),"",IF(H67&lt;TODAY(),"Overdue",""))</f>
        <v/>
      </c>
      <c r="Q67" s="0" t="str">
        <f aca="false">IF(AND(C67&lt;&gt;"",I67&lt;&gt;"Cancelled",OR(AND(N(J67)&gt;'Weekly Report'!$C$5,N(J67)&lt;='Weekly Report'!$C$4),AND(N(K67)&gt;'Weekly Report'!$C$5,N(K67)&lt;='Weekly Report'!$C$4))),COUNT(Q$4:Q66)+1,"")</f>
        <v/>
      </c>
      <c r="R67" s="0" t="str">
        <f aca="false">IF(AND(C67&lt;&gt;"",I67="In Progress"),COUNT(R$4:R66)+1,"")</f>
        <v/>
      </c>
      <c r="S67" s="0" t="str">
        <f aca="false">IF(AND(C67&lt;&gt;"",I67&lt;&gt;"Completed",I67&lt;&gt;"Cancelled",OR(I67="Blocked",M67&lt;&gt;"")),COUNT(S$4:S66)+1,"")</f>
        <v/>
      </c>
      <c r="T67" s="0" t="str">
        <f aca="false">IF(AND(C67&lt;&gt;"",I67&lt;&gt;"Completed",I67&lt;&gt;"Cancelled",OR(O67="Yes",AND(N(H67)&gt;'Weekly Report'!$C$4,N(H67)&lt;='Weekly Report'!$C$4+7))),COUNT(T$4:T66)+1,"")</f>
        <v/>
      </c>
    </row>
    <row r="68" customFormat="false" ht="15" hidden="false" customHeight="false" outlineLevel="0" collapsed="false">
      <c r="A68" s="53" t="s">
        <v>190</v>
      </c>
      <c r="B68" s="27"/>
      <c r="C68" s="26"/>
      <c r="D68" s="27"/>
      <c r="E68" s="27"/>
      <c r="F68" s="27"/>
      <c r="G68" s="28"/>
      <c r="H68" s="28"/>
      <c r="I68" s="27"/>
      <c r="J68" s="28"/>
      <c r="K68" s="28"/>
      <c r="L68" s="26"/>
      <c r="M68" s="26"/>
      <c r="N68" s="27"/>
      <c r="O68" s="27"/>
      <c r="P68" s="54" t="str">
        <f aca="true">IF(OR(C68="",H68="",I68="Completed",I68="Cancelled"),"",IF(H68&lt;TODAY(),"Overdue",""))</f>
        <v/>
      </c>
      <c r="Q68" s="0" t="str">
        <f aca="false">IF(AND(C68&lt;&gt;"",I68&lt;&gt;"Cancelled",OR(AND(N(J68)&gt;'Weekly Report'!$C$5,N(J68)&lt;='Weekly Report'!$C$4),AND(N(K68)&gt;'Weekly Report'!$C$5,N(K68)&lt;='Weekly Report'!$C$4))),COUNT(Q$4:Q67)+1,"")</f>
        <v/>
      </c>
      <c r="R68" s="0" t="str">
        <f aca="false">IF(AND(C68&lt;&gt;"",I68="In Progress"),COUNT(R$4:R67)+1,"")</f>
        <v/>
      </c>
      <c r="S68" s="0" t="str">
        <f aca="false">IF(AND(C68&lt;&gt;"",I68&lt;&gt;"Completed",I68&lt;&gt;"Cancelled",OR(I68="Blocked",M68&lt;&gt;"")),COUNT(S$4:S67)+1,"")</f>
        <v/>
      </c>
      <c r="T68" s="0" t="str">
        <f aca="false">IF(AND(C68&lt;&gt;"",I68&lt;&gt;"Completed",I68&lt;&gt;"Cancelled",OR(O68="Yes",AND(N(H68)&gt;'Weekly Report'!$C$4,N(H68)&lt;='Weekly Report'!$C$4+7))),COUNT(T$4:T67)+1,"")</f>
        <v/>
      </c>
    </row>
    <row r="69" customFormat="false" ht="15" hidden="false" customHeight="false" outlineLevel="0" collapsed="false">
      <c r="A69" s="53" t="s">
        <v>191</v>
      </c>
      <c r="B69" s="27"/>
      <c r="C69" s="26"/>
      <c r="D69" s="27"/>
      <c r="E69" s="27"/>
      <c r="F69" s="27"/>
      <c r="G69" s="28"/>
      <c r="H69" s="28"/>
      <c r="I69" s="27"/>
      <c r="J69" s="28"/>
      <c r="K69" s="28"/>
      <c r="L69" s="26"/>
      <c r="M69" s="26"/>
      <c r="N69" s="27"/>
      <c r="O69" s="27"/>
      <c r="P69" s="54" t="str">
        <f aca="true">IF(OR(C69="",H69="",I69="Completed",I69="Cancelled"),"",IF(H69&lt;TODAY(),"Overdue",""))</f>
        <v/>
      </c>
      <c r="Q69" s="0" t="str">
        <f aca="false">IF(AND(C69&lt;&gt;"",I69&lt;&gt;"Cancelled",OR(AND(N(J69)&gt;'Weekly Report'!$C$5,N(J69)&lt;='Weekly Report'!$C$4),AND(N(K69)&gt;'Weekly Report'!$C$5,N(K69)&lt;='Weekly Report'!$C$4))),COUNT(Q$4:Q68)+1,"")</f>
        <v/>
      </c>
      <c r="R69" s="0" t="str">
        <f aca="false">IF(AND(C69&lt;&gt;"",I69="In Progress"),COUNT(R$4:R68)+1,"")</f>
        <v/>
      </c>
      <c r="S69" s="0" t="str">
        <f aca="false">IF(AND(C69&lt;&gt;"",I69&lt;&gt;"Completed",I69&lt;&gt;"Cancelled",OR(I69="Blocked",M69&lt;&gt;"")),COUNT(S$4:S68)+1,"")</f>
        <v/>
      </c>
      <c r="T69" s="0" t="str">
        <f aca="false">IF(AND(C69&lt;&gt;"",I69&lt;&gt;"Completed",I69&lt;&gt;"Cancelled",OR(O69="Yes",AND(N(H69)&gt;'Weekly Report'!$C$4,N(H69)&lt;='Weekly Report'!$C$4+7))),COUNT(T$4:T68)+1,"")</f>
        <v/>
      </c>
    </row>
    <row r="70" customFormat="false" ht="15" hidden="false" customHeight="false" outlineLevel="0" collapsed="false">
      <c r="A70" s="53" t="s">
        <v>192</v>
      </c>
      <c r="B70" s="27"/>
      <c r="C70" s="26"/>
      <c r="D70" s="27"/>
      <c r="E70" s="27"/>
      <c r="F70" s="27"/>
      <c r="G70" s="28"/>
      <c r="H70" s="28"/>
      <c r="I70" s="27"/>
      <c r="J70" s="28"/>
      <c r="K70" s="28"/>
      <c r="L70" s="26"/>
      <c r="M70" s="26"/>
      <c r="N70" s="27"/>
      <c r="O70" s="27"/>
      <c r="P70" s="54" t="str">
        <f aca="true">IF(OR(C70="",H70="",I70="Completed",I70="Cancelled"),"",IF(H70&lt;TODAY(),"Overdue",""))</f>
        <v/>
      </c>
      <c r="Q70" s="0" t="str">
        <f aca="false">IF(AND(C70&lt;&gt;"",I70&lt;&gt;"Cancelled",OR(AND(N(J70)&gt;'Weekly Report'!$C$5,N(J70)&lt;='Weekly Report'!$C$4),AND(N(K70)&gt;'Weekly Report'!$C$5,N(K70)&lt;='Weekly Report'!$C$4))),COUNT(Q$4:Q69)+1,"")</f>
        <v/>
      </c>
      <c r="R70" s="0" t="str">
        <f aca="false">IF(AND(C70&lt;&gt;"",I70="In Progress"),COUNT(R$4:R69)+1,"")</f>
        <v/>
      </c>
      <c r="S70" s="0" t="str">
        <f aca="false">IF(AND(C70&lt;&gt;"",I70&lt;&gt;"Completed",I70&lt;&gt;"Cancelled",OR(I70="Blocked",M70&lt;&gt;"")),COUNT(S$4:S69)+1,"")</f>
        <v/>
      </c>
      <c r="T70" s="0" t="str">
        <f aca="false">IF(AND(C70&lt;&gt;"",I70&lt;&gt;"Completed",I70&lt;&gt;"Cancelled",OR(O70="Yes",AND(N(H70)&gt;'Weekly Report'!$C$4,N(H70)&lt;='Weekly Report'!$C$4+7))),COUNT(T$4:T69)+1,"")</f>
        <v/>
      </c>
    </row>
    <row r="71" customFormat="false" ht="15" hidden="false" customHeight="false" outlineLevel="0" collapsed="false">
      <c r="A71" s="53" t="s">
        <v>193</v>
      </c>
      <c r="B71" s="27"/>
      <c r="C71" s="26"/>
      <c r="D71" s="27"/>
      <c r="E71" s="27"/>
      <c r="F71" s="27"/>
      <c r="G71" s="28"/>
      <c r="H71" s="28"/>
      <c r="I71" s="27"/>
      <c r="J71" s="28"/>
      <c r="K71" s="28"/>
      <c r="L71" s="26"/>
      <c r="M71" s="26"/>
      <c r="N71" s="27"/>
      <c r="O71" s="27"/>
      <c r="P71" s="54" t="str">
        <f aca="true">IF(OR(C71="",H71="",I71="Completed",I71="Cancelled"),"",IF(H71&lt;TODAY(),"Overdue",""))</f>
        <v/>
      </c>
      <c r="Q71" s="0" t="str">
        <f aca="false">IF(AND(C71&lt;&gt;"",I71&lt;&gt;"Cancelled",OR(AND(N(J71)&gt;'Weekly Report'!$C$5,N(J71)&lt;='Weekly Report'!$C$4),AND(N(K71)&gt;'Weekly Report'!$C$5,N(K71)&lt;='Weekly Report'!$C$4))),COUNT(Q$4:Q70)+1,"")</f>
        <v/>
      </c>
      <c r="R71" s="0" t="str">
        <f aca="false">IF(AND(C71&lt;&gt;"",I71="In Progress"),COUNT(R$4:R70)+1,"")</f>
        <v/>
      </c>
      <c r="S71" s="0" t="str">
        <f aca="false">IF(AND(C71&lt;&gt;"",I71&lt;&gt;"Completed",I71&lt;&gt;"Cancelled",OR(I71="Blocked",M71&lt;&gt;"")),COUNT(S$4:S70)+1,"")</f>
        <v/>
      </c>
      <c r="T71" s="0" t="str">
        <f aca="false">IF(AND(C71&lt;&gt;"",I71&lt;&gt;"Completed",I71&lt;&gt;"Cancelled",OR(O71="Yes",AND(N(H71)&gt;'Weekly Report'!$C$4,N(H71)&lt;='Weekly Report'!$C$4+7))),COUNT(T$4:T70)+1,"")</f>
        <v/>
      </c>
    </row>
    <row r="72" customFormat="false" ht="15" hidden="false" customHeight="false" outlineLevel="0" collapsed="false">
      <c r="A72" s="53" t="s">
        <v>194</v>
      </c>
      <c r="B72" s="27"/>
      <c r="C72" s="26"/>
      <c r="D72" s="27"/>
      <c r="E72" s="27"/>
      <c r="F72" s="27"/>
      <c r="G72" s="28"/>
      <c r="H72" s="28"/>
      <c r="I72" s="27"/>
      <c r="J72" s="28"/>
      <c r="K72" s="28"/>
      <c r="L72" s="26"/>
      <c r="M72" s="26"/>
      <c r="N72" s="27"/>
      <c r="O72" s="27"/>
      <c r="P72" s="54" t="str">
        <f aca="true">IF(OR(C72="",H72="",I72="Completed",I72="Cancelled"),"",IF(H72&lt;TODAY(),"Overdue",""))</f>
        <v/>
      </c>
      <c r="Q72" s="0" t="str">
        <f aca="false">IF(AND(C72&lt;&gt;"",I72&lt;&gt;"Cancelled",OR(AND(N(J72)&gt;'Weekly Report'!$C$5,N(J72)&lt;='Weekly Report'!$C$4),AND(N(K72)&gt;'Weekly Report'!$C$5,N(K72)&lt;='Weekly Report'!$C$4))),COUNT(Q$4:Q71)+1,"")</f>
        <v/>
      </c>
      <c r="R72" s="0" t="str">
        <f aca="false">IF(AND(C72&lt;&gt;"",I72="In Progress"),COUNT(R$4:R71)+1,"")</f>
        <v/>
      </c>
      <c r="S72" s="0" t="str">
        <f aca="false">IF(AND(C72&lt;&gt;"",I72&lt;&gt;"Completed",I72&lt;&gt;"Cancelled",OR(I72="Blocked",M72&lt;&gt;"")),COUNT(S$4:S71)+1,"")</f>
        <v/>
      </c>
      <c r="T72" s="0" t="str">
        <f aca="false">IF(AND(C72&lt;&gt;"",I72&lt;&gt;"Completed",I72&lt;&gt;"Cancelled",OR(O72="Yes",AND(N(H72)&gt;'Weekly Report'!$C$4,N(H72)&lt;='Weekly Report'!$C$4+7))),COUNT(T$4:T71)+1,"")</f>
        <v/>
      </c>
    </row>
    <row r="73" customFormat="false" ht="15" hidden="false" customHeight="false" outlineLevel="0" collapsed="false">
      <c r="A73" s="53" t="s">
        <v>195</v>
      </c>
      <c r="B73" s="27"/>
      <c r="C73" s="26"/>
      <c r="D73" s="27"/>
      <c r="E73" s="27"/>
      <c r="F73" s="27"/>
      <c r="G73" s="28"/>
      <c r="H73" s="28"/>
      <c r="I73" s="27"/>
      <c r="J73" s="28"/>
      <c r="K73" s="28"/>
      <c r="L73" s="26"/>
      <c r="M73" s="26"/>
      <c r="N73" s="27"/>
      <c r="O73" s="27"/>
      <c r="P73" s="54" t="str">
        <f aca="true">IF(OR(C73="",H73="",I73="Completed",I73="Cancelled"),"",IF(H73&lt;TODAY(),"Overdue",""))</f>
        <v/>
      </c>
      <c r="Q73" s="0" t="str">
        <f aca="false">IF(AND(C73&lt;&gt;"",I73&lt;&gt;"Cancelled",OR(AND(N(J73)&gt;'Weekly Report'!$C$5,N(J73)&lt;='Weekly Report'!$C$4),AND(N(K73)&gt;'Weekly Report'!$C$5,N(K73)&lt;='Weekly Report'!$C$4))),COUNT(Q$4:Q72)+1,"")</f>
        <v/>
      </c>
      <c r="R73" s="0" t="str">
        <f aca="false">IF(AND(C73&lt;&gt;"",I73="In Progress"),COUNT(R$4:R72)+1,"")</f>
        <v/>
      </c>
      <c r="S73" s="0" t="str">
        <f aca="false">IF(AND(C73&lt;&gt;"",I73&lt;&gt;"Completed",I73&lt;&gt;"Cancelled",OR(I73="Blocked",M73&lt;&gt;"")),COUNT(S$4:S72)+1,"")</f>
        <v/>
      </c>
      <c r="T73" s="0" t="str">
        <f aca="false">IF(AND(C73&lt;&gt;"",I73&lt;&gt;"Completed",I73&lt;&gt;"Cancelled",OR(O73="Yes",AND(N(H73)&gt;'Weekly Report'!$C$4,N(H73)&lt;='Weekly Report'!$C$4+7))),COUNT(T$4:T72)+1,"")</f>
        <v/>
      </c>
    </row>
    <row r="74" customFormat="false" ht="15" hidden="false" customHeight="false" outlineLevel="0" collapsed="false">
      <c r="A74" s="53" t="s">
        <v>196</v>
      </c>
      <c r="B74" s="27"/>
      <c r="C74" s="26"/>
      <c r="D74" s="27"/>
      <c r="E74" s="27"/>
      <c r="F74" s="27"/>
      <c r="G74" s="28"/>
      <c r="H74" s="28"/>
      <c r="I74" s="27"/>
      <c r="J74" s="28"/>
      <c r="K74" s="28"/>
      <c r="L74" s="26"/>
      <c r="M74" s="26"/>
      <c r="N74" s="27"/>
      <c r="O74" s="27"/>
      <c r="P74" s="54" t="str">
        <f aca="true">IF(OR(C74="",H74="",I74="Completed",I74="Cancelled"),"",IF(H74&lt;TODAY(),"Overdue",""))</f>
        <v/>
      </c>
      <c r="Q74" s="0" t="str">
        <f aca="false">IF(AND(C74&lt;&gt;"",I74&lt;&gt;"Cancelled",OR(AND(N(J74)&gt;'Weekly Report'!$C$5,N(J74)&lt;='Weekly Report'!$C$4),AND(N(K74)&gt;'Weekly Report'!$C$5,N(K74)&lt;='Weekly Report'!$C$4))),COUNT(Q$4:Q73)+1,"")</f>
        <v/>
      </c>
      <c r="R74" s="0" t="str">
        <f aca="false">IF(AND(C74&lt;&gt;"",I74="In Progress"),COUNT(R$4:R73)+1,"")</f>
        <v/>
      </c>
      <c r="S74" s="0" t="str">
        <f aca="false">IF(AND(C74&lt;&gt;"",I74&lt;&gt;"Completed",I74&lt;&gt;"Cancelled",OR(I74="Blocked",M74&lt;&gt;"")),COUNT(S$4:S73)+1,"")</f>
        <v/>
      </c>
      <c r="T74" s="0" t="str">
        <f aca="false">IF(AND(C74&lt;&gt;"",I74&lt;&gt;"Completed",I74&lt;&gt;"Cancelled",OR(O74="Yes",AND(N(H74)&gt;'Weekly Report'!$C$4,N(H74)&lt;='Weekly Report'!$C$4+7))),COUNT(T$4:T73)+1,"")</f>
        <v/>
      </c>
    </row>
    <row r="75" customFormat="false" ht="15" hidden="false" customHeight="false" outlineLevel="0" collapsed="false">
      <c r="A75" s="53" t="s">
        <v>197</v>
      </c>
      <c r="B75" s="27"/>
      <c r="C75" s="26"/>
      <c r="D75" s="27"/>
      <c r="E75" s="27"/>
      <c r="F75" s="27"/>
      <c r="G75" s="28"/>
      <c r="H75" s="28"/>
      <c r="I75" s="27"/>
      <c r="J75" s="28"/>
      <c r="K75" s="28"/>
      <c r="L75" s="26"/>
      <c r="M75" s="26"/>
      <c r="N75" s="27"/>
      <c r="O75" s="27"/>
      <c r="P75" s="54" t="str">
        <f aca="true">IF(OR(C75="",H75="",I75="Completed",I75="Cancelled"),"",IF(H75&lt;TODAY(),"Overdue",""))</f>
        <v/>
      </c>
      <c r="Q75" s="0" t="str">
        <f aca="false">IF(AND(C75&lt;&gt;"",I75&lt;&gt;"Cancelled",OR(AND(N(J75)&gt;'Weekly Report'!$C$5,N(J75)&lt;='Weekly Report'!$C$4),AND(N(K75)&gt;'Weekly Report'!$C$5,N(K75)&lt;='Weekly Report'!$C$4))),COUNT(Q$4:Q74)+1,"")</f>
        <v/>
      </c>
      <c r="R75" s="0" t="str">
        <f aca="false">IF(AND(C75&lt;&gt;"",I75="In Progress"),COUNT(R$4:R74)+1,"")</f>
        <v/>
      </c>
      <c r="S75" s="0" t="str">
        <f aca="false">IF(AND(C75&lt;&gt;"",I75&lt;&gt;"Completed",I75&lt;&gt;"Cancelled",OR(I75="Blocked",M75&lt;&gt;"")),COUNT(S$4:S74)+1,"")</f>
        <v/>
      </c>
      <c r="T75" s="0" t="str">
        <f aca="false">IF(AND(C75&lt;&gt;"",I75&lt;&gt;"Completed",I75&lt;&gt;"Cancelled",OR(O75="Yes",AND(N(H75)&gt;'Weekly Report'!$C$4,N(H75)&lt;='Weekly Report'!$C$4+7))),COUNT(T$4:T74)+1,"")</f>
        <v/>
      </c>
    </row>
    <row r="76" customFormat="false" ht="15" hidden="false" customHeight="false" outlineLevel="0" collapsed="false">
      <c r="A76" s="53" t="s">
        <v>198</v>
      </c>
      <c r="B76" s="27"/>
      <c r="C76" s="26"/>
      <c r="D76" s="27"/>
      <c r="E76" s="27"/>
      <c r="F76" s="27"/>
      <c r="G76" s="28"/>
      <c r="H76" s="28"/>
      <c r="I76" s="27"/>
      <c r="J76" s="28"/>
      <c r="K76" s="28"/>
      <c r="L76" s="26"/>
      <c r="M76" s="26"/>
      <c r="N76" s="27"/>
      <c r="O76" s="27"/>
      <c r="P76" s="54" t="str">
        <f aca="true">IF(OR(C76="",H76="",I76="Completed",I76="Cancelled"),"",IF(H76&lt;TODAY(),"Overdue",""))</f>
        <v/>
      </c>
      <c r="Q76" s="0" t="str">
        <f aca="false">IF(AND(C76&lt;&gt;"",I76&lt;&gt;"Cancelled",OR(AND(N(J76)&gt;'Weekly Report'!$C$5,N(J76)&lt;='Weekly Report'!$C$4),AND(N(K76)&gt;'Weekly Report'!$C$5,N(K76)&lt;='Weekly Report'!$C$4))),COUNT(Q$4:Q75)+1,"")</f>
        <v/>
      </c>
      <c r="R76" s="0" t="str">
        <f aca="false">IF(AND(C76&lt;&gt;"",I76="In Progress"),COUNT(R$4:R75)+1,"")</f>
        <v/>
      </c>
      <c r="S76" s="0" t="str">
        <f aca="false">IF(AND(C76&lt;&gt;"",I76&lt;&gt;"Completed",I76&lt;&gt;"Cancelled",OR(I76="Blocked",M76&lt;&gt;"")),COUNT(S$4:S75)+1,"")</f>
        <v/>
      </c>
      <c r="T76" s="0" t="str">
        <f aca="false">IF(AND(C76&lt;&gt;"",I76&lt;&gt;"Completed",I76&lt;&gt;"Cancelled",OR(O76="Yes",AND(N(H76)&gt;'Weekly Report'!$C$4,N(H76)&lt;='Weekly Report'!$C$4+7))),COUNT(T$4:T75)+1,"")</f>
        <v/>
      </c>
    </row>
    <row r="77" customFormat="false" ht="15" hidden="false" customHeight="false" outlineLevel="0" collapsed="false">
      <c r="A77" s="53" t="s">
        <v>199</v>
      </c>
      <c r="B77" s="27"/>
      <c r="C77" s="26"/>
      <c r="D77" s="27"/>
      <c r="E77" s="27"/>
      <c r="F77" s="27"/>
      <c r="G77" s="28"/>
      <c r="H77" s="28"/>
      <c r="I77" s="27"/>
      <c r="J77" s="28"/>
      <c r="K77" s="28"/>
      <c r="L77" s="26"/>
      <c r="M77" s="26"/>
      <c r="N77" s="27"/>
      <c r="O77" s="27"/>
      <c r="P77" s="54" t="str">
        <f aca="true">IF(OR(C77="",H77="",I77="Completed",I77="Cancelled"),"",IF(H77&lt;TODAY(),"Overdue",""))</f>
        <v/>
      </c>
      <c r="Q77" s="0" t="str">
        <f aca="false">IF(AND(C77&lt;&gt;"",I77&lt;&gt;"Cancelled",OR(AND(N(J77)&gt;'Weekly Report'!$C$5,N(J77)&lt;='Weekly Report'!$C$4),AND(N(K77)&gt;'Weekly Report'!$C$5,N(K77)&lt;='Weekly Report'!$C$4))),COUNT(Q$4:Q76)+1,"")</f>
        <v/>
      </c>
      <c r="R77" s="0" t="str">
        <f aca="false">IF(AND(C77&lt;&gt;"",I77="In Progress"),COUNT(R$4:R76)+1,"")</f>
        <v/>
      </c>
      <c r="S77" s="0" t="str">
        <f aca="false">IF(AND(C77&lt;&gt;"",I77&lt;&gt;"Completed",I77&lt;&gt;"Cancelled",OR(I77="Blocked",M77&lt;&gt;"")),COUNT(S$4:S76)+1,"")</f>
        <v/>
      </c>
      <c r="T77" s="0" t="str">
        <f aca="false">IF(AND(C77&lt;&gt;"",I77&lt;&gt;"Completed",I77&lt;&gt;"Cancelled",OR(O77="Yes",AND(N(H77)&gt;'Weekly Report'!$C$4,N(H77)&lt;='Weekly Report'!$C$4+7))),COUNT(T$4:T76)+1,"")</f>
        <v/>
      </c>
    </row>
    <row r="78" customFormat="false" ht="15" hidden="false" customHeight="false" outlineLevel="0" collapsed="false">
      <c r="A78" s="53" t="s">
        <v>200</v>
      </c>
      <c r="B78" s="27"/>
      <c r="C78" s="26"/>
      <c r="D78" s="27"/>
      <c r="E78" s="27"/>
      <c r="F78" s="27"/>
      <c r="G78" s="28"/>
      <c r="H78" s="28"/>
      <c r="I78" s="27"/>
      <c r="J78" s="28"/>
      <c r="K78" s="28"/>
      <c r="L78" s="26"/>
      <c r="M78" s="26"/>
      <c r="N78" s="27"/>
      <c r="O78" s="27"/>
      <c r="P78" s="54" t="str">
        <f aca="true">IF(OR(C78="",H78="",I78="Completed",I78="Cancelled"),"",IF(H78&lt;TODAY(),"Overdue",""))</f>
        <v/>
      </c>
      <c r="Q78" s="0" t="str">
        <f aca="false">IF(AND(C78&lt;&gt;"",I78&lt;&gt;"Cancelled",OR(AND(N(J78)&gt;'Weekly Report'!$C$5,N(J78)&lt;='Weekly Report'!$C$4),AND(N(K78)&gt;'Weekly Report'!$C$5,N(K78)&lt;='Weekly Report'!$C$4))),COUNT(Q$4:Q77)+1,"")</f>
        <v/>
      </c>
      <c r="R78" s="0" t="str">
        <f aca="false">IF(AND(C78&lt;&gt;"",I78="In Progress"),COUNT(R$4:R77)+1,"")</f>
        <v/>
      </c>
      <c r="S78" s="0" t="str">
        <f aca="false">IF(AND(C78&lt;&gt;"",I78&lt;&gt;"Completed",I78&lt;&gt;"Cancelled",OR(I78="Blocked",M78&lt;&gt;"")),COUNT(S$4:S77)+1,"")</f>
        <v/>
      </c>
      <c r="T78" s="0" t="str">
        <f aca="false">IF(AND(C78&lt;&gt;"",I78&lt;&gt;"Completed",I78&lt;&gt;"Cancelled",OR(O78="Yes",AND(N(H78)&gt;'Weekly Report'!$C$4,N(H78)&lt;='Weekly Report'!$C$4+7))),COUNT(T$4:T77)+1,"")</f>
        <v/>
      </c>
    </row>
    <row r="79" customFormat="false" ht="15" hidden="false" customHeight="false" outlineLevel="0" collapsed="false">
      <c r="A79" s="53" t="s">
        <v>201</v>
      </c>
      <c r="B79" s="27"/>
      <c r="C79" s="26"/>
      <c r="D79" s="27"/>
      <c r="E79" s="27"/>
      <c r="F79" s="27"/>
      <c r="G79" s="28"/>
      <c r="H79" s="28"/>
      <c r="I79" s="27"/>
      <c r="J79" s="28"/>
      <c r="K79" s="28"/>
      <c r="L79" s="26"/>
      <c r="M79" s="26"/>
      <c r="N79" s="27"/>
      <c r="O79" s="27"/>
      <c r="P79" s="54" t="str">
        <f aca="true">IF(OR(C79="",H79="",I79="Completed",I79="Cancelled"),"",IF(H79&lt;TODAY(),"Overdue",""))</f>
        <v/>
      </c>
      <c r="Q79" s="0" t="str">
        <f aca="false">IF(AND(C79&lt;&gt;"",I79&lt;&gt;"Cancelled",OR(AND(N(J79)&gt;'Weekly Report'!$C$5,N(J79)&lt;='Weekly Report'!$C$4),AND(N(K79)&gt;'Weekly Report'!$C$5,N(K79)&lt;='Weekly Report'!$C$4))),COUNT(Q$4:Q78)+1,"")</f>
        <v/>
      </c>
      <c r="R79" s="0" t="str">
        <f aca="false">IF(AND(C79&lt;&gt;"",I79="In Progress"),COUNT(R$4:R78)+1,"")</f>
        <v/>
      </c>
      <c r="S79" s="0" t="str">
        <f aca="false">IF(AND(C79&lt;&gt;"",I79&lt;&gt;"Completed",I79&lt;&gt;"Cancelled",OR(I79="Blocked",M79&lt;&gt;"")),COUNT(S$4:S78)+1,"")</f>
        <v/>
      </c>
      <c r="T79" s="0" t="str">
        <f aca="false">IF(AND(C79&lt;&gt;"",I79&lt;&gt;"Completed",I79&lt;&gt;"Cancelled",OR(O79="Yes",AND(N(H79)&gt;'Weekly Report'!$C$4,N(H79)&lt;='Weekly Report'!$C$4+7))),COUNT(T$4:T78)+1,"")</f>
        <v/>
      </c>
    </row>
    <row r="80" customFormat="false" ht="15" hidden="false" customHeight="false" outlineLevel="0" collapsed="false">
      <c r="A80" s="53" t="s">
        <v>202</v>
      </c>
      <c r="B80" s="27"/>
      <c r="C80" s="26"/>
      <c r="D80" s="27"/>
      <c r="E80" s="27"/>
      <c r="F80" s="27"/>
      <c r="G80" s="28"/>
      <c r="H80" s="28"/>
      <c r="I80" s="27"/>
      <c r="J80" s="28"/>
      <c r="K80" s="28"/>
      <c r="L80" s="26"/>
      <c r="M80" s="26"/>
      <c r="N80" s="27"/>
      <c r="O80" s="27"/>
      <c r="P80" s="54" t="str">
        <f aca="true">IF(OR(C80="",H80="",I80="Completed",I80="Cancelled"),"",IF(H80&lt;TODAY(),"Overdue",""))</f>
        <v/>
      </c>
      <c r="Q80" s="0" t="str">
        <f aca="false">IF(AND(C80&lt;&gt;"",I80&lt;&gt;"Cancelled",OR(AND(N(J80)&gt;'Weekly Report'!$C$5,N(J80)&lt;='Weekly Report'!$C$4),AND(N(K80)&gt;'Weekly Report'!$C$5,N(K80)&lt;='Weekly Report'!$C$4))),COUNT(Q$4:Q79)+1,"")</f>
        <v/>
      </c>
      <c r="R80" s="0" t="str">
        <f aca="false">IF(AND(C80&lt;&gt;"",I80="In Progress"),COUNT(R$4:R79)+1,"")</f>
        <v/>
      </c>
      <c r="S80" s="0" t="str">
        <f aca="false">IF(AND(C80&lt;&gt;"",I80&lt;&gt;"Completed",I80&lt;&gt;"Cancelled",OR(I80="Blocked",M80&lt;&gt;"")),COUNT(S$4:S79)+1,"")</f>
        <v/>
      </c>
      <c r="T80" s="0" t="str">
        <f aca="false">IF(AND(C80&lt;&gt;"",I80&lt;&gt;"Completed",I80&lt;&gt;"Cancelled",OR(O80="Yes",AND(N(H80)&gt;'Weekly Report'!$C$4,N(H80)&lt;='Weekly Report'!$C$4+7))),COUNT(T$4:T79)+1,"")</f>
        <v/>
      </c>
    </row>
    <row r="81" customFormat="false" ht="15" hidden="false" customHeight="false" outlineLevel="0" collapsed="false">
      <c r="A81" s="53" t="s">
        <v>203</v>
      </c>
      <c r="B81" s="27"/>
      <c r="C81" s="26"/>
      <c r="D81" s="27"/>
      <c r="E81" s="27"/>
      <c r="F81" s="27"/>
      <c r="G81" s="28"/>
      <c r="H81" s="28"/>
      <c r="I81" s="27"/>
      <c r="J81" s="28"/>
      <c r="K81" s="28"/>
      <c r="L81" s="26"/>
      <c r="M81" s="26"/>
      <c r="N81" s="27"/>
      <c r="O81" s="27"/>
      <c r="P81" s="54" t="str">
        <f aca="true">IF(OR(C81="",H81="",I81="Completed",I81="Cancelled"),"",IF(H81&lt;TODAY(),"Overdue",""))</f>
        <v/>
      </c>
      <c r="Q81" s="0" t="str">
        <f aca="false">IF(AND(C81&lt;&gt;"",I81&lt;&gt;"Cancelled",OR(AND(N(J81)&gt;'Weekly Report'!$C$5,N(J81)&lt;='Weekly Report'!$C$4),AND(N(K81)&gt;'Weekly Report'!$C$5,N(K81)&lt;='Weekly Report'!$C$4))),COUNT(Q$4:Q80)+1,"")</f>
        <v/>
      </c>
      <c r="R81" s="0" t="str">
        <f aca="false">IF(AND(C81&lt;&gt;"",I81="In Progress"),COUNT(R$4:R80)+1,"")</f>
        <v/>
      </c>
      <c r="S81" s="0" t="str">
        <f aca="false">IF(AND(C81&lt;&gt;"",I81&lt;&gt;"Completed",I81&lt;&gt;"Cancelled",OR(I81="Blocked",M81&lt;&gt;"")),COUNT(S$4:S80)+1,"")</f>
        <v/>
      </c>
      <c r="T81" s="0" t="str">
        <f aca="false">IF(AND(C81&lt;&gt;"",I81&lt;&gt;"Completed",I81&lt;&gt;"Cancelled",OR(O81="Yes",AND(N(H81)&gt;'Weekly Report'!$C$4,N(H81)&lt;='Weekly Report'!$C$4+7))),COUNT(T$4:T80)+1,"")</f>
        <v/>
      </c>
    </row>
    <row r="82" customFormat="false" ht="15" hidden="false" customHeight="false" outlineLevel="0" collapsed="false">
      <c r="A82" s="53" t="s">
        <v>204</v>
      </c>
      <c r="B82" s="27"/>
      <c r="C82" s="26"/>
      <c r="D82" s="27"/>
      <c r="E82" s="27"/>
      <c r="F82" s="27"/>
      <c r="G82" s="28"/>
      <c r="H82" s="28"/>
      <c r="I82" s="27"/>
      <c r="J82" s="28"/>
      <c r="K82" s="28"/>
      <c r="L82" s="26"/>
      <c r="M82" s="26"/>
      <c r="N82" s="27"/>
      <c r="O82" s="27"/>
      <c r="P82" s="54" t="str">
        <f aca="true">IF(OR(C82="",H82="",I82="Completed",I82="Cancelled"),"",IF(H82&lt;TODAY(),"Overdue",""))</f>
        <v/>
      </c>
      <c r="Q82" s="0" t="str">
        <f aca="false">IF(AND(C82&lt;&gt;"",I82&lt;&gt;"Cancelled",OR(AND(N(J82)&gt;'Weekly Report'!$C$5,N(J82)&lt;='Weekly Report'!$C$4),AND(N(K82)&gt;'Weekly Report'!$C$5,N(K82)&lt;='Weekly Report'!$C$4))),COUNT(Q$4:Q81)+1,"")</f>
        <v/>
      </c>
      <c r="R82" s="0" t="str">
        <f aca="false">IF(AND(C82&lt;&gt;"",I82="In Progress"),COUNT(R$4:R81)+1,"")</f>
        <v/>
      </c>
      <c r="S82" s="0" t="str">
        <f aca="false">IF(AND(C82&lt;&gt;"",I82&lt;&gt;"Completed",I82&lt;&gt;"Cancelled",OR(I82="Blocked",M82&lt;&gt;"")),COUNT(S$4:S81)+1,"")</f>
        <v/>
      </c>
      <c r="T82" s="0" t="str">
        <f aca="false">IF(AND(C82&lt;&gt;"",I82&lt;&gt;"Completed",I82&lt;&gt;"Cancelled",OR(O82="Yes",AND(N(H82)&gt;'Weekly Report'!$C$4,N(H82)&lt;='Weekly Report'!$C$4+7))),COUNT(T$4:T81)+1,"")</f>
        <v/>
      </c>
    </row>
    <row r="83" customFormat="false" ht="15" hidden="false" customHeight="false" outlineLevel="0" collapsed="false">
      <c r="A83" s="53" t="s">
        <v>205</v>
      </c>
      <c r="B83" s="27"/>
      <c r="C83" s="26"/>
      <c r="D83" s="27"/>
      <c r="E83" s="27"/>
      <c r="F83" s="27"/>
      <c r="G83" s="28"/>
      <c r="H83" s="28"/>
      <c r="I83" s="27"/>
      <c r="J83" s="28"/>
      <c r="K83" s="28"/>
      <c r="L83" s="26"/>
      <c r="M83" s="26"/>
      <c r="N83" s="27"/>
      <c r="O83" s="27"/>
      <c r="P83" s="54" t="str">
        <f aca="true">IF(OR(C83="",H83="",I83="Completed",I83="Cancelled"),"",IF(H83&lt;TODAY(),"Overdue",""))</f>
        <v/>
      </c>
      <c r="Q83" s="0" t="str">
        <f aca="false">IF(AND(C83&lt;&gt;"",I83&lt;&gt;"Cancelled",OR(AND(N(J83)&gt;'Weekly Report'!$C$5,N(J83)&lt;='Weekly Report'!$C$4),AND(N(K83)&gt;'Weekly Report'!$C$5,N(K83)&lt;='Weekly Report'!$C$4))),COUNT(Q$4:Q82)+1,"")</f>
        <v/>
      </c>
      <c r="R83" s="0" t="str">
        <f aca="false">IF(AND(C83&lt;&gt;"",I83="In Progress"),COUNT(R$4:R82)+1,"")</f>
        <v/>
      </c>
      <c r="S83" s="0" t="str">
        <f aca="false">IF(AND(C83&lt;&gt;"",I83&lt;&gt;"Completed",I83&lt;&gt;"Cancelled",OR(I83="Blocked",M83&lt;&gt;"")),COUNT(S$4:S82)+1,"")</f>
        <v/>
      </c>
      <c r="T83" s="0" t="str">
        <f aca="false">IF(AND(C83&lt;&gt;"",I83&lt;&gt;"Completed",I83&lt;&gt;"Cancelled",OR(O83="Yes",AND(N(H83)&gt;'Weekly Report'!$C$4,N(H83)&lt;='Weekly Report'!$C$4+7))),COUNT(T$4:T82)+1,"")</f>
        <v/>
      </c>
    </row>
    <row r="84" customFormat="false" ht="15" hidden="false" customHeight="false" outlineLevel="0" collapsed="false">
      <c r="A84" s="53" t="s">
        <v>206</v>
      </c>
      <c r="B84" s="27"/>
      <c r="C84" s="26"/>
      <c r="D84" s="27"/>
      <c r="E84" s="27"/>
      <c r="F84" s="27"/>
      <c r="G84" s="28"/>
      <c r="H84" s="28"/>
      <c r="I84" s="27"/>
      <c r="J84" s="28"/>
      <c r="K84" s="28"/>
      <c r="L84" s="26"/>
      <c r="M84" s="26"/>
      <c r="N84" s="27"/>
      <c r="O84" s="27"/>
      <c r="P84" s="54" t="str">
        <f aca="true">IF(OR(C84="",H84="",I84="Completed",I84="Cancelled"),"",IF(H84&lt;TODAY(),"Overdue",""))</f>
        <v/>
      </c>
      <c r="Q84" s="0" t="str">
        <f aca="false">IF(AND(C84&lt;&gt;"",I84&lt;&gt;"Cancelled",OR(AND(N(J84)&gt;'Weekly Report'!$C$5,N(J84)&lt;='Weekly Report'!$C$4),AND(N(K84)&gt;'Weekly Report'!$C$5,N(K84)&lt;='Weekly Report'!$C$4))),COUNT(Q$4:Q83)+1,"")</f>
        <v/>
      </c>
      <c r="R84" s="0" t="str">
        <f aca="false">IF(AND(C84&lt;&gt;"",I84="In Progress"),COUNT(R$4:R83)+1,"")</f>
        <v/>
      </c>
      <c r="S84" s="0" t="str">
        <f aca="false">IF(AND(C84&lt;&gt;"",I84&lt;&gt;"Completed",I84&lt;&gt;"Cancelled",OR(I84="Blocked",M84&lt;&gt;"")),COUNT(S$4:S83)+1,"")</f>
        <v/>
      </c>
      <c r="T84" s="0" t="str">
        <f aca="false">IF(AND(C84&lt;&gt;"",I84&lt;&gt;"Completed",I84&lt;&gt;"Cancelled",OR(O84="Yes",AND(N(H84)&gt;'Weekly Report'!$C$4,N(H84)&lt;='Weekly Report'!$C$4+7))),COUNT(T$4:T83)+1,"")</f>
        <v/>
      </c>
    </row>
    <row r="85" customFormat="false" ht="15" hidden="false" customHeight="false" outlineLevel="0" collapsed="false">
      <c r="A85" s="53" t="s">
        <v>207</v>
      </c>
      <c r="B85" s="27"/>
      <c r="C85" s="26"/>
      <c r="D85" s="27"/>
      <c r="E85" s="27"/>
      <c r="F85" s="27"/>
      <c r="G85" s="28"/>
      <c r="H85" s="28"/>
      <c r="I85" s="27"/>
      <c r="J85" s="28"/>
      <c r="K85" s="28"/>
      <c r="L85" s="26"/>
      <c r="M85" s="26"/>
      <c r="N85" s="27"/>
      <c r="O85" s="27"/>
      <c r="P85" s="54" t="str">
        <f aca="true">IF(OR(C85="",H85="",I85="Completed",I85="Cancelled"),"",IF(H85&lt;TODAY(),"Overdue",""))</f>
        <v/>
      </c>
      <c r="Q85" s="0" t="str">
        <f aca="false">IF(AND(C85&lt;&gt;"",I85&lt;&gt;"Cancelled",OR(AND(N(J85)&gt;'Weekly Report'!$C$5,N(J85)&lt;='Weekly Report'!$C$4),AND(N(K85)&gt;'Weekly Report'!$C$5,N(K85)&lt;='Weekly Report'!$C$4))),COUNT(Q$4:Q84)+1,"")</f>
        <v/>
      </c>
      <c r="R85" s="0" t="str">
        <f aca="false">IF(AND(C85&lt;&gt;"",I85="In Progress"),COUNT(R$4:R84)+1,"")</f>
        <v/>
      </c>
      <c r="S85" s="0" t="str">
        <f aca="false">IF(AND(C85&lt;&gt;"",I85&lt;&gt;"Completed",I85&lt;&gt;"Cancelled",OR(I85="Blocked",M85&lt;&gt;"")),COUNT(S$4:S84)+1,"")</f>
        <v/>
      </c>
      <c r="T85" s="0" t="str">
        <f aca="false">IF(AND(C85&lt;&gt;"",I85&lt;&gt;"Completed",I85&lt;&gt;"Cancelled",OR(O85="Yes",AND(N(H85)&gt;'Weekly Report'!$C$4,N(H85)&lt;='Weekly Report'!$C$4+7))),COUNT(T$4:T84)+1,"")</f>
        <v/>
      </c>
    </row>
    <row r="86" customFormat="false" ht="15" hidden="false" customHeight="false" outlineLevel="0" collapsed="false">
      <c r="A86" s="53" t="s">
        <v>208</v>
      </c>
      <c r="B86" s="27"/>
      <c r="C86" s="26"/>
      <c r="D86" s="27"/>
      <c r="E86" s="27"/>
      <c r="F86" s="27"/>
      <c r="G86" s="28"/>
      <c r="H86" s="28"/>
      <c r="I86" s="27"/>
      <c r="J86" s="28"/>
      <c r="K86" s="28"/>
      <c r="L86" s="26"/>
      <c r="M86" s="26"/>
      <c r="N86" s="27"/>
      <c r="O86" s="27"/>
      <c r="P86" s="54" t="str">
        <f aca="true">IF(OR(C86="",H86="",I86="Completed",I86="Cancelled"),"",IF(H86&lt;TODAY(),"Overdue",""))</f>
        <v/>
      </c>
      <c r="Q86" s="0" t="str">
        <f aca="false">IF(AND(C86&lt;&gt;"",I86&lt;&gt;"Cancelled",OR(AND(N(J86)&gt;'Weekly Report'!$C$5,N(J86)&lt;='Weekly Report'!$C$4),AND(N(K86)&gt;'Weekly Report'!$C$5,N(K86)&lt;='Weekly Report'!$C$4))),COUNT(Q$4:Q85)+1,"")</f>
        <v/>
      </c>
      <c r="R86" s="0" t="str">
        <f aca="false">IF(AND(C86&lt;&gt;"",I86="In Progress"),COUNT(R$4:R85)+1,"")</f>
        <v/>
      </c>
      <c r="S86" s="0" t="str">
        <f aca="false">IF(AND(C86&lt;&gt;"",I86&lt;&gt;"Completed",I86&lt;&gt;"Cancelled",OR(I86="Blocked",M86&lt;&gt;"")),COUNT(S$4:S85)+1,"")</f>
        <v/>
      </c>
      <c r="T86" s="0" t="str">
        <f aca="false">IF(AND(C86&lt;&gt;"",I86&lt;&gt;"Completed",I86&lt;&gt;"Cancelled",OR(O86="Yes",AND(N(H86)&gt;'Weekly Report'!$C$4,N(H86)&lt;='Weekly Report'!$C$4+7))),COUNT(T$4:T85)+1,"")</f>
        <v/>
      </c>
    </row>
    <row r="87" customFormat="false" ht="15" hidden="false" customHeight="false" outlineLevel="0" collapsed="false">
      <c r="A87" s="53" t="s">
        <v>209</v>
      </c>
      <c r="B87" s="27"/>
      <c r="C87" s="26"/>
      <c r="D87" s="27"/>
      <c r="E87" s="27"/>
      <c r="F87" s="27"/>
      <c r="G87" s="28"/>
      <c r="H87" s="28"/>
      <c r="I87" s="27"/>
      <c r="J87" s="28"/>
      <c r="K87" s="28"/>
      <c r="L87" s="26"/>
      <c r="M87" s="26"/>
      <c r="N87" s="27"/>
      <c r="O87" s="27"/>
      <c r="P87" s="54" t="str">
        <f aca="true">IF(OR(C87="",H87="",I87="Completed",I87="Cancelled"),"",IF(H87&lt;TODAY(),"Overdue",""))</f>
        <v/>
      </c>
      <c r="Q87" s="0" t="str">
        <f aca="false">IF(AND(C87&lt;&gt;"",I87&lt;&gt;"Cancelled",OR(AND(N(J87)&gt;'Weekly Report'!$C$5,N(J87)&lt;='Weekly Report'!$C$4),AND(N(K87)&gt;'Weekly Report'!$C$5,N(K87)&lt;='Weekly Report'!$C$4))),COUNT(Q$4:Q86)+1,"")</f>
        <v/>
      </c>
      <c r="R87" s="0" t="str">
        <f aca="false">IF(AND(C87&lt;&gt;"",I87="In Progress"),COUNT(R$4:R86)+1,"")</f>
        <v/>
      </c>
      <c r="S87" s="0" t="str">
        <f aca="false">IF(AND(C87&lt;&gt;"",I87&lt;&gt;"Completed",I87&lt;&gt;"Cancelled",OR(I87="Blocked",M87&lt;&gt;"")),COUNT(S$4:S86)+1,"")</f>
        <v/>
      </c>
      <c r="T87" s="0" t="str">
        <f aca="false">IF(AND(C87&lt;&gt;"",I87&lt;&gt;"Completed",I87&lt;&gt;"Cancelled",OR(O87="Yes",AND(N(H87)&gt;'Weekly Report'!$C$4,N(H87)&lt;='Weekly Report'!$C$4+7))),COUNT(T$4:T86)+1,"")</f>
        <v/>
      </c>
    </row>
    <row r="88" customFormat="false" ht="15" hidden="false" customHeight="false" outlineLevel="0" collapsed="false">
      <c r="A88" s="53" t="s">
        <v>210</v>
      </c>
      <c r="B88" s="27"/>
      <c r="C88" s="26"/>
      <c r="D88" s="27"/>
      <c r="E88" s="27"/>
      <c r="F88" s="27"/>
      <c r="G88" s="28"/>
      <c r="H88" s="28"/>
      <c r="I88" s="27"/>
      <c r="J88" s="28"/>
      <c r="K88" s="28"/>
      <c r="L88" s="26"/>
      <c r="M88" s="26"/>
      <c r="N88" s="27"/>
      <c r="O88" s="27"/>
      <c r="P88" s="54" t="str">
        <f aca="true">IF(OR(C88="",H88="",I88="Completed",I88="Cancelled"),"",IF(H88&lt;TODAY(),"Overdue",""))</f>
        <v/>
      </c>
      <c r="Q88" s="0" t="str">
        <f aca="false">IF(AND(C88&lt;&gt;"",I88&lt;&gt;"Cancelled",OR(AND(N(J88)&gt;'Weekly Report'!$C$5,N(J88)&lt;='Weekly Report'!$C$4),AND(N(K88)&gt;'Weekly Report'!$C$5,N(K88)&lt;='Weekly Report'!$C$4))),COUNT(Q$4:Q87)+1,"")</f>
        <v/>
      </c>
      <c r="R88" s="0" t="str">
        <f aca="false">IF(AND(C88&lt;&gt;"",I88="In Progress"),COUNT(R$4:R87)+1,"")</f>
        <v/>
      </c>
      <c r="S88" s="0" t="str">
        <f aca="false">IF(AND(C88&lt;&gt;"",I88&lt;&gt;"Completed",I88&lt;&gt;"Cancelled",OR(I88="Blocked",M88&lt;&gt;"")),COUNT(S$4:S87)+1,"")</f>
        <v/>
      </c>
      <c r="T88" s="0" t="str">
        <f aca="false">IF(AND(C88&lt;&gt;"",I88&lt;&gt;"Completed",I88&lt;&gt;"Cancelled",OR(O88="Yes",AND(N(H88)&gt;'Weekly Report'!$C$4,N(H88)&lt;='Weekly Report'!$C$4+7))),COUNT(T$4:T87)+1,"")</f>
        <v/>
      </c>
    </row>
    <row r="89" customFormat="false" ht="15" hidden="false" customHeight="false" outlineLevel="0" collapsed="false">
      <c r="A89" s="53" t="s">
        <v>211</v>
      </c>
      <c r="B89" s="27"/>
      <c r="C89" s="26"/>
      <c r="D89" s="27"/>
      <c r="E89" s="27"/>
      <c r="F89" s="27"/>
      <c r="G89" s="28"/>
      <c r="H89" s="28"/>
      <c r="I89" s="27"/>
      <c r="J89" s="28"/>
      <c r="K89" s="28"/>
      <c r="L89" s="26"/>
      <c r="M89" s="26"/>
      <c r="N89" s="27"/>
      <c r="O89" s="27"/>
      <c r="P89" s="54" t="str">
        <f aca="true">IF(OR(C89="",H89="",I89="Completed",I89="Cancelled"),"",IF(H89&lt;TODAY(),"Overdue",""))</f>
        <v/>
      </c>
      <c r="Q89" s="0" t="str">
        <f aca="false">IF(AND(C89&lt;&gt;"",I89&lt;&gt;"Cancelled",OR(AND(N(J89)&gt;'Weekly Report'!$C$5,N(J89)&lt;='Weekly Report'!$C$4),AND(N(K89)&gt;'Weekly Report'!$C$5,N(K89)&lt;='Weekly Report'!$C$4))),COUNT(Q$4:Q88)+1,"")</f>
        <v/>
      </c>
      <c r="R89" s="0" t="str">
        <f aca="false">IF(AND(C89&lt;&gt;"",I89="In Progress"),COUNT(R$4:R88)+1,"")</f>
        <v/>
      </c>
      <c r="S89" s="0" t="str">
        <f aca="false">IF(AND(C89&lt;&gt;"",I89&lt;&gt;"Completed",I89&lt;&gt;"Cancelled",OR(I89="Blocked",M89&lt;&gt;"")),COUNT(S$4:S88)+1,"")</f>
        <v/>
      </c>
      <c r="T89" s="0" t="str">
        <f aca="false">IF(AND(C89&lt;&gt;"",I89&lt;&gt;"Completed",I89&lt;&gt;"Cancelled",OR(O89="Yes",AND(N(H89)&gt;'Weekly Report'!$C$4,N(H89)&lt;='Weekly Report'!$C$4+7))),COUNT(T$4:T88)+1,"")</f>
        <v/>
      </c>
    </row>
    <row r="90" customFormat="false" ht="15" hidden="false" customHeight="false" outlineLevel="0" collapsed="false">
      <c r="A90" s="53" t="s">
        <v>212</v>
      </c>
      <c r="B90" s="27"/>
      <c r="C90" s="26"/>
      <c r="D90" s="27"/>
      <c r="E90" s="27"/>
      <c r="F90" s="27"/>
      <c r="G90" s="28"/>
      <c r="H90" s="28"/>
      <c r="I90" s="27"/>
      <c r="J90" s="28"/>
      <c r="K90" s="28"/>
      <c r="L90" s="26"/>
      <c r="M90" s="26"/>
      <c r="N90" s="27"/>
      <c r="O90" s="27"/>
      <c r="P90" s="54" t="str">
        <f aca="true">IF(OR(C90="",H90="",I90="Completed",I90="Cancelled"),"",IF(H90&lt;TODAY(),"Overdue",""))</f>
        <v/>
      </c>
      <c r="Q90" s="0" t="str">
        <f aca="false">IF(AND(C90&lt;&gt;"",I90&lt;&gt;"Cancelled",OR(AND(N(J90)&gt;'Weekly Report'!$C$5,N(J90)&lt;='Weekly Report'!$C$4),AND(N(K90)&gt;'Weekly Report'!$C$5,N(K90)&lt;='Weekly Report'!$C$4))),COUNT(Q$4:Q89)+1,"")</f>
        <v/>
      </c>
      <c r="R90" s="0" t="str">
        <f aca="false">IF(AND(C90&lt;&gt;"",I90="In Progress"),COUNT(R$4:R89)+1,"")</f>
        <v/>
      </c>
      <c r="S90" s="0" t="str">
        <f aca="false">IF(AND(C90&lt;&gt;"",I90&lt;&gt;"Completed",I90&lt;&gt;"Cancelled",OR(I90="Blocked",M90&lt;&gt;"")),COUNT(S$4:S89)+1,"")</f>
        <v/>
      </c>
      <c r="T90" s="0" t="str">
        <f aca="false">IF(AND(C90&lt;&gt;"",I90&lt;&gt;"Completed",I90&lt;&gt;"Cancelled",OR(O90="Yes",AND(N(H90)&gt;'Weekly Report'!$C$4,N(H90)&lt;='Weekly Report'!$C$4+7))),COUNT(T$4:T89)+1,"")</f>
        <v/>
      </c>
    </row>
    <row r="91" customFormat="false" ht="15" hidden="false" customHeight="false" outlineLevel="0" collapsed="false">
      <c r="A91" s="53" t="s">
        <v>213</v>
      </c>
      <c r="B91" s="27"/>
      <c r="C91" s="26"/>
      <c r="D91" s="27"/>
      <c r="E91" s="27"/>
      <c r="F91" s="27"/>
      <c r="G91" s="28"/>
      <c r="H91" s="28"/>
      <c r="I91" s="27"/>
      <c r="J91" s="28"/>
      <c r="K91" s="28"/>
      <c r="L91" s="26"/>
      <c r="M91" s="26"/>
      <c r="N91" s="27"/>
      <c r="O91" s="27"/>
      <c r="P91" s="54" t="str">
        <f aca="true">IF(OR(C91="",H91="",I91="Completed",I91="Cancelled"),"",IF(H91&lt;TODAY(),"Overdue",""))</f>
        <v/>
      </c>
      <c r="Q91" s="0" t="str">
        <f aca="false">IF(AND(C91&lt;&gt;"",I91&lt;&gt;"Cancelled",OR(AND(N(J91)&gt;'Weekly Report'!$C$5,N(J91)&lt;='Weekly Report'!$C$4),AND(N(K91)&gt;'Weekly Report'!$C$5,N(K91)&lt;='Weekly Report'!$C$4))),COUNT(Q$4:Q90)+1,"")</f>
        <v/>
      </c>
      <c r="R91" s="0" t="str">
        <f aca="false">IF(AND(C91&lt;&gt;"",I91="In Progress"),COUNT(R$4:R90)+1,"")</f>
        <v/>
      </c>
      <c r="S91" s="0" t="str">
        <f aca="false">IF(AND(C91&lt;&gt;"",I91&lt;&gt;"Completed",I91&lt;&gt;"Cancelled",OR(I91="Blocked",M91&lt;&gt;"")),COUNT(S$4:S90)+1,"")</f>
        <v/>
      </c>
      <c r="T91" s="0" t="str">
        <f aca="false">IF(AND(C91&lt;&gt;"",I91&lt;&gt;"Completed",I91&lt;&gt;"Cancelled",OR(O91="Yes",AND(N(H91)&gt;'Weekly Report'!$C$4,N(H91)&lt;='Weekly Report'!$C$4+7))),COUNT(T$4:T90)+1,"")</f>
        <v/>
      </c>
    </row>
    <row r="92" customFormat="false" ht="15" hidden="false" customHeight="false" outlineLevel="0" collapsed="false">
      <c r="A92" s="53" t="s">
        <v>214</v>
      </c>
      <c r="B92" s="27"/>
      <c r="C92" s="26"/>
      <c r="D92" s="27"/>
      <c r="E92" s="27"/>
      <c r="F92" s="27"/>
      <c r="G92" s="28"/>
      <c r="H92" s="28"/>
      <c r="I92" s="27"/>
      <c r="J92" s="28"/>
      <c r="K92" s="28"/>
      <c r="L92" s="26"/>
      <c r="M92" s="26"/>
      <c r="N92" s="27"/>
      <c r="O92" s="27"/>
      <c r="P92" s="54" t="str">
        <f aca="true">IF(OR(C92="",H92="",I92="Completed",I92="Cancelled"),"",IF(H92&lt;TODAY(),"Overdue",""))</f>
        <v/>
      </c>
      <c r="Q92" s="0" t="str">
        <f aca="false">IF(AND(C92&lt;&gt;"",I92&lt;&gt;"Cancelled",OR(AND(N(J92)&gt;'Weekly Report'!$C$5,N(J92)&lt;='Weekly Report'!$C$4),AND(N(K92)&gt;'Weekly Report'!$C$5,N(K92)&lt;='Weekly Report'!$C$4))),COUNT(Q$4:Q91)+1,"")</f>
        <v/>
      </c>
      <c r="R92" s="0" t="str">
        <f aca="false">IF(AND(C92&lt;&gt;"",I92="In Progress"),COUNT(R$4:R91)+1,"")</f>
        <v/>
      </c>
      <c r="S92" s="0" t="str">
        <f aca="false">IF(AND(C92&lt;&gt;"",I92&lt;&gt;"Completed",I92&lt;&gt;"Cancelled",OR(I92="Blocked",M92&lt;&gt;"")),COUNT(S$4:S91)+1,"")</f>
        <v/>
      </c>
      <c r="T92" s="0" t="str">
        <f aca="false">IF(AND(C92&lt;&gt;"",I92&lt;&gt;"Completed",I92&lt;&gt;"Cancelled",OR(O92="Yes",AND(N(H92)&gt;'Weekly Report'!$C$4,N(H92)&lt;='Weekly Report'!$C$4+7))),COUNT(T$4:T91)+1,"")</f>
        <v/>
      </c>
    </row>
    <row r="93" customFormat="false" ht="15" hidden="false" customHeight="false" outlineLevel="0" collapsed="false">
      <c r="A93" s="53" t="s">
        <v>215</v>
      </c>
      <c r="B93" s="27"/>
      <c r="C93" s="26"/>
      <c r="D93" s="27"/>
      <c r="E93" s="27"/>
      <c r="F93" s="27"/>
      <c r="G93" s="28"/>
      <c r="H93" s="28"/>
      <c r="I93" s="27"/>
      <c r="J93" s="28"/>
      <c r="K93" s="28"/>
      <c r="L93" s="26"/>
      <c r="M93" s="26"/>
      <c r="N93" s="27"/>
      <c r="O93" s="27"/>
      <c r="P93" s="54" t="str">
        <f aca="true">IF(OR(C93="",H93="",I93="Completed",I93="Cancelled"),"",IF(H93&lt;TODAY(),"Overdue",""))</f>
        <v/>
      </c>
      <c r="Q93" s="0" t="str">
        <f aca="false">IF(AND(C93&lt;&gt;"",I93&lt;&gt;"Cancelled",OR(AND(N(J93)&gt;'Weekly Report'!$C$5,N(J93)&lt;='Weekly Report'!$C$4),AND(N(K93)&gt;'Weekly Report'!$C$5,N(K93)&lt;='Weekly Report'!$C$4))),COUNT(Q$4:Q92)+1,"")</f>
        <v/>
      </c>
      <c r="R93" s="0" t="str">
        <f aca="false">IF(AND(C93&lt;&gt;"",I93="In Progress"),COUNT(R$4:R92)+1,"")</f>
        <v/>
      </c>
      <c r="S93" s="0" t="str">
        <f aca="false">IF(AND(C93&lt;&gt;"",I93&lt;&gt;"Completed",I93&lt;&gt;"Cancelled",OR(I93="Blocked",M93&lt;&gt;"")),COUNT(S$4:S92)+1,"")</f>
        <v/>
      </c>
      <c r="T93" s="0" t="str">
        <f aca="false">IF(AND(C93&lt;&gt;"",I93&lt;&gt;"Completed",I93&lt;&gt;"Cancelled",OR(O93="Yes",AND(N(H93)&gt;'Weekly Report'!$C$4,N(H93)&lt;='Weekly Report'!$C$4+7))),COUNT(T$4:T92)+1,"")</f>
        <v/>
      </c>
    </row>
    <row r="94" customFormat="false" ht="15" hidden="false" customHeight="false" outlineLevel="0" collapsed="false">
      <c r="A94" s="53" t="s">
        <v>216</v>
      </c>
      <c r="B94" s="27"/>
      <c r="C94" s="26"/>
      <c r="D94" s="27"/>
      <c r="E94" s="27"/>
      <c r="F94" s="27"/>
      <c r="G94" s="28"/>
      <c r="H94" s="28"/>
      <c r="I94" s="27"/>
      <c r="J94" s="28"/>
      <c r="K94" s="28"/>
      <c r="L94" s="26"/>
      <c r="M94" s="26"/>
      <c r="N94" s="27"/>
      <c r="O94" s="27"/>
      <c r="P94" s="54" t="str">
        <f aca="true">IF(OR(C94="",H94="",I94="Completed",I94="Cancelled"),"",IF(H94&lt;TODAY(),"Overdue",""))</f>
        <v/>
      </c>
      <c r="Q94" s="0" t="str">
        <f aca="false">IF(AND(C94&lt;&gt;"",I94&lt;&gt;"Cancelled",OR(AND(N(J94)&gt;'Weekly Report'!$C$5,N(J94)&lt;='Weekly Report'!$C$4),AND(N(K94)&gt;'Weekly Report'!$C$5,N(K94)&lt;='Weekly Report'!$C$4))),COUNT(Q$4:Q93)+1,"")</f>
        <v/>
      </c>
      <c r="R94" s="0" t="str">
        <f aca="false">IF(AND(C94&lt;&gt;"",I94="In Progress"),COUNT(R$4:R93)+1,"")</f>
        <v/>
      </c>
      <c r="S94" s="0" t="str">
        <f aca="false">IF(AND(C94&lt;&gt;"",I94&lt;&gt;"Completed",I94&lt;&gt;"Cancelled",OR(I94="Blocked",M94&lt;&gt;"")),COUNT(S$4:S93)+1,"")</f>
        <v/>
      </c>
      <c r="T94" s="0" t="str">
        <f aca="false">IF(AND(C94&lt;&gt;"",I94&lt;&gt;"Completed",I94&lt;&gt;"Cancelled",OR(O94="Yes",AND(N(H94)&gt;'Weekly Report'!$C$4,N(H94)&lt;='Weekly Report'!$C$4+7))),COUNT(T$4:T93)+1,"")</f>
        <v/>
      </c>
    </row>
    <row r="95" customFormat="false" ht="15" hidden="false" customHeight="false" outlineLevel="0" collapsed="false">
      <c r="A95" s="53" t="s">
        <v>217</v>
      </c>
      <c r="B95" s="27"/>
      <c r="C95" s="26"/>
      <c r="D95" s="27"/>
      <c r="E95" s="27"/>
      <c r="F95" s="27"/>
      <c r="G95" s="28"/>
      <c r="H95" s="28"/>
      <c r="I95" s="27"/>
      <c r="J95" s="28"/>
      <c r="K95" s="28"/>
      <c r="L95" s="26"/>
      <c r="M95" s="26"/>
      <c r="N95" s="27"/>
      <c r="O95" s="27"/>
      <c r="P95" s="54" t="str">
        <f aca="true">IF(OR(C95="",H95="",I95="Completed",I95="Cancelled"),"",IF(H95&lt;TODAY(),"Overdue",""))</f>
        <v/>
      </c>
      <c r="Q95" s="0" t="str">
        <f aca="false">IF(AND(C95&lt;&gt;"",I95&lt;&gt;"Cancelled",OR(AND(N(J95)&gt;'Weekly Report'!$C$5,N(J95)&lt;='Weekly Report'!$C$4),AND(N(K95)&gt;'Weekly Report'!$C$5,N(K95)&lt;='Weekly Report'!$C$4))),COUNT(Q$4:Q94)+1,"")</f>
        <v/>
      </c>
      <c r="R95" s="0" t="str">
        <f aca="false">IF(AND(C95&lt;&gt;"",I95="In Progress"),COUNT(R$4:R94)+1,"")</f>
        <v/>
      </c>
      <c r="S95" s="0" t="str">
        <f aca="false">IF(AND(C95&lt;&gt;"",I95&lt;&gt;"Completed",I95&lt;&gt;"Cancelled",OR(I95="Blocked",M95&lt;&gt;"")),COUNT(S$4:S94)+1,"")</f>
        <v/>
      </c>
      <c r="T95" s="0" t="str">
        <f aca="false">IF(AND(C95&lt;&gt;"",I95&lt;&gt;"Completed",I95&lt;&gt;"Cancelled",OR(O95="Yes",AND(N(H95)&gt;'Weekly Report'!$C$4,N(H95)&lt;='Weekly Report'!$C$4+7))),COUNT(T$4:T94)+1,"")</f>
        <v/>
      </c>
    </row>
    <row r="96" customFormat="false" ht="15" hidden="false" customHeight="false" outlineLevel="0" collapsed="false">
      <c r="A96" s="53" t="s">
        <v>218</v>
      </c>
      <c r="B96" s="27"/>
      <c r="C96" s="26"/>
      <c r="D96" s="27"/>
      <c r="E96" s="27"/>
      <c r="F96" s="27"/>
      <c r="G96" s="28"/>
      <c r="H96" s="28"/>
      <c r="I96" s="27"/>
      <c r="J96" s="28"/>
      <c r="K96" s="28"/>
      <c r="L96" s="26"/>
      <c r="M96" s="26"/>
      <c r="N96" s="27"/>
      <c r="O96" s="27"/>
      <c r="P96" s="54" t="str">
        <f aca="true">IF(OR(C96="",H96="",I96="Completed",I96="Cancelled"),"",IF(H96&lt;TODAY(),"Overdue",""))</f>
        <v/>
      </c>
      <c r="Q96" s="0" t="str">
        <f aca="false">IF(AND(C96&lt;&gt;"",I96&lt;&gt;"Cancelled",OR(AND(N(J96)&gt;'Weekly Report'!$C$5,N(J96)&lt;='Weekly Report'!$C$4),AND(N(K96)&gt;'Weekly Report'!$C$5,N(K96)&lt;='Weekly Report'!$C$4))),COUNT(Q$4:Q95)+1,"")</f>
        <v/>
      </c>
      <c r="R96" s="0" t="str">
        <f aca="false">IF(AND(C96&lt;&gt;"",I96="In Progress"),COUNT(R$4:R95)+1,"")</f>
        <v/>
      </c>
      <c r="S96" s="0" t="str">
        <f aca="false">IF(AND(C96&lt;&gt;"",I96&lt;&gt;"Completed",I96&lt;&gt;"Cancelled",OR(I96="Blocked",M96&lt;&gt;"")),COUNT(S$4:S95)+1,"")</f>
        <v/>
      </c>
      <c r="T96" s="0" t="str">
        <f aca="false">IF(AND(C96&lt;&gt;"",I96&lt;&gt;"Completed",I96&lt;&gt;"Cancelled",OR(O96="Yes",AND(N(H96)&gt;'Weekly Report'!$C$4,N(H96)&lt;='Weekly Report'!$C$4+7))),COUNT(T$4:T95)+1,"")</f>
        <v/>
      </c>
    </row>
    <row r="97" customFormat="false" ht="15" hidden="false" customHeight="false" outlineLevel="0" collapsed="false">
      <c r="A97" s="53" t="s">
        <v>219</v>
      </c>
      <c r="B97" s="27"/>
      <c r="C97" s="26"/>
      <c r="D97" s="27"/>
      <c r="E97" s="27"/>
      <c r="F97" s="27"/>
      <c r="G97" s="28"/>
      <c r="H97" s="28"/>
      <c r="I97" s="27"/>
      <c r="J97" s="28"/>
      <c r="K97" s="28"/>
      <c r="L97" s="26"/>
      <c r="M97" s="26"/>
      <c r="N97" s="27"/>
      <c r="O97" s="27"/>
      <c r="P97" s="54" t="str">
        <f aca="true">IF(OR(C97="",H97="",I97="Completed",I97="Cancelled"),"",IF(H97&lt;TODAY(),"Overdue",""))</f>
        <v/>
      </c>
      <c r="Q97" s="0" t="str">
        <f aca="false">IF(AND(C97&lt;&gt;"",I97&lt;&gt;"Cancelled",OR(AND(N(J97)&gt;'Weekly Report'!$C$5,N(J97)&lt;='Weekly Report'!$C$4),AND(N(K97)&gt;'Weekly Report'!$C$5,N(K97)&lt;='Weekly Report'!$C$4))),COUNT(Q$4:Q96)+1,"")</f>
        <v/>
      </c>
      <c r="R97" s="0" t="str">
        <f aca="false">IF(AND(C97&lt;&gt;"",I97="In Progress"),COUNT(R$4:R96)+1,"")</f>
        <v/>
      </c>
      <c r="S97" s="0" t="str">
        <f aca="false">IF(AND(C97&lt;&gt;"",I97&lt;&gt;"Completed",I97&lt;&gt;"Cancelled",OR(I97="Blocked",M97&lt;&gt;"")),COUNT(S$4:S96)+1,"")</f>
        <v/>
      </c>
      <c r="T97" s="0" t="str">
        <f aca="false">IF(AND(C97&lt;&gt;"",I97&lt;&gt;"Completed",I97&lt;&gt;"Cancelled",OR(O97="Yes",AND(N(H97)&gt;'Weekly Report'!$C$4,N(H97)&lt;='Weekly Report'!$C$4+7))),COUNT(T$4:T96)+1,"")</f>
        <v/>
      </c>
    </row>
    <row r="98" customFormat="false" ht="15" hidden="false" customHeight="false" outlineLevel="0" collapsed="false">
      <c r="A98" s="53" t="s">
        <v>220</v>
      </c>
      <c r="B98" s="27"/>
      <c r="C98" s="26"/>
      <c r="D98" s="27"/>
      <c r="E98" s="27"/>
      <c r="F98" s="27"/>
      <c r="G98" s="28"/>
      <c r="H98" s="28"/>
      <c r="I98" s="27"/>
      <c r="J98" s="28"/>
      <c r="K98" s="28"/>
      <c r="L98" s="26"/>
      <c r="M98" s="26"/>
      <c r="N98" s="27"/>
      <c r="O98" s="27"/>
      <c r="P98" s="54" t="str">
        <f aca="true">IF(OR(C98="",H98="",I98="Completed",I98="Cancelled"),"",IF(H98&lt;TODAY(),"Overdue",""))</f>
        <v/>
      </c>
      <c r="Q98" s="0" t="str">
        <f aca="false">IF(AND(C98&lt;&gt;"",I98&lt;&gt;"Cancelled",OR(AND(N(J98)&gt;'Weekly Report'!$C$5,N(J98)&lt;='Weekly Report'!$C$4),AND(N(K98)&gt;'Weekly Report'!$C$5,N(K98)&lt;='Weekly Report'!$C$4))),COUNT(Q$4:Q97)+1,"")</f>
        <v/>
      </c>
      <c r="R98" s="0" t="str">
        <f aca="false">IF(AND(C98&lt;&gt;"",I98="In Progress"),COUNT(R$4:R97)+1,"")</f>
        <v/>
      </c>
      <c r="S98" s="0" t="str">
        <f aca="false">IF(AND(C98&lt;&gt;"",I98&lt;&gt;"Completed",I98&lt;&gt;"Cancelled",OR(I98="Blocked",M98&lt;&gt;"")),COUNT(S$4:S97)+1,"")</f>
        <v/>
      </c>
      <c r="T98" s="0" t="str">
        <f aca="false">IF(AND(C98&lt;&gt;"",I98&lt;&gt;"Completed",I98&lt;&gt;"Cancelled",OR(O98="Yes",AND(N(H98)&gt;'Weekly Report'!$C$4,N(H98)&lt;='Weekly Report'!$C$4+7))),COUNT(T$4:T97)+1,"")</f>
        <v/>
      </c>
    </row>
    <row r="99" customFormat="false" ht="15" hidden="false" customHeight="false" outlineLevel="0" collapsed="false">
      <c r="A99" s="53" t="s">
        <v>221</v>
      </c>
      <c r="B99" s="27"/>
      <c r="C99" s="26"/>
      <c r="D99" s="27"/>
      <c r="E99" s="27"/>
      <c r="F99" s="27"/>
      <c r="G99" s="28"/>
      <c r="H99" s="28"/>
      <c r="I99" s="27"/>
      <c r="J99" s="28"/>
      <c r="K99" s="28"/>
      <c r="L99" s="26"/>
      <c r="M99" s="26"/>
      <c r="N99" s="27"/>
      <c r="O99" s="27"/>
      <c r="P99" s="54" t="str">
        <f aca="true">IF(OR(C99="",H99="",I99="Completed",I99="Cancelled"),"",IF(H99&lt;TODAY(),"Overdue",""))</f>
        <v/>
      </c>
      <c r="Q99" s="0" t="str">
        <f aca="false">IF(AND(C99&lt;&gt;"",I99&lt;&gt;"Cancelled",OR(AND(N(J99)&gt;'Weekly Report'!$C$5,N(J99)&lt;='Weekly Report'!$C$4),AND(N(K99)&gt;'Weekly Report'!$C$5,N(K99)&lt;='Weekly Report'!$C$4))),COUNT(Q$4:Q98)+1,"")</f>
        <v/>
      </c>
      <c r="R99" s="0" t="str">
        <f aca="false">IF(AND(C99&lt;&gt;"",I99="In Progress"),COUNT(R$4:R98)+1,"")</f>
        <v/>
      </c>
      <c r="S99" s="0" t="str">
        <f aca="false">IF(AND(C99&lt;&gt;"",I99&lt;&gt;"Completed",I99&lt;&gt;"Cancelled",OR(I99="Blocked",M99&lt;&gt;"")),COUNT(S$4:S98)+1,"")</f>
        <v/>
      </c>
      <c r="T99" s="0" t="str">
        <f aca="false">IF(AND(C99&lt;&gt;"",I99&lt;&gt;"Completed",I99&lt;&gt;"Cancelled",OR(O99="Yes",AND(N(H99)&gt;'Weekly Report'!$C$4,N(H99)&lt;='Weekly Report'!$C$4+7))),COUNT(T$4:T98)+1,"")</f>
        <v/>
      </c>
    </row>
    <row r="100" customFormat="false" ht="15" hidden="false" customHeight="false" outlineLevel="0" collapsed="false">
      <c r="A100" s="53" t="s">
        <v>222</v>
      </c>
      <c r="B100" s="27"/>
      <c r="C100" s="26"/>
      <c r="D100" s="27"/>
      <c r="E100" s="27"/>
      <c r="F100" s="27"/>
      <c r="G100" s="28"/>
      <c r="H100" s="28"/>
      <c r="I100" s="27"/>
      <c r="J100" s="28"/>
      <c r="K100" s="28"/>
      <c r="L100" s="26"/>
      <c r="M100" s="26"/>
      <c r="N100" s="27"/>
      <c r="O100" s="27"/>
      <c r="P100" s="54" t="str">
        <f aca="true">IF(OR(C100="",H100="",I100="Completed",I100="Cancelled"),"",IF(H100&lt;TODAY(),"Overdue",""))</f>
        <v/>
      </c>
      <c r="Q100" s="0" t="str">
        <f aca="false">IF(AND(C100&lt;&gt;"",I100&lt;&gt;"Cancelled",OR(AND(N(J100)&gt;'Weekly Report'!$C$5,N(J100)&lt;='Weekly Report'!$C$4),AND(N(K100)&gt;'Weekly Report'!$C$5,N(K100)&lt;='Weekly Report'!$C$4))),COUNT(Q$4:Q99)+1,"")</f>
        <v/>
      </c>
      <c r="R100" s="0" t="str">
        <f aca="false">IF(AND(C100&lt;&gt;"",I100="In Progress"),COUNT(R$4:R99)+1,"")</f>
        <v/>
      </c>
      <c r="S100" s="0" t="str">
        <f aca="false">IF(AND(C100&lt;&gt;"",I100&lt;&gt;"Completed",I100&lt;&gt;"Cancelled",OR(I100="Blocked",M100&lt;&gt;"")),COUNT(S$4:S99)+1,"")</f>
        <v/>
      </c>
      <c r="T100" s="0" t="str">
        <f aca="false">IF(AND(C100&lt;&gt;"",I100&lt;&gt;"Completed",I100&lt;&gt;"Cancelled",OR(O100="Yes",AND(N(H100)&gt;'Weekly Report'!$C$4,N(H100)&lt;='Weekly Report'!$C$4+7))),COUNT(T$4:T99)+1,"")</f>
        <v/>
      </c>
    </row>
    <row r="101" customFormat="false" ht="15" hidden="false" customHeight="false" outlineLevel="0" collapsed="false">
      <c r="A101" s="53" t="s">
        <v>223</v>
      </c>
      <c r="B101" s="27"/>
      <c r="C101" s="26"/>
      <c r="D101" s="27"/>
      <c r="E101" s="27"/>
      <c r="F101" s="27"/>
      <c r="G101" s="28"/>
      <c r="H101" s="28"/>
      <c r="I101" s="27"/>
      <c r="J101" s="28"/>
      <c r="K101" s="28"/>
      <c r="L101" s="26"/>
      <c r="M101" s="26"/>
      <c r="N101" s="27"/>
      <c r="O101" s="27"/>
      <c r="P101" s="54" t="str">
        <f aca="true">IF(OR(C101="",H101="",I101="Completed",I101="Cancelled"),"",IF(H101&lt;TODAY(),"Overdue",""))</f>
        <v/>
      </c>
      <c r="Q101" s="0" t="str">
        <f aca="false">IF(AND(C101&lt;&gt;"",I101&lt;&gt;"Cancelled",OR(AND(N(J101)&gt;'Weekly Report'!$C$5,N(J101)&lt;='Weekly Report'!$C$4),AND(N(K101)&gt;'Weekly Report'!$C$5,N(K101)&lt;='Weekly Report'!$C$4))),COUNT(Q$4:Q100)+1,"")</f>
        <v/>
      </c>
      <c r="R101" s="0" t="str">
        <f aca="false">IF(AND(C101&lt;&gt;"",I101="In Progress"),COUNT(R$4:R100)+1,"")</f>
        <v/>
      </c>
      <c r="S101" s="0" t="str">
        <f aca="false">IF(AND(C101&lt;&gt;"",I101&lt;&gt;"Completed",I101&lt;&gt;"Cancelled",OR(I101="Blocked",M101&lt;&gt;"")),COUNT(S$4:S100)+1,"")</f>
        <v/>
      </c>
      <c r="T101" s="0" t="str">
        <f aca="false">IF(AND(C101&lt;&gt;"",I101&lt;&gt;"Completed",I101&lt;&gt;"Cancelled",OR(O101="Yes",AND(N(H101)&gt;'Weekly Report'!$C$4,N(H101)&lt;='Weekly Report'!$C$4+7))),COUNT(T$4:T100)+1,"")</f>
        <v/>
      </c>
    </row>
    <row r="102" customFormat="false" ht="15" hidden="false" customHeight="false" outlineLevel="0" collapsed="false">
      <c r="A102" s="53" t="s">
        <v>224</v>
      </c>
      <c r="B102" s="27"/>
      <c r="C102" s="26"/>
      <c r="D102" s="27"/>
      <c r="E102" s="27"/>
      <c r="F102" s="27"/>
      <c r="G102" s="28"/>
      <c r="H102" s="28"/>
      <c r="I102" s="27"/>
      <c r="J102" s="28"/>
      <c r="K102" s="28"/>
      <c r="L102" s="26"/>
      <c r="M102" s="26"/>
      <c r="N102" s="27"/>
      <c r="O102" s="27"/>
      <c r="P102" s="54" t="str">
        <f aca="true">IF(OR(C102="",H102="",I102="Completed",I102="Cancelled"),"",IF(H102&lt;TODAY(),"Overdue",""))</f>
        <v/>
      </c>
      <c r="Q102" s="0" t="str">
        <f aca="false">IF(AND(C102&lt;&gt;"",I102&lt;&gt;"Cancelled",OR(AND(N(J102)&gt;'Weekly Report'!$C$5,N(J102)&lt;='Weekly Report'!$C$4),AND(N(K102)&gt;'Weekly Report'!$C$5,N(K102)&lt;='Weekly Report'!$C$4))),COUNT(Q$4:Q101)+1,"")</f>
        <v/>
      </c>
      <c r="R102" s="0" t="str">
        <f aca="false">IF(AND(C102&lt;&gt;"",I102="In Progress"),COUNT(R$4:R101)+1,"")</f>
        <v/>
      </c>
      <c r="S102" s="0" t="str">
        <f aca="false">IF(AND(C102&lt;&gt;"",I102&lt;&gt;"Completed",I102&lt;&gt;"Cancelled",OR(I102="Blocked",M102&lt;&gt;"")),COUNT(S$4:S101)+1,"")</f>
        <v/>
      </c>
      <c r="T102" s="0" t="str">
        <f aca="false">IF(AND(C102&lt;&gt;"",I102&lt;&gt;"Completed",I102&lt;&gt;"Cancelled",OR(O102="Yes",AND(N(H102)&gt;'Weekly Report'!$C$4,N(H102)&lt;='Weekly Report'!$C$4+7))),COUNT(T$4:T101)+1,"")</f>
        <v/>
      </c>
    </row>
    <row r="103" customFormat="false" ht="15" hidden="false" customHeight="false" outlineLevel="0" collapsed="false">
      <c r="A103" s="53" t="s">
        <v>225</v>
      </c>
      <c r="B103" s="27"/>
      <c r="C103" s="26"/>
      <c r="D103" s="27"/>
      <c r="E103" s="27"/>
      <c r="F103" s="27"/>
      <c r="G103" s="28"/>
      <c r="H103" s="28"/>
      <c r="I103" s="27"/>
      <c r="J103" s="28"/>
      <c r="K103" s="28"/>
      <c r="L103" s="26"/>
      <c r="M103" s="26"/>
      <c r="N103" s="27"/>
      <c r="O103" s="27"/>
      <c r="P103" s="54" t="str">
        <f aca="true">IF(OR(C103="",H103="",I103="Completed",I103="Cancelled"),"",IF(H103&lt;TODAY(),"Overdue",""))</f>
        <v/>
      </c>
      <c r="Q103" s="0" t="str">
        <f aca="false">IF(AND(C103&lt;&gt;"",I103&lt;&gt;"Cancelled",OR(AND(N(J103)&gt;'Weekly Report'!$C$5,N(J103)&lt;='Weekly Report'!$C$4),AND(N(K103)&gt;'Weekly Report'!$C$5,N(K103)&lt;='Weekly Report'!$C$4))),COUNT(Q$4:Q102)+1,"")</f>
        <v/>
      </c>
      <c r="R103" s="0" t="str">
        <f aca="false">IF(AND(C103&lt;&gt;"",I103="In Progress"),COUNT(R$4:R102)+1,"")</f>
        <v/>
      </c>
      <c r="S103" s="0" t="str">
        <f aca="false">IF(AND(C103&lt;&gt;"",I103&lt;&gt;"Completed",I103&lt;&gt;"Cancelled",OR(I103="Blocked",M103&lt;&gt;"")),COUNT(S$4:S102)+1,"")</f>
        <v/>
      </c>
      <c r="T103" s="0" t="str">
        <f aca="false">IF(AND(C103&lt;&gt;"",I103&lt;&gt;"Completed",I103&lt;&gt;"Cancelled",OR(O103="Yes",AND(N(H103)&gt;'Weekly Report'!$C$4,N(H103)&lt;='Weekly Report'!$C$4+7))),COUNT(T$4:T102)+1,"")</f>
        <v/>
      </c>
    </row>
    <row r="104" customFormat="false" ht="15" hidden="false" customHeight="false" outlineLevel="0" collapsed="false">
      <c r="A104" s="53" t="s">
        <v>226</v>
      </c>
      <c r="B104" s="27"/>
      <c r="C104" s="26"/>
      <c r="D104" s="27"/>
      <c r="E104" s="27"/>
      <c r="F104" s="27"/>
      <c r="G104" s="28"/>
      <c r="H104" s="28"/>
      <c r="I104" s="27"/>
      <c r="J104" s="28"/>
      <c r="K104" s="28"/>
      <c r="L104" s="26"/>
      <c r="M104" s="26"/>
      <c r="N104" s="27"/>
      <c r="O104" s="27"/>
      <c r="P104" s="54" t="str">
        <f aca="true">IF(OR(C104="",H104="",I104="Completed",I104="Cancelled"),"",IF(H104&lt;TODAY(),"Overdue",""))</f>
        <v/>
      </c>
      <c r="Q104" s="0" t="str">
        <f aca="false">IF(AND(C104&lt;&gt;"",I104&lt;&gt;"Cancelled",OR(AND(N(J104)&gt;'Weekly Report'!$C$5,N(J104)&lt;='Weekly Report'!$C$4),AND(N(K104)&gt;'Weekly Report'!$C$5,N(K104)&lt;='Weekly Report'!$C$4))),COUNT(Q$4:Q103)+1,"")</f>
        <v/>
      </c>
      <c r="R104" s="0" t="str">
        <f aca="false">IF(AND(C104&lt;&gt;"",I104="In Progress"),COUNT(R$4:R103)+1,"")</f>
        <v/>
      </c>
      <c r="S104" s="0" t="str">
        <f aca="false">IF(AND(C104&lt;&gt;"",I104&lt;&gt;"Completed",I104&lt;&gt;"Cancelled",OR(I104="Blocked",M104&lt;&gt;"")),COUNT(S$4:S103)+1,"")</f>
        <v/>
      </c>
      <c r="T104" s="0" t="str">
        <f aca="false">IF(AND(C104&lt;&gt;"",I104&lt;&gt;"Completed",I104&lt;&gt;"Cancelled",OR(O104="Yes",AND(N(H104)&gt;'Weekly Report'!$C$4,N(H104)&lt;='Weekly Report'!$C$4+7))),COUNT(T$4:T103)+1,"")</f>
        <v/>
      </c>
    </row>
    <row r="105" customFormat="false" ht="15" hidden="false" customHeight="false" outlineLevel="0" collapsed="false">
      <c r="A105" s="53" t="s">
        <v>227</v>
      </c>
      <c r="B105" s="27"/>
      <c r="C105" s="26"/>
      <c r="D105" s="27"/>
      <c r="E105" s="27"/>
      <c r="F105" s="27"/>
      <c r="G105" s="28"/>
      <c r="H105" s="28"/>
      <c r="I105" s="27"/>
      <c r="J105" s="28"/>
      <c r="K105" s="28"/>
      <c r="L105" s="26"/>
      <c r="M105" s="26"/>
      <c r="N105" s="27"/>
      <c r="O105" s="27"/>
      <c r="P105" s="54" t="str">
        <f aca="true">IF(OR(C105="",H105="",I105="Completed",I105="Cancelled"),"",IF(H105&lt;TODAY(),"Overdue",""))</f>
        <v/>
      </c>
      <c r="Q105" s="0" t="str">
        <f aca="false">IF(AND(C105&lt;&gt;"",I105&lt;&gt;"Cancelled",OR(AND(N(J105)&gt;'Weekly Report'!$C$5,N(J105)&lt;='Weekly Report'!$C$4),AND(N(K105)&gt;'Weekly Report'!$C$5,N(K105)&lt;='Weekly Report'!$C$4))),COUNT(Q$4:Q104)+1,"")</f>
        <v/>
      </c>
      <c r="R105" s="0" t="str">
        <f aca="false">IF(AND(C105&lt;&gt;"",I105="In Progress"),COUNT(R$4:R104)+1,"")</f>
        <v/>
      </c>
      <c r="S105" s="0" t="str">
        <f aca="false">IF(AND(C105&lt;&gt;"",I105&lt;&gt;"Completed",I105&lt;&gt;"Cancelled",OR(I105="Blocked",M105&lt;&gt;"")),COUNT(S$4:S104)+1,"")</f>
        <v/>
      </c>
      <c r="T105" s="0" t="str">
        <f aca="false">IF(AND(C105&lt;&gt;"",I105&lt;&gt;"Completed",I105&lt;&gt;"Cancelled",OR(O105="Yes",AND(N(H105)&gt;'Weekly Report'!$C$4,N(H105)&lt;='Weekly Report'!$C$4+7))),COUNT(T$4:T104)+1,"")</f>
        <v/>
      </c>
    </row>
    <row r="106" customFormat="false" ht="15" hidden="false" customHeight="false" outlineLevel="0" collapsed="false">
      <c r="A106" s="53" t="s">
        <v>228</v>
      </c>
      <c r="B106" s="27"/>
      <c r="C106" s="26"/>
      <c r="D106" s="27"/>
      <c r="E106" s="27"/>
      <c r="F106" s="27"/>
      <c r="G106" s="28"/>
      <c r="H106" s="28"/>
      <c r="I106" s="27"/>
      <c r="J106" s="28"/>
      <c r="K106" s="28"/>
      <c r="L106" s="26"/>
      <c r="M106" s="26"/>
      <c r="N106" s="27"/>
      <c r="O106" s="27"/>
      <c r="P106" s="54" t="str">
        <f aca="true">IF(OR(C106="",H106="",I106="Completed",I106="Cancelled"),"",IF(H106&lt;TODAY(),"Overdue",""))</f>
        <v/>
      </c>
      <c r="Q106" s="0" t="str">
        <f aca="false">IF(AND(C106&lt;&gt;"",I106&lt;&gt;"Cancelled",OR(AND(N(J106)&gt;'Weekly Report'!$C$5,N(J106)&lt;='Weekly Report'!$C$4),AND(N(K106)&gt;'Weekly Report'!$C$5,N(K106)&lt;='Weekly Report'!$C$4))),COUNT(Q$4:Q105)+1,"")</f>
        <v/>
      </c>
      <c r="R106" s="0" t="str">
        <f aca="false">IF(AND(C106&lt;&gt;"",I106="In Progress"),COUNT(R$4:R105)+1,"")</f>
        <v/>
      </c>
      <c r="S106" s="0" t="str">
        <f aca="false">IF(AND(C106&lt;&gt;"",I106&lt;&gt;"Completed",I106&lt;&gt;"Cancelled",OR(I106="Blocked",M106&lt;&gt;"")),COUNT(S$4:S105)+1,"")</f>
        <v/>
      </c>
      <c r="T106" s="0" t="str">
        <f aca="false">IF(AND(C106&lt;&gt;"",I106&lt;&gt;"Completed",I106&lt;&gt;"Cancelled",OR(O106="Yes",AND(N(H106)&gt;'Weekly Report'!$C$4,N(H106)&lt;='Weekly Report'!$C$4+7))),COUNT(T$4:T105)+1,"")</f>
        <v/>
      </c>
    </row>
    <row r="107" customFormat="false" ht="15" hidden="false" customHeight="false" outlineLevel="0" collapsed="false">
      <c r="A107" s="53" t="s">
        <v>229</v>
      </c>
      <c r="B107" s="27"/>
      <c r="C107" s="26"/>
      <c r="D107" s="27"/>
      <c r="E107" s="27"/>
      <c r="F107" s="27"/>
      <c r="G107" s="28"/>
      <c r="H107" s="28"/>
      <c r="I107" s="27"/>
      <c r="J107" s="28"/>
      <c r="K107" s="28"/>
      <c r="L107" s="26"/>
      <c r="M107" s="26"/>
      <c r="N107" s="27"/>
      <c r="O107" s="27"/>
      <c r="P107" s="54" t="str">
        <f aca="true">IF(OR(C107="",H107="",I107="Completed",I107="Cancelled"),"",IF(H107&lt;TODAY(),"Overdue",""))</f>
        <v/>
      </c>
      <c r="Q107" s="0" t="str">
        <f aca="false">IF(AND(C107&lt;&gt;"",I107&lt;&gt;"Cancelled",OR(AND(N(J107)&gt;'Weekly Report'!$C$5,N(J107)&lt;='Weekly Report'!$C$4),AND(N(K107)&gt;'Weekly Report'!$C$5,N(K107)&lt;='Weekly Report'!$C$4))),COUNT(Q$4:Q106)+1,"")</f>
        <v/>
      </c>
      <c r="R107" s="0" t="str">
        <f aca="false">IF(AND(C107&lt;&gt;"",I107="In Progress"),COUNT(R$4:R106)+1,"")</f>
        <v/>
      </c>
      <c r="S107" s="0" t="str">
        <f aca="false">IF(AND(C107&lt;&gt;"",I107&lt;&gt;"Completed",I107&lt;&gt;"Cancelled",OR(I107="Blocked",M107&lt;&gt;"")),COUNT(S$4:S106)+1,"")</f>
        <v/>
      </c>
      <c r="T107" s="0" t="str">
        <f aca="false">IF(AND(C107&lt;&gt;"",I107&lt;&gt;"Completed",I107&lt;&gt;"Cancelled",OR(O107="Yes",AND(N(H107)&gt;'Weekly Report'!$C$4,N(H107)&lt;='Weekly Report'!$C$4+7))),COUNT(T$4:T106)+1,"")</f>
        <v/>
      </c>
    </row>
    <row r="108" customFormat="false" ht="15" hidden="false" customHeight="false" outlineLevel="0" collapsed="false">
      <c r="A108" s="53" t="s">
        <v>230</v>
      </c>
      <c r="B108" s="27"/>
      <c r="C108" s="26"/>
      <c r="D108" s="27"/>
      <c r="E108" s="27"/>
      <c r="F108" s="27"/>
      <c r="G108" s="28"/>
      <c r="H108" s="28"/>
      <c r="I108" s="27"/>
      <c r="J108" s="28"/>
      <c r="K108" s="28"/>
      <c r="L108" s="26"/>
      <c r="M108" s="26"/>
      <c r="N108" s="27"/>
      <c r="O108" s="27"/>
      <c r="P108" s="54" t="str">
        <f aca="true">IF(OR(C108="",H108="",I108="Completed",I108="Cancelled"),"",IF(H108&lt;TODAY(),"Overdue",""))</f>
        <v/>
      </c>
      <c r="Q108" s="0" t="str">
        <f aca="false">IF(AND(C108&lt;&gt;"",I108&lt;&gt;"Cancelled",OR(AND(N(J108)&gt;'Weekly Report'!$C$5,N(J108)&lt;='Weekly Report'!$C$4),AND(N(K108)&gt;'Weekly Report'!$C$5,N(K108)&lt;='Weekly Report'!$C$4))),COUNT(Q$4:Q107)+1,"")</f>
        <v/>
      </c>
      <c r="R108" s="0" t="str">
        <f aca="false">IF(AND(C108&lt;&gt;"",I108="In Progress"),COUNT(R$4:R107)+1,"")</f>
        <v/>
      </c>
      <c r="S108" s="0" t="str">
        <f aca="false">IF(AND(C108&lt;&gt;"",I108&lt;&gt;"Completed",I108&lt;&gt;"Cancelled",OR(I108="Blocked",M108&lt;&gt;"")),COUNT(S$4:S107)+1,"")</f>
        <v/>
      </c>
      <c r="T108" s="0" t="str">
        <f aca="false">IF(AND(C108&lt;&gt;"",I108&lt;&gt;"Completed",I108&lt;&gt;"Cancelled",OR(O108="Yes",AND(N(H108)&gt;'Weekly Report'!$C$4,N(H108)&lt;='Weekly Report'!$C$4+7))),COUNT(T$4:T107)+1,"")</f>
        <v/>
      </c>
    </row>
    <row r="109" customFormat="false" ht="15" hidden="false" customHeight="false" outlineLevel="0" collapsed="false">
      <c r="A109" s="53" t="s">
        <v>231</v>
      </c>
      <c r="B109" s="27"/>
      <c r="C109" s="26"/>
      <c r="D109" s="27"/>
      <c r="E109" s="27"/>
      <c r="F109" s="27"/>
      <c r="G109" s="28"/>
      <c r="H109" s="28"/>
      <c r="I109" s="27"/>
      <c r="J109" s="28"/>
      <c r="K109" s="28"/>
      <c r="L109" s="26"/>
      <c r="M109" s="26"/>
      <c r="N109" s="27"/>
      <c r="O109" s="27"/>
      <c r="P109" s="54" t="str">
        <f aca="true">IF(OR(C109="",H109="",I109="Completed",I109="Cancelled"),"",IF(H109&lt;TODAY(),"Overdue",""))</f>
        <v/>
      </c>
      <c r="Q109" s="0" t="str">
        <f aca="false">IF(AND(C109&lt;&gt;"",I109&lt;&gt;"Cancelled",OR(AND(N(J109)&gt;'Weekly Report'!$C$5,N(J109)&lt;='Weekly Report'!$C$4),AND(N(K109)&gt;'Weekly Report'!$C$5,N(K109)&lt;='Weekly Report'!$C$4))),COUNT(Q$4:Q108)+1,"")</f>
        <v/>
      </c>
      <c r="R109" s="0" t="str">
        <f aca="false">IF(AND(C109&lt;&gt;"",I109="In Progress"),COUNT(R$4:R108)+1,"")</f>
        <v/>
      </c>
      <c r="S109" s="0" t="str">
        <f aca="false">IF(AND(C109&lt;&gt;"",I109&lt;&gt;"Completed",I109&lt;&gt;"Cancelled",OR(I109="Blocked",M109&lt;&gt;"")),COUNT(S$4:S108)+1,"")</f>
        <v/>
      </c>
      <c r="T109" s="0" t="str">
        <f aca="false">IF(AND(C109&lt;&gt;"",I109&lt;&gt;"Completed",I109&lt;&gt;"Cancelled",OR(O109="Yes",AND(N(H109)&gt;'Weekly Report'!$C$4,N(H109)&lt;='Weekly Report'!$C$4+7))),COUNT(T$4:T108)+1,"")</f>
        <v/>
      </c>
    </row>
    <row r="110" customFormat="false" ht="15" hidden="false" customHeight="false" outlineLevel="0" collapsed="false">
      <c r="A110" s="53" t="s">
        <v>232</v>
      </c>
      <c r="B110" s="27"/>
      <c r="C110" s="26"/>
      <c r="D110" s="27"/>
      <c r="E110" s="27"/>
      <c r="F110" s="27"/>
      <c r="G110" s="28"/>
      <c r="H110" s="28"/>
      <c r="I110" s="27"/>
      <c r="J110" s="28"/>
      <c r="K110" s="28"/>
      <c r="L110" s="26"/>
      <c r="M110" s="26"/>
      <c r="N110" s="27"/>
      <c r="O110" s="27"/>
      <c r="P110" s="54" t="str">
        <f aca="true">IF(OR(C110="",H110="",I110="Completed",I110="Cancelled"),"",IF(H110&lt;TODAY(),"Overdue",""))</f>
        <v/>
      </c>
      <c r="Q110" s="0" t="str">
        <f aca="false">IF(AND(C110&lt;&gt;"",I110&lt;&gt;"Cancelled",OR(AND(N(J110)&gt;'Weekly Report'!$C$5,N(J110)&lt;='Weekly Report'!$C$4),AND(N(K110)&gt;'Weekly Report'!$C$5,N(K110)&lt;='Weekly Report'!$C$4))),COUNT(Q$4:Q109)+1,"")</f>
        <v/>
      </c>
      <c r="R110" s="0" t="str">
        <f aca="false">IF(AND(C110&lt;&gt;"",I110="In Progress"),COUNT(R$4:R109)+1,"")</f>
        <v/>
      </c>
      <c r="S110" s="0" t="str">
        <f aca="false">IF(AND(C110&lt;&gt;"",I110&lt;&gt;"Completed",I110&lt;&gt;"Cancelled",OR(I110="Blocked",M110&lt;&gt;"")),COUNT(S$4:S109)+1,"")</f>
        <v/>
      </c>
      <c r="T110" s="0" t="str">
        <f aca="false">IF(AND(C110&lt;&gt;"",I110&lt;&gt;"Completed",I110&lt;&gt;"Cancelled",OR(O110="Yes",AND(N(H110)&gt;'Weekly Report'!$C$4,N(H110)&lt;='Weekly Report'!$C$4+7))),COUNT(T$4:T109)+1,"")</f>
        <v/>
      </c>
    </row>
    <row r="111" customFormat="false" ht="15" hidden="false" customHeight="false" outlineLevel="0" collapsed="false">
      <c r="A111" s="53" t="s">
        <v>233</v>
      </c>
      <c r="B111" s="27"/>
      <c r="C111" s="26"/>
      <c r="D111" s="27"/>
      <c r="E111" s="27"/>
      <c r="F111" s="27"/>
      <c r="G111" s="28"/>
      <c r="H111" s="28"/>
      <c r="I111" s="27"/>
      <c r="J111" s="28"/>
      <c r="K111" s="28"/>
      <c r="L111" s="26"/>
      <c r="M111" s="26"/>
      <c r="N111" s="27"/>
      <c r="O111" s="27"/>
      <c r="P111" s="54" t="str">
        <f aca="true">IF(OR(C111="",H111="",I111="Completed",I111="Cancelled"),"",IF(H111&lt;TODAY(),"Overdue",""))</f>
        <v/>
      </c>
      <c r="Q111" s="0" t="str">
        <f aca="false">IF(AND(C111&lt;&gt;"",I111&lt;&gt;"Cancelled",OR(AND(N(J111)&gt;'Weekly Report'!$C$5,N(J111)&lt;='Weekly Report'!$C$4),AND(N(K111)&gt;'Weekly Report'!$C$5,N(K111)&lt;='Weekly Report'!$C$4))),COUNT(Q$4:Q110)+1,"")</f>
        <v/>
      </c>
      <c r="R111" s="0" t="str">
        <f aca="false">IF(AND(C111&lt;&gt;"",I111="In Progress"),COUNT(R$4:R110)+1,"")</f>
        <v/>
      </c>
      <c r="S111" s="0" t="str">
        <f aca="false">IF(AND(C111&lt;&gt;"",I111&lt;&gt;"Completed",I111&lt;&gt;"Cancelled",OR(I111="Blocked",M111&lt;&gt;"")),COUNT(S$4:S110)+1,"")</f>
        <v/>
      </c>
      <c r="T111" s="0" t="str">
        <f aca="false">IF(AND(C111&lt;&gt;"",I111&lt;&gt;"Completed",I111&lt;&gt;"Cancelled",OR(O111="Yes",AND(N(H111)&gt;'Weekly Report'!$C$4,N(H111)&lt;='Weekly Report'!$C$4+7))),COUNT(T$4:T110)+1,"")</f>
        <v/>
      </c>
    </row>
    <row r="112" customFormat="false" ht="15" hidden="false" customHeight="false" outlineLevel="0" collapsed="false">
      <c r="A112" s="53" t="s">
        <v>234</v>
      </c>
      <c r="B112" s="27"/>
      <c r="C112" s="26"/>
      <c r="D112" s="27"/>
      <c r="E112" s="27"/>
      <c r="F112" s="27"/>
      <c r="G112" s="28"/>
      <c r="H112" s="28"/>
      <c r="I112" s="27"/>
      <c r="J112" s="28"/>
      <c r="K112" s="28"/>
      <c r="L112" s="26"/>
      <c r="M112" s="26"/>
      <c r="N112" s="27"/>
      <c r="O112" s="27"/>
      <c r="P112" s="54" t="str">
        <f aca="true">IF(OR(C112="",H112="",I112="Completed",I112="Cancelled"),"",IF(H112&lt;TODAY(),"Overdue",""))</f>
        <v/>
      </c>
      <c r="Q112" s="0" t="str">
        <f aca="false">IF(AND(C112&lt;&gt;"",I112&lt;&gt;"Cancelled",OR(AND(N(J112)&gt;'Weekly Report'!$C$5,N(J112)&lt;='Weekly Report'!$C$4),AND(N(K112)&gt;'Weekly Report'!$C$5,N(K112)&lt;='Weekly Report'!$C$4))),COUNT(Q$4:Q111)+1,"")</f>
        <v/>
      </c>
      <c r="R112" s="0" t="str">
        <f aca="false">IF(AND(C112&lt;&gt;"",I112="In Progress"),COUNT(R$4:R111)+1,"")</f>
        <v/>
      </c>
      <c r="S112" s="0" t="str">
        <f aca="false">IF(AND(C112&lt;&gt;"",I112&lt;&gt;"Completed",I112&lt;&gt;"Cancelled",OR(I112="Blocked",M112&lt;&gt;"")),COUNT(S$4:S111)+1,"")</f>
        <v/>
      </c>
      <c r="T112" s="0" t="str">
        <f aca="false">IF(AND(C112&lt;&gt;"",I112&lt;&gt;"Completed",I112&lt;&gt;"Cancelled",OR(O112="Yes",AND(N(H112)&gt;'Weekly Report'!$C$4,N(H112)&lt;='Weekly Report'!$C$4+7))),COUNT(T$4:T111)+1,"")</f>
        <v/>
      </c>
    </row>
    <row r="113" customFormat="false" ht="15" hidden="false" customHeight="false" outlineLevel="0" collapsed="false">
      <c r="A113" s="53" t="s">
        <v>235</v>
      </c>
      <c r="B113" s="27"/>
      <c r="C113" s="26"/>
      <c r="D113" s="27"/>
      <c r="E113" s="27"/>
      <c r="F113" s="27"/>
      <c r="G113" s="28"/>
      <c r="H113" s="28"/>
      <c r="I113" s="27"/>
      <c r="J113" s="28"/>
      <c r="K113" s="28"/>
      <c r="L113" s="26"/>
      <c r="M113" s="26"/>
      <c r="N113" s="27"/>
      <c r="O113" s="27"/>
      <c r="P113" s="54" t="str">
        <f aca="true">IF(OR(C113="",H113="",I113="Completed",I113="Cancelled"),"",IF(H113&lt;TODAY(),"Overdue",""))</f>
        <v/>
      </c>
      <c r="Q113" s="0" t="str">
        <f aca="false">IF(AND(C113&lt;&gt;"",I113&lt;&gt;"Cancelled",OR(AND(N(J113)&gt;'Weekly Report'!$C$5,N(J113)&lt;='Weekly Report'!$C$4),AND(N(K113)&gt;'Weekly Report'!$C$5,N(K113)&lt;='Weekly Report'!$C$4))),COUNT(Q$4:Q112)+1,"")</f>
        <v/>
      </c>
      <c r="R113" s="0" t="str">
        <f aca="false">IF(AND(C113&lt;&gt;"",I113="In Progress"),COUNT(R$4:R112)+1,"")</f>
        <v/>
      </c>
      <c r="S113" s="0" t="str">
        <f aca="false">IF(AND(C113&lt;&gt;"",I113&lt;&gt;"Completed",I113&lt;&gt;"Cancelled",OR(I113="Blocked",M113&lt;&gt;"")),COUNT(S$4:S112)+1,"")</f>
        <v/>
      </c>
      <c r="T113" s="0" t="str">
        <f aca="false">IF(AND(C113&lt;&gt;"",I113&lt;&gt;"Completed",I113&lt;&gt;"Cancelled",OR(O113="Yes",AND(N(H113)&gt;'Weekly Report'!$C$4,N(H113)&lt;='Weekly Report'!$C$4+7))),COUNT(T$4:T112)+1,"")</f>
        <v/>
      </c>
    </row>
    <row r="114" customFormat="false" ht="15" hidden="false" customHeight="false" outlineLevel="0" collapsed="false">
      <c r="A114" s="53" t="s">
        <v>236</v>
      </c>
      <c r="B114" s="27"/>
      <c r="C114" s="26"/>
      <c r="D114" s="27"/>
      <c r="E114" s="27"/>
      <c r="F114" s="27"/>
      <c r="G114" s="28"/>
      <c r="H114" s="28"/>
      <c r="I114" s="27"/>
      <c r="J114" s="28"/>
      <c r="K114" s="28"/>
      <c r="L114" s="26"/>
      <c r="M114" s="26"/>
      <c r="N114" s="27"/>
      <c r="O114" s="27"/>
      <c r="P114" s="54" t="str">
        <f aca="true">IF(OR(C114="",H114="",I114="Completed",I114="Cancelled"),"",IF(H114&lt;TODAY(),"Overdue",""))</f>
        <v/>
      </c>
      <c r="Q114" s="0" t="str">
        <f aca="false">IF(AND(C114&lt;&gt;"",I114&lt;&gt;"Cancelled",OR(AND(N(J114)&gt;'Weekly Report'!$C$5,N(J114)&lt;='Weekly Report'!$C$4),AND(N(K114)&gt;'Weekly Report'!$C$5,N(K114)&lt;='Weekly Report'!$C$4))),COUNT(Q$4:Q113)+1,"")</f>
        <v/>
      </c>
      <c r="R114" s="0" t="str">
        <f aca="false">IF(AND(C114&lt;&gt;"",I114="In Progress"),COUNT(R$4:R113)+1,"")</f>
        <v/>
      </c>
      <c r="S114" s="0" t="str">
        <f aca="false">IF(AND(C114&lt;&gt;"",I114&lt;&gt;"Completed",I114&lt;&gt;"Cancelled",OR(I114="Blocked",M114&lt;&gt;"")),COUNT(S$4:S113)+1,"")</f>
        <v/>
      </c>
      <c r="T114" s="0" t="str">
        <f aca="false">IF(AND(C114&lt;&gt;"",I114&lt;&gt;"Completed",I114&lt;&gt;"Cancelled",OR(O114="Yes",AND(N(H114)&gt;'Weekly Report'!$C$4,N(H114)&lt;='Weekly Report'!$C$4+7))),COUNT(T$4:T113)+1,"")</f>
        <v/>
      </c>
    </row>
    <row r="115" customFormat="false" ht="15" hidden="false" customHeight="false" outlineLevel="0" collapsed="false">
      <c r="A115" s="53" t="s">
        <v>237</v>
      </c>
      <c r="B115" s="27"/>
      <c r="C115" s="26"/>
      <c r="D115" s="27"/>
      <c r="E115" s="27"/>
      <c r="F115" s="27"/>
      <c r="G115" s="28"/>
      <c r="H115" s="28"/>
      <c r="I115" s="27"/>
      <c r="J115" s="28"/>
      <c r="K115" s="28"/>
      <c r="L115" s="26"/>
      <c r="M115" s="26"/>
      <c r="N115" s="27"/>
      <c r="O115" s="27"/>
      <c r="P115" s="54" t="str">
        <f aca="true">IF(OR(C115="",H115="",I115="Completed",I115="Cancelled"),"",IF(H115&lt;TODAY(),"Overdue",""))</f>
        <v/>
      </c>
      <c r="Q115" s="0" t="str">
        <f aca="false">IF(AND(C115&lt;&gt;"",I115&lt;&gt;"Cancelled",OR(AND(N(J115)&gt;'Weekly Report'!$C$5,N(J115)&lt;='Weekly Report'!$C$4),AND(N(K115)&gt;'Weekly Report'!$C$5,N(K115)&lt;='Weekly Report'!$C$4))),COUNT(Q$4:Q114)+1,"")</f>
        <v/>
      </c>
      <c r="R115" s="0" t="str">
        <f aca="false">IF(AND(C115&lt;&gt;"",I115="In Progress"),COUNT(R$4:R114)+1,"")</f>
        <v/>
      </c>
      <c r="S115" s="0" t="str">
        <f aca="false">IF(AND(C115&lt;&gt;"",I115&lt;&gt;"Completed",I115&lt;&gt;"Cancelled",OR(I115="Blocked",M115&lt;&gt;"")),COUNT(S$4:S114)+1,"")</f>
        <v/>
      </c>
      <c r="T115" s="0" t="str">
        <f aca="false">IF(AND(C115&lt;&gt;"",I115&lt;&gt;"Completed",I115&lt;&gt;"Cancelled",OR(O115="Yes",AND(N(H115)&gt;'Weekly Report'!$C$4,N(H115)&lt;='Weekly Report'!$C$4+7))),COUNT(T$4:T114)+1,"")</f>
        <v/>
      </c>
    </row>
    <row r="116" customFormat="false" ht="15" hidden="false" customHeight="false" outlineLevel="0" collapsed="false">
      <c r="A116" s="53" t="s">
        <v>238</v>
      </c>
      <c r="B116" s="27"/>
      <c r="C116" s="26"/>
      <c r="D116" s="27"/>
      <c r="E116" s="27"/>
      <c r="F116" s="27"/>
      <c r="G116" s="28"/>
      <c r="H116" s="28"/>
      <c r="I116" s="27"/>
      <c r="J116" s="28"/>
      <c r="K116" s="28"/>
      <c r="L116" s="26"/>
      <c r="M116" s="26"/>
      <c r="N116" s="27"/>
      <c r="O116" s="27"/>
      <c r="P116" s="54" t="str">
        <f aca="true">IF(OR(C116="",H116="",I116="Completed",I116="Cancelled"),"",IF(H116&lt;TODAY(),"Overdue",""))</f>
        <v/>
      </c>
      <c r="Q116" s="0" t="str">
        <f aca="false">IF(AND(C116&lt;&gt;"",I116&lt;&gt;"Cancelled",OR(AND(N(J116)&gt;'Weekly Report'!$C$5,N(J116)&lt;='Weekly Report'!$C$4),AND(N(K116)&gt;'Weekly Report'!$C$5,N(K116)&lt;='Weekly Report'!$C$4))),COUNT(Q$4:Q115)+1,"")</f>
        <v/>
      </c>
      <c r="R116" s="0" t="str">
        <f aca="false">IF(AND(C116&lt;&gt;"",I116="In Progress"),COUNT(R$4:R115)+1,"")</f>
        <v/>
      </c>
      <c r="S116" s="0" t="str">
        <f aca="false">IF(AND(C116&lt;&gt;"",I116&lt;&gt;"Completed",I116&lt;&gt;"Cancelled",OR(I116="Blocked",M116&lt;&gt;"")),COUNT(S$4:S115)+1,"")</f>
        <v/>
      </c>
      <c r="T116" s="0" t="str">
        <f aca="false">IF(AND(C116&lt;&gt;"",I116&lt;&gt;"Completed",I116&lt;&gt;"Cancelled",OR(O116="Yes",AND(N(H116)&gt;'Weekly Report'!$C$4,N(H116)&lt;='Weekly Report'!$C$4+7))),COUNT(T$4:T115)+1,"")</f>
        <v/>
      </c>
    </row>
    <row r="117" customFormat="false" ht="15" hidden="false" customHeight="false" outlineLevel="0" collapsed="false">
      <c r="A117" s="53" t="s">
        <v>239</v>
      </c>
      <c r="B117" s="27"/>
      <c r="C117" s="26"/>
      <c r="D117" s="27"/>
      <c r="E117" s="27"/>
      <c r="F117" s="27"/>
      <c r="G117" s="28"/>
      <c r="H117" s="28"/>
      <c r="I117" s="27"/>
      <c r="J117" s="28"/>
      <c r="K117" s="28"/>
      <c r="L117" s="26"/>
      <c r="M117" s="26"/>
      <c r="N117" s="27"/>
      <c r="O117" s="27"/>
      <c r="P117" s="54" t="str">
        <f aca="true">IF(OR(C117="",H117="",I117="Completed",I117="Cancelled"),"",IF(H117&lt;TODAY(),"Overdue",""))</f>
        <v/>
      </c>
      <c r="Q117" s="0" t="str">
        <f aca="false">IF(AND(C117&lt;&gt;"",I117&lt;&gt;"Cancelled",OR(AND(N(J117)&gt;'Weekly Report'!$C$5,N(J117)&lt;='Weekly Report'!$C$4),AND(N(K117)&gt;'Weekly Report'!$C$5,N(K117)&lt;='Weekly Report'!$C$4))),COUNT(Q$4:Q116)+1,"")</f>
        <v/>
      </c>
      <c r="R117" s="0" t="str">
        <f aca="false">IF(AND(C117&lt;&gt;"",I117="In Progress"),COUNT(R$4:R116)+1,"")</f>
        <v/>
      </c>
      <c r="S117" s="0" t="str">
        <f aca="false">IF(AND(C117&lt;&gt;"",I117&lt;&gt;"Completed",I117&lt;&gt;"Cancelled",OR(I117="Blocked",M117&lt;&gt;"")),COUNT(S$4:S116)+1,"")</f>
        <v/>
      </c>
      <c r="T117" s="0" t="str">
        <f aca="false">IF(AND(C117&lt;&gt;"",I117&lt;&gt;"Completed",I117&lt;&gt;"Cancelled",OR(O117="Yes",AND(N(H117)&gt;'Weekly Report'!$C$4,N(H117)&lt;='Weekly Report'!$C$4+7))),COUNT(T$4:T116)+1,"")</f>
        <v/>
      </c>
    </row>
    <row r="118" customFormat="false" ht="15" hidden="false" customHeight="false" outlineLevel="0" collapsed="false">
      <c r="A118" s="53" t="s">
        <v>240</v>
      </c>
      <c r="B118" s="27"/>
      <c r="C118" s="26"/>
      <c r="D118" s="27"/>
      <c r="E118" s="27"/>
      <c r="F118" s="27"/>
      <c r="G118" s="28"/>
      <c r="H118" s="28"/>
      <c r="I118" s="27"/>
      <c r="J118" s="28"/>
      <c r="K118" s="28"/>
      <c r="L118" s="26"/>
      <c r="M118" s="26"/>
      <c r="N118" s="27"/>
      <c r="O118" s="27"/>
      <c r="P118" s="54" t="str">
        <f aca="true">IF(OR(C118="",H118="",I118="Completed",I118="Cancelled"),"",IF(H118&lt;TODAY(),"Overdue",""))</f>
        <v/>
      </c>
      <c r="Q118" s="0" t="str">
        <f aca="false">IF(AND(C118&lt;&gt;"",I118&lt;&gt;"Cancelled",OR(AND(N(J118)&gt;'Weekly Report'!$C$5,N(J118)&lt;='Weekly Report'!$C$4),AND(N(K118)&gt;'Weekly Report'!$C$5,N(K118)&lt;='Weekly Report'!$C$4))),COUNT(Q$4:Q117)+1,"")</f>
        <v/>
      </c>
      <c r="R118" s="0" t="str">
        <f aca="false">IF(AND(C118&lt;&gt;"",I118="In Progress"),COUNT(R$4:R117)+1,"")</f>
        <v/>
      </c>
      <c r="S118" s="0" t="str">
        <f aca="false">IF(AND(C118&lt;&gt;"",I118&lt;&gt;"Completed",I118&lt;&gt;"Cancelled",OR(I118="Blocked",M118&lt;&gt;"")),COUNT(S$4:S117)+1,"")</f>
        <v/>
      </c>
      <c r="T118" s="0" t="str">
        <f aca="false">IF(AND(C118&lt;&gt;"",I118&lt;&gt;"Completed",I118&lt;&gt;"Cancelled",OR(O118="Yes",AND(N(H118)&gt;'Weekly Report'!$C$4,N(H118)&lt;='Weekly Report'!$C$4+7))),COUNT(T$4:T117)+1,"")</f>
        <v/>
      </c>
    </row>
    <row r="119" customFormat="false" ht="15" hidden="false" customHeight="false" outlineLevel="0" collapsed="false">
      <c r="A119" s="53" t="s">
        <v>241</v>
      </c>
      <c r="B119" s="27"/>
      <c r="C119" s="26"/>
      <c r="D119" s="27"/>
      <c r="E119" s="27"/>
      <c r="F119" s="27"/>
      <c r="G119" s="28"/>
      <c r="H119" s="28"/>
      <c r="I119" s="27"/>
      <c r="J119" s="28"/>
      <c r="K119" s="28"/>
      <c r="L119" s="26"/>
      <c r="M119" s="26"/>
      <c r="N119" s="27"/>
      <c r="O119" s="27"/>
      <c r="P119" s="54" t="str">
        <f aca="true">IF(OR(C119="",H119="",I119="Completed",I119="Cancelled"),"",IF(H119&lt;TODAY(),"Overdue",""))</f>
        <v/>
      </c>
      <c r="Q119" s="0" t="str">
        <f aca="false">IF(AND(C119&lt;&gt;"",I119&lt;&gt;"Cancelled",OR(AND(N(J119)&gt;'Weekly Report'!$C$5,N(J119)&lt;='Weekly Report'!$C$4),AND(N(K119)&gt;'Weekly Report'!$C$5,N(K119)&lt;='Weekly Report'!$C$4))),COUNT(Q$4:Q118)+1,"")</f>
        <v/>
      </c>
      <c r="R119" s="0" t="str">
        <f aca="false">IF(AND(C119&lt;&gt;"",I119="In Progress"),COUNT(R$4:R118)+1,"")</f>
        <v/>
      </c>
      <c r="S119" s="0" t="str">
        <f aca="false">IF(AND(C119&lt;&gt;"",I119&lt;&gt;"Completed",I119&lt;&gt;"Cancelled",OR(I119="Blocked",M119&lt;&gt;"")),COUNT(S$4:S118)+1,"")</f>
        <v/>
      </c>
      <c r="T119" s="0" t="str">
        <f aca="false">IF(AND(C119&lt;&gt;"",I119&lt;&gt;"Completed",I119&lt;&gt;"Cancelled",OR(O119="Yes",AND(N(H119)&gt;'Weekly Report'!$C$4,N(H119)&lt;='Weekly Report'!$C$4+7))),COUNT(T$4:T118)+1,"")</f>
        <v/>
      </c>
    </row>
    <row r="120" customFormat="false" ht="15" hidden="false" customHeight="false" outlineLevel="0" collapsed="false">
      <c r="A120" s="53" t="s">
        <v>242</v>
      </c>
      <c r="B120" s="27"/>
      <c r="C120" s="26"/>
      <c r="D120" s="27"/>
      <c r="E120" s="27"/>
      <c r="F120" s="27"/>
      <c r="G120" s="28"/>
      <c r="H120" s="28"/>
      <c r="I120" s="27"/>
      <c r="J120" s="28"/>
      <c r="K120" s="28"/>
      <c r="L120" s="26"/>
      <c r="M120" s="26"/>
      <c r="N120" s="27"/>
      <c r="O120" s="27"/>
      <c r="P120" s="54" t="str">
        <f aca="true">IF(OR(C120="",H120="",I120="Completed",I120="Cancelled"),"",IF(H120&lt;TODAY(),"Overdue",""))</f>
        <v/>
      </c>
      <c r="Q120" s="0" t="str">
        <f aca="false">IF(AND(C120&lt;&gt;"",I120&lt;&gt;"Cancelled",OR(AND(N(J120)&gt;'Weekly Report'!$C$5,N(J120)&lt;='Weekly Report'!$C$4),AND(N(K120)&gt;'Weekly Report'!$C$5,N(K120)&lt;='Weekly Report'!$C$4))),COUNT(Q$4:Q119)+1,"")</f>
        <v/>
      </c>
      <c r="R120" s="0" t="str">
        <f aca="false">IF(AND(C120&lt;&gt;"",I120="In Progress"),COUNT(R$4:R119)+1,"")</f>
        <v/>
      </c>
      <c r="S120" s="0" t="str">
        <f aca="false">IF(AND(C120&lt;&gt;"",I120&lt;&gt;"Completed",I120&lt;&gt;"Cancelled",OR(I120="Blocked",M120&lt;&gt;"")),COUNT(S$4:S119)+1,"")</f>
        <v/>
      </c>
      <c r="T120" s="0" t="str">
        <f aca="false">IF(AND(C120&lt;&gt;"",I120&lt;&gt;"Completed",I120&lt;&gt;"Cancelled",OR(O120="Yes",AND(N(H120)&gt;'Weekly Report'!$C$4,N(H120)&lt;='Weekly Report'!$C$4+7))),COUNT(T$4:T119)+1,"")</f>
        <v/>
      </c>
    </row>
    <row r="121" customFormat="false" ht="15" hidden="false" customHeight="false" outlineLevel="0" collapsed="false">
      <c r="A121" s="53" t="s">
        <v>243</v>
      </c>
      <c r="B121" s="27"/>
      <c r="C121" s="26"/>
      <c r="D121" s="27"/>
      <c r="E121" s="27"/>
      <c r="F121" s="27"/>
      <c r="G121" s="28"/>
      <c r="H121" s="28"/>
      <c r="I121" s="27"/>
      <c r="J121" s="28"/>
      <c r="K121" s="28"/>
      <c r="L121" s="26"/>
      <c r="M121" s="26"/>
      <c r="N121" s="27"/>
      <c r="O121" s="27"/>
      <c r="P121" s="54" t="str">
        <f aca="true">IF(OR(C121="",H121="",I121="Completed",I121="Cancelled"),"",IF(H121&lt;TODAY(),"Overdue",""))</f>
        <v/>
      </c>
      <c r="Q121" s="0" t="str">
        <f aca="false">IF(AND(C121&lt;&gt;"",I121&lt;&gt;"Cancelled",OR(AND(N(J121)&gt;'Weekly Report'!$C$5,N(J121)&lt;='Weekly Report'!$C$4),AND(N(K121)&gt;'Weekly Report'!$C$5,N(K121)&lt;='Weekly Report'!$C$4))),COUNT(Q$4:Q120)+1,"")</f>
        <v/>
      </c>
      <c r="R121" s="0" t="str">
        <f aca="false">IF(AND(C121&lt;&gt;"",I121="In Progress"),COUNT(R$4:R120)+1,"")</f>
        <v/>
      </c>
      <c r="S121" s="0" t="str">
        <f aca="false">IF(AND(C121&lt;&gt;"",I121&lt;&gt;"Completed",I121&lt;&gt;"Cancelled",OR(I121="Blocked",M121&lt;&gt;"")),COUNT(S$4:S120)+1,"")</f>
        <v/>
      </c>
      <c r="T121" s="0" t="str">
        <f aca="false">IF(AND(C121&lt;&gt;"",I121&lt;&gt;"Completed",I121&lt;&gt;"Cancelled",OR(O121="Yes",AND(N(H121)&gt;'Weekly Report'!$C$4,N(H121)&lt;='Weekly Report'!$C$4+7))),COUNT(T$4:T120)+1,"")</f>
        <v/>
      </c>
    </row>
    <row r="122" customFormat="false" ht="15" hidden="false" customHeight="false" outlineLevel="0" collapsed="false">
      <c r="A122" s="53" t="s">
        <v>244</v>
      </c>
      <c r="B122" s="27"/>
      <c r="C122" s="26"/>
      <c r="D122" s="27"/>
      <c r="E122" s="27"/>
      <c r="F122" s="27"/>
      <c r="G122" s="28"/>
      <c r="H122" s="28"/>
      <c r="I122" s="27"/>
      <c r="J122" s="28"/>
      <c r="K122" s="28"/>
      <c r="L122" s="26"/>
      <c r="M122" s="26"/>
      <c r="N122" s="27"/>
      <c r="O122" s="27"/>
      <c r="P122" s="54" t="str">
        <f aca="true">IF(OR(C122="",H122="",I122="Completed",I122="Cancelled"),"",IF(H122&lt;TODAY(),"Overdue",""))</f>
        <v/>
      </c>
      <c r="Q122" s="0" t="str">
        <f aca="false">IF(AND(C122&lt;&gt;"",I122&lt;&gt;"Cancelled",OR(AND(N(J122)&gt;'Weekly Report'!$C$5,N(J122)&lt;='Weekly Report'!$C$4),AND(N(K122)&gt;'Weekly Report'!$C$5,N(K122)&lt;='Weekly Report'!$C$4))),COUNT(Q$4:Q121)+1,"")</f>
        <v/>
      </c>
      <c r="R122" s="0" t="str">
        <f aca="false">IF(AND(C122&lt;&gt;"",I122="In Progress"),COUNT(R$4:R121)+1,"")</f>
        <v/>
      </c>
      <c r="S122" s="0" t="str">
        <f aca="false">IF(AND(C122&lt;&gt;"",I122&lt;&gt;"Completed",I122&lt;&gt;"Cancelled",OR(I122="Blocked",M122&lt;&gt;"")),COUNT(S$4:S121)+1,"")</f>
        <v/>
      </c>
      <c r="T122" s="0" t="str">
        <f aca="false">IF(AND(C122&lt;&gt;"",I122&lt;&gt;"Completed",I122&lt;&gt;"Cancelled",OR(O122="Yes",AND(N(H122)&gt;'Weekly Report'!$C$4,N(H122)&lt;='Weekly Report'!$C$4+7))),COUNT(T$4:T121)+1,"")</f>
        <v/>
      </c>
    </row>
    <row r="123" customFormat="false" ht="15" hidden="false" customHeight="false" outlineLevel="0" collapsed="false">
      <c r="A123" s="53" t="s">
        <v>245</v>
      </c>
      <c r="B123" s="27"/>
      <c r="C123" s="26"/>
      <c r="D123" s="27"/>
      <c r="E123" s="27"/>
      <c r="F123" s="27"/>
      <c r="G123" s="28"/>
      <c r="H123" s="28"/>
      <c r="I123" s="27"/>
      <c r="J123" s="28"/>
      <c r="K123" s="28"/>
      <c r="L123" s="26"/>
      <c r="M123" s="26"/>
      <c r="N123" s="27"/>
      <c r="O123" s="27"/>
      <c r="P123" s="54" t="str">
        <f aca="true">IF(OR(C123="",H123="",I123="Completed",I123="Cancelled"),"",IF(H123&lt;TODAY(),"Overdue",""))</f>
        <v/>
      </c>
      <c r="Q123" s="0" t="str">
        <f aca="false">IF(AND(C123&lt;&gt;"",I123&lt;&gt;"Cancelled",OR(AND(N(J123)&gt;'Weekly Report'!$C$5,N(J123)&lt;='Weekly Report'!$C$4),AND(N(K123)&gt;'Weekly Report'!$C$5,N(K123)&lt;='Weekly Report'!$C$4))),COUNT(Q$4:Q122)+1,"")</f>
        <v/>
      </c>
      <c r="R123" s="0" t="str">
        <f aca="false">IF(AND(C123&lt;&gt;"",I123="In Progress"),COUNT(R$4:R122)+1,"")</f>
        <v/>
      </c>
      <c r="S123" s="0" t="str">
        <f aca="false">IF(AND(C123&lt;&gt;"",I123&lt;&gt;"Completed",I123&lt;&gt;"Cancelled",OR(I123="Blocked",M123&lt;&gt;"")),COUNT(S$4:S122)+1,"")</f>
        <v/>
      </c>
      <c r="T123" s="0" t="str">
        <f aca="false">IF(AND(C123&lt;&gt;"",I123&lt;&gt;"Completed",I123&lt;&gt;"Cancelled",OR(O123="Yes",AND(N(H123)&gt;'Weekly Report'!$C$4,N(H123)&lt;='Weekly Report'!$C$4+7))),COUNT(T$4:T122)+1,"")</f>
        <v/>
      </c>
    </row>
    <row r="124" customFormat="false" ht="15" hidden="false" customHeight="false" outlineLevel="0" collapsed="false">
      <c r="A124" s="53" t="s">
        <v>246</v>
      </c>
      <c r="B124" s="27"/>
      <c r="C124" s="26"/>
      <c r="D124" s="27"/>
      <c r="E124" s="27"/>
      <c r="F124" s="27"/>
      <c r="G124" s="28"/>
      <c r="H124" s="28"/>
      <c r="I124" s="27"/>
      <c r="J124" s="28"/>
      <c r="K124" s="28"/>
      <c r="L124" s="26"/>
      <c r="M124" s="26"/>
      <c r="N124" s="27"/>
      <c r="O124" s="27"/>
      <c r="P124" s="54" t="str">
        <f aca="true">IF(OR(C124="",H124="",I124="Completed",I124="Cancelled"),"",IF(H124&lt;TODAY(),"Overdue",""))</f>
        <v/>
      </c>
      <c r="Q124" s="0" t="str">
        <f aca="false">IF(AND(C124&lt;&gt;"",I124&lt;&gt;"Cancelled",OR(AND(N(J124)&gt;'Weekly Report'!$C$5,N(J124)&lt;='Weekly Report'!$C$4),AND(N(K124)&gt;'Weekly Report'!$C$5,N(K124)&lt;='Weekly Report'!$C$4))),COUNT(Q$4:Q123)+1,"")</f>
        <v/>
      </c>
      <c r="R124" s="0" t="str">
        <f aca="false">IF(AND(C124&lt;&gt;"",I124="In Progress"),COUNT(R$4:R123)+1,"")</f>
        <v/>
      </c>
      <c r="S124" s="0" t="str">
        <f aca="false">IF(AND(C124&lt;&gt;"",I124&lt;&gt;"Completed",I124&lt;&gt;"Cancelled",OR(I124="Blocked",M124&lt;&gt;"")),COUNT(S$4:S123)+1,"")</f>
        <v/>
      </c>
      <c r="T124" s="0" t="str">
        <f aca="false">IF(AND(C124&lt;&gt;"",I124&lt;&gt;"Completed",I124&lt;&gt;"Cancelled",OR(O124="Yes",AND(N(H124)&gt;'Weekly Report'!$C$4,N(H124)&lt;='Weekly Report'!$C$4+7))),COUNT(T$4:T123)+1,"")</f>
        <v/>
      </c>
    </row>
    <row r="125" customFormat="false" ht="15" hidden="false" customHeight="false" outlineLevel="0" collapsed="false">
      <c r="A125" s="53" t="s">
        <v>247</v>
      </c>
      <c r="B125" s="27"/>
      <c r="C125" s="26"/>
      <c r="D125" s="27"/>
      <c r="E125" s="27"/>
      <c r="F125" s="27"/>
      <c r="G125" s="28"/>
      <c r="H125" s="28"/>
      <c r="I125" s="27"/>
      <c r="J125" s="28"/>
      <c r="K125" s="28"/>
      <c r="L125" s="26"/>
      <c r="M125" s="26"/>
      <c r="N125" s="27"/>
      <c r="O125" s="27"/>
      <c r="P125" s="54" t="str">
        <f aca="true">IF(OR(C125="",H125="",I125="Completed",I125="Cancelled"),"",IF(H125&lt;TODAY(),"Overdue",""))</f>
        <v/>
      </c>
      <c r="Q125" s="0" t="str">
        <f aca="false">IF(AND(C125&lt;&gt;"",I125&lt;&gt;"Cancelled",OR(AND(N(J125)&gt;'Weekly Report'!$C$5,N(J125)&lt;='Weekly Report'!$C$4),AND(N(K125)&gt;'Weekly Report'!$C$5,N(K125)&lt;='Weekly Report'!$C$4))),COUNT(Q$4:Q124)+1,"")</f>
        <v/>
      </c>
      <c r="R125" s="0" t="str">
        <f aca="false">IF(AND(C125&lt;&gt;"",I125="In Progress"),COUNT(R$4:R124)+1,"")</f>
        <v/>
      </c>
      <c r="S125" s="0" t="str">
        <f aca="false">IF(AND(C125&lt;&gt;"",I125&lt;&gt;"Completed",I125&lt;&gt;"Cancelled",OR(I125="Blocked",M125&lt;&gt;"")),COUNT(S$4:S124)+1,"")</f>
        <v/>
      </c>
      <c r="T125" s="0" t="str">
        <f aca="false">IF(AND(C125&lt;&gt;"",I125&lt;&gt;"Completed",I125&lt;&gt;"Cancelled",OR(O125="Yes",AND(N(H125)&gt;'Weekly Report'!$C$4,N(H125)&lt;='Weekly Report'!$C$4+7))),COUNT(T$4:T124)+1,"")</f>
        <v/>
      </c>
    </row>
    <row r="126" customFormat="false" ht="15" hidden="false" customHeight="false" outlineLevel="0" collapsed="false">
      <c r="A126" s="53" t="s">
        <v>248</v>
      </c>
      <c r="B126" s="27"/>
      <c r="C126" s="26"/>
      <c r="D126" s="27"/>
      <c r="E126" s="27"/>
      <c r="F126" s="27"/>
      <c r="G126" s="28"/>
      <c r="H126" s="28"/>
      <c r="I126" s="27"/>
      <c r="J126" s="28"/>
      <c r="K126" s="28"/>
      <c r="L126" s="26"/>
      <c r="M126" s="26"/>
      <c r="N126" s="27"/>
      <c r="O126" s="27"/>
      <c r="P126" s="54" t="str">
        <f aca="true">IF(OR(C126="",H126="",I126="Completed",I126="Cancelled"),"",IF(H126&lt;TODAY(),"Overdue",""))</f>
        <v/>
      </c>
      <c r="Q126" s="0" t="str">
        <f aca="false">IF(AND(C126&lt;&gt;"",I126&lt;&gt;"Cancelled",OR(AND(N(J126)&gt;'Weekly Report'!$C$5,N(J126)&lt;='Weekly Report'!$C$4),AND(N(K126)&gt;'Weekly Report'!$C$5,N(K126)&lt;='Weekly Report'!$C$4))),COUNT(Q$4:Q125)+1,"")</f>
        <v/>
      </c>
      <c r="R126" s="0" t="str">
        <f aca="false">IF(AND(C126&lt;&gt;"",I126="In Progress"),COUNT(R$4:R125)+1,"")</f>
        <v/>
      </c>
      <c r="S126" s="0" t="str">
        <f aca="false">IF(AND(C126&lt;&gt;"",I126&lt;&gt;"Completed",I126&lt;&gt;"Cancelled",OR(I126="Blocked",M126&lt;&gt;"")),COUNT(S$4:S125)+1,"")</f>
        <v/>
      </c>
      <c r="T126" s="0" t="str">
        <f aca="false">IF(AND(C126&lt;&gt;"",I126&lt;&gt;"Completed",I126&lt;&gt;"Cancelled",OR(O126="Yes",AND(N(H126)&gt;'Weekly Report'!$C$4,N(H126)&lt;='Weekly Report'!$C$4+7))),COUNT(T$4:T125)+1,"")</f>
        <v/>
      </c>
    </row>
    <row r="127" customFormat="false" ht="15" hidden="false" customHeight="false" outlineLevel="0" collapsed="false">
      <c r="A127" s="53" t="s">
        <v>249</v>
      </c>
      <c r="B127" s="27"/>
      <c r="C127" s="26"/>
      <c r="D127" s="27"/>
      <c r="E127" s="27"/>
      <c r="F127" s="27"/>
      <c r="G127" s="28"/>
      <c r="H127" s="28"/>
      <c r="I127" s="27"/>
      <c r="J127" s="28"/>
      <c r="K127" s="28"/>
      <c r="L127" s="26"/>
      <c r="M127" s="26"/>
      <c r="N127" s="27"/>
      <c r="O127" s="27"/>
      <c r="P127" s="54" t="str">
        <f aca="true">IF(OR(C127="",H127="",I127="Completed",I127="Cancelled"),"",IF(H127&lt;TODAY(),"Overdue",""))</f>
        <v/>
      </c>
      <c r="Q127" s="0" t="str">
        <f aca="false">IF(AND(C127&lt;&gt;"",I127&lt;&gt;"Cancelled",OR(AND(N(J127)&gt;'Weekly Report'!$C$5,N(J127)&lt;='Weekly Report'!$C$4),AND(N(K127)&gt;'Weekly Report'!$C$5,N(K127)&lt;='Weekly Report'!$C$4))),COUNT(Q$4:Q126)+1,"")</f>
        <v/>
      </c>
      <c r="R127" s="0" t="str">
        <f aca="false">IF(AND(C127&lt;&gt;"",I127="In Progress"),COUNT(R$4:R126)+1,"")</f>
        <v/>
      </c>
      <c r="S127" s="0" t="str">
        <f aca="false">IF(AND(C127&lt;&gt;"",I127&lt;&gt;"Completed",I127&lt;&gt;"Cancelled",OR(I127="Blocked",M127&lt;&gt;"")),COUNT(S$4:S126)+1,"")</f>
        <v/>
      </c>
      <c r="T127" s="0" t="str">
        <f aca="false">IF(AND(C127&lt;&gt;"",I127&lt;&gt;"Completed",I127&lt;&gt;"Cancelled",OR(O127="Yes",AND(N(H127)&gt;'Weekly Report'!$C$4,N(H127)&lt;='Weekly Report'!$C$4+7))),COUNT(T$4:T126)+1,"")</f>
        <v/>
      </c>
    </row>
    <row r="128" customFormat="false" ht="15" hidden="false" customHeight="false" outlineLevel="0" collapsed="false">
      <c r="A128" s="53" t="s">
        <v>250</v>
      </c>
      <c r="B128" s="27"/>
      <c r="C128" s="26"/>
      <c r="D128" s="27"/>
      <c r="E128" s="27"/>
      <c r="F128" s="27"/>
      <c r="G128" s="28"/>
      <c r="H128" s="28"/>
      <c r="I128" s="27"/>
      <c r="J128" s="28"/>
      <c r="K128" s="28"/>
      <c r="L128" s="26"/>
      <c r="M128" s="26"/>
      <c r="N128" s="27"/>
      <c r="O128" s="27"/>
      <c r="P128" s="54" t="str">
        <f aca="true">IF(OR(C128="",H128="",I128="Completed",I128="Cancelled"),"",IF(H128&lt;TODAY(),"Overdue",""))</f>
        <v/>
      </c>
      <c r="Q128" s="0" t="str">
        <f aca="false">IF(AND(C128&lt;&gt;"",I128&lt;&gt;"Cancelled",OR(AND(N(J128)&gt;'Weekly Report'!$C$5,N(J128)&lt;='Weekly Report'!$C$4),AND(N(K128)&gt;'Weekly Report'!$C$5,N(K128)&lt;='Weekly Report'!$C$4))),COUNT(Q$4:Q127)+1,"")</f>
        <v/>
      </c>
      <c r="R128" s="0" t="str">
        <f aca="false">IF(AND(C128&lt;&gt;"",I128="In Progress"),COUNT(R$4:R127)+1,"")</f>
        <v/>
      </c>
      <c r="S128" s="0" t="str">
        <f aca="false">IF(AND(C128&lt;&gt;"",I128&lt;&gt;"Completed",I128&lt;&gt;"Cancelled",OR(I128="Blocked",M128&lt;&gt;"")),COUNT(S$4:S127)+1,"")</f>
        <v/>
      </c>
      <c r="T128" s="0" t="str">
        <f aca="false">IF(AND(C128&lt;&gt;"",I128&lt;&gt;"Completed",I128&lt;&gt;"Cancelled",OR(O128="Yes",AND(N(H128)&gt;'Weekly Report'!$C$4,N(H128)&lt;='Weekly Report'!$C$4+7))),COUNT(T$4:T127)+1,"")</f>
        <v/>
      </c>
    </row>
    <row r="129" customFormat="false" ht="15" hidden="false" customHeight="false" outlineLevel="0" collapsed="false">
      <c r="A129" s="53" t="s">
        <v>251</v>
      </c>
      <c r="B129" s="27"/>
      <c r="C129" s="26"/>
      <c r="D129" s="27"/>
      <c r="E129" s="27"/>
      <c r="F129" s="27"/>
      <c r="G129" s="28"/>
      <c r="H129" s="28"/>
      <c r="I129" s="27"/>
      <c r="J129" s="28"/>
      <c r="K129" s="28"/>
      <c r="L129" s="26"/>
      <c r="M129" s="26"/>
      <c r="N129" s="27"/>
      <c r="O129" s="27"/>
      <c r="P129" s="54" t="str">
        <f aca="true">IF(OR(C129="",H129="",I129="Completed",I129="Cancelled"),"",IF(H129&lt;TODAY(),"Overdue",""))</f>
        <v/>
      </c>
      <c r="Q129" s="0" t="str">
        <f aca="false">IF(AND(C129&lt;&gt;"",I129&lt;&gt;"Cancelled",OR(AND(N(J129)&gt;'Weekly Report'!$C$5,N(J129)&lt;='Weekly Report'!$C$4),AND(N(K129)&gt;'Weekly Report'!$C$5,N(K129)&lt;='Weekly Report'!$C$4))),COUNT(Q$4:Q128)+1,"")</f>
        <v/>
      </c>
      <c r="R129" s="0" t="str">
        <f aca="false">IF(AND(C129&lt;&gt;"",I129="In Progress"),COUNT(R$4:R128)+1,"")</f>
        <v/>
      </c>
      <c r="S129" s="0" t="str">
        <f aca="false">IF(AND(C129&lt;&gt;"",I129&lt;&gt;"Completed",I129&lt;&gt;"Cancelled",OR(I129="Blocked",M129&lt;&gt;"")),COUNT(S$4:S128)+1,"")</f>
        <v/>
      </c>
      <c r="T129" s="0" t="str">
        <f aca="false">IF(AND(C129&lt;&gt;"",I129&lt;&gt;"Completed",I129&lt;&gt;"Cancelled",OR(O129="Yes",AND(N(H129)&gt;'Weekly Report'!$C$4,N(H129)&lt;='Weekly Report'!$C$4+7))),COUNT(T$4:T128)+1,"")</f>
        <v/>
      </c>
    </row>
    <row r="130" customFormat="false" ht="15" hidden="false" customHeight="false" outlineLevel="0" collapsed="false">
      <c r="A130" s="53" t="s">
        <v>252</v>
      </c>
      <c r="B130" s="27"/>
      <c r="C130" s="26"/>
      <c r="D130" s="27"/>
      <c r="E130" s="27"/>
      <c r="F130" s="27"/>
      <c r="G130" s="28"/>
      <c r="H130" s="28"/>
      <c r="I130" s="27"/>
      <c r="J130" s="28"/>
      <c r="K130" s="28"/>
      <c r="L130" s="26"/>
      <c r="M130" s="26"/>
      <c r="N130" s="27"/>
      <c r="O130" s="27"/>
      <c r="P130" s="54" t="str">
        <f aca="true">IF(OR(C130="",H130="",I130="Completed",I130="Cancelled"),"",IF(H130&lt;TODAY(),"Overdue",""))</f>
        <v/>
      </c>
      <c r="Q130" s="0" t="str">
        <f aca="false">IF(AND(C130&lt;&gt;"",I130&lt;&gt;"Cancelled",OR(AND(N(J130)&gt;'Weekly Report'!$C$5,N(J130)&lt;='Weekly Report'!$C$4),AND(N(K130)&gt;'Weekly Report'!$C$5,N(K130)&lt;='Weekly Report'!$C$4))),COUNT(Q$4:Q129)+1,"")</f>
        <v/>
      </c>
      <c r="R130" s="0" t="str">
        <f aca="false">IF(AND(C130&lt;&gt;"",I130="In Progress"),COUNT(R$4:R129)+1,"")</f>
        <v/>
      </c>
      <c r="S130" s="0" t="str">
        <f aca="false">IF(AND(C130&lt;&gt;"",I130&lt;&gt;"Completed",I130&lt;&gt;"Cancelled",OR(I130="Blocked",M130&lt;&gt;"")),COUNT(S$4:S129)+1,"")</f>
        <v/>
      </c>
      <c r="T130" s="0" t="str">
        <f aca="false">IF(AND(C130&lt;&gt;"",I130&lt;&gt;"Completed",I130&lt;&gt;"Cancelled",OR(O130="Yes",AND(N(H130)&gt;'Weekly Report'!$C$4,N(H130)&lt;='Weekly Report'!$C$4+7))),COUNT(T$4:T129)+1,"")</f>
        <v/>
      </c>
    </row>
    <row r="131" customFormat="false" ht="15" hidden="false" customHeight="false" outlineLevel="0" collapsed="false">
      <c r="A131" s="53" t="s">
        <v>253</v>
      </c>
      <c r="B131" s="27"/>
      <c r="C131" s="26"/>
      <c r="D131" s="27"/>
      <c r="E131" s="27"/>
      <c r="F131" s="27"/>
      <c r="G131" s="28"/>
      <c r="H131" s="28"/>
      <c r="I131" s="27"/>
      <c r="J131" s="28"/>
      <c r="K131" s="28"/>
      <c r="L131" s="26"/>
      <c r="M131" s="26"/>
      <c r="N131" s="27"/>
      <c r="O131" s="27"/>
      <c r="P131" s="54" t="str">
        <f aca="true">IF(OR(C131="",H131="",I131="Completed",I131="Cancelled"),"",IF(H131&lt;TODAY(),"Overdue",""))</f>
        <v/>
      </c>
      <c r="Q131" s="0" t="str">
        <f aca="false">IF(AND(C131&lt;&gt;"",I131&lt;&gt;"Cancelled",OR(AND(N(J131)&gt;'Weekly Report'!$C$5,N(J131)&lt;='Weekly Report'!$C$4),AND(N(K131)&gt;'Weekly Report'!$C$5,N(K131)&lt;='Weekly Report'!$C$4))),COUNT(Q$4:Q130)+1,"")</f>
        <v/>
      </c>
      <c r="R131" s="0" t="str">
        <f aca="false">IF(AND(C131&lt;&gt;"",I131="In Progress"),COUNT(R$4:R130)+1,"")</f>
        <v/>
      </c>
      <c r="S131" s="0" t="str">
        <f aca="false">IF(AND(C131&lt;&gt;"",I131&lt;&gt;"Completed",I131&lt;&gt;"Cancelled",OR(I131="Blocked",M131&lt;&gt;"")),COUNT(S$4:S130)+1,"")</f>
        <v/>
      </c>
      <c r="T131" s="0" t="str">
        <f aca="false">IF(AND(C131&lt;&gt;"",I131&lt;&gt;"Completed",I131&lt;&gt;"Cancelled",OR(O131="Yes",AND(N(H131)&gt;'Weekly Report'!$C$4,N(H131)&lt;='Weekly Report'!$C$4+7))),COUNT(T$4:T130)+1,"")</f>
        <v/>
      </c>
    </row>
    <row r="132" customFormat="false" ht="15" hidden="false" customHeight="false" outlineLevel="0" collapsed="false">
      <c r="A132" s="53" t="s">
        <v>254</v>
      </c>
      <c r="B132" s="27"/>
      <c r="C132" s="26"/>
      <c r="D132" s="27"/>
      <c r="E132" s="27"/>
      <c r="F132" s="27"/>
      <c r="G132" s="28"/>
      <c r="H132" s="28"/>
      <c r="I132" s="27"/>
      <c r="J132" s="28"/>
      <c r="K132" s="28"/>
      <c r="L132" s="26"/>
      <c r="M132" s="26"/>
      <c r="N132" s="27"/>
      <c r="O132" s="27"/>
      <c r="P132" s="54" t="str">
        <f aca="true">IF(OR(C132="",H132="",I132="Completed",I132="Cancelled"),"",IF(H132&lt;TODAY(),"Overdue",""))</f>
        <v/>
      </c>
      <c r="Q132" s="0" t="str">
        <f aca="false">IF(AND(C132&lt;&gt;"",I132&lt;&gt;"Cancelled",OR(AND(N(J132)&gt;'Weekly Report'!$C$5,N(J132)&lt;='Weekly Report'!$C$4),AND(N(K132)&gt;'Weekly Report'!$C$5,N(K132)&lt;='Weekly Report'!$C$4))),COUNT(Q$4:Q131)+1,"")</f>
        <v/>
      </c>
      <c r="R132" s="0" t="str">
        <f aca="false">IF(AND(C132&lt;&gt;"",I132="In Progress"),COUNT(R$4:R131)+1,"")</f>
        <v/>
      </c>
      <c r="S132" s="0" t="str">
        <f aca="false">IF(AND(C132&lt;&gt;"",I132&lt;&gt;"Completed",I132&lt;&gt;"Cancelled",OR(I132="Blocked",M132&lt;&gt;"")),COUNT(S$4:S131)+1,"")</f>
        <v/>
      </c>
      <c r="T132" s="0" t="str">
        <f aca="false">IF(AND(C132&lt;&gt;"",I132&lt;&gt;"Completed",I132&lt;&gt;"Cancelled",OR(O132="Yes",AND(N(H132)&gt;'Weekly Report'!$C$4,N(H132)&lt;='Weekly Report'!$C$4+7))),COUNT(T$4:T131)+1,"")</f>
        <v/>
      </c>
    </row>
    <row r="133" customFormat="false" ht="15" hidden="false" customHeight="false" outlineLevel="0" collapsed="false">
      <c r="A133" s="53" t="s">
        <v>255</v>
      </c>
      <c r="B133" s="27"/>
      <c r="C133" s="26"/>
      <c r="D133" s="27"/>
      <c r="E133" s="27"/>
      <c r="F133" s="27"/>
      <c r="G133" s="28"/>
      <c r="H133" s="28"/>
      <c r="I133" s="27"/>
      <c r="J133" s="28"/>
      <c r="K133" s="28"/>
      <c r="L133" s="26"/>
      <c r="M133" s="26"/>
      <c r="N133" s="27"/>
      <c r="O133" s="27"/>
      <c r="P133" s="54" t="str">
        <f aca="true">IF(OR(C133="",H133="",I133="Completed",I133="Cancelled"),"",IF(H133&lt;TODAY(),"Overdue",""))</f>
        <v/>
      </c>
      <c r="Q133" s="0" t="str">
        <f aca="false">IF(AND(C133&lt;&gt;"",I133&lt;&gt;"Cancelled",OR(AND(N(J133)&gt;'Weekly Report'!$C$5,N(J133)&lt;='Weekly Report'!$C$4),AND(N(K133)&gt;'Weekly Report'!$C$5,N(K133)&lt;='Weekly Report'!$C$4))),COUNT(Q$4:Q132)+1,"")</f>
        <v/>
      </c>
      <c r="R133" s="0" t="str">
        <f aca="false">IF(AND(C133&lt;&gt;"",I133="In Progress"),COUNT(R$4:R132)+1,"")</f>
        <v/>
      </c>
      <c r="S133" s="0" t="str">
        <f aca="false">IF(AND(C133&lt;&gt;"",I133&lt;&gt;"Completed",I133&lt;&gt;"Cancelled",OR(I133="Blocked",M133&lt;&gt;"")),COUNT(S$4:S132)+1,"")</f>
        <v/>
      </c>
      <c r="T133" s="0" t="str">
        <f aca="false">IF(AND(C133&lt;&gt;"",I133&lt;&gt;"Completed",I133&lt;&gt;"Cancelled",OR(O133="Yes",AND(N(H133)&gt;'Weekly Report'!$C$4,N(H133)&lt;='Weekly Report'!$C$4+7))),COUNT(T$4:T132)+1,"")</f>
        <v/>
      </c>
    </row>
    <row r="134" customFormat="false" ht="15" hidden="false" customHeight="false" outlineLevel="0" collapsed="false">
      <c r="A134" s="53" t="s">
        <v>256</v>
      </c>
      <c r="B134" s="27"/>
      <c r="C134" s="26"/>
      <c r="D134" s="27"/>
      <c r="E134" s="27"/>
      <c r="F134" s="27"/>
      <c r="G134" s="28"/>
      <c r="H134" s="28"/>
      <c r="I134" s="27"/>
      <c r="J134" s="28"/>
      <c r="K134" s="28"/>
      <c r="L134" s="26"/>
      <c r="M134" s="26"/>
      <c r="N134" s="27"/>
      <c r="O134" s="27"/>
      <c r="P134" s="54" t="str">
        <f aca="true">IF(OR(C134="",H134="",I134="Completed",I134="Cancelled"),"",IF(H134&lt;TODAY(),"Overdue",""))</f>
        <v/>
      </c>
      <c r="Q134" s="0" t="str">
        <f aca="false">IF(AND(C134&lt;&gt;"",I134&lt;&gt;"Cancelled",OR(AND(N(J134)&gt;'Weekly Report'!$C$5,N(J134)&lt;='Weekly Report'!$C$4),AND(N(K134)&gt;'Weekly Report'!$C$5,N(K134)&lt;='Weekly Report'!$C$4))),COUNT(Q$4:Q133)+1,"")</f>
        <v/>
      </c>
      <c r="R134" s="0" t="str">
        <f aca="false">IF(AND(C134&lt;&gt;"",I134="In Progress"),COUNT(R$4:R133)+1,"")</f>
        <v/>
      </c>
      <c r="S134" s="0" t="str">
        <f aca="false">IF(AND(C134&lt;&gt;"",I134&lt;&gt;"Completed",I134&lt;&gt;"Cancelled",OR(I134="Blocked",M134&lt;&gt;"")),COUNT(S$4:S133)+1,"")</f>
        <v/>
      </c>
      <c r="T134" s="0" t="str">
        <f aca="false">IF(AND(C134&lt;&gt;"",I134&lt;&gt;"Completed",I134&lt;&gt;"Cancelled",OR(O134="Yes",AND(N(H134)&gt;'Weekly Report'!$C$4,N(H134)&lt;='Weekly Report'!$C$4+7))),COUNT(T$4:T133)+1,"")</f>
        <v/>
      </c>
    </row>
    <row r="135" customFormat="false" ht="15" hidden="false" customHeight="false" outlineLevel="0" collapsed="false">
      <c r="A135" s="53" t="s">
        <v>257</v>
      </c>
      <c r="B135" s="27"/>
      <c r="C135" s="26"/>
      <c r="D135" s="27"/>
      <c r="E135" s="27"/>
      <c r="F135" s="27"/>
      <c r="G135" s="28"/>
      <c r="H135" s="28"/>
      <c r="I135" s="27"/>
      <c r="J135" s="28"/>
      <c r="K135" s="28"/>
      <c r="L135" s="26"/>
      <c r="M135" s="26"/>
      <c r="N135" s="27"/>
      <c r="O135" s="27"/>
      <c r="P135" s="54" t="str">
        <f aca="true">IF(OR(C135="",H135="",I135="Completed",I135="Cancelled"),"",IF(H135&lt;TODAY(),"Overdue",""))</f>
        <v/>
      </c>
      <c r="Q135" s="0" t="str">
        <f aca="false">IF(AND(C135&lt;&gt;"",I135&lt;&gt;"Cancelled",OR(AND(N(J135)&gt;'Weekly Report'!$C$5,N(J135)&lt;='Weekly Report'!$C$4),AND(N(K135)&gt;'Weekly Report'!$C$5,N(K135)&lt;='Weekly Report'!$C$4))),COUNT(Q$4:Q134)+1,"")</f>
        <v/>
      </c>
      <c r="R135" s="0" t="str">
        <f aca="false">IF(AND(C135&lt;&gt;"",I135="In Progress"),COUNT(R$4:R134)+1,"")</f>
        <v/>
      </c>
      <c r="S135" s="0" t="str">
        <f aca="false">IF(AND(C135&lt;&gt;"",I135&lt;&gt;"Completed",I135&lt;&gt;"Cancelled",OR(I135="Blocked",M135&lt;&gt;"")),COUNT(S$4:S134)+1,"")</f>
        <v/>
      </c>
      <c r="T135" s="0" t="str">
        <f aca="false">IF(AND(C135&lt;&gt;"",I135&lt;&gt;"Completed",I135&lt;&gt;"Cancelled",OR(O135="Yes",AND(N(H135)&gt;'Weekly Report'!$C$4,N(H135)&lt;='Weekly Report'!$C$4+7))),COUNT(T$4:T134)+1,"")</f>
        <v/>
      </c>
    </row>
    <row r="136" customFormat="false" ht="15" hidden="false" customHeight="false" outlineLevel="0" collapsed="false">
      <c r="A136" s="53" t="s">
        <v>258</v>
      </c>
      <c r="B136" s="27"/>
      <c r="C136" s="26"/>
      <c r="D136" s="27"/>
      <c r="E136" s="27"/>
      <c r="F136" s="27"/>
      <c r="G136" s="28"/>
      <c r="H136" s="28"/>
      <c r="I136" s="27"/>
      <c r="J136" s="28"/>
      <c r="K136" s="28"/>
      <c r="L136" s="26"/>
      <c r="M136" s="26"/>
      <c r="N136" s="27"/>
      <c r="O136" s="27"/>
      <c r="P136" s="54" t="str">
        <f aca="true">IF(OR(C136="",H136="",I136="Completed",I136="Cancelled"),"",IF(H136&lt;TODAY(),"Overdue",""))</f>
        <v/>
      </c>
      <c r="Q136" s="0" t="str">
        <f aca="false">IF(AND(C136&lt;&gt;"",I136&lt;&gt;"Cancelled",OR(AND(N(J136)&gt;'Weekly Report'!$C$5,N(J136)&lt;='Weekly Report'!$C$4),AND(N(K136)&gt;'Weekly Report'!$C$5,N(K136)&lt;='Weekly Report'!$C$4))),COUNT(Q$4:Q135)+1,"")</f>
        <v/>
      </c>
      <c r="R136" s="0" t="str">
        <f aca="false">IF(AND(C136&lt;&gt;"",I136="In Progress"),COUNT(R$4:R135)+1,"")</f>
        <v/>
      </c>
      <c r="S136" s="0" t="str">
        <f aca="false">IF(AND(C136&lt;&gt;"",I136&lt;&gt;"Completed",I136&lt;&gt;"Cancelled",OR(I136="Blocked",M136&lt;&gt;"")),COUNT(S$4:S135)+1,"")</f>
        <v/>
      </c>
      <c r="T136" s="0" t="str">
        <f aca="false">IF(AND(C136&lt;&gt;"",I136&lt;&gt;"Completed",I136&lt;&gt;"Cancelled",OR(O136="Yes",AND(N(H136)&gt;'Weekly Report'!$C$4,N(H136)&lt;='Weekly Report'!$C$4+7))),COUNT(T$4:T135)+1,"")</f>
        <v/>
      </c>
    </row>
    <row r="137" customFormat="false" ht="15" hidden="false" customHeight="false" outlineLevel="0" collapsed="false">
      <c r="A137" s="53" t="s">
        <v>259</v>
      </c>
      <c r="B137" s="27"/>
      <c r="C137" s="26"/>
      <c r="D137" s="27"/>
      <c r="E137" s="27"/>
      <c r="F137" s="27"/>
      <c r="G137" s="28"/>
      <c r="H137" s="28"/>
      <c r="I137" s="27"/>
      <c r="J137" s="28"/>
      <c r="K137" s="28"/>
      <c r="L137" s="26"/>
      <c r="M137" s="26"/>
      <c r="N137" s="27"/>
      <c r="O137" s="27"/>
      <c r="P137" s="54" t="str">
        <f aca="true">IF(OR(C137="",H137="",I137="Completed",I137="Cancelled"),"",IF(H137&lt;TODAY(),"Overdue",""))</f>
        <v/>
      </c>
      <c r="Q137" s="0" t="str">
        <f aca="false">IF(AND(C137&lt;&gt;"",I137&lt;&gt;"Cancelled",OR(AND(N(J137)&gt;'Weekly Report'!$C$5,N(J137)&lt;='Weekly Report'!$C$4),AND(N(K137)&gt;'Weekly Report'!$C$5,N(K137)&lt;='Weekly Report'!$C$4))),COUNT(Q$4:Q136)+1,"")</f>
        <v/>
      </c>
      <c r="R137" s="0" t="str">
        <f aca="false">IF(AND(C137&lt;&gt;"",I137="In Progress"),COUNT(R$4:R136)+1,"")</f>
        <v/>
      </c>
      <c r="S137" s="0" t="str">
        <f aca="false">IF(AND(C137&lt;&gt;"",I137&lt;&gt;"Completed",I137&lt;&gt;"Cancelled",OR(I137="Blocked",M137&lt;&gt;"")),COUNT(S$4:S136)+1,"")</f>
        <v/>
      </c>
      <c r="T137" s="0" t="str">
        <f aca="false">IF(AND(C137&lt;&gt;"",I137&lt;&gt;"Completed",I137&lt;&gt;"Cancelled",OR(O137="Yes",AND(N(H137)&gt;'Weekly Report'!$C$4,N(H137)&lt;='Weekly Report'!$C$4+7))),COUNT(T$4:T136)+1,"")</f>
        <v/>
      </c>
    </row>
    <row r="138" customFormat="false" ht="15" hidden="false" customHeight="false" outlineLevel="0" collapsed="false">
      <c r="A138" s="53" t="s">
        <v>260</v>
      </c>
      <c r="B138" s="27"/>
      <c r="C138" s="26"/>
      <c r="D138" s="27"/>
      <c r="E138" s="27"/>
      <c r="F138" s="27"/>
      <c r="G138" s="28"/>
      <c r="H138" s="28"/>
      <c r="I138" s="27"/>
      <c r="J138" s="28"/>
      <c r="K138" s="28"/>
      <c r="L138" s="26"/>
      <c r="M138" s="26"/>
      <c r="N138" s="27"/>
      <c r="O138" s="27"/>
      <c r="P138" s="54" t="str">
        <f aca="true">IF(OR(C138="",H138="",I138="Completed",I138="Cancelled"),"",IF(H138&lt;TODAY(),"Overdue",""))</f>
        <v/>
      </c>
      <c r="Q138" s="0" t="str">
        <f aca="false">IF(AND(C138&lt;&gt;"",I138&lt;&gt;"Cancelled",OR(AND(N(J138)&gt;'Weekly Report'!$C$5,N(J138)&lt;='Weekly Report'!$C$4),AND(N(K138)&gt;'Weekly Report'!$C$5,N(K138)&lt;='Weekly Report'!$C$4))),COUNT(Q$4:Q137)+1,"")</f>
        <v/>
      </c>
      <c r="R138" s="0" t="str">
        <f aca="false">IF(AND(C138&lt;&gt;"",I138="In Progress"),COUNT(R$4:R137)+1,"")</f>
        <v/>
      </c>
      <c r="S138" s="0" t="str">
        <f aca="false">IF(AND(C138&lt;&gt;"",I138&lt;&gt;"Completed",I138&lt;&gt;"Cancelled",OR(I138="Blocked",M138&lt;&gt;"")),COUNT(S$4:S137)+1,"")</f>
        <v/>
      </c>
      <c r="T138" s="0" t="str">
        <f aca="false">IF(AND(C138&lt;&gt;"",I138&lt;&gt;"Completed",I138&lt;&gt;"Cancelled",OR(O138="Yes",AND(N(H138)&gt;'Weekly Report'!$C$4,N(H138)&lt;='Weekly Report'!$C$4+7))),COUNT(T$4:T137)+1,"")</f>
        <v/>
      </c>
    </row>
    <row r="139" customFormat="false" ht="15" hidden="false" customHeight="false" outlineLevel="0" collapsed="false">
      <c r="A139" s="53" t="s">
        <v>261</v>
      </c>
      <c r="B139" s="27"/>
      <c r="C139" s="26"/>
      <c r="D139" s="27"/>
      <c r="E139" s="27"/>
      <c r="F139" s="27"/>
      <c r="G139" s="28"/>
      <c r="H139" s="28"/>
      <c r="I139" s="27"/>
      <c r="J139" s="28"/>
      <c r="K139" s="28"/>
      <c r="L139" s="26"/>
      <c r="M139" s="26"/>
      <c r="N139" s="27"/>
      <c r="O139" s="27"/>
      <c r="P139" s="54" t="str">
        <f aca="true">IF(OR(C139="",H139="",I139="Completed",I139="Cancelled"),"",IF(H139&lt;TODAY(),"Overdue",""))</f>
        <v/>
      </c>
      <c r="Q139" s="0" t="str">
        <f aca="false">IF(AND(C139&lt;&gt;"",I139&lt;&gt;"Cancelled",OR(AND(N(J139)&gt;'Weekly Report'!$C$5,N(J139)&lt;='Weekly Report'!$C$4),AND(N(K139)&gt;'Weekly Report'!$C$5,N(K139)&lt;='Weekly Report'!$C$4))),COUNT(Q$4:Q138)+1,"")</f>
        <v/>
      </c>
      <c r="R139" s="0" t="str">
        <f aca="false">IF(AND(C139&lt;&gt;"",I139="In Progress"),COUNT(R$4:R138)+1,"")</f>
        <v/>
      </c>
      <c r="S139" s="0" t="str">
        <f aca="false">IF(AND(C139&lt;&gt;"",I139&lt;&gt;"Completed",I139&lt;&gt;"Cancelled",OR(I139="Blocked",M139&lt;&gt;"")),COUNT(S$4:S138)+1,"")</f>
        <v/>
      </c>
      <c r="T139" s="0" t="str">
        <f aca="false">IF(AND(C139&lt;&gt;"",I139&lt;&gt;"Completed",I139&lt;&gt;"Cancelled",OR(O139="Yes",AND(N(H139)&gt;'Weekly Report'!$C$4,N(H139)&lt;='Weekly Report'!$C$4+7))),COUNT(T$4:T138)+1,"")</f>
        <v/>
      </c>
    </row>
    <row r="140" customFormat="false" ht="15" hidden="false" customHeight="false" outlineLevel="0" collapsed="false">
      <c r="A140" s="53" t="s">
        <v>262</v>
      </c>
      <c r="B140" s="27"/>
      <c r="C140" s="26"/>
      <c r="D140" s="27"/>
      <c r="E140" s="27"/>
      <c r="F140" s="27"/>
      <c r="G140" s="28"/>
      <c r="H140" s="28"/>
      <c r="I140" s="27"/>
      <c r="J140" s="28"/>
      <c r="K140" s="28"/>
      <c r="L140" s="26"/>
      <c r="M140" s="26"/>
      <c r="N140" s="27"/>
      <c r="O140" s="27"/>
      <c r="P140" s="54" t="str">
        <f aca="true">IF(OR(C140="",H140="",I140="Completed",I140="Cancelled"),"",IF(H140&lt;TODAY(),"Overdue",""))</f>
        <v/>
      </c>
      <c r="Q140" s="0" t="str">
        <f aca="false">IF(AND(C140&lt;&gt;"",I140&lt;&gt;"Cancelled",OR(AND(N(J140)&gt;'Weekly Report'!$C$5,N(J140)&lt;='Weekly Report'!$C$4),AND(N(K140)&gt;'Weekly Report'!$C$5,N(K140)&lt;='Weekly Report'!$C$4))),COUNT(Q$4:Q139)+1,"")</f>
        <v/>
      </c>
      <c r="R140" s="0" t="str">
        <f aca="false">IF(AND(C140&lt;&gt;"",I140="In Progress"),COUNT(R$4:R139)+1,"")</f>
        <v/>
      </c>
      <c r="S140" s="0" t="str">
        <f aca="false">IF(AND(C140&lt;&gt;"",I140&lt;&gt;"Completed",I140&lt;&gt;"Cancelled",OR(I140="Blocked",M140&lt;&gt;"")),COUNT(S$4:S139)+1,"")</f>
        <v/>
      </c>
      <c r="T140" s="0" t="str">
        <f aca="false">IF(AND(C140&lt;&gt;"",I140&lt;&gt;"Completed",I140&lt;&gt;"Cancelled",OR(O140="Yes",AND(N(H140)&gt;'Weekly Report'!$C$4,N(H140)&lt;='Weekly Report'!$C$4+7))),COUNT(T$4:T139)+1,"")</f>
        <v/>
      </c>
    </row>
    <row r="141" customFormat="false" ht="15" hidden="false" customHeight="false" outlineLevel="0" collapsed="false">
      <c r="A141" s="53" t="s">
        <v>263</v>
      </c>
      <c r="B141" s="27"/>
      <c r="C141" s="26"/>
      <c r="D141" s="27"/>
      <c r="E141" s="27"/>
      <c r="F141" s="27"/>
      <c r="G141" s="28"/>
      <c r="H141" s="28"/>
      <c r="I141" s="27"/>
      <c r="J141" s="28"/>
      <c r="K141" s="28"/>
      <c r="L141" s="26"/>
      <c r="M141" s="26"/>
      <c r="N141" s="27"/>
      <c r="O141" s="27"/>
      <c r="P141" s="54" t="str">
        <f aca="true">IF(OR(C141="",H141="",I141="Completed",I141="Cancelled"),"",IF(H141&lt;TODAY(),"Overdue",""))</f>
        <v/>
      </c>
      <c r="Q141" s="0" t="str">
        <f aca="false">IF(AND(C141&lt;&gt;"",I141&lt;&gt;"Cancelled",OR(AND(N(J141)&gt;'Weekly Report'!$C$5,N(J141)&lt;='Weekly Report'!$C$4),AND(N(K141)&gt;'Weekly Report'!$C$5,N(K141)&lt;='Weekly Report'!$C$4))),COUNT(Q$4:Q140)+1,"")</f>
        <v/>
      </c>
      <c r="R141" s="0" t="str">
        <f aca="false">IF(AND(C141&lt;&gt;"",I141="In Progress"),COUNT(R$4:R140)+1,"")</f>
        <v/>
      </c>
      <c r="S141" s="0" t="str">
        <f aca="false">IF(AND(C141&lt;&gt;"",I141&lt;&gt;"Completed",I141&lt;&gt;"Cancelled",OR(I141="Blocked",M141&lt;&gt;"")),COUNT(S$4:S140)+1,"")</f>
        <v/>
      </c>
      <c r="T141" s="0" t="str">
        <f aca="false">IF(AND(C141&lt;&gt;"",I141&lt;&gt;"Completed",I141&lt;&gt;"Cancelled",OR(O141="Yes",AND(N(H141)&gt;'Weekly Report'!$C$4,N(H141)&lt;='Weekly Report'!$C$4+7))),COUNT(T$4:T140)+1,"")</f>
        <v/>
      </c>
    </row>
    <row r="142" customFormat="false" ht="15" hidden="false" customHeight="false" outlineLevel="0" collapsed="false">
      <c r="A142" s="53" t="s">
        <v>264</v>
      </c>
      <c r="B142" s="27"/>
      <c r="C142" s="26"/>
      <c r="D142" s="27"/>
      <c r="E142" s="27"/>
      <c r="F142" s="27"/>
      <c r="G142" s="28"/>
      <c r="H142" s="28"/>
      <c r="I142" s="27"/>
      <c r="J142" s="28"/>
      <c r="K142" s="28"/>
      <c r="L142" s="26"/>
      <c r="M142" s="26"/>
      <c r="N142" s="27"/>
      <c r="O142" s="27"/>
      <c r="P142" s="54" t="str">
        <f aca="true">IF(OR(C142="",H142="",I142="Completed",I142="Cancelled"),"",IF(H142&lt;TODAY(),"Overdue",""))</f>
        <v/>
      </c>
      <c r="Q142" s="0" t="str">
        <f aca="false">IF(AND(C142&lt;&gt;"",I142&lt;&gt;"Cancelled",OR(AND(N(J142)&gt;'Weekly Report'!$C$5,N(J142)&lt;='Weekly Report'!$C$4),AND(N(K142)&gt;'Weekly Report'!$C$5,N(K142)&lt;='Weekly Report'!$C$4))),COUNT(Q$4:Q141)+1,"")</f>
        <v/>
      </c>
      <c r="R142" s="0" t="str">
        <f aca="false">IF(AND(C142&lt;&gt;"",I142="In Progress"),COUNT(R$4:R141)+1,"")</f>
        <v/>
      </c>
      <c r="S142" s="0" t="str">
        <f aca="false">IF(AND(C142&lt;&gt;"",I142&lt;&gt;"Completed",I142&lt;&gt;"Cancelled",OR(I142="Blocked",M142&lt;&gt;"")),COUNT(S$4:S141)+1,"")</f>
        <v/>
      </c>
      <c r="T142" s="0" t="str">
        <f aca="false">IF(AND(C142&lt;&gt;"",I142&lt;&gt;"Completed",I142&lt;&gt;"Cancelled",OR(O142="Yes",AND(N(H142)&gt;'Weekly Report'!$C$4,N(H142)&lt;='Weekly Report'!$C$4+7))),COUNT(T$4:T141)+1,"")</f>
        <v/>
      </c>
    </row>
    <row r="143" customFormat="false" ht="15" hidden="false" customHeight="false" outlineLevel="0" collapsed="false">
      <c r="A143" s="53" t="s">
        <v>265</v>
      </c>
      <c r="B143" s="27"/>
      <c r="C143" s="26"/>
      <c r="D143" s="27"/>
      <c r="E143" s="27"/>
      <c r="F143" s="27"/>
      <c r="G143" s="28"/>
      <c r="H143" s="28"/>
      <c r="I143" s="27"/>
      <c r="J143" s="28"/>
      <c r="K143" s="28"/>
      <c r="L143" s="26"/>
      <c r="M143" s="26"/>
      <c r="N143" s="27"/>
      <c r="O143" s="27"/>
      <c r="P143" s="54" t="str">
        <f aca="true">IF(OR(C143="",H143="",I143="Completed",I143="Cancelled"),"",IF(H143&lt;TODAY(),"Overdue",""))</f>
        <v/>
      </c>
      <c r="Q143" s="0" t="str">
        <f aca="false">IF(AND(C143&lt;&gt;"",I143&lt;&gt;"Cancelled",OR(AND(N(J143)&gt;'Weekly Report'!$C$5,N(J143)&lt;='Weekly Report'!$C$4),AND(N(K143)&gt;'Weekly Report'!$C$5,N(K143)&lt;='Weekly Report'!$C$4))),COUNT(Q$4:Q142)+1,"")</f>
        <v/>
      </c>
      <c r="R143" s="0" t="str">
        <f aca="false">IF(AND(C143&lt;&gt;"",I143="In Progress"),COUNT(R$4:R142)+1,"")</f>
        <v/>
      </c>
      <c r="S143" s="0" t="str">
        <f aca="false">IF(AND(C143&lt;&gt;"",I143&lt;&gt;"Completed",I143&lt;&gt;"Cancelled",OR(I143="Blocked",M143&lt;&gt;"")),COUNT(S$4:S142)+1,"")</f>
        <v/>
      </c>
      <c r="T143" s="0" t="str">
        <f aca="false">IF(AND(C143&lt;&gt;"",I143&lt;&gt;"Completed",I143&lt;&gt;"Cancelled",OR(O143="Yes",AND(N(H143)&gt;'Weekly Report'!$C$4,N(H143)&lt;='Weekly Report'!$C$4+7))),COUNT(T$4:T142)+1,"")</f>
        <v/>
      </c>
    </row>
    <row r="144" customFormat="false" ht="15" hidden="false" customHeight="false" outlineLevel="0" collapsed="false">
      <c r="A144" s="53" t="s">
        <v>266</v>
      </c>
      <c r="B144" s="27"/>
      <c r="C144" s="26"/>
      <c r="D144" s="27"/>
      <c r="E144" s="27"/>
      <c r="F144" s="27"/>
      <c r="G144" s="28"/>
      <c r="H144" s="28"/>
      <c r="I144" s="27"/>
      <c r="J144" s="28"/>
      <c r="K144" s="28"/>
      <c r="L144" s="26"/>
      <c r="M144" s="26"/>
      <c r="N144" s="27"/>
      <c r="O144" s="27"/>
      <c r="P144" s="54" t="str">
        <f aca="true">IF(OR(C144="",H144="",I144="Completed",I144="Cancelled"),"",IF(H144&lt;TODAY(),"Overdue",""))</f>
        <v/>
      </c>
      <c r="Q144" s="0" t="str">
        <f aca="false">IF(AND(C144&lt;&gt;"",I144&lt;&gt;"Cancelled",OR(AND(N(J144)&gt;'Weekly Report'!$C$5,N(J144)&lt;='Weekly Report'!$C$4),AND(N(K144)&gt;'Weekly Report'!$C$5,N(K144)&lt;='Weekly Report'!$C$4))),COUNT(Q$4:Q143)+1,"")</f>
        <v/>
      </c>
      <c r="R144" s="0" t="str">
        <f aca="false">IF(AND(C144&lt;&gt;"",I144="In Progress"),COUNT(R$4:R143)+1,"")</f>
        <v/>
      </c>
      <c r="S144" s="0" t="str">
        <f aca="false">IF(AND(C144&lt;&gt;"",I144&lt;&gt;"Completed",I144&lt;&gt;"Cancelled",OR(I144="Blocked",M144&lt;&gt;"")),COUNT(S$4:S143)+1,"")</f>
        <v/>
      </c>
      <c r="T144" s="0" t="str">
        <f aca="false">IF(AND(C144&lt;&gt;"",I144&lt;&gt;"Completed",I144&lt;&gt;"Cancelled",OR(O144="Yes",AND(N(H144)&gt;'Weekly Report'!$C$4,N(H144)&lt;='Weekly Report'!$C$4+7))),COUNT(T$4:T143)+1,"")</f>
        <v/>
      </c>
    </row>
    <row r="145" customFormat="false" ht="15" hidden="false" customHeight="false" outlineLevel="0" collapsed="false">
      <c r="A145" s="53" t="s">
        <v>267</v>
      </c>
      <c r="B145" s="27"/>
      <c r="C145" s="26"/>
      <c r="D145" s="27"/>
      <c r="E145" s="27"/>
      <c r="F145" s="27"/>
      <c r="G145" s="28"/>
      <c r="H145" s="28"/>
      <c r="I145" s="27"/>
      <c r="J145" s="28"/>
      <c r="K145" s="28"/>
      <c r="L145" s="26"/>
      <c r="M145" s="26"/>
      <c r="N145" s="27"/>
      <c r="O145" s="27"/>
      <c r="P145" s="54" t="str">
        <f aca="true">IF(OR(C145="",H145="",I145="Completed",I145="Cancelled"),"",IF(H145&lt;TODAY(),"Overdue",""))</f>
        <v/>
      </c>
      <c r="Q145" s="0" t="str">
        <f aca="false">IF(AND(C145&lt;&gt;"",I145&lt;&gt;"Cancelled",OR(AND(N(J145)&gt;'Weekly Report'!$C$5,N(J145)&lt;='Weekly Report'!$C$4),AND(N(K145)&gt;'Weekly Report'!$C$5,N(K145)&lt;='Weekly Report'!$C$4))),COUNT(Q$4:Q144)+1,"")</f>
        <v/>
      </c>
      <c r="R145" s="0" t="str">
        <f aca="false">IF(AND(C145&lt;&gt;"",I145="In Progress"),COUNT(R$4:R144)+1,"")</f>
        <v/>
      </c>
      <c r="S145" s="0" t="str">
        <f aca="false">IF(AND(C145&lt;&gt;"",I145&lt;&gt;"Completed",I145&lt;&gt;"Cancelled",OR(I145="Blocked",M145&lt;&gt;"")),COUNT(S$4:S144)+1,"")</f>
        <v/>
      </c>
      <c r="T145" s="0" t="str">
        <f aca="false">IF(AND(C145&lt;&gt;"",I145&lt;&gt;"Completed",I145&lt;&gt;"Cancelled",OR(O145="Yes",AND(N(H145)&gt;'Weekly Report'!$C$4,N(H145)&lt;='Weekly Report'!$C$4+7))),COUNT(T$4:T144)+1,"")</f>
        <v/>
      </c>
    </row>
    <row r="146" customFormat="false" ht="15" hidden="false" customHeight="false" outlineLevel="0" collapsed="false">
      <c r="A146" s="53" t="s">
        <v>268</v>
      </c>
      <c r="B146" s="27"/>
      <c r="C146" s="26"/>
      <c r="D146" s="27"/>
      <c r="E146" s="27"/>
      <c r="F146" s="27"/>
      <c r="G146" s="28"/>
      <c r="H146" s="28"/>
      <c r="I146" s="27"/>
      <c r="J146" s="28"/>
      <c r="K146" s="28"/>
      <c r="L146" s="26"/>
      <c r="M146" s="26"/>
      <c r="N146" s="27"/>
      <c r="O146" s="27"/>
      <c r="P146" s="54" t="str">
        <f aca="true">IF(OR(C146="",H146="",I146="Completed",I146="Cancelled"),"",IF(H146&lt;TODAY(),"Overdue",""))</f>
        <v/>
      </c>
      <c r="Q146" s="0" t="str">
        <f aca="false">IF(AND(C146&lt;&gt;"",I146&lt;&gt;"Cancelled",OR(AND(N(J146)&gt;'Weekly Report'!$C$5,N(J146)&lt;='Weekly Report'!$C$4),AND(N(K146)&gt;'Weekly Report'!$C$5,N(K146)&lt;='Weekly Report'!$C$4))),COUNT(Q$4:Q145)+1,"")</f>
        <v/>
      </c>
      <c r="R146" s="0" t="str">
        <f aca="false">IF(AND(C146&lt;&gt;"",I146="In Progress"),COUNT(R$4:R145)+1,"")</f>
        <v/>
      </c>
      <c r="S146" s="0" t="str">
        <f aca="false">IF(AND(C146&lt;&gt;"",I146&lt;&gt;"Completed",I146&lt;&gt;"Cancelled",OR(I146="Blocked",M146&lt;&gt;"")),COUNT(S$4:S145)+1,"")</f>
        <v/>
      </c>
      <c r="T146" s="0" t="str">
        <f aca="false">IF(AND(C146&lt;&gt;"",I146&lt;&gt;"Completed",I146&lt;&gt;"Cancelled",OR(O146="Yes",AND(N(H146)&gt;'Weekly Report'!$C$4,N(H146)&lt;='Weekly Report'!$C$4+7))),COUNT(T$4:T145)+1,"")</f>
        <v/>
      </c>
    </row>
    <row r="147" customFormat="false" ht="15" hidden="false" customHeight="false" outlineLevel="0" collapsed="false">
      <c r="A147" s="53" t="s">
        <v>269</v>
      </c>
      <c r="B147" s="27"/>
      <c r="C147" s="26"/>
      <c r="D147" s="27"/>
      <c r="E147" s="27"/>
      <c r="F147" s="27"/>
      <c r="G147" s="28"/>
      <c r="H147" s="28"/>
      <c r="I147" s="27"/>
      <c r="J147" s="28"/>
      <c r="K147" s="28"/>
      <c r="L147" s="26"/>
      <c r="M147" s="26"/>
      <c r="N147" s="27"/>
      <c r="O147" s="27"/>
      <c r="P147" s="54" t="str">
        <f aca="true">IF(OR(C147="",H147="",I147="Completed",I147="Cancelled"),"",IF(H147&lt;TODAY(),"Overdue",""))</f>
        <v/>
      </c>
      <c r="Q147" s="0" t="str">
        <f aca="false">IF(AND(C147&lt;&gt;"",I147&lt;&gt;"Cancelled",OR(AND(N(J147)&gt;'Weekly Report'!$C$5,N(J147)&lt;='Weekly Report'!$C$4),AND(N(K147)&gt;'Weekly Report'!$C$5,N(K147)&lt;='Weekly Report'!$C$4))),COUNT(Q$4:Q146)+1,"")</f>
        <v/>
      </c>
      <c r="R147" s="0" t="str">
        <f aca="false">IF(AND(C147&lt;&gt;"",I147="In Progress"),COUNT(R$4:R146)+1,"")</f>
        <v/>
      </c>
      <c r="S147" s="0" t="str">
        <f aca="false">IF(AND(C147&lt;&gt;"",I147&lt;&gt;"Completed",I147&lt;&gt;"Cancelled",OR(I147="Blocked",M147&lt;&gt;"")),COUNT(S$4:S146)+1,"")</f>
        <v/>
      </c>
      <c r="T147" s="0" t="str">
        <f aca="false">IF(AND(C147&lt;&gt;"",I147&lt;&gt;"Completed",I147&lt;&gt;"Cancelled",OR(O147="Yes",AND(N(H147)&gt;'Weekly Report'!$C$4,N(H147)&lt;='Weekly Report'!$C$4+7))),COUNT(T$4:T146)+1,"")</f>
        <v/>
      </c>
    </row>
    <row r="148" customFormat="false" ht="15" hidden="false" customHeight="false" outlineLevel="0" collapsed="false">
      <c r="A148" s="53" t="s">
        <v>270</v>
      </c>
      <c r="B148" s="27"/>
      <c r="C148" s="26"/>
      <c r="D148" s="27"/>
      <c r="E148" s="27"/>
      <c r="F148" s="27"/>
      <c r="G148" s="28"/>
      <c r="H148" s="28"/>
      <c r="I148" s="27"/>
      <c r="J148" s="28"/>
      <c r="K148" s="28"/>
      <c r="L148" s="26"/>
      <c r="M148" s="26"/>
      <c r="N148" s="27"/>
      <c r="O148" s="27"/>
      <c r="P148" s="54" t="str">
        <f aca="true">IF(OR(C148="",H148="",I148="Completed",I148="Cancelled"),"",IF(H148&lt;TODAY(),"Overdue",""))</f>
        <v/>
      </c>
      <c r="Q148" s="0" t="str">
        <f aca="false">IF(AND(C148&lt;&gt;"",I148&lt;&gt;"Cancelled",OR(AND(N(J148)&gt;'Weekly Report'!$C$5,N(J148)&lt;='Weekly Report'!$C$4),AND(N(K148)&gt;'Weekly Report'!$C$5,N(K148)&lt;='Weekly Report'!$C$4))),COUNT(Q$4:Q147)+1,"")</f>
        <v/>
      </c>
      <c r="R148" s="0" t="str">
        <f aca="false">IF(AND(C148&lt;&gt;"",I148="In Progress"),COUNT(R$4:R147)+1,"")</f>
        <v/>
      </c>
      <c r="S148" s="0" t="str">
        <f aca="false">IF(AND(C148&lt;&gt;"",I148&lt;&gt;"Completed",I148&lt;&gt;"Cancelled",OR(I148="Blocked",M148&lt;&gt;"")),COUNT(S$4:S147)+1,"")</f>
        <v/>
      </c>
      <c r="T148" s="0" t="str">
        <f aca="false">IF(AND(C148&lt;&gt;"",I148&lt;&gt;"Completed",I148&lt;&gt;"Cancelled",OR(O148="Yes",AND(N(H148)&gt;'Weekly Report'!$C$4,N(H148)&lt;='Weekly Report'!$C$4+7))),COUNT(T$4:T147)+1,"")</f>
        <v/>
      </c>
    </row>
    <row r="149" customFormat="false" ht="15" hidden="false" customHeight="false" outlineLevel="0" collapsed="false">
      <c r="A149" s="53" t="s">
        <v>271</v>
      </c>
      <c r="B149" s="27"/>
      <c r="C149" s="26"/>
      <c r="D149" s="27"/>
      <c r="E149" s="27"/>
      <c r="F149" s="27"/>
      <c r="G149" s="28"/>
      <c r="H149" s="28"/>
      <c r="I149" s="27"/>
      <c r="J149" s="28"/>
      <c r="K149" s="28"/>
      <c r="L149" s="26"/>
      <c r="M149" s="26"/>
      <c r="N149" s="27"/>
      <c r="O149" s="27"/>
      <c r="P149" s="54" t="str">
        <f aca="true">IF(OR(C149="",H149="",I149="Completed",I149="Cancelled"),"",IF(H149&lt;TODAY(),"Overdue",""))</f>
        <v/>
      </c>
      <c r="Q149" s="0" t="str">
        <f aca="false">IF(AND(C149&lt;&gt;"",I149&lt;&gt;"Cancelled",OR(AND(N(J149)&gt;'Weekly Report'!$C$5,N(J149)&lt;='Weekly Report'!$C$4),AND(N(K149)&gt;'Weekly Report'!$C$5,N(K149)&lt;='Weekly Report'!$C$4))),COUNT(Q$4:Q148)+1,"")</f>
        <v/>
      </c>
      <c r="R149" s="0" t="str">
        <f aca="false">IF(AND(C149&lt;&gt;"",I149="In Progress"),COUNT(R$4:R148)+1,"")</f>
        <v/>
      </c>
      <c r="S149" s="0" t="str">
        <f aca="false">IF(AND(C149&lt;&gt;"",I149&lt;&gt;"Completed",I149&lt;&gt;"Cancelled",OR(I149="Blocked",M149&lt;&gt;"")),COUNT(S$4:S148)+1,"")</f>
        <v/>
      </c>
      <c r="T149" s="0" t="str">
        <f aca="false">IF(AND(C149&lt;&gt;"",I149&lt;&gt;"Completed",I149&lt;&gt;"Cancelled",OR(O149="Yes",AND(N(H149)&gt;'Weekly Report'!$C$4,N(H149)&lt;='Weekly Report'!$C$4+7))),COUNT(T$4:T148)+1,"")</f>
        <v/>
      </c>
    </row>
    <row r="150" customFormat="false" ht="15" hidden="false" customHeight="false" outlineLevel="0" collapsed="false">
      <c r="A150" s="53" t="s">
        <v>272</v>
      </c>
      <c r="B150" s="27"/>
      <c r="C150" s="26"/>
      <c r="D150" s="27"/>
      <c r="E150" s="27"/>
      <c r="F150" s="27"/>
      <c r="G150" s="28"/>
      <c r="H150" s="28"/>
      <c r="I150" s="27"/>
      <c r="J150" s="28"/>
      <c r="K150" s="28"/>
      <c r="L150" s="26"/>
      <c r="M150" s="26"/>
      <c r="N150" s="27"/>
      <c r="O150" s="27"/>
      <c r="P150" s="54" t="str">
        <f aca="true">IF(OR(C150="",H150="",I150="Completed",I150="Cancelled"),"",IF(H150&lt;TODAY(),"Overdue",""))</f>
        <v/>
      </c>
      <c r="Q150" s="0" t="str">
        <f aca="false">IF(AND(C150&lt;&gt;"",I150&lt;&gt;"Cancelled",OR(AND(N(J150)&gt;'Weekly Report'!$C$5,N(J150)&lt;='Weekly Report'!$C$4),AND(N(K150)&gt;'Weekly Report'!$C$5,N(K150)&lt;='Weekly Report'!$C$4))),COUNT(Q$4:Q149)+1,"")</f>
        <v/>
      </c>
      <c r="R150" s="0" t="str">
        <f aca="false">IF(AND(C150&lt;&gt;"",I150="In Progress"),COUNT(R$4:R149)+1,"")</f>
        <v/>
      </c>
      <c r="S150" s="0" t="str">
        <f aca="false">IF(AND(C150&lt;&gt;"",I150&lt;&gt;"Completed",I150&lt;&gt;"Cancelled",OR(I150="Blocked",M150&lt;&gt;"")),COUNT(S$4:S149)+1,"")</f>
        <v/>
      </c>
      <c r="T150" s="0" t="str">
        <f aca="false">IF(AND(C150&lt;&gt;"",I150&lt;&gt;"Completed",I150&lt;&gt;"Cancelled",OR(O150="Yes",AND(N(H150)&gt;'Weekly Report'!$C$4,N(H150)&lt;='Weekly Report'!$C$4+7))),COUNT(T$4:T149)+1,"")</f>
        <v/>
      </c>
    </row>
    <row r="151" customFormat="false" ht="15" hidden="false" customHeight="false" outlineLevel="0" collapsed="false">
      <c r="A151" s="53" t="s">
        <v>273</v>
      </c>
      <c r="B151" s="27"/>
      <c r="C151" s="26"/>
      <c r="D151" s="27"/>
      <c r="E151" s="27"/>
      <c r="F151" s="27"/>
      <c r="G151" s="28"/>
      <c r="H151" s="28"/>
      <c r="I151" s="27"/>
      <c r="J151" s="28"/>
      <c r="K151" s="28"/>
      <c r="L151" s="26"/>
      <c r="M151" s="26"/>
      <c r="N151" s="27"/>
      <c r="O151" s="27"/>
      <c r="P151" s="54" t="str">
        <f aca="true">IF(OR(C151="",H151="",I151="Completed",I151="Cancelled"),"",IF(H151&lt;TODAY(),"Overdue",""))</f>
        <v/>
      </c>
      <c r="Q151" s="0" t="str">
        <f aca="false">IF(AND(C151&lt;&gt;"",I151&lt;&gt;"Cancelled",OR(AND(N(J151)&gt;'Weekly Report'!$C$5,N(J151)&lt;='Weekly Report'!$C$4),AND(N(K151)&gt;'Weekly Report'!$C$5,N(K151)&lt;='Weekly Report'!$C$4))),COUNT(Q$4:Q150)+1,"")</f>
        <v/>
      </c>
      <c r="R151" s="0" t="str">
        <f aca="false">IF(AND(C151&lt;&gt;"",I151="In Progress"),COUNT(R$4:R150)+1,"")</f>
        <v/>
      </c>
      <c r="S151" s="0" t="str">
        <f aca="false">IF(AND(C151&lt;&gt;"",I151&lt;&gt;"Completed",I151&lt;&gt;"Cancelled",OR(I151="Blocked",M151&lt;&gt;"")),COUNT(S$4:S150)+1,"")</f>
        <v/>
      </c>
      <c r="T151" s="0" t="str">
        <f aca="false">IF(AND(C151&lt;&gt;"",I151&lt;&gt;"Completed",I151&lt;&gt;"Cancelled",OR(O151="Yes",AND(N(H151)&gt;'Weekly Report'!$C$4,N(H151)&lt;='Weekly Report'!$C$4+7))),COUNT(T$4:T150)+1,"")</f>
        <v/>
      </c>
    </row>
    <row r="152" customFormat="false" ht="15" hidden="false" customHeight="false" outlineLevel="0" collapsed="false">
      <c r="A152" s="53" t="s">
        <v>274</v>
      </c>
      <c r="B152" s="27"/>
      <c r="C152" s="26"/>
      <c r="D152" s="27"/>
      <c r="E152" s="27"/>
      <c r="F152" s="27"/>
      <c r="G152" s="28"/>
      <c r="H152" s="28"/>
      <c r="I152" s="27"/>
      <c r="J152" s="28"/>
      <c r="K152" s="28"/>
      <c r="L152" s="26"/>
      <c r="M152" s="26"/>
      <c r="N152" s="27"/>
      <c r="O152" s="27"/>
      <c r="P152" s="54" t="str">
        <f aca="true">IF(OR(C152="",H152="",I152="Completed",I152="Cancelled"),"",IF(H152&lt;TODAY(),"Overdue",""))</f>
        <v/>
      </c>
      <c r="Q152" s="0" t="str">
        <f aca="false">IF(AND(C152&lt;&gt;"",I152&lt;&gt;"Cancelled",OR(AND(N(J152)&gt;'Weekly Report'!$C$5,N(J152)&lt;='Weekly Report'!$C$4),AND(N(K152)&gt;'Weekly Report'!$C$5,N(K152)&lt;='Weekly Report'!$C$4))),COUNT(Q$4:Q151)+1,"")</f>
        <v/>
      </c>
      <c r="R152" s="0" t="str">
        <f aca="false">IF(AND(C152&lt;&gt;"",I152="In Progress"),COUNT(R$4:R151)+1,"")</f>
        <v/>
      </c>
      <c r="S152" s="0" t="str">
        <f aca="false">IF(AND(C152&lt;&gt;"",I152&lt;&gt;"Completed",I152&lt;&gt;"Cancelled",OR(I152="Blocked",M152&lt;&gt;"")),COUNT(S$4:S151)+1,"")</f>
        <v/>
      </c>
      <c r="T152" s="0" t="str">
        <f aca="false">IF(AND(C152&lt;&gt;"",I152&lt;&gt;"Completed",I152&lt;&gt;"Cancelled",OR(O152="Yes",AND(N(H152)&gt;'Weekly Report'!$C$4,N(H152)&lt;='Weekly Report'!$C$4+7))),COUNT(T$4:T151)+1,"")</f>
        <v/>
      </c>
    </row>
    <row r="153" customFormat="false" ht="15" hidden="false" customHeight="false" outlineLevel="0" collapsed="false">
      <c r="A153" s="53" t="s">
        <v>275</v>
      </c>
      <c r="B153" s="27"/>
      <c r="C153" s="26"/>
      <c r="D153" s="27"/>
      <c r="E153" s="27"/>
      <c r="F153" s="27"/>
      <c r="G153" s="28"/>
      <c r="H153" s="28"/>
      <c r="I153" s="27"/>
      <c r="J153" s="28"/>
      <c r="K153" s="28"/>
      <c r="L153" s="26"/>
      <c r="M153" s="26"/>
      <c r="N153" s="27"/>
      <c r="O153" s="27"/>
      <c r="P153" s="54" t="str">
        <f aca="true">IF(OR(C153="",H153="",I153="Completed",I153="Cancelled"),"",IF(H153&lt;TODAY(),"Overdue",""))</f>
        <v/>
      </c>
      <c r="Q153" s="0" t="str">
        <f aca="false">IF(AND(C153&lt;&gt;"",I153&lt;&gt;"Cancelled",OR(AND(N(J153)&gt;'Weekly Report'!$C$5,N(J153)&lt;='Weekly Report'!$C$4),AND(N(K153)&gt;'Weekly Report'!$C$5,N(K153)&lt;='Weekly Report'!$C$4))),COUNT(Q$4:Q152)+1,"")</f>
        <v/>
      </c>
      <c r="R153" s="0" t="str">
        <f aca="false">IF(AND(C153&lt;&gt;"",I153="In Progress"),COUNT(R$4:R152)+1,"")</f>
        <v/>
      </c>
      <c r="S153" s="0" t="str">
        <f aca="false">IF(AND(C153&lt;&gt;"",I153&lt;&gt;"Completed",I153&lt;&gt;"Cancelled",OR(I153="Blocked",M153&lt;&gt;"")),COUNT(S$4:S152)+1,"")</f>
        <v/>
      </c>
      <c r="T153" s="0" t="str">
        <f aca="false">IF(AND(C153&lt;&gt;"",I153&lt;&gt;"Completed",I153&lt;&gt;"Cancelled",OR(O153="Yes",AND(N(H153)&gt;'Weekly Report'!$C$4,N(H153)&lt;='Weekly Report'!$C$4+7))),COUNT(T$4:T152)+1,"")</f>
        <v/>
      </c>
    </row>
    <row r="154" customFormat="false" ht="15" hidden="false" customHeight="false" outlineLevel="0" collapsed="false">
      <c r="A154" s="53" t="s">
        <v>276</v>
      </c>
      <c r="B154" s="27"/>
      <c r="C154" s="26"/>
      <c r="D154" s="27"/>
      <c r="E154" s="27"/>
      <c r="F154" s="27"/>
      <c r="G154" s="28"/>
      <c r="H154" s="28"/>
      <c r="I154" s="27"/>
      <c r="J154" s="28"/>
      <c r="K154" s="28"/>
      <c r="L154" s="26"/>
      <c r="M154" s="26"/>
      <c r="N154" s="27"/>
      <c r="O154" s="27"/>
      <c r="P154" s="54" t="str">
        <f aca="true">IF(OR(C154="",H154="",I154="Completed",I154="Cancelled"),"",IF(H154&lt;TODAY(),"Overdue",""))</f>
        <v/>
      </c>
      <c r="Q154" s="0" t="str">
        <f aca="false">IF(AND(C154&lt;&gt;"",I154&lt;&gt;"Cancelled",OR(AND(N(J154)&gt;'Weekly Report'!$C$5,N(J154)&lt;='Weekly Report'!$C$4),AND(N(K154)&gt;'Weekly Report'!$C$5,N(K154)&lt;='Weekly Report'!$C$4))),COUNT(Q$4:Q153)+1,"")</f>
        <v/>
      </c>
      <c r="R154" s="0" t="str">
        <f aca="false">IF(AND(C154&lt;&gt;"",I154="In Progress"),COUNT(R$4:R153)+1,"")</f>
        <v/>
      </c>
      <c r="S154" s="0" t="str">
        <f aca="false">IF(AND(C154&lt;&gt;"",I154&lt;&gt;"Completed",I154&lt;&gt;"Cancelled",OR(I154="Blocked",M154&lt;&gt;"")),COUNT(S$4:S153)+1,"")</f>
        <v/>
      </c>
      <c r="T154" s="0" t="str">
        <f aca="false">IF(AND(C154&lt;&gt;"",I154&lt;&gt;"Completed",I154&lt;&gt;"Cancelled",OR(O154="Yes",AND(N(H154)&gt;'Weekly Report'!$C$4,N(H154)&lt;='Weekly Report'!$C$4+7))),COUNT(T$4:T153)+1,"")</f>
        <v/>
      </c>
    </row>
    <row r="155" customFormat="false" ht="15" hidden="false" customHeight="false" outlineLevel="0" collapsed="false">
      <c r="A155" s="53" t="s">
        <v>277</v>
      </c>
      <c r="B155" s="27"/>
      <c r="C155" s="26"/>
      <c r="D155" s="27"/>
      <c r="E155" s="27"/>
      <c r="F155" s="27"/>
      <c r="G155" s="28"/>
      <c r="H155" s="28"/>
      <c r="I155" s="27"/>
      <c r="J155" s="28"/>
      <c r="K155" s="28"/>
      <c r="L155" s="26"/>
      <c r="M155" s="26"/>
      <c r="N155" s="27"/>
      <c r="O155" s="27"/>
      <c r="P155" s="54" t="str">
        <f aca="true">IF(OR(C155="",H155="",I155="Completed",I155="Cancelled"),"",IF(H155&lt;TODAY(),"Overdue",""))</f>
        <v/>
      </c>
      <c r="Q155" s="0" t="str">
        <f aca="false">IF(AND(C155&lt;&gt;"",I155&lt;&gt;"Cancelled",OR(AND(N(J155)&gt;'Weekly Report'!$C$5,N(J155)&lt;='Weekly Report'!$C$4),AND(N(K155)&gt;'Weekly Report'!$C$5,N(K155)&lt;='Weekly Report'!$C$4))),COUNT(Q$4:Q154)+1,"")</f>
        <v/>
      </c>
      <c r="R155" s="0" t="str">
        <f aca="false">IF(AND(C155&lt;&gt;"",I155="In Progress"),COUNT(R$4:R154)+1,"")</f>
        <v/>
      </c>
      <c r="S155" s="0" t="str">
        <f aca="false">IF(AND(C155&lt;&gt;"",I155&lt;&gt;"Completed",I155&lt;&gt;"Cancelled",OR(I155="Blocked",M155&lt;&gt;"")),COUNT(S$4:S154)+1,"")</f>
        <v/>
      </c>
      <c r="T155" s="0" t="str">
        <f aca="false">IF(AND(C155&lt;&gt;"",I155&lt;&gt;"Completed",I155&lt;&gt;"Cancelled",OR(O155="Yes",AND(N(H155)&gt;'Weekly Report'!$C$4,N(H155)&lt;='Weekly Report'!$C$4+7))),COUNT(T$4:T154)+1,"")</f>
        <v/>
      </c>
    </row>
    <row r="156" customFormat="false" ht="15" hidden="false" customHeight="false" outlineLevel="0" collapsed="false">
      <c r="A156" s="53" t="s">
        <v>278</v>
      </c>
      <c r="B156" s="27"/>
      <c r="C156" s="26"/>
      <c r="D156" s="27"/>
      <c r="E156" s="27"/>
      <c r="F156" s="27"/>
      <c r="G156" s="28"/>
      <c r="H156" s="28"/>
      <c r="I156" s="27"/>
      <c r="J156" s="28"/>
      <c r="K156" s="28"/>
      <c r="L156" s="26"/>
      <c r="M156" s="26"/>
      <c r="N156" s="27"/>
      <c r="O156" s="27"/>
      <c r="P156" s="54" t="str">
        <f aca="true">IF(OR(C156="",H156="",I156="Completed",I156="Cancelled"),"",IF(H156&lt;TODAY(),"Overdue",""))</f>
        <v/>
      </c>
      <c r="Q156" s="0" t="str">
        <f aca="false">IF(AND(C156&lt;&gt;"",I156&lt;&gt;"Cancelled",OR(AND(N(J156)&gt;'Weekly Report'!$C$5,N(J156)&lt;='Weekly Report'!$C$4),AND(N(K156)&gt;'Weekly Report'!$C$5,N(K156)&lt;='Weekly Report'!$C$4))),COUNT(Q$4:Q155)+1,"")</f>
        <v/>
      </c>
      <c r="R156" s="0" t="str">
        <f aca="false">IF(AND(C156&lt;&gt;"",I156="In Progress"),COUNT(R$4:R155)+1,"")</f>
        <v/>
      </c>
      <c r="S156" s="0" t="str">
        <f aca="false">IF(AND(C156&lt;&gt;"",I156&lt;&gt;"Completed",I156&lt;&gt;"Cancelled",OR(I156="Blocked",M156&lt;&gt;"")),COUNT(S$4:S155)+1,"")</f>
        <v/>
      </c>
      <c r="T156" s="0" t="str">
        <f aca="false">IF(AND(C156&lt;&gt;"",I156&lt;&gt;"Completed",I156&lt;&gt;"Cancelled",OR(O156="Yes",AND(N(H156)&gt;'Weekly Report'!$C$4,N(H156)&lt;='Weekly Report'!$C$4+7))),COUNT(T$4:T155)+1,"")</f>
        <v/>
      </c>
    </row>
    <row r="157" customFormat="false" ht="15" hidden="false" customHeight="false" outlineLevel="0" collapsed="false">
      <c r="A157" s="53" t="s">
        <v>279</v>
      </c>
      <c r="B157" s="27"/>
      <c r="C157" s="26"/>
      <c r="D157" s="27"/>
      <c r="E157" s="27"/>
      <c r="F157" s="27"/>
      <c r="G157" s="28"/>
      <c r="H157" s="28"/>
      <c r="I157" s="27"/>
      <c r="J157" s="28"/>
      <c r="K157" s="28"/>
      <c r="L157" s="26"/>
      <c r="M157" s="26"/>
      <c r="N157" s="27"/>
      <c r="O157" s="27"/>
      <c r="P157" s="54" t="str">
        <f aca="true">IF(OR(C157="",H157="",I157="Completed",I157="Cancelled"),"",IF(H157&lt;TODAY(),"Overdue",""))</f>
        <v/>
      </c>
      <c r="Q157" s="0" t="str">
        <f aca="false">IF(AND(C157&lt;&gt;"",I157&lt;&gt;"Cancelled",OR(AND(N(J157)&gt;'Weekly Report'!$C$5,N(J157)&lt;='Weekly Report'!$C$4),AND(N(K157)&gt;'Weekly Report'!$C$5,N(K157)&lt;='Weekly Report'!$C$4))),COUNT(Q$4:Q156)+1,"")</f>
        <v/>
      </c>
      <c r="R157" s="0" t="str">
        <f aca="false">IF(AND(C157&lt;&gt;"",I157="In Progress"),COUNT(R$4:R156)+1,"")</f>
        <v/>
      </c>
      <c r="S157" s="0" t="str">
        <f aca="false">IF(AND(C157&lt;&gt;"",I157&lt;&gt;"Completed",I157&lt;&gt;"Cancelled",OR(I157="Blocked",M157&lt;&gt;"")),COUNT(S$4:S156)+1,"")</f>
        <v/>
      </c>
      <c r="T157" s="0" t="str">
        <f aca="false">IF(AND(C157&lt;&gt;"",I157&lt;&gt;"Completed",I157&lt;&gt;"Cancelled",OR(O157="Yes",AND(N(H157)&gt;'Weekly Report'!$C$4,N(H157)&lt;='Weekly Report'!$C$4+7))),COUNT(T$4:T156)+1,"")</f>
        <v/>
      </c>
    </row>
    <row r="158" customFormat="false" ht="15" hidden="false" customHeight="false" outlineLevel="0" collapsed="false">
      <c r="A158" s="53" t="s">
        <v>280</v>
      </c>
      <c r="B158" s="27"/>
      <c r="C158" s="26"/>
      <c r="D158" s="27"/>
      <c r="E158" s="27"/>
      <c r="F158" s="27"/>
      <c r="G158" s="28"/>
      <c r="H158" s="28"/>
      <c r="I158" s="27"/>
      <c r="J158" s="28"/>
      <c r="K158" s="28"/>
      <c r="L158" s="26"/>
      <c r="M158" s="26"/>
      <c r="N158" s="27"/>
      <c r="O158" s="27"/>
      <c r="P158" s="54" t="str">
        <f aca="true">IF(OR(C158="",H158="",I158="Completed",I158="Cancelled"),"",IF(H158&lt;TODAY(),"Overdue",""))</f>
        <v/>
      </c>
      <c r="Q158" s="0" t="str">
        <f aca="false">IF(AND(C158&lt;&gt;"",I158&lt;&gt;"Cancelled",OR(AND(N(J158)&gt;'Weekly Report'!$C$5,N(J158)&lt;='Weekly Report'!$C$4),AND(N(K158)&gt;'Weekly Report'!$C$5,N(K158)&lt;='Weekly Report'!$C$4))),COUNT(Q$4:Q157)+1,"")</f>
        <v/>
      </c>
      <c r="R158" s="0" t="str">
        <f aca="false">IF(AND(C158&lt;&gt;"",I158="In Progress"),COUNT(R$4:R157)+1,"")</f>
        <v/>
      </c>
      <c r="S158" s="0" t="str">
        <f aca="false">IF(AND(C158&lt;&gt;"",I158&lt;&gt;"Completed",I158&lt;&gt;"Cancelled",OR(I158="Blocked",M158&lt;&gt;"")),COUNT(S$4:S157)+1,"")</f>
        <v/>
      </c>
      <c r="T158" s="0" t="str">
        <f aca="false">IF(AND(C158&lt;&gt;"",I158&lt;&gt;"Completed",I158&lt;&gt;"Cancelled",OR(O158="Yes",AND(N(H158)&gt;'Weekly Report'!$C$4,N(H158)&lt;='Weekly Report'!$C$4+7))),COUNT(T$4:T157)+1,"")</f>
        <v/>
      </c>
    </row>
    <row r="159" customFormat="false" ht="15" hidden="false" customHeight="false" outlineLevel="0" collapsed="false">
      <c r="A159" s="53" t="s">
        <v>281</v>
      </c>
      <c r="B159" s="27"/>
      <c r="C159" s="26"/>
      <c r="D159" s="27"/>
      <c r="E159" s="27"/>
      <c r="F159" s="27"/>
      <c r="G159" s="28"/>
      <c r="H159" s="28"/>
      <c r="I159" s="27"/>
      <c r="J159" s="28"/>
      <c r="K159" s="28"/>
      <c r="L159" s="26"/>
      <c r="M159" s="26"/>
      <c r="N159" s="27"/>
      <c r="O159" s="27"/>
      <c r="P159" s="54" t="str">
        <f aca="true">IF(OR(C159="",H159="",I159="Completed",I159="Cancelled"),"",IF(H159&lt;TODAY(),"Overdue",""))</f>
        <v/>
      </c>
      <c r="Q159" s="0" t="str">
        <f aca="false">IF(AND(C159&lt;&gt;"",I159&lt;&gt;"Cancelled",OR(AND(N(J159)&gt;'Weekly Report'!$C$5,N(J159)&lt;='Weekly Report'!$C$4),AND(N(K159)&gt;'Weekly Report'!$C$5,N(K159)&lt;='Weekly Report'!$C$4))),COUNT(Q$4:Q158)+1,"")</f>
        <v/>
      </c>
      <c r="R159" s="0" t="str">
        <f aca="false">IF(AND(C159&lt;&gt;"",I159="In Progress"),COUNT(R$4:R158)+1,"")</f>
        <v/>
      </c>
      <c r="S159" s="0" t="str">
        <f aca="false">IF(AND(C159&lt;&gt;"",I159&lt;&gt;"Completed",I159&lt;&gt;"Cancelled",OR(I159="Blocked",M159&lt;&gt;"")),COUNT(S$4:S158)+1,"")</f>
        <v/>
      </c>
      <c r="T159" s="0" t="str">
        <f aca="false">IF(AND(C159&lt;&gt;"",I159&lt;&gt;"Completed",I159&lt;&gt;"Cancelled",OR(O159="Yes",AND(N(H159)&gt;'Weekly Report'!$C$4,N(H159)&lt;='Weekly Report'!$C$4+7))),COUNT(T$4:T158)+1,"")</f>
        <v/>
      </c>
    </row>
    <row r="160" customFormat="false" ht="15" hidden="false" customHeight="false" outlineLevel="0" collapsed="false">
      <c r="A160" s="53" t="s">
        <v>282</v>
      </c>
      <c r="B160" s="27"/>
      <c r="C160" s="26"/>
      <c r="D160" s="27"/>
      <c r="E160" s="27"/>
      <c r="F160" s="27"/>
      <c r="G160" s="28"/>
      <c r="H160" s="28"/>
      <c r="I160" s="27"/>
      <c r="J160" s="28"/>
      <c r="K160" s="28"/>
      <c r="L160" s="26"/>
      <c r="M160" s="26"/>
      <c r="N160" s="27"/>
      <c r="O160" s="27"/>
      <c r="P160" s="54" t="str">
        <f aca="true">IF(OR(C160="",H160="",I160="Completed",I160="Cancelled"),"",IF(H160&lt;TODAY(),"Overdue",""))</f>
        <v/>
      </c>
      <c r="Q160" s="0" t="str">
        <f aca="false">IF(AND(C160&lt;&gt;"",I160&lt;&gt;"Cancelled",OR(AND(N(J160)&gt;'Weekly Report'!$C$5,N(J160)&lt;='Weekly Report'!$C$4),AND(N(K160)&gt;'Weekly Report'!$C$5,N(K160)&lt;='Weekly Report'!$C$4))),COUNT(Q$4:Q159)+1,"")</f>
        <v/>
      </c>
      <c r="R160" s="0" t="str">
        <f aca="false">IF(AND(C160&lt;&gt;"",I160="In Progress"),COUNT(R$4:R159)+1,"")</f>
        <v/>
      </c>
      <c r="S160" s="0" t="str">
        <f aca="false">IF(AND(C160&lt;&gt;"",I160&lt;&gt;"Completed",I160&lt;&gt;"Cancelled",OR(I160="Blocked",M160&lt;&gt;"")),COUNT(S$4:S159)+1,"")</f>
        <v/>
      </c>
      <c r="T160" s="0" t="str">
        <f aca="false">IF(AND(C160&lt;&gt;"",I160&lt;&gt;"Completed",I160&lt;&gt;"Cancelled",OR(O160="Yes",AND(N(H160)&gt;'Weekly Report'!$C$4,N(H160)&lt;='Weekly Report'!$C$4+7))),COUNT(T$4:T159)+1,"")</f>
        <v/>
      </c>
    </row>
    <row r="161" customFormat="false" ht="15" hidden="false" customHeight="false" outlineLevel="0" collapsed="false">
      <c r="A161" s="53" t="s">
        <v>283</v>
      </c>
      <c r="B161" s="27"/>
      <c r="C161" s="26"/>
      <c r="D161" s="27"/>
      <c r="E161" s="27"/>
      <c r="F161" s="27"/>
      <c r="G161" s="28"/>
      <c r="H161" s="28"/>
      <c r="I161" s="27"/>
      <c r="J161" s="28"/>
      <c r="K161" s="28"/>
      <c r="L161" s="26"/>
      <c r="M161" s="26"/>
      <c r="N161" s="27"/>
      <c r="O161" s="27"/>
      <c r="P161" s="54" t="str">
        <f aca="true">IF(OR(C161="",H161="",I161="Completed",I161="Cancelled"),"",IF(H161&lt;TODAY(),"Overdue",""))</f>
        <v/>
      </c>
      <c r="Q161" s="0" t="str">
        <f aca="false">IF(AND(C161&lt;&gt;"",I161&lt;&gt;"Cancelled",OR(AND(N(J161)&gt;'Weekly Report'!$C$5,N(J161)&lt;='Weekly Report'!$C$4),AND(N(K161)&gt;'Weekly Report'!$C$5,N(K161)&lt;='Weekly Report'!$C$4))),COUNT(Q$4:Q160)+1,"")</f>
        <v/>
      </c>
      <c r="R161" s="0" t="str">
        <f aca="false">IF(AND(C161&lt;&gt;"",I161="In Progress"),COUNT(R$4:R160)+1,"")</f>
        <v/>
      </c>
      <c r="S161" s="0" t="str">
        <f aca="false">IF(AND(C161&lt;&gt;"",I161&lt;&gt;"Completed",I161&lt;&gt;"Cancelled",OR(I161="Blocked",M161&lt;&gt;"")),COUNT(S$4:S160)+1,"")</f>
        <v/>
      </c>
      <c r="T161" s="0" t="str">
        <f aca="false">IF(AND(C161&lt;&gt;"",I161&lt;&gt;"Completed",I161&lt;&gt;"Cancelled",OR(O161="Yes",AND(N(H161)&gt;'Weekly Report'!$C$4,N(H161)&lt;='Weekly Report'!$C$4+7))),COUNT(T$4:T160)+1,"")</f>
        <v/>
      </c>
    </row>
    <row r="162" customFormat="false" ht="15" hidden="false" customHeight="false" outlineLevel="0" collapsed="false">
      <c r="A162" s="53" t="s">
        <v>284</v>
      </c>
      <c r="B162" s="27"/>
      <c r="C162" s="26"/>
      <c r="D162" s="27"/>
      <c r="E162" s="27"/>
      <c r="F162" s="27"/>
      <c r="G162" s="28"/>
      <c r="H162" s="28"/>
      <c r="I162" s="27"/>
      <c r="J162" s="28"/>
      <c r="K162" s="28"/>
      <c r="L162" s="26"/>
      <c r="M162" s="26"/>
      <c r="N162" s="27"/>
      <c r="O162" s="27"/>
      <c r="P162" s="54" t="str">
        <f aca="true">IF(OR(C162="",H162="",I162="Completed",I162="Cancelled"),"",IF(H162&lt;TODAY(),"Overdue",""))</f>
        <v/>
      </c>
      <c r="Q162" s="0" t="str">
        <f aca="false">IF(AND(C162&lt;&gt;"",I162&lt;&gt;"Cancelled",OR(AND(N(J162)&gt;'Weekly Report'!$C$5,N(J162)&lt;='Weekly Report'!$C$4),AND(N(K162)&gt;'Weekly Report'!$C$5,N(K162)&lt;='Weekly Report'!$C$4))),COUNT(Q$4:Q161)+1,"")</f>
        <v/>
      </c>
      <c r="R162" s="0" t="str">
        <f aca="false">IF(AND(C162&lt;&gt;"",I162="In Progress"),COUNT(R$4:R161)+1,"")</f>
        <v/>
      </c>
      <c r="S162" s="0" t="str">
        <f aca="false">IF(AND(C162&lt;&gt;"",I162&lt;&gt;"Completed",I162&lt;&gt;"Cancelled",OR(I162="Blocked",M162&lt;&gt;"")),COUNT(S$4:S161)+1,"")</f>
        <v/>
      </c>
      <c r="T162" s="0" t="str">
        <f aca="false">IF(AND(C162&lt;&gt;"",I162&lt;&gt;"Completed",I162&lt;&gt;"Cancelled",OR(O162="Yes",AND(N(H162)&gt;'Weekly Report'!$C$4,N(H162)&lt;='Weekly Report'!$C$4+7))),COUNT(T$4:T161)+1,"")</f>
        <v/>
      </c>
    </row>
    <row r="163" customFormat="false" ht="15" hidden="false" customHeight="false" outlineLevel="0" collapsed="false">
      <c r="A163" s="53" t="s">
        <v>285</v>
      </c>
      <c r="B163" s="27"/>
      <c r="C163" s="26"/>
      <c r="D163" s="27"/>
      <c r="E163" s="27"/>
      <c r="F163" s="27"/>
      <c r="G163" s="28"/>
      <c r="H163" s="28"/>
      <c r="I163" s="27"/>
      <c r="J163" s="28"/>
      <c r="K163" s="28"/>
      <c r="L163" s="26"/>
      <c r="M163" s="26"/>
      <c r="N163" s="27"/>
      <c r="O163" s="27"/>
      <c r="P163" s="54" t="str">
        <f aca="true">IF(OR(C163="",H163="",I163="Completed",I163="Cancelled"),"",IF(H163&lt;TODAY(),"Overdue",""))</f>
        <v/>
      </c>
      <c r="Q163" s="0" t="str">
        <f aca="false">IF(AND(C163&lt;&gt;"",I163&lt;&gt;"Cancelled",OR(AND(N(J163)&gt;'Weekly Report'!$C$5,N(J163)&lt;='Weekly Report'!$C$4),AND(N(K163)&gt;'Weekly Report'!$C$5,N(K163)&lt;='Weekly Report'!$C$4))),COUNT(Q$4:Q162)+1,"")</f>
        <v/>
      </c>
      <c r="R163" s="0" t="str">
        <f aca="false">IF(AND(C163&lt;&gt;"",I163="In Progress"),COUNT(R$4:R162)+1,"")</f>
        <v/>
      </c>
      <c r="S163" s="0" t="str">
        <f aca="false">IF(AND(C163&lt;&gt;"",I163&lt;&gt;"Completed",I163&lt;&gt;"Cancelled",OR(I163="Blocked",M163&lt;&gt;"")),COUNT(S$4:S162)+1,"")</f>
        <v/>
      </c>
      <c r="T163" s="0" t="str">
        <f aca="false">IF(AND(C163&lt;&gt;"",I163&lt;&gt;"Completed",I163&lt;&gt;"Cancelled",OR(O163="Yes",AND(N(H163)&gt;'Weekly Report'!$C$4,N(H163)&lt;='Weekly Report'!$C$4+7))),COUNT(T$4:T162)+1,"")</f>
        <v/>
      </c>
    </row>
    <row r="164" customFormat="false" ht="15" hidden="false" customHeight="false" outlineLevel="0" collapsed="false">
      <c r="A164" s="53" t="s">
        <v>286</v>
      </c>
      <c r="B164" s="27"/>
      <c r="C164" s="26"/>
      <c r="D164" s="27"/>
      <c r="E164" s="27"/>
      <c r="F164" s="27"/>
      <c r="G164" s="28"/>
      <c r="H164" s="28"/>
      <c r="I164" s="27"/>
      <c r="J164" s="28"/>
      <c r="K164" s="28"/>
      <c r="L164" s="26"/>
      <c r="M164" s="26"/>
      <c r="N164" s="27"/>
      <c r="O164" s="27"/>
      <c r="P164" s="54" t="str">
        <f aca="true">IF(OR(C164="",H164="",I164="Completed",I164="Cancelled"),"",IF(H164&lt;TODAY(),"Overdue",""))</f>
        <v/>
      </c>
      <c r="Q164" s="0" t="str">
        <f aca="false">IF(AND(C164&lt;&gt;"",I164&lt;&gt;"Cancelled",OR(AND(N(J164)&gt;'Weekly Report'!$C$5,N(J164)&lt;='Weekly Report'!$C$4),AND(N(K164)&gt;'Weekly Report'!$C$5,N(K164)&lt;='Weekly Report'!$C$4))),COUNT(Q$4:Q163)+1,"")</f>
        <v/>
      </c>
      <c r="R164" s="0" t="str">
        <f aca="false">IF(AND(C164&lt;&gt;"",I164="In Progress"),COUNT(R$4:R163)+1,"")</f>
        <v/>
      </c>
      <c r="S164" s="0" t="str">
        <f aca="false">IF(AND(C164&lt;&gt;"",I164&lt;&gt;"Completed",I164&lt;&gt;"Cancelled",OR(I164="Blocked",M164&lt;&gt;"")),COUNT(S$4:S163)+1,"")</f>
        <v/>
      </c>
      <c r="T164" s="0" t="str">
        <f aca="false">IF(AND(C164&lt;&gt;"",I164&lt;&gt;"Completed",I164&lt;&gt;"Cancelled",OR(O164="Yes",AND(N(H164)&gt;'Weekly Report'!$C$4,N(H164)&lt;='Weekly Report'!$C$4+7))),COUNT(T$4:T163)+1,"")</f>
        <v/>
      </c>
    </row>
    <row r="165" customFormat="false" ht="15" hidden="false" customHeight="false" outlineLevel="0" collapsed="false">
      <c r="A165" s="53" t="s">
        <v>287</v>
      </c>
      <c r="B165" s="27"/>
      <c r="C165" s="26"/>
      <c r="D165" s="27"/>
      <c r="E165" s="27"/>
      <c r="F165" s="27"/>
      <c r="G165" s="28"/>
      <c r="H165" s="28"/>
      <c r="I165" s="27"/>
      <c r="J165" s="28"/>
      <c r="K165" s="28"/>
      <c r="L165" s="26"/>
      <c r="M165" s="26"/>
      <c r="N165" s="27"/>
      <c r="O165" s="27"/>
      <c r="P165" s="54" t="str">
        <f aca="true">IF(OR(C165="",H165="",I165="Completed",I165="Cancelled"),"",IF(H165&lt;TODAY(),"Overdue",""))</f>
        <v/>
      </c>
      <c r="Q165" s="0" t="str">
        <f aca="false">IF(AND(C165&lt;&gt;"",I165&lt;&gt;"Cancelled",OR(AND(N(J165)&gt;'Weekly Report'!$C$5,N(J165)&lt;='Weekly Report'!$C$4),AND(N(K165)&gt;'Weekly Report'!$C$5,N(K165)&lt;='Weekly Report'!$C$4))),COUNT(Q$4:Q164)+1,"")</f>
        <v/>
      </c>
      <c r="R165" s="0" t="str">
        <f aca="false">IF(AND(C165&lt;&gt;"",I165="In Progress"),COUNT(R$4:R164)+1,"")</f>
        <v/>
      </c>
      <c r="S165" s="0" t="str">
        <f aca="false">IF(AND(C165&lt;&gt;"",I165&lt;&gt;"Completed",I165&lt;&gt;"Cancelled",OR(I165="Blocked",M165&lt;&gt;"")),COUNT(S$4:S164)+1,"")</f>
        <v/>
      </c>
      <c r="T165" s="0" t="str">
        <f aca="false">IF(AND(C165&lt;&gt;"",I165&lt;&gt;"Completed",I165&lt;&gt;"Cancelled",OR(O165="Yes",AND(N(H165)&gt;'Weekly Report'!$C$4,N(H165)&lt;='Weekly Report'!$C$4+7))),COUNT(T$4:T164)+1,"")</f>
        <v/>
      </c>
    </row>
    <row r="166" customFormat="false" ht="15" hidden="false" customHeight="false" outlineLevel="0" collapsed="false">
      <c r="A166" s="53" t="s">
        <v>288</v>
      </c>
      <c r="B166" s="27"/>
      <c r="C166" s="26"/>
      <c r="D166" s="27"/>
      <c r="E166" s="27"/>
      <c r="F166" s="27"/>
      <c r="G166" s="28"/>
      <c r="H166" s="28"/>
      <c r="I166" s="27"/>
      <c r="J166" s="28"/>
      <c r="K166" s="28"/>
      <c r="L166" s="26"/>
      <c r="M166" s="26"/>
      <c r="N166" s="27"/>
      <c r="O166" s="27"/>
      <c r="P166" s="54" t="str">
        <f aca="true">IF(OR(C166="",H166="",I166="Completed",I166="Cancelled"),"",IF(H166&lt;TODAY(),"Overdue",""))</f>
        <v/>
      </c>
      <c r="Q166" s="0" t="str">
        <f aca="false">IF(AND(C166&lt;&gt;"",I166&lt;&gt;"Cancelled",OR(AND(N(J166)&gt;'Weekly Report'!$C$5,N(J166)&lt;='Weekly Report'!$C$4),AND(N(K166)&gt;'Weekly Report'!$C$5,N(K166)&lt;='Weekly Report'!$C$4))),COUNT(Q$4:Q165)+1,"")</f>
        <v/>
      </c>
      <c r="R166" s="0" t="str">
        <f aca="false">IF(AND(C166&lt;&gt;"",I166="In Progress"),COUNT(R$4:R165)+1,"")</f>
        <v/>
      </c>
      <c r="S166" s="0" t="str">
        <f aca="false">IF(AND(C166&lt;&gt;"",I166&lt;&gt;"Completed",I166&lt;&gt;"Cancelled",OR(I166="Blocked",M166&lt;&gt;"")),COUNT(S$4:S165)+1,"")</f>
        <v/>
      </c>
      <c r="T166" s="0" t="str">
        <f aca="false">IF(AND(C166&lt;&gt;"",I166&lt;&gt;"Completed",I166&lt;&gt;"Cancelled",OR(O166="Yes",AND(N(H166)&gt;'Weekly Report'!$C$4,N(H166)&lt;='Weekly Report'!$C$4+7))),COUNT(T$4:T165)+1,"")</f>
        <v/>
      </c>
    </row>
    <row r="167" customFormat="false" ht="15" hidden="false" customHeight="false" outlineLevel="0" collapsed="false">
      <c r="A167" s="53" t="s">
        <v>289</v>
      </c>
      <c r="B167" s="27"/>
      <c r="C167" s="26"/>
      <c r="D167" s="27"/>
      <c r="E167" s="27"/>
      <c r="F167" s="27"/>
      <c r="G167" s="28"/>
      <c r="H167" s="28"/>
      <c r="I167" s="27"/>
      <c r="J167" s="28"/>
      <c r="K167" s="28"/>
      <c r="L167" s="26"/>
      <c r="M167" s="26"/>
      <c r="N167" s="27"/>
      <c r="O167" s="27"/>
      <c r="P167" s="54" t="str">
        <f aca="true">IF(OR(C167="",H167="",I167="Completed",I167="Cancelled"),"",IF(H167&lt;TODAY(),"Overdue",""))</f>
        <v/>
      </c>
      <c r="Q167" s="0" t="str">
        <f aca="false">IF(AND(C167&lt;&gt;"",I167&lt;&gt;"Cancelled",OR(AND(N(J167)&gt;'Weekly Report'!$C$5,N(J167)&lt;='Weekly Report'!$C$4),AND(N(K167)&gt;'Weekly Report'!$C$5,N(K167)&lt;='Weekly Report'!$C$4))),COUNT(Q$4:Q166)+1,"")</f>
        <v/>
      </c>
      <c r="R167" s="0" t="str">
        <f aca="false">IF(AND(C167&lt;&gt;"",I167="In Progress"),COUNT(R$4:R166)+1,"")</f>
        <v/>
      </c>
      <c r="S167" s="0" t="str">
        <f aca="false">IF(AND(C167&lt;&gt;"",I167&lt;&gt;"Completed",I167&lt;&gt;"Cancelled",OR(I167="Blocked",M167&lt;&gt;"")),COUNT(S$4:S166)+1,"")</f>
        <v/>
      </c>
      <c r="T167" s="0" t="str">
        <f aca="false">IF(AND(C167&lt;&gt;"",I167&lt;&gt;"Completed",I167&lt;&gt;"Cancelled",OR(O167="Yes",AND(N(H167)&gt;'Weekly Report'!$C$4,N(H167)&lt;='Weekly Report'!$C$4+7))),COUNT(T$4:T166)+1,"")</f>
        <v/>
      </c>
    </row>
    <row r="168" customFormat="false" ht="15" hidden="false" customHeight="false" outlineLevel="0" collapsed="false">
      <c r="A168" s="53" t="s">
        <v>290</v>
      </c>
      <c r="B168" s="27"/>
      <c r="C168" s="26"/>
      <c r="D168" s="27"/>
      <c r="E168" s="27"/>
      <c r="F168" s="27"/>
      <c r="G168" s="28"/>
      <c r="H168" s="28"/>
      <c r="I168" s="27"/>
      <c r="J168" s="28"/>
      <c r="K168" s="28"/>
      <c r="L168" s="26"/>
      <c r="M168" s="26"/>
      <c r="N168" s="27"/>
      <c r="O168" s="27"/>
      <c r="P168" s="54" t="str">
        <f aca="true">IF(OR(C168="",H168="",I168="Completed",I168="Cancelled"),"",IF(H168&lt;TODAY(),"Overdue",""))</f>
        <v/>
      </c>
      <c r="Q168" s="0" t="str">
        <f aca="false">IF(AND(C168&lt;&gt;"",I168&lt;&gt;"Cancelled",OR(AND(N(J168)&gt;'Weekly Report'!$C$5,N(J168)&lt;='Weekly Report'!$C$4),AND(N(K168)&gt;'Weekly Report'!$C$5,N(K168)&lt;='Weekly Report'!$C$4))),COUNT(Q$4:Q167)+1,"")</f>
        <v/>
      </c>
      <c r="R168" s="0" t="str">
        <f aca="false">IF(AND(C168&lt;&gt;"",I168="In Progress"),COUNT(R$4:R167)+1,"")</f>
        <v/>
      </c>
      <c r="S168" s="0" t="str">
        <f aca="false">IF(AND(C168&lt;&gt;"",I168&lt;&gt;"Completed",I168&lt;&gt;"Cancelled",OR(I168="Blocked",M168&lt;&gt;"")),COUNT(S$4:S167)+1,"")</f>
        <v/>
      </c>
      <c r="T168" s="0" t="str">
        <f aca="false">IF(AND(C168&lt;&gt;"",I168&lt;&gt;"Completed",I168&lt;&gt;"Cancelled",OR(O168="Yes",AND(N(H168)&gt;'Weekly Report'!$C$4,N(H168)&lt;='Weekly Report'!$C$4+7))),COUNT(T$4:T167)+1,"")</f>
        <v/>
      </c>
    </row>
    <row r="169" customFormat="false" ht="15" hidden="false" customHeight="false" outlineLevel="0" collapsed="false">
      <c r="A169" s="53" t="s">
        <v>291</v>
      </c>
      <c r="B169" s="27"/>
      <c r="C169" s="26"/>
      <c r="D169" s="27"/>
      <c r="E169" s="27"/>
      <c r="F169" s="27"/>
      <c r="G169" s="28"/>
      <c r="H169" s="28"/>
      <c r="I169" s="27"/>
      <c r="J169" s="28"/>
      <c r="K169" s="28"/>
      <c r="L169" s="26"/>
      <c r="M169" s="26"/>
      <c r="N169" s="27"/>
      <c r="O169" s="27"/>
      <c r="P169" s="54" t="str">
        <f aca="true">IF(OR(C169="",H169="",I169="Completed",I169="Cancelled"),"",IF(H169&lt;TODAY(),"Overdue",""))</f>
        <v/>
      </c>
      <c r="Q169" s="0" t="str">
        <f aca="false">IF(AND(C169&lt;&gt;"",I169&lt;&gt;"Cancelled",OR(AND(N(J169)&gt;'Weekly Report'!$C$5,N(J169)&lt;='Weekly Report'!$C$4),AND(N(K169)&gt;'Weekly Report'!$C$5,N(K169)&lt;='Weekly Report'!$C$4))),COUNT(Q$4:Q168)+1,"")</f>
        <v/>
      </c>
      <c r="R169" s="0" t="str">
        <f aca="false">IF(AND(C169&lt;&gt;"",I169="In Progress"),COUNT(R$4:R168)+1,"")</f>
        <v/>
      </c>
      <c r="S169" s="0" t="str">
        <f aca="false">IF(AND(C169&lt;&gt;"",I169&lt;&gt;"Completed",I169&lt;&gt;"Cancelled",OR(I169="Blocked",M169&lt;&gt;"")),COUNT(S$4:S168)+1,"")</f>
        <v/>
      </c>
      <c r="T169" s="0" t="str">
        <f aca="false">IF(AND(C169&lt;&gt;"",I169&lt;&gt;"Completed",I169&lt;&gt;"Cancelled",OR(O169="Yes",AND(N(H169)&gt;'Weekly Report'!$C$4,N(H169)&lt;='Weekly Report'!$C$4+7))),COUNT(T$4:T168)+1,"")</f>
        <v/>
      </c>
    </row>
    <row r="170" customFormat="false" ht="15" hidden="false" customHeight="false" outlineLevel="0" collapsed="false">
      <c r="A170" s="53" t="s">
        <v>292</v>
      </c>
      <c r="B170" s="27"/>
      <c r="C170" s="26"/>
      <c r="D170" s="27"/>
      <c r="E170" s="27"/>
      <c r="F170" s="27"/>
      <c r="G170" s="28"/>
      <c r="H170" s="28"/>
      <c r="I170" s="27"/>
      <c r="J170" s="28"/>
      <c r="K170" s="28"/>
      <c r="L170" s="26"/>
      <c r="M170" s="26"/>
      <c r="N170" s="27"/>
      <c r="O170" s="27"/>
      <c r="P170" s="54" t="str">
        <f aca="true">IF(OR(C170="",H170="",I170="Completed",I170="Cancelled"),"",IF(H170&lt;TODAY(),"Overdue",""))</f>
        <v/>
      </c>
      <c r="Q170" s="0" t="str">
        <f aca="false">IF(AND(C170&lt;&gt;"",I170&lt;&gt;"Cancelled",OR(AND(N(J170)&gt;'Weekly Report'!$C$5,N(J170)&lt;='Weekly Report'!$C$4),AND(N(K170)&gt;'Weekly Report'!$C$5,N(K170)&lt;='Weekly Report'!$C$4))),COUNT(Q$4:Q169)+1,"")</f>
        <v/>
      </c>
      <c r="R170" s="0" t="str">
        <f aca="false">IF(AND(C170&lt;&gt;"",I170="In Progress"),COUNT(R$4:R169)+1,"")</f>
        <v/>
      </c>
      <c r="S170" s="0" t="str">
        <f aca="false">IF(AND(C170&lt;&gt;"",I170&lt;&gt;"Completed",I170&lt;&gt;"Cancelled",OR(I170="Blocked",M170&lt;&gt;"")),COUNT(S$4:S169)+1,"")</f>
        <v/>
      </c>
      <c r="T170" s="0" t="str">
        <f aca="false">IF(AND(C170&lt;&gt;"",I170&lt;&gt;"Completed",I170&lt;&gt;"Cancelled",OR(O170="Yes",AND(N(H170)&gt;'Weekly Report'!$C$4,N(H170)&lt;='Weekly Report'!$C$4+7))),COUNT(T$4:T169)+1,"")</f>
        <v/>
      </c>
    </row>
    <row r="171" customFormat="false" ht="15" hidden="false" customHeight="false" outlineLevel="0" collapsed="false">
      <c r="A171" s="53" t="s">
        <v>293</v>
      </c>
      <c r="B171" s="27"/>
      <c r="C171" s="26"/>
      <c r="D171" s="27"/>
      <c r="E171" s="27"/>
      <c r="F171" s="27"/>
      <c r="G171" s="28"/>
      <c r="H171" s="28"/>
      <c r="I171" s="27"/>
      <c r="J171" s="28"/>
      <c r="K171" s="28"/>
      <c r="L171" s="26"/>
      <c r="M171" s="26"/>
      <c r="N171" s="27"/>
      <c r="O171" s="27"/>
      <c r="P171" s="54" t="str">
        <f aca="true">IF(OR(C171="",H171="",I171="Completed",I171="Cancelled"),"",IF(H171&lt;TODAY(),"Overdue",""))</f>
        <v/>
      </c>
      <c r="Q171" s="0" t="str">
        <f aca="false">IF(AND(C171&lt;&gt;"",I171&lt;&gt;"Cancelled",OR(AND(N(J171)&gt;'Weekly Report'!$C$5,N(J171)&lt;='Weekly Report'!$C$4),AND(N(K171)&gt;'Weekly Report'!$C$5,N(K171)&lt;='Weekly Report'!$C$4))),COUNT(Q$4:Q170)+1,"")</f>
        <v/>
      </c>
      <c r="R171" s="0" t="str">
        <f aca="false">IF(AND(C171&lt;&gt;"",I171="In Progress"),COUNT(R$4:R170)+1,"")</f>
        <v/>
      </c>
      <c r="S171" s="0" t="str">
        <f aca="false">IF(AND(C171&lt;&gt;"",I171&lt;&gt;"Completed",I171&lt;&gt;"Cancelled",OR(I171="Blocked",M171&lt;&gt;"")),COUNT(S$4:S170)+1,"")</f>
        <v/>
      </c>
      <c r="T171" s="0" t="str">
        <f aca="false">IF(AND(C171&lt;&gt;"",I171&lt;&gt;"Completed",I171&lt;&gt;"Cancelled",OR(O171="Yes",AND(N(H171)&gt;'Weekly Report'!$C$4,N(H171)&lt;='Weekly Report'!$C$4+7))),COUNT(T$4:T170)+1,"")</f>
        <v/>
      </c>
    </row>
    <row r="172" customFormat="false" ht="15" hidden="false" customHeight="false" outlineLevel="0" collapsed="false">
      <c r="A172" s="53" t="s">
        <v>294</v>
      </c>
      <c r="B172" s="27"/>
      <c r="C172" s="26"/>
      <c r="D172" s="27"/>
      <c r="E172" s="27"/>
      <c r="F172" s="27"/>
      <c r="G172" s="28"/>
      <c r="H172" s="28"/>
      <c r="I172" s="27"/>
      <c r="J172" s="28"/>
      <c r="K172" s="28"/>
      <c r="L172" s="26"/>
      <c r="M172" s="26"/>
      <c r="N172" s="27"/>
      <c r="O172" s="27"/>
      <c r="P172" s="54" t="str">
        <f aca="true">IF(OR(C172="",H172="",I172="Completed",I172="Cancelled"),"",IF(H172&lt;TODAY(),"Overdue",""))</f>
        <v/>
      </c>
      <c r="Q172" s="0" t="str">
        <f aca="false">IF(AND(C172&lt;&gt;"",I172&lt;&gt;"Cancelled",OR(AND(N(J172)&gt;'Weekly Report'!$C$5,N(J172)&lt;='Weekly Report'!$C$4),AND(N(K172)&gt;'Weekly Report'!$C$5,N(K172)&lt;='Weekly Report'!$C$4))),COUNT(Q$4:Q171)+1,"")</f>
        <v/>
      </c>
      <c r="R172" s="0" t="str">
        <f aca="false">IF(AND(C172&lt;&gt;"",I172="In Progress"),COUNT(R$4:R171)+1,"")</f>
        <v/>
      </c>
      <c r="S172" s="0" t="str">
        <f aca="false">IF(AND(C172&lt;&gt;"",I172&lt;&gt;"Completed",I172&lt;&gt;"Cancelled",OR(I172="Blocked",M172&lt;&gt;"")),COUNT(S$4:S171)+1,"")</f>
        <v/>
      </c>
      <c r="T172" s="0" t="str">
        <f aca="false">IF(AND(C172&lt;&gt;"",I172&lt;&gt;"Completed",I172&lt;&gt;"Cancelled",OR(O172="Yes",AND(N(H172)&gt;'Weekly Report'!$C$4,N(H172)&lt;='Weekly Report'!$C$4+7))),COUNT(T$4:T171)+1,"")</f>
        <v/>
      </c>
    </row>
    <row r="173" customFormat="false" ht="15" hidden="false" customHeight="false" outlineLevel="0" collapsed="false">
      <c r="A173" s="53" t="s">
        <v>295</v>
      </c>
      <c r="B173" s="27"/>
      <c r="C173" s="26"/>
      <c r="D173" s="27"/>
      <c r="E173" s="27"/>
      <c r="F173" s="27"/>
      <c r="G173" s="28"/>
      <c r="H173" s="28"/>
      <c r="I173" s="27"/>
      <c r="J173" s="28"/>
      <c r="K173" s="28"/>
      <c r="L173" s="26"/>
      <c r="M173" s="26"/>
      <c r="N173" s="27"/>
      <c r="O173" s="27"/>
      <c r="P173" s="54" t="str">
        <f aca="true">IF(OR(C173="",H173="",I173="Completed",I173="Cancelled"),"",IF(H173&lt;TODAY(),"Overdue",""))</f>
        <v/>
      </c>
      <c r="Q173" s="0" t="str">
        <f aca="false">IF(AND(C173&lt;&gt;"",I173&lt;&gt;"Cancelled",OR(AND(N(J173)&gt;'Weekly Report'!$C$5,N(J173)&lt;='Weekly Report'!$C$4),AND(N(K173)&gt;'Weekly Report'!$C$5,N(K173)&lt;='Weekly Report'!$C$4))),COUNT(Q$4:Q172)+1,"")</f>
        <v/>
      </c>
      <c r="R173" s="0" t="str">
        <f aca="false">IF(AND(C173&lt;&gt;"",I173="In Progress"),COUNT(R$4:R172)+1,"")</f>
        <v/>
      </c>
      <c r="S173" s="0" t="str">
        <f aca="false">IF(AND(C173&lt;&gt;"",I173&lt;&gt;"Completed",I173&lt;&gt;"Cancelled",OR(I173="Blocked",M173&lt;&gt;"")),COUNT(S$4:S172)+1,"")</f>
        <v/>
      </c>
      <c r="T173" s="0" t="str">
        <f aca="false">IF(AND(C173&lt;&gt;"",I173&lt;&gt;"Completed",I173&lt;&gt;"Cancelled",OR(O173="Yes",AND(N(H173)&gt;'Weekly Report'!$C$4,N(H173)&lt;='Weekly Report'!$C$4+7))),COUNT(T$4:T172)+1,"")</f>
        <v/>
      </c>
    </row>
    <row r="174" customFormat="false" ht="15" hidden="false" customHeight="false" outlineLevel="0" collapsed="false">
      <c r="A174" s="53" t="s">
        <v>296</v>
      </c>
      <c r="B174" s="27"/>
      <c r="C174" s="26"/>
      <c r="D174" s="27"/>
      <c r="E174" s="27"/>
      <c r="F174" s="27"/>
      <c r="G174" s="28"/>
      <c r="H174" s="28"/>
      <c r="I174" s="27"/>
      <c r="J174" s="28"/>
      <c r="K174" s="28"/>
      <c r="L174" s="26"/>
      <c r="M174" s="26"/>
      <c r="N174" s="27"/>
      <c r="O174" s="27"/>
      <c r="P174" s="54" t="str">
        <f aca="true">IF(OR(C174="",H174="",I174="Completed",I174="Cancelled"),"",IF(H174&lt;TODAY(),"Overdue",""))</f>
        <v/>
      </c>
      <c r="Q174" s="0" t="str">
        <f aca="false">IF(AND(C174&lt;&gt;"",I174&lt;&gt;"Cancelled",OR(AND(N(J174)&gt;'Weekly Report'!$C$5,N(J174)&lt;='Weekly Report'!$C$4),AND(N(K174)&gt;'Weekly Report'!$C$5,N(K174)&lt;='Weekly Report'!$C$4))),COUNT(Q$4:Q173)+1,"")</f>
        <v/>
      </c>
      <c r="R174" s="0" t="str">
        <f aca="false">IF(AND(C174&lt;&gt;"",I174="In Progress"),COUNT(R$4:R173)+1,"")</f>
        <v/>
      </c>
      <c r="S174" s="0" t="str">
        <f aca="false">IF(AND(C174&lt;&gt;"",I174&lt;&gt;"Completed",I174&lt;&gt;"Cancelled",OR(I174="Blocked",M174&lt;&gt;"")),COUNT(S$4:S173)+1,"")</f>
        <v/>
      </c>
      <c r="T174" s="0" t="str">
        <f aca="false">IF(AND(C174&lt;&gt;"",I174&lt;&gt;"Completed",I174&lt;&gt;"Cancelled",OR(O174="Yes",AND(N(H174)&gt;'Weekly Report'!$C$4,N(H174)&lt;='Weekly Report'!$C$4+7))),COUNT(T$4:T173)+1,"")</f>
        <v/>
      </c>
    </row>
    <row r="175" customFormat="false" ht="15" hidden="false" customHeight="false" outlineLevel="0" collapsed="false">
      <c r="A175" s="53" t="s">
        <v>297</v>
      </c>
      <c r="B175" s="27"/>
      <c r="C175" s="26"/>
      <c r="D175" s="27"/>
      <c r="E175" s="27"/>
      <c r="F175" s="27"/>
      <c r="G175" s="28"/>
      <c r="H175" s="28"/>
      <c r="I175" s="27"/>
      <c r="J175" s="28"/>
      <c r="K175" s="28"/>
      <c r="L175" s="26"/>
      <c r="M175" s="26"/>
      <c r="N175" s="27"/>
      <c r="O175" s="27"/>
      <c r="P175" s="54" t="str">
        <f aca="true">IF(OR(C175="",H175="",I175="Completed",I175="Cancelled"),"",IF(H175&lt;TODAY(),"Overdue",""))</f>
        <v/>
      </c>
      <c r="Q175" s="0" t="str">
        <f aca="false">IF(AND(C175&lt;&gt;"",I175&lt;&gt;"Cancelled",OR(AND(N(J175)&gt;'Weekly Report'!$C$5,N(J175)&lt;='Weekly Report'!$C$4),AND(N(K175)&gt;'Weekly Report'!$C$5,N(K175)&lt;='Weekly Report'!$C$4))),COUNT(Q$4:Q174)+1,"")</f>
        <v/>
      </c>
      <c r="R175" s="0" t="str">
        <f aca="false">IF(AND(C175&lt;&gt;"",I175="In Progress"),COUNT(R$4:R174)+1,"")</f>
        <v/>
      </c>
      <c r="S175" s="0" t="str">
        <f aca="false">IF(AND(C175&lt;&gt;"",I175&lt;&gt;"Completed",I175&lt;&gt;"Cancelled",OR(I175="Blocked",M175&lt;&gt;"")),COUNT(S$4:S174)+1,"")</f>
        <v/>
      </c>
      <c r="T175" s="0" t="str">
        <f aca="false">IF(AND(C175&lt;&gt;"",I175&lt;&gt;"Completed",I175&lt;&gt;"Cancelled",OR(O175="Yes",AND(N(H175)&gt;'Weekly Report'!$C$4,N(H175)&lt;='Weekly Report'!$C$4+7))),COUNT(T$4:T174)+1,"")</f>
        <v/>
      </c>
    </row>
    <row r="176" customFormat="false" ht="15" hidden="false" customHeight="false" outlineLevel="0" collapsed="false">
      <c r="A176" s="53" t="s">
        <v>298</v>
      </c>
      <c r="B176" s="27"/>
      <c r="C176" s="26"/>
      <c r="D176" s="27"/>
      <c r="E176" s="27"/>
      <c r="F176" s="27"/>
      <c r="G176" s="28"/>
      <c r="H176" s="28"/>
      <c r="I176" s="27"/>
      <c r="J176" s="28"/>
      <c r="K176" s="28"/>
      <c r="L176" s="26"/>
      <c r="M176" s="26"/>
      <c r="N176" s="27"/>
      <c r="O176" s="27"/>
      <c r="P176" s="54" t="str">
        <f aca="true">IF(OR(C176="",H176="",I176="Completed",I176="Cancelled"),"",IF(H176&lt;TODAY(),"Overdue",""))</f>
        <v/>
      </c>
      <c r="Q176" s="0" t="str">
        <f aca="false">IF(AND(C176&lt;&gt;"",I176&lt;&gt;"Cancelled",OR(AND(N(J176)&gt;'Weekly Report'!$C$5,N(J176)&lt;='Weekly Report'!$C$4),AND(N(K176)&gt;'Weekly Report'!$C$5,N(K176)&lt;='Weekly Report'!$C$4))),COUNT(Q$4:Q175)+1,"")</f>
        <v/>
      </c>
      <c r="R176" s="0" t="str">
        <f aca="false">IF(AND(C176&lt;&gt;"",I176="In Progress"),COUNT(R$4:R175)+1,"")</f>
        <v/>
      </c>
      <c r="S176" s="0" t="str">
        <f aca="false">IF(AND(C176&lt;&gt;"",I176&lt;&gt;"Completed",I176&lt;&gt;"Cancelled",OR(I176="Blocked",M176&lt;&gt;"")),COUNT(S$4:S175)+1,"")</f>
        <v/>
      </c>
      <c r="T176" s="0" t="str">
        <f aca="false">IF(AND(C176&lt;&gt;"",I176&lt;&gt;"Completed",I176&lt;&gt;"Cancelled",OR(O176="Yes",AND(N(H176)&gt;'Weekly Report'!$C$4,N(H176)&lt;='Weekly Report'!$C$4+7))),COUNT(T$4:T175)+1,"")</f>
        <v/>
      </c>
    </row>
    <row r="177" customFormat="false" ht="15" hidden="false" customHeight="false" outlineLevel="0" collapsed="false">
      <c r="A177" s="53" t="s">
        <v>299</v>
      </c>
      <c r="B177" s="27"/>
      <c r="C177" s="26"/>
      <c r="D177" s="27"/>
      <c r="E177" s="27"/>
      <c r="F177" s="27"/>
      <c r="G177" s="28"/>
      <c r="H177" s="28"/>
      <c r="I177" s="27"/>
      <c r="J177" s="28"/>
      <c r="K177" s="28"/>
      <c r="L177" s="26"/>
      <c r="M177" s="26"/>
      <c r="N177" s="27"/>
      <c r="O177" s="27"/>
      <c r="P177" s="54" t="str">
        <f aca="true">IF(OR(C177="",H177="",I177="Completed",I177="Cancelled"),"",IF(H177&lt;TODAY(),"Overdue",""))</f>
        <v/>
      </c>
      <c r="Q177" s="0" t="str">
        <f aca="false">IF(AND(C177&lt;&gt;"",I177&lt;&gt;"Cancelled",OR(AND(N(J177)&gt;'Weekly Report'!$C$5,N(J177)&lt;='Weekly Report'!$C$4),AND(N(K177)&gt;'Weekly Report'!$C$5,N(K177)&lt;='Weekly Report'!$C$4))),COUNT(Q$4:Q176)+1,"")</f>
        <v/>
      </c>
      <c r="R177" s="0" t="str">
        <f aca="false">IF(AND(C177&lt;&gt;"",I177="In Progress"),COUNT(R$4:R176)+1,"")</f>
        <v/>
      </c>
      <c r="S177" s="0" t="str">
        <f aca="false">IF(AND(C177&lt;&gt;"",I177&lt;&gt;"Completed",I177&lt;&gt;"Cancelled",OR(I177="Blocked",M177&lt;&gt;"")),COUNT(S$4:S176)+1,"")</f>
        <v/>
      </c>
      <c r="T177" s="0" t="str">
        <f aca="false">IF(AND(C177&lt;&gt;"",I177&lt;&gt;"Completed",I177&lt;&gt;"Cancelled",OR(O177="Yes",AND(N(H177)&gt;'Weekly Report'!$C$4,N(H177)&lt;='Weekly Report'!$C$4+7))),COUNT(T$4:T176)+1,"")</f>
        <v/>
      </c>
    </row>
    <row r="178" customFormat="false" ht="15" hidden="false" customHeight="false" outlineLevel="0" collapsed="false">
      <c r="A178" s="53" t="s">
        <v>300</v>
      </c>
      <c r="B178" s="27"/>
      <c r="C178" s="26"/>
      <c r="D178" s="27"/>
      <c r="E178" s="27"/>
      <c r="F178" s="27"/>
      <c r="G178" s="28"/>
      <c r="H178" s="28"/>
      <c r="I178" s="27"/>
      <c r="J178" s="28"/>
      <c r="K178" s="28"/>
      <c r="L178" s="26"/>
      <c r="M178" s="26"/>
      <c r="N178" s="27"/>
      <c r="O178" s="27"/>
      <c r="P178" s="54" t="str">
        <f aca="true">IF(OR(C178="",H178="",I178="Completed",I178="Cancelled"),"",IF(H178&lt;TODAY(),"Overdue",""))</f>
        <v/>
      </c>
      <c r="Q178" s="0" t="str">
        <f aca="false">IF(AND(C178&lt;&gt;"",I178&lt;&gt;"Cancelled",OR(AND(N(J178)&gt;'Weekly Report'!$C$5,N(J178)&lt;='Weekly Report'!$C$4),AND(N(K178)&gt;'Weekly Report'!$C$5,N(K178)&lt;='Weekly Report'!$C$4))),COUNT(Q$4:Q177)+1,"")</f>
        <v/>
      </c>
      <c r="R178" s="0" t="str">
        <f aca="false">IF(AND(C178&lt;&gt;"",I178="In Progress"),COUNT(R$4:R177)+1,"")</f>
        <v/>
      </c>
      <c r="S178" s="0" t="str">
        <f aca="false">IF(AND(C178&lt;&gt;"",I178&lt;&gt;"Completed",I178&lt;&gt;"Cancelled",OR(I178="Blocked",M178&lt;&gt;"")),COUNT(S$4:S177)+1,"")</f>
        <v/>
      </c>
      <c r="T178" s="0" t="str">
        <f aca="false">IF(AND(C178&lt;&gt;"",I178&lt;&gt;"Completed",I178&lt;&gt;"Cancelled",OR(O178="Yes",AND(N(H178)&gt;'Weekly Report'!$C$4,N(H178)&lt;='Weekly Report'!$C$4+7))),COUNT(T$4:T177)+1,"")</f>
        <v/>
      </c>
    </row>
    <row r="179" customFormat="false" ht="15" hidden="false" customHeight="false" outlineLevel="0" collapsed="false">
      <c r="A179" s="53" t="s">
        <v>301</v>
      </c>
      <c r="B179" s="27"/>
      <c r="C179" s="26"/>
      <c r="D179" s="27"/>
      <c r="E179" s="27"/>
      <c r="F179" s="27"/>
      <c r="G179" s="28"/>
      <c r="H179" s="28"/>
      <c r="I179" s="27"/>
      <c r="J179" s="28"/>
      <c r="K179" s="28"/>
      <c r="L179" s="26"/>
      <c r="M179" s="26"/>
      <c r="N179" s="27"/>
      <c r="O179" s="27"/>
      <c r="P179" s="54" t="str">
        <f aca="true">IF(OR(C179="",H179="",I179="Completed",I179="Cancelled"),"",IF(H179&lt;TODAY(),"Overdue",""))</f>
        <v/>
      </c>
      <c r="Q179" s="0" t="str">
        <f aca="false">IF(AND(C179&lt;&gt;"",I179&lt;&gt;"Cancelled",OR(AND(N(J179)&gt;'Weekly Report'!$C$5,N(J179)&lt;='Weekly Report'!$C$4),AND(N(K179)&gt;'Weekly Report'!$C$5,N(K179)&lt;='Weekly Report'!$C$4))),COUNT(Q$4:Q178)+1,"")</f>
        <v/>
      </c>
      <c r="R179" s="0" t="str">
        <f aca="false">IF(AND(C179&lt;&gt;"",I179="In Progress"),COUNT(R$4:R178)+1,"")</f>
        <v/>
      </c>
      <c r="S179" s="0" t="str">
        <f aca="false">IF(AND(C179&lt;&gt;"",I179&lt;&gt;"Completed",I179&lt;&gt;"Cancelled",OR(I179="Blocked",M179&lt;&gt;"")),COUNT(S$4:S178)+1,"")</f>
        <v/>
      </c>
      <c r="T179" s="0" t="str">
        <f aca="false">IF(AND(C179&lt;&gt;"",I179&lt;&gt;"Completed",I179&lt;&gt;"Cancelled",OR(O179="Yes",AND(N(H179)&gt;'Weekly Report'!$C$4,N(H179)&lt;='Weekly Report'!$C$4+7))),COUNT(T$4:T178)+1,"")</f>
        <v/>
      </c>
    </row>
    <row r="180" customFormat="false" ht="15" hidden="false" customHeight="false" outlineLevel="0" collapsed="false">
      <c r="A180" s="53" t="s">
        <v>302</v>
      </c>
      <c r="B180" s="27"/>
      <c r="C180" s="26"/>
      <c r="D180" s="27"/>
      <c r="E180" s="27"/>
      <c r="F180" s="27"/>
      <c r="G180" s="28"/>
      <c r="H180" s="28"/>
      <c r="I180" s="27"/>
      <c r="J180" s="28"/>
      <c r="K180" s="28"/>
      <c r="L180" s="26"/>
      <c r="M180" s="26"/>
      <c r="N180" s="27"/>
      <c r="O180" s="27"/>
      <c r="P180" s="54" t="str">
        <f aca="true">IF(OR(C180="",H180="",I180="Completed",I180="Cancelled"),"",IF(H180&lt;TODAY(),"Overdue",""))</f>
        <v/>
      </c>
      <c r="Q180" s="0" t="str">
        <f aca="false">IF(AND(C180&lt;&gt;"",I180&lt;&gt;"Cancelled",OR(AND(N(J180)&gt;'Weekly Report'!$C$5,N(J180)&lt;='Weekly Report'!$C$4),AND(N(K180)&gt;'Weekly Report'!$C$5,N(K180)&lt;='Weekly Report'!$C$4))),COUNT(Q$4:Q179)+1,"")</f>
        <v/>
      </c>
      <c r="R180" s="0" t="str">
        <f aca="false">IF(AND(C180&lt;&gt;"",I180="In Progress"),COUNT(R$4:R179)+1,"")</f>
        <v/>
      </c>
      <c r="S180" s="0" t="str">
        <f aca="false">IF(AND(C180&lt;&gt;"",I180&lt;&gt;"Completed",I180&lt;&gt;"Cancelled",OR(I180="Blocked",M180&lt;&gt;"")),COUNT(S$4:S179)+1,"")</f>
        <v/>
      </c>
      <c r="T180" s="0" t="str">
        <f aca="false">IF(AND(C180&lt;&gt;"",I180&lt;&gt;"Completed",I180&lt;&gt;"Cancelled",OR(O180="Yes",AND(N(H180)&gt;'Weekly Report'!$C$4,N(H180)&lt;='Weekly Report'!$C$4+7))),COUNT(T$4:T179)+1,"")</f>
        <v/>
      </c>
    </row>
    <row r="181" customFormat="false" ht="15" hidden="false" customHeight="false" outlineLevel="0" collapsed="false">
      <c r="A181" s="53" t="s">
        <v>303</v>
      </c>
      <c r="B181" s="27"/>
      <c r="C181" s="26"/>
      <c r="D181" s="27"/>
      <c r="E181" s="27"/>
      <c r="F181" s="27"/>
      <c r="G181" s="28"/>
      <c r="H181" s="28"/>
      <c r="I181" s="27"/>
      <c r="J181" s="28"/>
      <c r="K181" s="28"/>
      <c r="L181" s="26"/>
      <c r="M181" s="26"/>
      <c r="N181" s="27"/>
      <c r="O181" s="27"/>
      <c r="P181" s="54" t="str">
        <f aca="true">IF(OR(C181="",H181="",I181="Completed",I181="Cancelled"),"",IF(H181&lt;TODAY(),"Overdue",""))</f>
        <v/>
      </c>
      <c r="Q181" s="0" t="str">
        <f aca="false">IF(AND(C181&lt;&gt;"",I181&lt;&gt;"Cancelled",OR(AND(N(J181)&gt;'Weekly Report'!$C$5,N(J181)&lt;='Weekly Report'!$C$4),AND(N(K181)&gt;'Weekly Report'!$C$5,N(K181)&lt;='Weekly Report'!$C$4))),COUNT(Q$4:Q180)+1,"")</f>
        <v/>
      </c>
      <c r="R181" s="0" t="str">
        <f aca="false">IF(AND(C181&lt;&gt;"",I181="In Progress"),COUNT(R$4:R180)+1,"")</f>
        <v/>
      </c>
      <c r="S181" s="0" t="str">
        <f aca="false">IF(AND(C181&lt;&gt;"",I181&lt;&gt;"Completed",I181&lt;&gt;"Cancelled",OR(I181="Blocked",M181&lt;&gt;"")),COUNT(S$4:S180)+1,"")</f>
        <v/>
      </c>
      <c r="T181" s="0" t="str">
        <f aca="false">IF(AND(C181&lt;&gt;"",I181&lt;&gt;"Completed",I181&lt;&gt;"Cancelled",OR(O181="Yes",AND(N(H181)&gt;'Weekly Report'!$C$4,N(H181)&lt;='Weekly Report'!$C$4+7))),COUNT(T$4:T180)+1,"")</f>
        <v/>
      </c>
    </row>
    <row r="182" customFormat="false" ht="15" hidden="false" customHeight="false" outlineLevel="0" collapsed="false">
      <c r="A182" s="53" t="s">
        <v>304</v>
      </c>
      <c r="B182" s="27"/>
      <c r="C182" s="26"/>
      <c r="D182" s="27"/>
      <c r="E182" s="27"/>
      <c r="F182" s="27"/>
      <c r="G182" s="28"/>
      <c r="H182" s="28"/>
      <c r="I182" s="27"/>
      <c r="J182" s="28"/>
      <c r="K182" s="28"/>
      <c r="L182" s="26"/>
      <c r="M182" s="26"/>
      <c r="N182" s="27"/>
      <c r="O182" s="27"/>
      <c r="P182" s="54" t="str">
        <f aca="true">IF(OR(C182="",H182="",I182="Completed",I182="Cancelled"),"",IF(H182&lt;TODAY(),"Overdue",""))</f>
        <v/>
      </c>
      <c r="Q182" s="0" t="str">
        <f aca="false">IF(AND(C182&lt;&gt;"",I182&lt;&gt;"Cancelled",OR(AND(N(J182)&gt;'Weekly Report'!$C$5,N(J182)&lt;='Weekly Report'!$C$4),AND(N(K182)&gt;'Weekly Report'!$C$5,N(K182)&lt;='Weekly Report'!$C$4))),COUNT(Q$4:Q181)+1,"")</f>
        <v/>
      </c>
      <c r="R182" s="0" t="str">
        <f aca="false">IF(AND(C182&lt;&gt;"",I182="In Progress"),COUNT(R$4:R181)+1,"")</f>
        <v/>
      </c>
      <c r="S182" s="0" t="str">
        <f aca="false">IF(AND(C182&lt;&gt;"",I182&lt;&gt;"Completed",I182&lt;&gt;"Cancelled",OR(I182="Blocked",M182&lt;&gt;"")),COUNT(S$4:S181)+1,"")</f>
        <v/>
      </c>
      <c r="T182" s="0" t="str">
        <f aca="false">IF(AND(C182&lt;&gt;"",I182&lt;&gt;"Completed",I182&lt;&gt;"Cancelled",OR(O182="Yes",AND(N(H182)&gt;'Weekly Report'!$C$4,N(H182)&lt;='Weekly Report'!$C$4+7))),COUNT(T$4:T181)+1,"")</f>
        <v/>
      </c>
    </row>
    <row r="183" customFormat="false" ht="15" hidden="false" customHeight="false" outlineLevel="0" collapsed="false">
      <c r="A183" s="53" t="s">
        <v>305</v>
      </c>
      <c r="B183" s="27"/>
      <c r="C183" s="26"/>
      <c r="D183" s="27"/>
      <c r="E183" s="27"/>
      <c r="F183" s="27"/>
      <c r="G183" s="28"/>
      <c r="H183" s="28"/>
      <c r="I183" s="27"/>
      <c r="J183" s="28"/>
      <c r="K183" s="28"/>
      <c r="L183" s="26"/>
      <c r="M183" s="26"/>
      <c r="N183" s="27"/>
      <c r="O183" s="27"/>
      <c r="P183" s="54" t="str">
        <f aca="true">IF(OR(C183="",H183="",I183="Completed",I183="Cancelled"),"",IF(H183&lt;TODAY(),"Overdue",""))</f>
        <v/>
      </c>
      <c r="Q183" s="0" t="str">
        <f aca="false">IF(AND(C183&lt;&gt;"",I183&lt;&gt;"Cancelled",OR(AND(N(J183)&gt;'Weekly Report'!$C$5,N(J183)&lt;='Weekly Report'!$C$4),AND(N(K183)&gt;'Weekly Report'!$C$5,N(K183)&lt;='Weekly Report'!$C$4))),COUNT(Q$4:Q182)+1,"")</f>
        <v/>
      </c>
      <c r="R183" s="0" t="str">
        <f aca="false">IF(AND(C183&lt;&gt;"",I183="In Progress"),COUNT(R$4:R182)+1,"")</f>
        <v/>
      </c>
      <c r="S183" s="0" t="str">
        <f aca="false">IF(AND(C183&lt;&gt;"",I183&lt;&gt;"Completed",I183&lt;&gt;"Cancelled",OR(I183="Blocked",M183&lt;&gt;"")),COUNT(S$4:S182)+1,"")</f>
        <v/>
      </c>
      <c r="T183" s="0" t="str">
        <f aca="false">IF(AND(C183&lt;&gt;"",I183&lt;&gt;"Completed",I183&lt;&gt;"Cancelled",OR(O183="Yes",AND(N(H183)&gt;'Weekly Report'!$C$4,N(H183)&lt;='Weekly Report'!$C$4+7))),COUNT(T$4:T182)+1,"")</f>
        <v/>
      </c>
    </row>
    <row r="184" customFormat="false" ht="15" hidden="false" customHeight="false" outlineLevel="0" collapsed="false">
      <c r="A184" s="53" t="s">
        <v>306</v>
      </c>
      <c r="B184" s="27"/>
      <c r="C184" s="26"/>
      <c r="D184" s="27"/>
      <c r="E184" s="27"/>
      <c r="F184" s="27"/>
      <c r="G184" s="28"/>
      <c r="H184" s="28"/>
      <c r="I184" s="27"/>
      <c r="J184" s="28"/>
      <c r="K184" s="28"/>
      <c r="L184" s="26"/>
      <c r="M184" s="26"/>
      <c r="N184" s="27"/>
      <c r="O184" s="27"/>
      <c r="P184" s="54" t="str">
        <f aca="true">IF(OR(C184="",H184="",I184="Completed",I184="Cancelled"),"",IF(H184&lt;TODAY(),"Overdue",""))</f>
        <v/>
      </c>
      <c r="Q184" s="0" t="str">
        <f aca="false">IF(AND(C184&lt;&gt;"",I184&lt;&gt;"Cancelled",OR(AND(N(J184)&gt;'Weekly Report'!$C$5,N(J184)&lt;='Weekly Report'!$C$4),AND(N(K184)&gt;'Weekly Report'!$C$5,N(K184)&lt;='Weekly Report'!$C$4))),COUNT(Q$4:Q183)+1,"")</f>
        <v/>
      </c>
      <c r="R184" s="0" t="str">
        <f aca="false">IF(AND(C184&lt;&gt;"",I184="In Progress"),COUNT(R$4:R183)+1,"")</f>
        <v/>
      </c>
      <c r="S184" s="0" t="str">
        <f aca="false">IF(AND(C184&lt;&gt;"",I184&lt;&gt;"Completed",I184&lt;&gt;"Cancelled",OR(I184="Blocked",M184&lt;&gt;"")),COUNT(S$4:S183)+1,"")</f>
        <v/>
      </c>
      <c r="T184" s="0" t="str">
        <f aca="false">IF(AND(C184&lt;&gt;"",I184&lt;&gt;"Completed",I184&lt;&gt;"Cancelled",OR(O184="Yes",AND(N(H184)&gt;'Weekly Report'!$C$4,N(H184)&lt;='Weekly Report'!$C$4+7))),COUNT(T$4:T183)+1,"")</f>
        <v/>
      </c>
    </row>
    <row r="185" customFormat="false" ht="15" hidden="false" customHeight="false" outlineLevel="0" collapsed="false">
      <c r="A185" s="53" t="s">
        <v>307</v>
      </c>
      <c r="B185" s="27"/>
      <c r="C185" s="26"/>
      <c r="D185" s="27"/>
      <c r="E185" s="27"/>
      <c r="F185" s="27"/>
      <c r="G185" s="28"/>
      <c r="H185" s="28"/>
      <c r="I185" s="27"/>
      <c r="J185" s="28"/>
      <c r="K185" s="28"/>
      <c r="L185" s="26"/>
      <c r="M185" s="26"/>
      <c r="N185" s="27"/>
      <c r="O185" s="27"/>
      <c r="P185" s="54" t="str">
        <f aca="true">IF(OR(C185="",H185="",I185="Completed",I185="Cancelled"),"",IF(H185&lt;TODAY(),"Overdue",""))</f>
        <v/>
      </c>
      <c r="Q185" s="0" t="str">
        <f aca="false">IF(AND(C185&lt;&gt;"",I185&lt;&gt;"Cancelled",OR(AND(N(J185)&gt;'Weekly Report'!$C$5,N(J185)&lt;='Weekly Report'!$C$4),AND(N(K185)&gt;'Weekly Report'!$C$5,N(K185)&lt;='Weekly Report'!$C$4))),COUNT(Q$4:Q184)+1,"")</f>
        <v/>
      </c>
      <c r="R185" s="0" t="str">
        <f aca="false">IF(AND(C185&lt;&gt;"",I185="In Progress"),COUNT(R$4:R184)+1,"")</f>
        <v/>
      </c>
      <c r="S185" s="0" t="str">
        <f aca="false">IF(AND(C185&lt;&gt;"",I185&lt;&gt;"Completed",I185&lt;&gt;"Cancelled",OR(I185="Blocked",M185&lt;&gt;"")),COUNT(S$4:S184)+1,"")</f>
        <v/>
      </c>
      <c r="T185" s="0" t="str">
        <f aca="false">IF(AND(C185&lt;&gt;"",I185&lt;&gt;"Completed",I185&lt;&gt;"Cancelled",OR(O185="Yes",AND(N(H185)&gt;'Weekly Report'!$C$4,N(H185)&lt;='Weekly Report'!$C$4+7))),COUNT(T$4:T184)+1,"")</f>
        <v/>
      </c>
    </row>
    <row r="186" customFormat="false" ht="15" hidden="false" customHeight="false" outlineLevel="0" collapsed="false">
      <c r="A186" s="53" t="s">
        <v>308</v>
      </c>
      <c r="B186" s="27"/>
      <c r="C186" s="26"/>
      <c r="D186" s="27"/>
      <c r="E186" s="27"/>
      <c r="F186" s="27"/>
      <c r="G186" s="28"/>
      <c r="H186" s="28"/>
      <c r="I186" s="27"/>
      <c r="J186" s="28"/>
      <c r="K186" s="28"/>
      <c r="L186" s="26"/>
      <c r="M186" s="26"/>
      <c r="N186" s="27"/>
      <c r="O186" s="27"/>
      <c r="P186" s="54" t="str">
        <f aca="true">IF(OR(C186="",H186="",I186="Completed",I186="Cancelled"),"",IF(H186&lt;TODAY(),"Overdue",""))</f>
        <v/>
      </c>
      <c r="Q186" s="0" t="str">
        <f aca="false">IF(AND(C186&lt;&gt;"",I186&lt;&gt;"Cancelled",OR(AND(N(J186)&gt;'Weekly Report'!$C$5,N(J186)&lt;='Weekly Report'!$C$4),AND(N(K186)&gt;'Weekly Report'!$C$5,N(K186)&lt;='Weekly Report'!$C$4))),COUNT(Q$4:Q185)+1,"")</f>
        <v/>
      </c>
      <c r="R186" s="0" t="str">
        <f aca="false">IF(AND(C186&lt;&gt;"",I186="In Progress"),COUNT(R$4:R185)+1,"")</f>
        <v/>
      </c>
      <c r="S186" s="0" t="str">
        <f aca="false">IF(AND(C186&lt;&gt;"",I186&lt;&gt;"Completed",I186&lt;&gt;"Cancelled",OR(I186="Blocked",M186&lt;&gt;"")),COUNT(S$4:S185)+1,"")</f>
        <v/>
      </c>
      <c r="T186" s="0" t="str">
        <f aca="false">IF(AND(C186&lt;&gt;"",I186&lt;&gt;"Completed",I186&lt;&gt;"Cancelled",OR(O186="Yes",AND(N(H186)&gt;'Weekly Report'!$C$4,N(H186)&lt;='Weekly Report'!$C$4+7))),COUNT(T$4:T185)+1,"")</f>
        <v/>
      </c>
    </row>
    <row r="187" customFormat="false" ht="15" hidden="false" customHeight="false" outlineLevel="0" collapsed="false">
      <c r="A187" s="53" t="s">
        <v>309</v>
      </c>
      <c r="B187" s="27"/>
      <c r="C187" s="26"/>
      <c r="D187" s="27"/>
      <c r="E187" s="27"/>
      <c r="F187" s="27"/>
      <c r="G187" s="28"/>
      <c r="H187" s="28"/>
      <c r="I187" s="27"/>
      <c r="J187" s="28"/>
      <c r="K187" s="28"/>
      <c r="L187" s="26"/>
      <c r="M187" s="26"/>
      <c r="N187" s="27"/>
      <c r="O187" s="27"/>
      <c r="P187" s="54" t="str">
        <f aca="true">IF(OR(C187="",H187="",I187="Completed",I187="Cancelled"),"",IF(H187&lt;TODAY(),"Overdue",""))</f>
        <v/>
      </c>
      <c r="Q187" s="0" t="str">
        <f aca="false">IF(AND(C187&lt;&gt;"",I187&lt;&gt;"Cancelled",OR(AND(N(J187)&gt;'Weekly Report'!$C$5,N(J187)&lt;='Weekly Report'!$C$4),AND(N(K187)&gt;'Weekly Report'!$C$5,N(K187)&lt;='Weekly Report'!$C$4))),COUNT(Q$4:Q186)+1,"")</f>
        <v/>
      </c>
      <c r="R187" s="0" t="str">
        <f aca="false">IF(AND(C187&lt;&gt;"",I187="In Progress"),COUNT(R$4:R186)+1,"")</f>
        <v/>
      </c>
      <c r="S187" s="0" t="str">
        <f aca="false">IF(AND(C187&lt;&gt;"",I187&lt;&gt;"Completed",I187&lt;&gt;"Cancelled",OR(I187="Blocked",M187&lt;&gt;"")),COUNT(S$4:S186)+1,"")</f>
        <v/>
      </c>
      <c r="T187" s="0" t="str">
        <f aca="false">IF(AND(C187&lt;&gt;"",I187&lt;&gt;"Completed",I187&lt;&gt;"Cancelled",OR(O187="Yes",AND(N(H187)&gt;'Weekly Report'!$C$4,N(H187)&lt;='Weekly Report'!$C$4+7))),COUNT(T$4:T186)+1,"")</f>
        <v/>
      </c>
    </row>
    <row r="188" customFormat="false" ht="15" hidden="false" customHeight="false" outlineLevel="0" collapsed="false">
      <c r="A188" s="53" t="s">
        <v>310</v>
      </c>
      <c r="B188" s="27"/>
      <c r="C188" s="26"/>
      <c r="D188" s="27"/>
      <c r="E188" s="27"/>
      <c r="F188" s="27"/>
      <c r="G188" s="28"/>
      <c r="H188" s="28"/>
      <c r="I188" s="27"/>
      <c r="J188" s="28"/>
      <c r="K188" s="28"/>
      <c r="L188" s="26"/>
      <c r="M188" s="26"/>
      <c r="N188" s="27"/>
      <c r="O188" s="27"/>
      <c r="P188" s="54" t="str">
        <f aca="true">IF(OR(C188="",H188="",I188="Completed",I188="Cancelled"),"",IF(H188&lt;TODAY(),"Overdue",""))</f>
        <v/>
      </c>
      <c r="Q188" s="0" t="str">
        <f aca="false">IF(AND(C188&lt;&gt;"",I188&lt;&gt;"Cancelled",OR(AND(N(J188)&gt;'Weekly Report'!$C$5,N(J188)&lt;='Weekly Report'!$C$4),AND(N(K188)&gt;'Weekly Report'!$C$5,N(K188)&lt;='Weekly Report'!$C$4))),COUNT(Q$4:Q187)+1,"")</f>
        <v/>
      </c>
      <c r="R188" s="0" t="str">
        <f aca="false">IF(AND(C188&lt;&gt;"",I188="In Progress"),COUNT(R$4:R187)+1,"")</f>
        <v/>
      </c>
      <c r="S188" s="0" t="str">
        <f aca="false">IF(AND(C188&lt;&gt;"",I188&lt;&gt;"Completed",I188&lt;&gt;"Cancelled",OR(I188="Blocked",M188&lt;&gt;"")),COUNT(S$4:S187)+1,"")</f>
        <v/>
      </c>
      <c r="T188" s="0" t="str">
        <f aca="false">IF(AND(C188&lt;&gt;"",I188&lt;&gt;"Completed",I188&lt;&gt;"Cancelled",OR(O188="Yes",AND(N(H188)&gt;'Weekly Report'!$C$4,N(H188)&lt;='Weekly Report'!$C$4+7))),COUNT(T$4:T187)+1,"")</f>
        <v/>
      </c>
    </row>
    <row r="189" customFormat="false" ht="15" hidden="false" customHeight="false" outlineLevel="0" collapsed="false">
      <c r="A189" s="53" t="s">
        <v>311</v>
      </c>
      <c r="B189" s="27"/>
      <c r="C189" s="26"/>
      <c r="D189" s="27"/>
      <c r="E189" s="27"/>
      <c r="F189" s="27"/>
      <c r="G189" s="28"/>
      <c r="H189" s="28"/>
      <c r="I189" s="27"/>
      <c r="J189" s="28"/>
      <c r="K189" s="28"/>
      <c r="L189" s="26"/>
      <c r="M189" s="26"/>
      <c r="N189" s="27"/>
      <c r="O189" s="27"/>
      <c r="P189" s="54" t="str">
        <f aca="true">IF(OR(C189="",H189="",I189="Completed",I189="Cancelled"),"",IF(H189&lt;TODAY(),"Overdue",""))</f>
        <v/>
      </c>
      <c r="Q189" s="0" t="str">
        <f aca="false">IF(AND(C189&lt;&gt;"",I189&lt;&gt;"Cancelled",OR(AND(N(J189)&gt;'Weekly Report'!$C$5,N(J189)&lt;='Weekly Report'!$C$4),AND(N(K189)&gt;'Weekly Report'!$C$5,N(K189)&lt;='Weekly Report'!$C$4))),COUNT(Q$4:Q188)+1,"")</f>
        <v/>
      </c>
      <c r="R189" s="0" t="str">
        <f aca="false">IF(AND(C189&lt;&gt;"",I189="In Progress"),COUNT(R$4:R188)+1,"")</f>
        <v/>
      </c>
      <c r="S189" s="0" t="str">
        <f aca="false">IF(AND(C189&lt;&gt;"",I189&lt;&gt;"Completed",I189&lt;&gt;"Cancelled",OR(I189="Blocked",M189&lt;&gt;"")),COUNT(S$4:S188)+1,"")</f>
        <v/>
      </c>
      <c r="T189" s="0" t="str">
        <f aca="false">IF(AND(C189&lt;&gt;"",I189&lt;&gt;"Completed",I189&lt;&gt;"Cancelled",OR(O189="Yes",AND(N(H189)&gt;'Weekly Report'!$C$4,N(H189)&lt;='Weekly Report'!$C$4+7))),COUNT(T$4:T188)+1,"")</f>
        <v/>
      </c>
    </row>
    <row r="190" customFormat="false" ht="15" hidden="false" customHeight="false" outlineLevel="0" collapsed="false">
      <c r="A190" s="53" t="s">
        <v>312</v>
      </c>
      <c r="B190" s="27"/>
      <c r="C190" s="26"/>
      <c r="D190" s="27"/>
      <c r="E190" s="27"/>
      <c r="F190" s="27"/>
      <c r="G190" s="28"/>
      <c r="H190" s="28"/>
      <c r="I190" s="27"/>
      <c r="J190" s="28"/>
      <c r="K190" s="28"/>
      <c r="L190" s="26"/>
      <c r="M190" s="26"/>
      <c r="N190" s="27"/>
      <c r="O190" s="27"/>
      <c r="P190" s="54" t="str">
        <f aca="true">IF(OR(C190="",H190="",I190="Completed",I190="Cancelled"),"",IF(H190&lt;TODAY(),"Overdue",""))</f>
        <v/>
      </c>
      <c r="Q190" s="0" t="str">
        <f aca="false">IF(AND(C190&lt;&gt;"",I190&lt;&gt;"Cancelled",OR(AND(N(J190)&gt;'Weekly Report'!$C$5,N(J190)&lt;='Weekly Report'!$C$4),AND(N(K190)&gt;'Weekly Report'!$C$5,N(K190)&lt;='Weekly Report'!$C$4))),COUNT(Q$4:Q189)+1,"")</f>
        <v/>
      </c>
      <c r="R190" s="0" t="str">
        <f aca="false">IF(AND(C190&lt;&gt;"",I190="In Progress"),COUNT(R$4:R189)+1,"")</f>
        <v/>
      </c>
      <c r="S190" s="0" t="str">
        <f aca="false">IF(AND(C190&lt;&gt;"",I190&lt;&gt;"Completed",I190&lt;&gt;"Cancelled",OR(I190="Blocked",M190&lt;&gt;"")),COUNT(S$4:S189)+1,"")</f>
        <v/>
      </c>
      <c r="T190" s="0" t="str">
        <f aca="false">IF(AND(C190&lt;&gt;"",I190&lt;&gt;"Completed",I190&lt;&gt;"Cancelled",OR(O190="Yes",AND(N(H190)&gt;'Weekly Report'!$C$4,N(H190)&lt;='Weekly Report'!$C$4+7))),COUNT(T$4:T189)+1,"")</f>
        <v/>
      </c>
    </row>
    <row r="191" customFormat="false" ht="15" hidden="false" customHeight="false" outlineLevel="0" collapsed="false">
      <c r="A191" s="53" t="s">
        <v>313</v>
      </c>
      <c r="B191" s="27"/>
      <c r="C191" s="26"/>
      <c r="D191" s="27"/>
      <c r="E191" s="27"/>
      <c r="F191" s="27"/>
      <c r="G191" s="28"/>
      <c r="H191" s="28"/>
      <c r="I191" s="27"/>
      <c r="J191" s="28"/>
      <c r="K191" s="28"/>
      <c r="L191" s="26"/>
      <c r="M191" s="26"/>
      <c r="N191" s="27"/>
      <c r="O191" s="27"/>
      <c r="P191" s="54" t="str">
        <f aca="true">IF(OR(C191="",H191="",I191="Completed",I191="Cancelled"),"",IF(H191&lt;TODAY(),"Overdue",""))</f>
        <v/>
      </c>
      <c r="Q191" s="0" t="str">
        <f aca="false">IF(AND(C191&lt;&gt;"",I191&lt;&gt;"Cancelled",OR(AND(N(J191)&gt;'Weekly Report'!$C$5,N(J191)&lt;='Weekly Report'!$C$4),AND(N(K191)&gt;'Weekly Report'!$C$5,N(K191)&lt;='Weekly Report'!$C$4))),COUNT(Q$4:Q190)+1,"")</f>
        <v/>
      </c>
      <c r="R191" s="0" t="str">
        <f aca="false">IF(AND(C191&lt;&gt;"",I191="In Progress"),COUNT(R$4:R190)+1,"")</f>
        <v/>
      </c>
      <c r="S191" s="0" t="str">
        <f aca="false">IF(AND(C191&lt;&gt;"",I191&lt;&gt;"Completed",I191&lt;&gt;"Cancelled",OR(I191="Blocked",M191&lt;&gt;"")),COUNT(S$4:S190)+1,"")</f>
        <v/>
      </c>
      <c r="T191" s="0" t="str">
        <f aca="false">IF(AND(C191&lt;&gt;"",I191&lt;&gt;"Completed",I191&lt;&gt;"Cancelled",OR(O191="Yes",AND(N(H191)&gt;'Weekly Report'!$C$4,N(H191)&lt;='Weekly Report'!$C$4+7))),COUNT(T$4:T190)+1,"")</f>
        <v/>
      </c>
    </row>
    <row r="192" customFormat="false" ht="15" hidden="false" customHeight="false" outlineLevel="0" collapsed="false">
      <c r="A192" s="53" t="s">
        <v>314</v>
      </c>
      <c r="B192" s="27"/>
      <c r="C192" s="26"/>
      <c r="D192" s="27"/>
      <c r="E192" s="27"/>
      <c r="F192" s="27"/>
      <c r="G192" s="28"/>
      <c r="H192" s="28"/>
      <c r="I192" s="27"/>
      <c r="J192" s="28"/>
      <c r="K192" s="28"/>
      <c r="L192" s="26"/>
      <c r="M192" s="26"/>
      <c r="N192" s="27"/>
      <c r="O192" s="27"/>
      <c r="P192" s="54" t="str">
        <f aca="true">IF(OR(C192="",H192="",I192="Completed",I192="Cancelled"),"",IF(H192&lt;TODAY(),"Overdue",""))</f>
        <v/>
      </c>
      <c r="Q192" s="0" t="str">
        <f aca="false">IF(AND(C192&lt;&gt;"",I192&lt;&gt;"Cancelled",OR(AND(N(J192)&gt;'Weekly Report'!$C$5,N(J192)&lt;='Weekly Report'!$C$4),AND(N(K192)&gt;'Weekly Report'!$C$5,N(K192)&lt;='Weekly Report'!$C$4))),COUNT(Q$4:Q191)+1,"")</f>
        <v/>
      </c>
      <c r="R192" s="0" t="str">
        <f aca="false">IF(AND(C192&lt;&gt;"",I192="In Progress"),COUNT(R$4:R191)+1,"")</f>
        <v/>
      </c>
      <c r="S192" s="0" t="str">
        <f aca="false">IF(AND(C192&lt;&gt;"",I192&lt;&gt;"Completed",I192&lt;&gt;"Cancelled",OR(I192="Blocked",M192&lt;&gt;"")),COUNT(S$4:S191)+1,"")</f>
        <v/>
      </c>
      <c r="T192" s="0" t="str">
        <f aca="false">IF(AND(C192&lt;&gt;"",I192&lt;&gt;"Completed",I192&lt;&gt;"Cancelled",OR(O192="Yes",AND(N(H192)&gt;'Weekly Report'!$C$4,N(H192)&lt;='Weekly Report'!$C$4+7))),COUNT(T$4:T191)+1,"")</f>
        <v/>
      </c>
    </row>
    <row r="193" customFormat="false" ht="15" hidden="false" customHeight="false" outlineLevel="0" collapsed="false">
      <c r="A193" s="53" t="s">
        <v>315</v>
      </c>
      <c r="B193" s="27"/>
      <c r="C193" s="26"/>
      <c r="D193" s="27"/>
      <c r="E193" s="27"/>
      <c r="F193" s="27"/>
      <c r="G193" s="28"/>
      <c r="H193" s="28"/>
      <c r="I193" s="27"/>
      <c r="J193" s="28"/>
      <c r="K193" s="28"/>
      <c r="L193" s="26"/>
      <c r="M193" s="26"/>
      <c r="N193" s="27"/>
      <c r="O193" s="27"/>
      <c r="P193" s="54" t="str">
        <f aca="true">IF(OR(C193="",H193="",I193="Completed",I193="Cancelled"),"",IF(H193&lt;TODAY(),"Overdue",""))</f>
        <v/>
      </c>
      <c r="Q193" s="0" t="str">
        <f aca="false">IF(AND(C193&lt;&gt;"",I193&lt;&gt;"Cancelled",OR(AND(N(J193)&gt;'Weekly Report'!$C$5,N(J193)&lt;='Weekly Report'!$C$4),AND(N(K193)&gt;'Weekly Report'!$C$5,N(K193)&lt;='Weekly Report'!$C$4))),COUNT(Q$4:Q192)+1,"")</f>
        <v/>
      </c>
      <c r="R193" s="0" t="str">
        <f aca="false">IF(AND(C193&lt;&gt;"",I193="In Progress"),COUNT(R$4:R192)+1,"")</f>
        <v/>
      </c>
      <c r="S193" s="0" t="str">
        <f aca="false">IF(AND(C193&lt;&gt;"",I193&lt;&gt;"Completed",I193&lt;&gt;"Cancelled",OR(I193="Blocked",M193&lt;&gt;"")),COUNT(S$4:S192)+1,"")</f>
        <v/>
      </c>
      <c r="T193" s="0" t="str">
        <f aca="false">IF(AND(C193&lt;&gt;"",I193&lt;&gt;"Completed",I193&lt;&gt;"Cancelled",OR(O193="Yes",AND(N(H193)&gt;'Weekly Report'!$C$4,N(H193)&lt;='Weekly Report'!$C$4+7))),COUNT(T$4:T192)+1,"")</f>
        <v/>
      </c>
    </row>
    <row r="194" customFormat="false" ht="15" hidden="false" customHeight="false" outlineLevel="0" collapsed="false">
      <c r="A194" s="53" t="s">
        <v>316</v>
      </c>
      <c r="B194" s="27"/>
      <c r="C194" s="26"/>
      <c r="D194" s="27"/>
      <c r="E194" s="27"/>
      <c r="F194" s="27"/>
      <c r="G194" s="28"/>
      <c r="H194" s="28"/>
      <c r="I194" s="27"/>
      <c r="J194" s="28"/>
      <c r="K194" s="28"/>
      <c r="L194" s="26"/>
      <c r="M194" s="26"/>
      <c r="N194" s="27"/>
      <c r="O194" s="27"/>
      <c r="P194" s="54" t="str">
        <f aca="true">IF(OR(C194="",H194="",I194="Completed",I194="Cancelled"),"",IF(H194&lt;TODAY(),"Overdue",""))</f>
        <v/>
      </c>
      <c r="Q194" s="0" t="str">
        <f aca="false">IF(AND(C194&lt;&gt;"",I194&lt;&gt;"Cancelled",OR(AND(N(J194)&gt;'Weekly Report'!$C$5,N(J194)&lt;='Weekly Report'!$C$4),AND(N(K194)&gt;'Weekly Report'!$C$5,N(K194)&lt;='Weekly Report'!$C$4))),COUNT(Q$4:Q193)+1,"")</f>
        <v/>
      </c>
      <c r="R194" s="0" t="str">
        <f aca="false">IF(AND(C194&lt;&gt;"",I194="In Progress"),COUNT(R$4:R193)+1,"")</f>
        <v/>
      </c>
      <c r="S194" s="0" t="str">
        <f aca="false">IF(AND(C194&lt;&gt;"",I194&lt;&gt;"Completed",I194&lt;&gt;"Cancelled",OR(I194="Blocked",M194&lt;&gt;"")),COUNT(S$4:S193)+1,"")</f>
        <v/>
      </c>
      <c r="T194" s="0" t="str">
        <f aca="false">IF(AND(C194&lt;&gt;"",I194&lt;&gt;"Completed",I194&lt;&gt;"Cancelled",OR(O194="Yes",AND(N(H194)&gt;'Weekly Report'!$C$4,N(H194)&lt;='Weekly Report'!$C$4+7))),COUNT(T$4:T193)+1,"")</f>
        <v/>
      </c>
    </row>
    <row r="195" customFormat="false" ht="15" hidden="false" customHeight="false" outlineLevel="0" collapsed="false">
      <c r="A195" s="53" t="s">
        <v>317</v>
      </c>
      <c r="B195" s="27"/>
      <c r="C195" s="26"/>
      <c r="D195" s="27"/>
      <c r="E195" s="27"/>
      <c r="F195" s="27"/>
      <c r="G195" s="28"/>
      <c r="H195" s="28"/>
      <c r="I195" s="27"/>
      <c r="J195" s="28"/>
      <c r="K195" s="28"/>
      <c r="L195" s="26"/>
      <c r="M195" s="26"/>
      <c r="N195" s="27"/>
      <c r="O195" s="27"/>
      <c r="P195" s="54" t="str">
        <f aca="true">IF(OR(C195="",H195="",I195="Completed",I195="Cancelled"),"",IF(H195&lt;TODAY(),"Overdue",""))</f>
        <v/>
      </c>
      <c r="Q195" s="0" t="str">
        <f aca="false">IF(AND(C195&lt;&gt;"",I195&lt;&gt;"Cancelled",OR(AND(N(J195)&gt;'Weekly Report'!$C$5,N(J195)&lt;='Weekly Report'!$C$4),AND(N(K195)&gt;'Weekly Report'!$C$5,N(K195)&lt;='Weekly Report'!$C$4))),COUNT(Q$4:Q194)+1,"")</f>
        <v/>
      </c>
      <c r="R195" s="0" t="str">
        <f aca="false">IF(AND(C195&lt;&gt;"",I195="In Progress"),COUNT(R$4:R194)+1,"")</f>
        <v/>
      </c>
      <c r="S195" s="0" t="str">
        <f aca="false">IF(AND(C195&lt;&gt;"",I195&lt;&gt;"Completed",I195&lt;&gt;"Cancelled",OR(I195="Blocked",M195&lt;&gt;"")),COUNT(S$4:S194)+1,"")</f>
        <v/>
      </c>
      <c r="T195" s="0" t="str">
        <f aca="false">IF(AND(C195&lt;&gt;"",I195&lt;&gt;"Completed",I195&lt;&gt;"Cancelled",OR(O195="Yes",AND(N(H195)&gt;'Weekly Report'!$C$4,N(H195)&lt;='Weekly Report'!$C$4+7))),COUNT(T$4:T194)+1,"")</f>
        <v/>
      </c>
    </row>
    <row r="196" customFormat="false" ht="15" hidden="false" customHeight="false" outlineLevel="0" collapsed="false">
      <c r="A196" s="53" t="s">
        <v>318</v>
      </c>
      <c r="B196" s="27"/>
      <c r="C196" s="26"/>
      <c r="D196" s="27"/>
      <c r="E196" s="27"/>
      <c r="F196" s="27"/>
      <c r="G196" s="28"/>
      <c r="H196" s="28"/>
      <c r="I196" s="27"/>
      <c r="J196" s="28"/>
      <c r="K196" s="28"/>
      <c r="L196" s="26"/>
      <c r="M196" s="26"/>
      <c r="N196" s="27"/>
      <c r="O196" s="27"/>
      <c r="P196" s="54" t="str">
        <f aca="true">IF(OR(C196="",H196="",I196="Completed",I196="Cancelled"),"",IF(H196&lt;TODAY(),"Overdue",""))</f>
        <v/>
      </c>
      <c r="Q196" s="0" t="str">
        <f aca="false">IF(AND(C196&lt;&gt;"",I196&lt;&gt;"Cancelled",OR(AND(N(J196)&gt;'Weekly Report'!$C$5,N(J196)&lt;='Weekly Report'!$C$4),AND(N(K196)&gt;'Weekly Report'!$C$5,N(K196)&lt;='Weekly Report'!$C$4))),COUNT(Q$4:Q195)+1,"")</f>
        <v/>
      </c>
      <c r="R196" s="0" t="str">
        <f aca="false">IF(AND(C196&lt;&gt;"",I196="In Progress"),COUNT(R$4:R195)+1,"")</f>
        <v/>
      </c>
      <c r="S196" s="0" t="str">
        <f aca="false">IF(AND(C196&lt;&gt;"",I196&lt;&gt;"Completed",I196&lt;&gt;"Cancelled",OR(I196="Blocked",M196&lt;&gt;"")),COUNT(S$4:S195)+1,"")</f>
        <v/>
      </c>
      <c r="T196" s="0" t="str">
        <f aca="false">IF(AND(C196&lt;&gt;"",I196&lt;&gt;"Completed",I196&lt;&gt;"Cancelled",OR(O196="Yes",AND(N(H196)&gt;'Weekly Report'!$C$4,N(H196)&lt;='Weekly Report'!$C$4+7))),COUNT(T$4:T195)+1,"")</f>
        <v/>
      </c>
    </row>
    <row r="197" customFormat="false" ht="15" hidden="false" customHeight="false" outlineLevel="0" collapsed="false">
      <c r="A197" s="53" t="s">
        <v>319</v>
      </c>
      <c r="B197" s="27"/>
      <c r="C197" s="26"/>
      <c r="D197" s="27"/>
      <c r="E197" s="27"/>
      <c r="F197" s="27"/>
      <c r="G197" s="28"/>
      <c r="H197" s="28"/>
      <c r="I197" s="27"/>
      <c r="J197" s="28"/>
      <c r="K197" s="28"/>
      <c r="L197" s="26"/>
      <c r="M197" s="26"/>
      <c r="N197" s="27"/>
      <c r="O197" s="27"/>
      <c r="P197" s="54" t="str">
        <f aca="true">IF(OR(C197="",H197="",I197="Completed",I197="Cancelled"),"",IF(H197&lt;TODAY(),"Overdue",""))</f>
        <v/>
      </c>
      <c r="Q197" s="0" t="str">
        <f aca="false">IF(AND(C197&lt;&gt;"",I197&lt;&gt;"Cancelled",OR(AND(N(J197)&gt;'Weekly Report'!$C$5,N(J197)&lt;='Weekly Report'!$C$4),AND(N(K197)&gt;'Weekly Report'!$C$5,N(K197)&lt;='Weekly Report'!$C$4))),COUNT(Q$4:Q196)+1,"")</f>
        <v/>
      </c>
      <c r="R197" s="0" t="str">
        <f aca="false">IF(AND(C197&lt;&gt;"",I197="In Progress"),COUNT(R$4:R196)+1,"")</f>
        <v/>
      </c>
      <c r="S197" s="0" t="str">
        <f aca="false">IF(AND(C197&lt;&gt;"",I197&lt;&gt;"Completed",I197&lt;&gt;"Cancelled",OR(I197="Blocked",M197&lt;&gt;"")),COUNT(S$4:S196)+1,"")</f>
        <v/>
      </c>
      <c r="T197" s="0" t="str">
        <f aca="false">IF(AND(C197&lt;&gt;"",I197&lt;&gt;"Completed",I197&lt;&gt;"Cancelled",OR(O197="Yes",AND(N(H197)&gt;'Weekly Report'!$C$4,N(H197)&lt;='Weekly Report'!$C$4+7))),COUNT(T$4:T196)+1,"")</f>
        <v/>
      </c>
    </row>
    <row r="198" customFormat="false" ht="15" hidden="false" customHeight="false" outlineLevel="0" collapsed="false">
      <c r="A198" s="53" t="s">
        <v>320</v>
      </c>
      <c r="B198" s="27"/>
      <c r="C198" s="26"/>
      <c r="D198" s="27"/>
      <c r="E198" s="27"/>
      <c r="F198" s="27"/>
      <c r="G198" s="28"/>
      <c r="H198" s="28"/>
      <c r="I198" s="27"/>
      <c r="J198" s="28"/>
      <c r="K198" s="28"/>
      <c r="L198" s="26"/>
      <c r="M198" s="26"/>
      <c r="N198" s="27"/>
      <c r="O198" s="27"/>
      <c r="P198" s="54" t="str">
        <f aca="true">IF(OR(C198="",H198="",I198="Completed",I198="Cancelled"),"",IF(H198&lt;TODAY(),"Overdue",""))</f>
        <v/>
      </c>
      <c r="Q198" s="0" t="str">
        <f aca="false">IF(AND(C198&lt;&gt;"",I198&lt;&gt;"Cancelled",OR(AND(N(J198)&gt;'Weekly Report'!$C$5,N(J198)&lt;='Weekly Report'!$C$4),AND(N(K198)&gt;'Weekly Report'!$C$5,N(K198)&lt;='Weekly Report'!$C$4))),COUNT(Q$4:Q197)+1,"")</f>
        <v/>
      </c>
      <c r="R198" s="0" t="str">
        <f aca="false">IF(AND(C198&lt;&gt;"",I198="In Progress"),COUNT(R$4:R197)+1,"")</f>
        <v/>
      </c>
      <c r="S198" s="0" t="str">
        <f aca="false">IF(AND(C198&lt;&gt;"",I198&lt;&gt;"Completed",I198&lt;&gt;"Cancelled",OR(I198="Blocked",M198&lt;&gt;"")),COUNT(S$4:S197)+1,"")</f>
        <v/>
      </c>
      <c r="T198" s="0" t="str">
        <f aca="false">IF(AND(C198&lt;&gt;"",I198&lt;&gt;"Completed",I198&lt;&gt;"Cancelled",OR(O198="Yes",AND(N(H198)&gt;'Weekly Report'!$C$4,N(H198)&lt;='Weekly Report'!$C$4+7))),COUNT(T$4:T197)+1,"")</f>
        <v/>
      </c>
    </row>
    <row r="199" customFormat="false" ht="15" hidden="false" customHeight="false" outlineLevel="0" collapsed="false">
      <c r="A199" s="53" t="s">
        <v>321</v>
      </c>
      <c r="B199" s="27"/>
      <c r="C199" s="26"/>
      <c r="D199" s="27"/>
      <c r="E199" s="27"/>
      <c r="F199" s="27"/>
      <c r="G199" s="28"/>
      <c r="H199" s="28"/>
      <c r="I199" s="27"/>
      <c r="J199" s="28"/>
      <c r="K199" s="28"/>
      <c r="L199" s="26"/>
      <c r="M199" s="26"/>
      <c r="N199" s="27"/>
      <c r="O199" s="27"/>
      <c r="P199" s="54" t="str">
        <f aca="true">IF(OR(C199="",H199="",I199="Completed",I199="Cancelled"),"",IF(H199&lt;TODAY(),"Overdue",""))</f>
        <v/>
      </c>
      <c r="Q199" s="0" t="str">
        <f aca="false">IF(AND(C199&lt;&gt;"",I199&lt;&gt;"Cancelled",OR(AND(N(J199)&gt;'Weekly Report'!$C$5,N(J199)&lt;='Weekly Report'!$C$4),AND(N(K199)&gt;'Weekly Report'!$C$5,N(K199)&lt;='Weekly Report'!$C$4))),COUNT(Q$4:Q198)+1,"")</f>
        <v/>
      </c>
      <c r="R199" s="0" t="str">
        <f aca="false">IF(AND(C199&lt;&gt;"",I199="In Progress"),COUNT(R$4:R198)+1,"")</f>
        <v/>
      </c>
      <c r="S199" s="0" t="str">
        <f aca="false">IF(AND(C199&lt;&gt;"",I199&lt;&gt;"Completed",I199&lt;&gt;"Cancelled",OR(I199="Blocked",M199&lt;&gt;"")),COUNT(S$4:S198)+1,"")</f>
        <v/>
      </c>
      <c r="T199" s="0" t="str">
        <f aca="false">IF(AND(C199&lt;&gt;"",I199&lt;&gt;"Completed",I199&lt;&gt;"Cancelled",OR(O199="Yes",AND(N(H199)&gt;'Weekly Report'!$C$4,N(H199)&lt;='Weekly Report'!$C$4+7))),COUNT(T$4:T198)+1,"")</f>
        <v/>
      </c>
    </row>
    <row r="200" customFormat="false" ht="15" hidden="false" customHeight="false" outlineLevel="0" collapsed="false">
      <c r="A200" s="53" t="s">
        <v>322</v>
      </c>
      <c r="B200" s="27"/>
      <c r="C200" s="26"/>
      <c r="D200" s="27"/>
      <c r="E200" s="27"/>
      <c r="F200" s="27"/>
      <c r="G200" s="28"/>
      <c r="H200" s="28"/>
      <c r="I200" s="27"/>
      <c r="J200" s="28"/>
      <c r="K200" s="28"/>
      <c r="L200" s="26"/>
      <c r="M200" s="26"/>
      <c r="N200" s="27"/>
      <c r="O200" s="27"/>
      <c r="P200" s="54" t="str">
        <f aca="true">IF(OR(C200="",H200="",I200="Completed",I200="Cancelled"),"",IF(H200&lt;TODAY(),"Overdue",""))</f>
        <v/>
      </c>
      <c r="Q200" s="0" t="str">
        <f aca="false">IF(AND(C200&lt;&gt;"",I200&lt;&gt;"Cancelled",OR(AND(N(J200)&gt;'Weekly Report'!$C$5,N(J200)&lt;='Weekly Report'!$C$4),AND(N(K200)&gt;'Weekly Report'!$C$5,N(K200)&lt;='Weekly Report'!$C$4))),COUNT(Q$4:Q199)+1,"")</f>
        <v/>
      </c>
      <c r="R200" s="0" t="str">
        <f aca="false">IF(AND(C200&lt;&gt;"",I200="In Progress"),COUNT(R$4:R199)+1,"")</f>
        <v/>
      </c>
      <c r="S200" s="0" t="str">
        <f aca="false">IF(AND(C200&lt;&gt;"",I200&lt;&gt;"Completed",I200&lt;&gt;"Cancelled",OR(I200="Blocked",M200&lt;&gt;"")),COUNT(S$4:S199)+1,"")</f>
        <v/>
      </c>
      <c r="T200" s="0" t="str">
        <f aca="false">IF(AND(C200&lt;&gt;"",I200&lt;&gt;"Completed",I200&lt;&gt;"Cancelled",OR(O200="Yes",AND(N(H200)&gt;'Weekly Report'!$C$4,N(H200)&lt;='Weekly Report'!$C$4+7))),COUNT(T$4:T199)+1,"")</f>
        <v/>
      </c>
    </row>
    <row r="201" customFormat="false" ht="15" hidden="false" customHeight="false" outlineLevel="0" collapsed="false">
      <c r="A201" s="53" t="s">
        <v>323</v>
      </c>
      <c r="B201" s="27"/>
      <c r="C201" s="26"/>
      <c r="D201" s="27"/>
      <c r="E201" s="27"/>
      <c r="F201" s="27"/>
      <c r="G201" s="28"/>
      <c r="H201" s="28"/>
      <c r="I201" s="27"/>
      <c r="J201" s="28"/>
      <c r="K201" s="28"/>
      <c r="L201" s="26"/>
      <c r="M201" s="26"/>
      <c r="N201" s="27"/>
      <c r="O201" s="27"/>
      <c r="P201" s="54" t="str">
        <f aca="true">IF(OR(C201="",H201="",I201="Completed",I201="Cancelled"),"",IF(H201&lt;TODAY(),"Overdue",""))</f>
        <v/>
      </c>
      <c r="Q201" s="0" t="str">
        <f aca="false">IF(AND(C201&lt;&gt;"",I201&lt;&gt;"Cancelled",OR(AND(N(J201)&gt;'Weekly Report'!$C$5,N(J201)&lt;='Weekly Report'!$C$4),AND(N(K201)&gt;'Weekly Report'!$C$5,N(K201)&lt;='Weekly Report'!$C$4))),COUNT(Q$4:Q200)+1,"")</f>
        <v/>
      </c>
      <c r="R201" s="0" t="str">
        <f aca="false">IF(AND(C201&lt;&gt;"",I201="In Progress"),COUNT(R$4:R200)+1,"")</f>
        <v/>
      </c>
      <c r="S201" s="0" t="str">
        <f aca="false">IF(AND(C201&lt;&gt;"",I201&lt;&gt;"Completed",I201&lt;&gt;"Cancelled",OR(I201="Blocked",M201&lt;&gt;"")),COUNT(S$4:S200)+1,"")</f>
        <v/>
      </c>
      <c r="T201" s="0" t="str">
        <f aca="false">IF(AND(C201&lt;&gt;"",I201&lt;&gt;"Completed",I201&lt;&gt;"Cancelled",OR(O201="Yes",AND(N(H201)&gt;'Weekly Report'!$C$4,N(H201)&lt;='Weekly Report'!$C$4+7))),COUNT(T$4:T200)+1,"")</f>
        <v/>
      </c>
    </row>
    <row r="202" customFormat="false" ht="15" hidden="false" customHeight="false" outlineLevel="0" collapsed="false">
      <c r="A202" s="53" t="s">
        <v>324</v>
      </c>
      <c r="B202" s="27"/>
      <c r="C202" s="26"/>
      <c r="D202" s="27"/>
      <c r="E202" s="27"/>
      <c r="F202" s="27"/>
      <c r="G202" s="28"/>
      <c r="H202" s="28"/>
      <c r="I202" s="27"/>
      <c r="J202" s="28"/>
      <c r="K202" s="28"/>
      <c r="L202" s="26"/>
      <c r="M202" s="26"/>
      <c r="N202" s="27"/>
      <c r="O202" s="27"/>
      <c r="P202" s="54" t="str">
        <f aca="true">IF(OR(C202="",H202="",I202="Completed",I202="Cancelled"),"",IF(H202&lt;TODAY(),"Overdue",""))</f>
        <v/>
      </c>
      <c r="Q202" s="0" t="str">
        <f aca="false">IF(AND(C202&lt;&gt;"",I202&lt;&gt;"Cancelled",OR(AND(N(J202)&gt;'Weekly Report'!$C$5,N(J202)&lt;='Weekly Report'!$C$4),AND(N(K202)&gt;'Weekly Report'!$C$5,N(K202)&lt;='Weekly Report'!$C$4))),COUNT(Q$4:Q201)+1,"")</f>
        <v/>
      </c>
      <c r="R202" s="0" t="str">
        <f aca="false">IF(AND(C202&lt;&gt;"",I202="In Progress"),COUNT(R$4:R201)+1,"")</f>
        <v/>
      </c>
      <c r="S202" s="0" t="str">
        <f aca="false">IF(AND(C202&lt;&gt;"",I202&lt;&gt;"Completed",I202&lt;&gt;"Cancelled",OR(I202="Blocked",M202&lt;&gt;"")),COUNT(S$4:S201)+1,"")</f>
        <v/>
      </c>
      <c r="T202" s="0" t="str">
        <f aca="false">IF(AND(C202&lt;&gt;"",I202&lt;&gt;"Completed",I202&lt;&gt;"Cancelled",OR(O202="Yes",AND(N(H202)&gt;'Weekly Report'!$C$4,N(H202)&lt;='Weekly Report'!$C$4+7))),COUNT(T$4:T201)+1,"")</f>
        <v/>
      </c>
    </row>
    <row r="203" customFormat="false" ht="15" hidden="false" customHeight="false" outlineLevel="0" collapsed="false">
      <c r="A203" s="53" t="s">
        <v>325</v>
      </c>
      <c r="B203" s="27"/>
      <c r="C203" s="26"/>
      <c r="D203" s="27"/>
      <c r="E203" s="27"/>
      <c r="F203" s="27"/>
      <c r="G203" s="28"/>
      <c r="H203" s="28"/>
      <c r="I203" s="27"/>
      <c r="J203" s="28"/>
      <c r="K203" s="28"/>
      <c r="L203" s="26"/>
      <c r="M203" s="26"/>
      <c r="N203" s="27"/>
      <c r="O203" s="27"/>
      <c r="P203" s="54" t="str">
        <f aca="true">IF(OR(C203="",H203="",I203="Completed",I203="Cancelled"),"",IF(H203&lt;TODAY(),"Overdue",""))</f>
        <v/>
      </c>
      <c r="Q203" s="0" t="str">
        <f aca="false">IF(AND(C203&lt;&gt;"",I203&lt;&gt;"Cancelled",OR(AND(N(J203)&gt;'Weekly Report'!$C$5,N(J203)&lt;='Weekly Report'!$C$4),AND(N(K203)&gt;'Weekly Report'!$C$5,N(K203)&lt;='Weekly Report'!$C$4))),COUNT(Q$4:Q202)+1,"")</f>
        <v/>
      </c>
      <c r="R203" s="0" t="str">
        <f aca="false">IF(AND(C203&lt;&gt;"",I203="In Progress"),COUNT(R$4:R202)+1,"")</f>
        <v/>
      </c>
      <c r="S203" s="0" t="str">
        <f aca="false">IF(AND(C203&lt;&gt;"",I203&lt;&gt;"Completed",I203&lt;&gt;"Cancelled",OR(I203="Blocked",M203&lt;&gt;"")),COUNT(S$4:S202)+1,"")</f>
        <v/>
      </c>
      <c r="T203" s="0" t="str">
        <f aca="false">IF(AND(C203&lt;&gt;"",I203&lt;&gt;"Completed",I203&lt;&gt;"Cancelled",OR(O203="Yes",AND(N(H203)&gt;'Weekly Report'!$C$4,N(H203)&lt;='Weekly Report'!$C$4+7))),COUNT(T$4:T202)+1,"")</f>
        <v/>
      </c>
    </row>
    <row r="204" customFormat="false" ht="15" hidden="false" customHeight="false" outlineLevel="0" collapsed="false">
      <c r="A204" s="53" t="s">
        <v>326</v>
      </c>
      <c r="B204" s="27"/>
      <c r="C204" s="26"/>
      <c r="D204" s="27"/>
      <c r="E204" s="27"/>
      <c r="F204" s="27"/>
      <c r="G204" s="28"/>
      <c r="H204" s="28"/>
      <c r="I204" s="27"/>
      <c r="J204" s="28"/>
      <c r="K204" s="28"/>
      <c r="L204" s="26"/>
      <c r="M204" s="26"/>
      <c r="N204" s="27"/>
      <c r="O204" s="27"/>
      <c r="P204" s="54" t="str">
        <f aca="true">IF(OR(C204="",H204="",I204="Completed",I204="Cancelled"),"",IF(H204&lt;TODAY(),"Overdue",""))</f>
        <v/>
      </c>
      <c r="Q204" s="0" t="str">
        <f aca="false">IF(AND(C204&lt;&gt;"",I204&lt;&gt;"Cancelled",OR(AND(N(J204)&gt;'Weekly Report'!$C$5,N(J204)&lt;='Weekly Report'!$C$4),AND(N(K204)&gt;'Weekly Report'!$C$5,N(K204)&lt;='Weekly Report'!$C$4))),COUNT(Q$4:Q203)+1,"")</f>
        <v/>
      </c>
      <c r="R204" s="0" t="str">
        <f aca="false">IF(AND(C204&lt;&gt;"",I204="In Progress"),COUNT(R$4:R203)+1,"")</f>
        <v/>
      </c>
      <c r="S204" s="0" t="str">
        <f aca="false">IF(AND(C204&lt;&gt;"",I204&lt;&gt;"Completed",I204&lt;&gt;"Cancelled",OR(I204="Blocked",M204&lt;&gt;"")),COUNT(S$4:S203)+1,"")</f>
        <v/>
      </c>
      <c r="T204" s="0" t="str">
        <f aca="false">IF(AND(C204&lt;&gt;"",I204&lt;&gt;"Completed",I204&lt;&gt;"Cancelled",OR(O204="Yes",AND(N(H204)&gt;'Weekly Report'!$C$4,N(H204)&lt;='Weekly Report'!$C$4+7))),COUNT(T$4:T203)+1,"")</f>
        <v/>
      </c>
    </row>
  </sheetData>
  <autoFilter ref="A4:P204"/>
  <conditionalFormatting sqref="I5:I204">
    <cfRule type="cellIs" priority="2" operator="equal" aboveAverage="0" equalAverage="0" bottom="0" percent="0" rank="0" text="" dxfId="1">
      <formula>"Completed"</formula>
    </cfRule>
    <cfRule type="cellIs" priority="3" operator="equal" aboveAverage="0" equalAverage="0" bottom="0" percent="0" rank="0" text="" dxfId="1">
      <formula>"Remediated"</formula>
    </cfRule>
    <cfRule type="cellIs" priority="4" operator="equal" aboveAverage="0" equalAverage="0" bottom="0" percent="0" rank="0" text="" dxfId="1">
      <formula>"Closed"</formula>
    </cfRule>
    <cfRule type="cellIs" priority="5" operator="equal" aboveAverage="0" equalAverage="0" bottom="0" percent="0" rank="0" text="" dxfId="1">
      <formula>"Resolved"</formula>
    </cfRule>
    <cfRule type="cellIs" priority="6" operator="equal" aboveAverage="0" equalAverage="0" bottom="0" percent="0" rank="0" text="" dxfId="1">
      <formula>"Done"</formula>
    </cfRule>
    <cfRule type="cellIs" priority="7" operator="equal" aboveAverage="0" equalAverage="0" bottom="0" percent="0" rank="0" text="" dxfId="1">
      <formula>"On plan"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2">
      <formula>"Open"</formula>
    </cfRule>
    <cfRule type="cellIs" priority="10" operator="equal" aboveAverage="0" equalAverage="0" bottom="0" percent="0" rank="0" text="" dxfId="2">
      <formula>"Late start"</formula>
    </cfRule>
    <cfRule type="cellIs" priority="11" operator="equal" aboveAverage="0" equalAverage="0" bottom="0" percent="0" rank="0" text="" dxfId="2">
      <formula>"Changed"</formula>
    </cfRule>
    <cfRule type="cellIs" priority="12" operator="equal" aboveAverage="0" equalAverage="0" bottom="0" percent="0" rank="0" text="" dxfId="3">
      <formula>"Blocked"</formula>
    </cfRule>
    <cfRule type="cellIs" priority="13" operator="equal" aboveAverage="0" equalAverage="0" bottom="0" percent="0" rank="0" text="" dxfId="3">
      <formula>"Delayed"</formula>
    </cfRule>
    <cfRule type="cellIs" priority="14" operator="equal" aboveAverage="0" equalAverage="0" bottom="0" percent="0" rank="0" text="" dxfId="3">
      <formula>"Overdue"</formula>
    </cfRule>
    <cfRule type="cellIs" priority="15" operator="equal" aboveAverage="0" equalAverage="0" bottom="0" percent="0" rank="0" text="" dxfId="3">
      <formula>"Behind plan"</formula>
    </cfRule>
    <cfRule type="cellIs" priority="16" operator="equal" aboveAverage="0" equalAverage="0" bottom="0" percent="0" rank="0" text="" dxfId="3">
      <formula>"New"</formula>
    </cfRule>
    <cfRule type="cellIs" priority="17" operator="equal" aboveAverage="0" equalAverage="0" bottom="0" percent="0" rank="0" text="" dxfId="4">
      <formula>"Cancelled"</formula>
    </cfRule>
    <cfRule type="cellIs" priority="18" operator="equal" aboveAverage="0" equalAverage="0" bottom="0" percent="0" rank="0" text="" dxfId="4">
      <formula>"Risk Accepted"</formula>
    </cfRule>
  </conditionalFormatting>
  <conditionalFormatting sqref="P5:P204">
    <cfRule type="cellIs" priority="19" operator="equal" aboveAverage="0" equalAverage="0" bottom="0" percent="0" rank="0" text="" dxfId="1">
      <formula>"Completed"</formula>
    </cfRule>
    <cfRule type="cellIs" priority="20" operator="equal" aboveAverage="0" equalAverage="0" bottom="0" percent="0" rank="0" text="" dxfId="1">
      <formula>"Remediated"</formula>
    </cfRule>
    <cfRule type="cellIs" priority="21" operator="equal" aboveAverage="0" equalAverage="0" bottom="0" percent="0" rank="0" text="" dxfId="1">
      <formula>"Closed"</formula>
    </cfRule>
    <cfRule type="cellIs" priority="22" operator="equal" aboveAverage="0" equalAverage="0" bottom="0" percent="0" rank="0" text="" dxfId="1">
      <formula>"Resolved"</formula>
    </cfRule>
    <cfRule type="cellIs" priority="23" operator="equal" aboveAverage="0" equalAverage="0" bottom="0" percent="0" rank="0" text="" dxfId="1">
      <formula>"Done"</formula>
    </cfRule>
    <cfRule type="cellIs" priority="24" operator="equal" aboveAverage="0" equalAverage="0" bottom="0" percent="0" rank="0" text="" dxfId="1">
      <formula>"On plan"</formula>
    </cfRule>
    <cfRule type="cellIs" priority="25" operator="equal" aboveAverage="0" equalAverage="0" bottom="0" percent="0" rank="0" text="" dxfId="2">
      <formula>"In Progress"</formula>
    </cfRule>
    <cfRule type="cellIs" priority="26" operator="equal" aboveAverage="0" equalAverage="0" bottom="0" percent="0" rank="0" text="" dxfId="2">
      <formula>"Open"</formula>
    </cfRule>
    <cfRule type="cellIs" priority="27" operator="equal" aboveAverage="0" equalAverage="0" bottom="0" percent="0" rank="0" text="" dxfId="2">
      <formula>"Late start"</formula>
    </cfRule>
    <cfRule type="cellIs" priority="28" operator="equal" aboveAverage="0" equalAverage="0" bottom="0" percent="0" rank="0" text="" dxfId="2">
      <formula>"Changed"</formula>
    </cfRule>
    <cfRule type="cellIs" priority="29" operator="equal" aboveAverage="0" equalAverage="0" bottom="0" percent="0" rank="0" text="" dxfId="3">
      <formula>"Blocked"</formula>
    </cfRule>
    <cfRule type="cellIs" priority="30" operator="equal" aboveAverage="0" equalAverage="0" bottom="0" percent="0" rank="0" text="" dxfId="3">
      <formula>"Delayed"</formula>
    </cfRule>
    <cfRule type="cellIs" priority="31" operator="equal" aboveAverage="0" equalAverage="0" bottom="0" percent="0" rank="0" text="" dxfId="3">
      <formula>"Overdue"</formula>
    </cfRule>
    <cfRule type="cellIs" priority="32" operator="equal" aboveAverage="0" equalAverage="0" bottom="0" percent="0" rank="0" text="" dxfId="3">
      <formula>"Behind plan"</formula>
    </cfRule>
    <cfRule type="cellIs" priority="33" operator="equal" aboveAverage="0" equalAverage="0" bottom="0" percent="0" rank="0" text="" dxfId="3">
      <formula>"New"</formula>
    </cfRule>
    <cfRule type="cellIs" priority="34" operator="equal" aboveAverage="0" equalAverage="0" bottom="0" percent="0" rank="0" text="" dxfId="4">
      <formula>"Cancelled"</formula>
    </cfRule>
    <cfRule type="cellIs" priority="35" operator="equal" aboveAverage="0" equalAverage="0" bottom="0" percent="0" rank="0" text="" dxfId="4">
      <formula>"Risk Accepted"</formula>
    </cfRule>
  </conditionalFormatting>
  <dataValidations count="9">
    <dataValidation allowBlank="true" errorStyle="stop" operator="between" showDropDown="false" showErrorMessage="false" showInputMessage="false" sqref="B5:B204" type="list">
      <formula1>Lists!$A$4:$A$6</formula1>
      <formula2>0</formula2>
    </dataValidation>
    <dataValidation allowBlank="true" errorStyle="stop" operator="between" showDropDown="false" showErrorMessage="false" showInputMessage="false" sqref="D5:D204" type="list">
      <formula1>Lists!$B$4:$B$8</formula1>
      <formula2>0</formula2>
    </dataValidation>
    <dataValidation allowBlank="true" errorStyle="stop" operator="between" showDropDown="false" showErrorMessage="false" showInputMessage="false" sqref="E5:E204" type="list">
      <formula1>Lists!$C$4:$C$8</formula1>
      <formula2>0</formula2>
    </dataValidation>
    <dataValidation allowBlank="true" error="Enter a date, e.g. 20-Oct-2026" errorStyle="stop" operator="greaterThan" showDropDown="false" showErrorMessage="true" showInputMessage="false" sqref="G5:G204" type="date">
      <formula1>DATE(2020,1,1)</formula1>
      <formula2>0</formula2>
    </dataValidation>
    <dataValidation allowBlank="true" error="Enter a date, e.g. 20-Oct-2026" errorStyle="stop" operator="greaterThan" showDropDown="false" showErrorMessage="true" showInputMessage="false" sqref="H5:H204" type="date">
      <formula1>DATE(2020,1,1)</formula1>
      <formula2>0</formula2>
    </dataValidation>
    <dataValidation allowBlank="true" errorStyle="stop" operator="between" showDropDown="false" showErrorMessage="false" showInputMessage="false" sqref="I5:I204" type="list">
      <formula1>Lists!$D$4:$D$8</formula1>
      <formula2>0</formula2>
    </dataValidation>
    <dataValidation allowBlank="true" error="Enter a date, e.g. 20-Oct-2026" errorStyle="stop" operator="greaterThan" showDropDown="false" showErrorMessage="true" showInputMessage="false" sqref="J5:J204" type="date">
      <formula1>DATE(2020,1,1)</formula1>
      <formula2>0</formula2>
    </dataValidation>
    <dataValidation allowBlank="true" error="Enter a date, e.g. 20-Oct-2026" errorStyle="stop" operator="greaterThan" showDropDown="false" showErrorMessage="true" showInputMessage="false" sqref="K5:K204" type="date">
      <formula1>DATE(2020,1,1)</formula1>
      <formula2>0</formula2>
    </dataValidation>
    <dataValidation allowBlank="true" errorStyle="stop" operator="between" showDropDown="false" showErrorMessage="false" showInputMessage="false" sqref="O5:O204" type="list">
      <formula1>Lists!$L$4:$L$5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4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true" outlineLevel="0" max="15" min="15" style="0" width="13"/>
  </cols>
  <sheetData>
    <row r="1" customFormat="false" ht="19.7" hidden="false" customHeight="false" outlineLevel="0" collapsed="false">
      <c r="A1" s="30" t="s">
        <v>327</v>
      </c>
    </row>
    <row r="2" customFormat="false" ht="15" hidden="false" customHeight="false" outlineLevel="0" collapsed="false">
      <c r="A2" s="31" t="s">
        <v>328</v>
      </c>
    </row>
    <row r="3" customFormat="false" ht="15" hidden="false" customHeight="false" outlineLevel="0" collapsed="false">
      <c r="A3" s="32" t="s">
        <v>57</v>
      </c>
    </row>
    <row r="4" customFormat="false" ht="36" hidden="false" customHeight="true" outlineLevel="0" collapsed="false">
      <c r="A4" s="33" t="s">
        <v>30</v>
      </c>
      <c r="B4" s="33" t="s">
        <v>329</v>
      </c>
      <c r="C4" s="33" t="s">
        <v>88</v>
      </c>
      <c r="D4" s="33" t="s">
        <v>102</v>
      </c>
      <c r="E4" s="33" t="s">
        <v>330</v>
      </c>
      <c r="F4" s="33" t="s">
        <v>331</v>
      </c>
      <c r="G4" s="33" t="s">
        <v>39</v>
      </c>
      <c r="H4" s="33" t="s">
        <v>332</v>
      </c>
      <c r="I4" s="33" t="s">
        <v>333</v>
      </c>
      <c r="J4" s="33" t="s">
        <v>334</v>
      </c>
      <c r="K4" s="33" t="s">
        <v>335</v>
      </c>
      <c r="L4" s="33" t="s">
        <v>336</v>
      </c>
      <c r="M4" s="33" t="s">
        <v>337</v>
      </c>
      <c r="N4" s="33" t="s">
        <v>111</v>
      </c>
      <c r="O4" s="34" t="s">
        <v>338</v>
      </c>
    </row>
    <row r="5" customFormat="false" ht="35.05" hidden="false" customHeight="false" outlineLevel="0" collapsed="false">
      <c r="A5" s="53" t="s">
        <v>339</v>
      </c>
      <c r="B5" s="35" t="n">
        <v>46311</v>
      </c>
      <c r="C5" s="36" t="s">
        <v>95</v>
      </c>
      <c r="D5" s="36" t="s">
        <v>91</v>
      </c>
      <c r="E5" s="37" t="s">
        <v>340</v>
      </c>
      <c r="F5" s="37" t="s">
        <v>341</v>
      </c>
      <c r="G5" s="36" t="s">
        <v>342</v>
      </c>
      <c r="H5" s="36" t="s">
        <v>129</v>
      </c>
      <c r="I5" s="36" t="s">
        <v>343</v>
      </c>
      <c r="J5" s="35" t="n">
        <v>46371</v>
      </c>
      <c r="K5" s="28"/>
      <c r="L5" s="37" t="s">
        <v>344</v>
      </c>
      <c r="M5" s="54" t="str">
        <f aca="false">IF(E5="","",IF(AND(N(B5)&gt;'Weekly Report'!$C$5,N(B5)&lt;='Weekly Report'!$C$4),"New",IF(AND(N(K5)&gt;'Weekly Report'!$C$5,N(K5)&lt;='Weekly Report'!$C$4),"Changed","")))</f>
        <v>New</v>
      </c>
      <c r="N5" s="54" t="str">
        <f aca="true">IF(OR(E5="",J5="",I5="Remediated",I5="Closed",I5="Risk Accepted"),"",IF(J5&lt;TODAY(),"Overdue",""))</f>
        <v/>
      </c>
      <c r="O5" s="38" t="n">
        <f aca="false">IF(M5&lt;&gt;"",COUNT(O$4:O4)+1,"")</f>
        <v>1</v>
      </c>
    </row>
    <row r="6" customFormat="false" ht="15" hidden="false" customHeight="false" outlineLevel="0" collapsed="false">
      <c r="A6" s="53" t="s">
        <v>345</v>
      </c>
      <c r="B6" s="28"/>
      <c r="C6" s="27"/>
      <c r="D6" s="27"/>
      <c r="E6" s="26"/>
      <c r="F6" s="26"/>
      <c r="G6" s="27"/>
      <c r="H6" s="27"/>
      <c r="I6" s="27"/>
      <c r="J6" s="28"/>
      <c r="K6" s="28"/>
      <c r="L6" s="26"/>
      <c r="M6" s="54" t="str">
        <f aca="false">IF(E6="","",IF(AND(N(B6)&gt;'Weekly Report'!$C$5,N(B6)&lt;='Weekly Report'!$C$4),"New",IF(AND(N(K6)&gt;'Weekly Report'!$C$5,N(K6)&lt;='Weekly Report'!$C$4),"Changed","")))</f>
        <v/>
      </c>
      <c r="N6" s="54" t="str">
        <f aca="true">IF(OR(E6="",J6="",I6="Remediated",I6="Closed",I6="Risk Accepted"),"",IF(J6&lt;TODAY(),"Overdue",""))</f>
        <v/>
      </c>
      <c r="O6" s="0" t="str">
        <f aca="false">IF(M6&lt;&gt;"",COUNT(O$4:O5)+1,"")</f>
        <v/>
      </c>
    </row>
    <row r="7" customFormat="false" ht="15" hidden="false" customHeight="false" outlineLevel="0" collapsed="false">
      <c r="A7" s="53" t="s">
        <v>346</v>
      </c>
      <c r="B7" s="28"/>
      <c r="C7" s="27"/>
      <c r="D7" s="27"/>
      <c r="E7" s="26"/>
      <c r="F7" s="26"/>
      <c r="G7" s="27"/>
      <c r="H7" s="27"/>
      <c r="I7" s="27"/>
      <c r="J7" s="28"/>
      <c r="K7" s="28"/>
      <c r="L7" s="26"/>
      <c r="M7" s="54" t="str">
        <f aca="false">IF(E7="","",IF(AND(N(B7)&gt;'Weekly Report'!$C$5,N(B7)&lt;='Weekly Report'!$C$4),"New",IF(AND(N(K7)&gt;'Weekly Report'!$C$5,N(K7)&lt;='Weekly Report'!$C$4),"Changed","")))</f>
        <v/>
      </c>
      <c r="N7" s="54" t="str">
        <f aca="true">IF(OR(E7="",J7="",I7="Remediated",I7="Closed",I7="Risk Accepted"),"",IF(J7&lt;TODAY(),"Overdue",""))</f>
        <v/>
      </c>
      <c r="O7" s="0" t="str">
        <f aca="false">IF(M7&lt;&gt;"",COUNT(O$4:O6)+1,"")</f>
        <v/>
      </c>
    </row>
    <row r="8" customFormat="false" ht="15" hidden="false" customHeight="false" outlineLevel="0" collapsed="false">
      <c r="A8" s="53" t="s">
        <v>347</v>
      </c>
      <c r="B8" s="28"/>
      <c r="C8" s="27"/>
      <c r="D8" s="27"/>
      <c r="E8" s="26"/>
      <c r="F8" s="26"/>
      <c r="G8" s="27"/>
      <c r="H8" s="27"/>
      <c r="I8" s="27"/>
      <c r="J8" s="28"/>
      <c r="K8" s="28"/>
      <c r="L8" s="26"/>
      <c r="M8" s="54" t="str">
        <f aca="false">IF(E8="","",IF(AND(N(B8)&gt;'Weekly Report'!$C$5,N(B8)&lt;='Weekly Report'!$C$4),"New",IF(AND(N(K8)&gt;'Weekly Report'!$C$5,N(K8)&lt;='Weekly Report'!$C$4),"Changed","")))</f>
        <v/>
      </c>
      <c r="N8" s="54" t="str">
        <f aca="true">IF(OR(E8="",J8="",I8="Remediated",I8="Closed",I8="Risk Accepted"),"",IF(J8&lt;TODAY(),"Overdue",""))</f>
        <v/>
      </c>
      <c r="O8" s="0" t="str">
        <f aca="false">IF(M8&lt;&gt;"",COUNT(O$4:O7)+1,"")</f>
        <v/>
      </c>
    </row>
    <row r="9" customFormat="false" ht="15" hidden="false" customHeight="false" outlineLevel="0" collapsed="false">
      <c r="A9" s="53" t="s">
        <v>348</v>
      </c>
      <c r="B9" s="28"/>
      <c r="C9" s="27"/>
      <c r="D9" s="27"/>
      <c r="E9" s="26"/>
      <c r="F9" s="26"/>
      <c r="G9" s="27"/>
      <c r="H9" s="27"/>
      <c r="I9" s="27"/>
      <c r="J9" s="28"/>
      <c r="K9" s="28"/>
      <c r="L9" s="26"/>
      <c r="M9" s="54" t="str">
        <f aca="false">IF(E9="","",IF(AND(N(B9)&gt;'Weekly Report'!$C$5,N(B9)&lt;='Weekly Report'!$C$4),"New",IF(AND(N(K9)&gt;'Weekly Report'!$C$5,N(K9)&lt;='Weekly Report'!$C$4),"Changed","")))</f>
        <v/>
      </c>
      <c r="N9" s="54" t="str">
        <f aca="true">IF(OR(E9="",J9="",I9="Remediated",I9="Closed",I9="Risk Accepted"),"",IF(J9&lt;TODAY(),"Overdue",""))</f>
        <v/>
      </c>
      <c r="O9" s="0" t="str">
        <f aca="false">IF(M9&lt;&gt;"",COUNT(O$4:O8)+1,"")</f>
        <v/>
      </c>
    </row>
    <row r="10" customFormat="false" ht="15" hidden="false" customHeight="false" outlineLevel="0" collapsed="false">
      <c r="A10" s="53" t="s">
        <v>349</v>
      </c>
      <c r="B10" s="28"/>
      <c r="C10" s="27"/>
      <c r="D10" s="27"/>
      <c r="E10" s="26"/>
      <c r="F10" s="26"/>
      <c r="G10" s="27"/>
      <c r="H10" s="27"/>
      <c r="I10" s="27"/>
      <c r="J10" s="28"/>
      <c r="K10" s="28"/>
      <c r="L10" s="26"/>
      <c r="M10" s="54" t="str">
        <f aca="false">IF(E10="","",IF(AND(N(B10)&gt;'Weekly Report'!$C$5,N(B10)&lt;='Weekly Report'!$C$4),"New",IF(AND(N(K10)&gt;'Weekly Report'!$C$5,N(K10)&lt;='Weekly Report'!$C$4),"Changed","")))</f>
        <v/>
      </c>
      <c r="N10" s="54" t="str">
        <f aca="true">IF(OR(E10="",J10="",I10="Remediated",I10="Closed",I10="Risk Accepted"),"",IF(J10&lt;TODAY(),"Overdue",""))</f>
        <v/>
      </c>
      <c r="O10" s="0" t="str">
        <f aca="false">IF(M10&lt;&gt;"",COUNT(O$4:O9)+1,"")</f>
        <v/>
      </c>
    </row>
    <row r="11" customFormat="false" ht="15" hidden="false" customHeight="false" outlineLevel="0" collapsed="false">
      <c r="A11" s="53" t="s">
        <v>350</v>
      </c>
      <c r="B11" s="28"/>
      <c r="C11" s="27"/>
      <c r="D11" s="27"/>
      <c r="E11" s="26"/>
      <c r="F11" s="26"/>
      <c r="G11" s="27"/>
      <c r="H11" s="27"/>
      <c r="I11" s="27"/>
      <c r="J11" s="28"/>
      <c r="K11" s="28"/>
      <c r="L11" s="26"/>
      <c r="M11" s="54" t="str">
        <f aca="false">IF(E11="","",IF(AND(N(B11)&gt;'Weekly Report'!$C$5,N(B11)&lt;='Weekly Report'!$C$4),"New",IF(AND(N(K11)&gt;'Weekly Report'!$C$5,N(K11)&lt;='Weekly Report'!$C$4),"Changed","")))</f>
        <v/>
      </c>
      <c r="N11" s="54" t="str">
        <f aca="true">IF(OR(E11="",J11="",I11="Remediated",I11="Closed",I11="Risk Accepted"),"",IF(J11&lt;TODAY(),"Overdue",""))</f>
        <v/>
      </c>
      <c r="O11" s="0" t="str">
        <f aca="false">IF(M11&lt;&gt;"",COUNT(O$4:O10)+1,"")</f>
        <v/>
      </c>
    </row>
    <row r="12" customFormat="false" ht="15" hidden="false" customHeight="false" outlineLevel="0" collapsed="false">
      <c r="A12" s="53" t="s">
        <v>351</v>
      </c>
      <c r="B12" s="28"/>
      <c r="C12" s="27"/>
      <c r="D12" s="27"/>
      <c r="E12" s="26"/>
      <c r="F12" s="26"/>
      <c r="G12" s="27"/>
      <c r="H12" s="27"/>
      <c r="I12" s="27"/>
      <c r="J12" s="28"/>
      <c r="K12" s="28"/>
      <c r="L12" s="26"/>
      <c r="M12" s="54" t="str">
        <f aca="false">IF(E12="","",IF(AND(N(B12)&gt;'Weekly Report'!$C$5,N(B12)&lt;='Weekly Report'!$C$4),"New",IF(AND(N(K12)&gt;'Weekly Report'!$C$5,N(K12)&lt;='Weekly Report'!$C$4),"Changed","")))</f>
        <v/>
      </c>
      <c r="N12" s="54" t="str">
        <f aca="true">IF(OR(E12="",J12="",I12="Remediated",I12="Closed",I12="Risk Accepted"),"",IF(J12&lt;TODAY(),"Overdue",""))</f>
        <v/>
      </c>
      <c r="O12" s="0" t="str">
        <f aca="false">IF(M12&lt;&gt;"",COUNT(O$4:O11)+1,"")</f>
        <v/>
      </c>
    </row>
    <row r="13" customFormat="false" ht="15" hidden="false" customHeight="false" outlineLevel="0" collapsed="false">
      <c r="A13" s="53" t="s">
        <v>352</v>
      </c>
      <c r="B13" s="28"/>
      <c r="C13" s="27"/>
      <c r="D13" s="27"/>
      <c r="E13" s="26"/>
      <c r="F13" s="26"/>
      <c r="G13" s="27"/>
      <c r="H13" s="27"/>
      <c r="I13" s="27"/>
      <c r="J13" s="28"/>
      <c r="K13" s="28"/>
      <c r="L13" s="26"/>
      <c r="M13" s="54" t="str">
        <f aca="false">IF(E13="","",IF(AND(N(B13)&gt;'Weekly Report'!$C$5,N(B13)&lt;='Weekly Report'!$C$4),"New",IF(AND(N(K13)&gt;'Weekly Report'!$C$5,N(K13)&lt;='Weekly Report'!$C$4),"Changed","")))</f>
        <v/>
      </c>
      <c r="N13" s="54" t="str">
        <f aca="true">IF(OR(E13="",J13="",I13="Remediated",I13="Closed",I13="Risk Accepted"),"",IF(J13&lt;TODAY(),"Overdue",""))</f>
        <v/>
      </c>
      <c r="O13" s="0" t="str">
        <f aca="false">IF(M13&lt;&gt;"",COUNT(O$4:O12)+1,"")</f>
        <v/>
      </c>
    </row>
    <row r="14" customFormat="false" ht="15" hidden="false" customHeight="false" outlineLevel="0" collapsed="false">
      <c r="A14" s="53" t="s">
        <v>353</v>
      </c>
      <c r="B14" s="28"/>
      <c r="C14" s="27"/>
      <c r="D14" s="27"/>
      <c r="E14" s="26"/>
      <c r="F14" s="26"/>
      <c r="G14" s="27"/>
      <c r="H14" s="27"/>
      <c r="I14" s="27"/>
      <c r="J14" s="28"/>
      <c r="K14" s="28"/>
      <c r="L14" s="26"/>
      <c r="M14" s="54" t="str">
        <f aca="false">IF(E14="","",IF(AND(N(B14)&gt;'Weekly Report'!$C$5,N(B14)&lt;='Weekly Report'!$C$4),"New",IF(AND(N(K14)&gt;'Weekly Report'!$C$5,N(K14)&lt;='Weekly Report'!$C$4),"Changed","")))</f>
        <v/>
      </c>
      <c r="N14" s="54" t="str">
        <f aca="true">IF(OR(E14="",J14="",I14="Remediated",I14="Closed",I14="Risk Accepted"),"",IF(J14&lt;TODAY(),"Overdue",""))</f>
        <v/>
      </c>
      <c r="O14" s="0" t="str">
        <f aca="false">IF(M14&lt;&gt;"",COUNT(O$4:O13)+1,"")</f>
        <v/>
      </c>
    </row>
    <row r="15" customFormat="false" ht="15" hidden="false" customHeight="false" outlineLevel="0" collapsed="false">
      <c r="A15" s="53" t="s">
        <v>354</v>
      </c>
      <c r="B15" s="28"/>
      <c r="C15" s="27"/>
      <c r="D15" s="27"/>
      <c r="E15" s="26"/>
      <c r="F15" s="26"/>
      <c r="G15" s="27"/>
      <c r="H15" s="27"/>
      <c r="I15" s="27"/>
      <c r="J15" s="28"/>
      <c r="K15" s="28"/>
      <c r="L15" s="26"/>
      <c r="M15" s="54" t="str">
        <f aca="false">IF(E15="","",IF(AND(N(B15)&gt;'Weekly Report'!$C$5,N(B15)&lt;='Weekly Report'!$C$4),"New",IF(AND(N(K15)&gt;'Weekly Report'!$C$5,N(K15)&lt;='Weekly Report'!$C$4),"Changed","")))</f>
        <v/>
      </c>
      <c r="N15" s="54" t="str">
        <f aca="true">IF(OR(E15="",J15="",I15="Remediated",I15="Closed",I15="Risk Accepted"),"",IF(J15&lt;TODAY(),"Overdue",""))</f>
        <v/>
      </c>
      <c r="O15" s="0" t="str">
        <f aca="false">IF(M15&lt;&gt;"",COUNT(O$4:O14)+1,"")</f>
        <v/>
      </c>
    </row>
    <row r="16" customFormat="false" ht="15" hidden="false" customHeight="false" outlineLevel="0" collapsed="false">
      <c r="A16" s="53" t="s">
        <v>355</v>
      </c>
      <c r="B16" s="28"/>
      <c r="C16" s="27"/>
      <c r="D16" s="27"/>
      <c r="E16" s="26"/>
      <c r="F16" s="26"/>
      <c r="G16" s="27"/>
      <c r="H16" s="27"/>
      <c r="I16" s="27"/>
      <c r="J16" s="28"/>
      <c r="K16" s="28"/>
      <c r="L16" s="26"/>
      <c r="M16" s="54" t="str">
        <f aca="false">IF(E16="","",IF(AND(N(B16)&gt;'Weekly Report'!$C$5,N(B16)&lt;='Weekly Report'!$C$4),"New",IF(AND(N(K16)&gt;'Weekly Report'!$C$5,N(K16)&lt;='Weekly Report'!$C$4),"Changed","")))</f>
        <v/>
      </c>
      <c r="N16" s="54" t="str">
        <f aca="true">IF(OR(E16="",J16="",I16="Remediated",I16="Closed",I16="Risk Accepted"),"",IF(J16&lt;TODAY(),"Overdue",""))</f>
        <v/>
      </c>
      <c r="O16" s="0" t="str">
        <f aca="false">IF(M16&lt;&gt;"",COUNT(O$4:O15)+1,"")</f>
        <v/>
      </c>
    </row>
    <row r="17" customFormat="false" ht="15" hidden="false" customHeight="false" outlineLevel="0" collapsed="false">
      <c r="A17" s="53" t="s">
        <v>356</v>
      </c>
      <c r="B17" s="28"/>
      <c r="C17" s="27"/>
      <c r="D17" s="27"/>
      <c r="E17" s="26"/>
      <c r="F17" s="26"/>
      <c r="G17" s="27"/>
      <c r="H17" s="27"/>
      <c r="I17" s="27"/>
      <c r="J17" s="28"/>
      <c r="K17" s="28"/>
      <c r="L17" s="26"/>
      <c r="M17" s="54" t="str">
        <f aca="false">IF(E17="","",IF(AND(N(B17)&gt;'Weekly Report'!$C$5,N(B17)&lt;='Weekly Report'!$C$4),"New",IF(AND(N(K17)&gt;'Weekly Report'!$C$5,N(K17)&lt;='Weekly Report'!$C$4),"Changed","")))</f>
        <v/>
      </c>
      <c r="N17" s="54" t="str">
        <f aca="true">IF(OR(E17="",J17="",I17="Remediated",I17="Closed",I17="Risk Accepted"),"",IF(J17&lt;TODAY(),"Overdue",""))</f>
        <v/>
      </c>
      <c r="O17" s="0" t="str">
        <f aca="false">IF(M17&lt;&gt;"",COUNT(O$4:O16)+1,"")</f>
        <v/>
      </c>
    </row>
    <row r="18" customFormat="false" ht="15" hidden="false" customHeight="false" outlineLevel="0" collapsed="false">
      <c r="A18" s="53" t="s">
        <v>357</v>
      </c>
      <c r="B18" s="28"/>
      <c r="C18" s="27"/>
      <c r="D18" s="27"/>
      <c r="E18" s="26"/>
      <c r="F18" s="26"/>
      <c r="G18" s="27"/>
      <c r="H18" s="27"/>
      <c r="I18" s="27"/>
      <c r="J18" s="28"/>
      <c r="K18" s="28"/>
      <c r="L18" s="26"/>
      <c r="M18" s="54" t="str">
        <f aca="false">IF(E18="","",IF(AND(N(B18)&gt;'Weekly Report'!$C$5,N(B18)&lt;='Weekly Report'!$C$4),"New",IF(AND(N(K18)&gt;'Weekly Report'!$C$5,N(K18)&lt;='Weekly Report'!$C$4),"Changed","")))</f>
        <v/>
      </c>
      <c r="N18" s="54" t="str">
        <f aca="true">IF(OR(E18="",J18="",I18="Remediated",I18="Closed",I18="Risk Accepted"),"",IF(J18&lt;TODAY(),"Overdue",""))</f>
        <v/>
      </c>
      <c r="O18" s="0" t="str">
        <f aca="false">IF(M18&lt;&gt;"",COUNT(O$4:O17)+1,"")</f>
        <v/>
      </c>
    </row>
    <row r="19" customFormat="false" ht="15" hidden="false" customHeight="false" outlineLevel="0" collapsed="false">
      <c r="A19" s="53" t="s">
        <v>358</v>
      </c>
      <c r="B19" s="28"/>
      <c r="C19" s="27"/>
      <c r="D19" s="27"/>
      <c r="E19" s="26"/>
      <c r="F19" s="26"/>
      <c r="G19" s="27"/>
      <c r="H19" s="27"/>
      <c r="I19" s="27"/>
      <c r="J19" s="28"/>
      <c r="K19" s="28"/>
      <c r="L19" s="26"/>
      <c r="M19" s="54" t="str">
        <f aca="false">IF(E19="","",IF(AND(N(B19)&gt;'Weekly Report'!$C$5,N(B19)&lt;='Weekly Report'!$C$4),"New",IF(AND(N(K19)&gt;'Weekly Report'!$C$5,N(K19)&lt;='Weekly Report'!$C$4),"Changed","")))</f>
        <v/>
      </c>
      <c r="N19" s="54" t="str">
        <f aca="true">IF(OR(E19="",J19="",I19="Remediated",I19="Closed",I19="Risk Accepted"),"",IF(J19&lt;TODAY(),"Overdue",""))</f>
        <v/>
      </c>
      <c r="O19" s="0" t="str">
        <f aca="false">IF(M19&lt;&gt;"",COUNT(O$4:O18)+1,"")</f>
        <v/>
      </c>
    </row>
    <row r="20" customFormat="false" ht="15" hidden="false" customHeight="false" outlineLevel="0" collapsed="false">
      <c r="A20" s="53" t="s">
        <v>359</v>
      </c>
      <c r="B20" s="28"/>
      <c r="C20" s="27"/>
      <c r="D20" s="27"/>
      <c r="E20" s="26"/>
      <c r="F20" s="26"/>
      <c r="G20" s="27"/>
      <c r="H20" s="27"/>
      <c r="I20" s="27"/>
      <c r="J20" s="28"/>
      <c r="K20" s="28"/>
      <c r="L20" s="26"/>
      <c r="M20" s="54" t="str">
        <f aca="false">IF(E20="","",IF(AND(N(B20)&gt;'Weekly Report'!$C$5,N(B20)&lt;='Weekly Report'!$C$4),"New",IF(AND(N(K20)&gt;'Weekly Report'!$C$5,N(K20)&lt;='Weekly Report'!$C$4),"Changed","")))</f>
        <v/>
      </c>
      <c r="N20" s="54" t="str">
        <f aca="true">IF(OR(E20="",J20="",I20="Remediated",I20="Closed",I20="Risk Accepted"),"",IF(J20&lt;TODAY(),"Overdue",""))</f>
        <v/>
      </c>
      <c r="O20" s="0" t="str">
        <f aca="false">IF(M20&lt;&gt;"",COUNT(O$4:O19)+1,"")</f>
        <v/>
      </c>
    </row>
    <row r="21" customFormat="false" ht="15" hidden="false" customHeight="false" outlineLevel="0" collapsed="false">
      <c r="A21" s="53" t="s">
        <v>360</v>
      </c>
      <c r="B21" s="28"/>
      <c r="C21" s="27"/>
      <c r="D21" s="27"/>
      <c r="E21" s="26"/>
      <c r="F21" s="26"/>
      <c r="G21" s="27"/>
      <c r="H21" s="27"/>
      <c r="I21" s="27"/>
      <c r="J21" s="28"/>
      <c r="K21" s="28"/>
      <c r="L21" s="26"/>
      <c r="M21" s="54" t="str">
        <f aca="false">IF(E21="","",IF(AND(N(B21)&gt;'Weekly Report'!$C$5,N(B21)&lt;='Weekly Report'!$C$4),"New",IF(AND(N(K21)&gt;'Weekly Report'!$C$5,N(K21)&lt;='Weekly Report'!$C$4),"Changed","")))</f>
        <v/>
      </c>
      <c r="N21" s="54" t="str">
        <f aca="true">IF(OR(E21="",J21="",I21="Remediated",I21="Closed",I21="Risk Accepted"),"",IF(J21&lt;TODAY(),"Overdue",""))</f>
        <v/>
      </c>
      <c r="O21" s="0" t="str">
        <f aca="false">IF(M21&lt;&gt;"",COUNT(O$4:O20)+1,"")</f>
        <v/>
      </c>
    </row>
    <row r="22" customFormat="false" ht="15" hidden="false" customHeight="false" outlineLevel="0" collapsed="false">
      <c r="A22" s="53" t="s">
        <v>361</v>
      </c>
      <c r="B22" s="28"/>
      <c r="C22" s="27"/>
      <c r="D22" s="27"/>
      <c r="E22" s="26"/>
      <c r="F22" s="26"/>
      <c r="G22" s="27"/>
      <c r="H22" s="27"/>
      <c r="I22" s="27"/>
      <c r="J22" s="28"/>
      <c r="K22" s="28"/>
      <c r="L22" s="26"/>
      <c r="M22" s="54" t="str">
        <f aca="false">IF(E22="","",IF(AND(N(B22)&gt;'Weekly Report'!$C$5,N(B22)&lt;='Weekly Report'!$C$4),"New",IF(AND(N(K22)&gt;'Weekly Report'!$C$5,N(K22)&lt;='Weekly Report'!$C$4),"Changed","")))</f>
        <v/>
      </c>
      <c r="N22" s="54" t="str">
        <f aca="true">IF(OR(E22="",J22="",I22="Remediated",I22="Closed",I22="Risk Accepted"),"",IF(J22&lt;TODAY(),"Overdue",""))</f>
        <v/>
      </c>
      <c r="O22" s="0" t="str">
        <f aca="false">IF(M22&lt;&gt;"",COUNT(O$4:O21)+1,"")</f>
        <v/>
      </c>
    </row>
    <row r="23" customFormat="false" ht="15" hidden="false" customHeight="false" outlineLevel="0" collapsed="false">
      <c r="A23" s="53" t="s">
        <v>362</v>
      </c>
      <c r="B23" s="28"/>
      <c r="C23" s="27"/>
      <c r="D23" s="27"/>
      <c r="E23" s="26"/>
      <c r="F23" s="26"/>
      <c r="G23" s="27"/>
      <c r="H23" s="27"/>
      <c r="I23" s="27"/>
      <c r="J23" s="28"/>
      <c r="K23" s="28"/>
      <c r="L23" s="26"/>
      <c r="M23" s="54" t="str">
        <f aca="false">IF(E23="","",IF(AND(N(B23)&gt;'Weekly Report'!$C$5,N(B23)&lt;='Weekly Report'!$C$4),"New",IF(AND(N(K23)&gt;'Weekly Report'!$C$5,N(K23)&lt;='Weekly Report'!$C$4),"Changed","")))</f>
        <v/>
      </c>
      <c r="N23" s="54" t="str">
        <f aca="true">IF(OR(E23="",J23="",I23="Remediated",I23="Closed",I23="Risk Accepted"),"",IF(J23&lt;TODAY(),"Overdue",""))</f>
        <v/>
      </c>
      <c r="O23" s="0" t="str">
        <f aca="false">IF(M23&lt;&gt;"",COUNT(O$4:O22)+1,"")</f>
        <v/>
      </c>
    </row>
    <row r="24" customFormat="false" ht="15" hidden="false" customHeight="false" outlineLevel="0" collapsed="false">
      <c r="A24" s="53" t="s">
        <v>363</v>
      </c>
      <c r="B24" s="28"/>
      <c r="C24" s="27"/>
      <c r="D24" s="27"/>
      <c r="E24" s="26"/>
      <c r="F24" s="26"/>
      <c r="G24" s="27"/>
      <c r="H24" s="27"/>
      <c r="I24" s="27"/>
      <c r="J24" s="28"/>
      <c r="K24" s="28"/>
      <c r="L24" s="26"/>
      <c r="M24" s="54" t="str">
        <f aca="false">IF(E24="","",IF(AND(N(B24)&gt;'Weekly Report'!$C$5,N(B24)&lt;='Weekly Report'!$C$4),"New",IF(AND(N(K24)&gt;'Weekly Report'!$C$5,N(K24)&lt;='Weekly Report'!$C$4),"Changed","")))</f>
        <v/>
      </c>
      <c r="N24" s="54" t="str">
        <f aca="true">IF(OR(E24="",J24="",I24="Remediated",I24="Closed",I24="Risk Accepted"),"",IF(J24&lt;TODAY(),"Overdue",""))</f>
        <v/>
      </c>
      <c r="O24" s="0" t="str">
        <f aca="false">IF(M24&lt;&gt;"",COUNT(O$4:O23)+1,"")</f>
        <v/>
      </c>
    </row>
    <row r="25" customFormat="false" ht="15" hidden="false" customHeight="false" outlineLevel="0" collapsed="false">
      <c r="A25" s="53" t="s">
        <v>364</v>
      </c>
      <c r="B25" s="28"/>
      <c r="C25" s="27"/>
      <c r="D25" s="27"/>
      <c r="E25" s="26"/>
      <c r="F25" s="26"/>
      <c r="G25" s="27"/>
      <c r="H25" s="27"/>
      <c r="I25" s="27"/>
      <c r="J25" s="28"/>
      <c r="K25" s="28"/>
      <c r="L25" s="26"/>
      <c r="M25" s="54" t="str">
        <f aca="false">IF(E25="","",IF(AND(N(B25)&gt;'Weekly Report'!$C$5,N(B25)&lt;='Weekly Report'!$C$4),"New",IF(AND(N(K25)&gt;'Weekly Report'!$C$5,N(K25)&lt;='Weekly Report'!$C$4),"Changed","")))</f>
        <v/>
      </c>
      <c r="N25" s="54" t="str">
        <f aca="true">IF(OR(E25="",J25="",I25="Remediated",I25="Closed",I25="Risk Accepted"),"",IF(J25&lt;TODAY(),"Overdue",""))</f>
        <v/>
      </c>
      <c r="O25" s="0" t="str">
        <f aca="false">IF(M25&lt;&gt;"",COUNT(O$4:O24)+1,"")</f>
        <v/>
      </c>
    </row>
    <row r="26" customFormat="false" ht="15" hidden="false" customHeight="false" outlineLevel="0" collapsed="false">
      <c r="A26" s="53" t="s">
        <v>365</v>
      </c>
      <c r="B26" s="28"/>
      <c r="C26" s="27"/>
      <c r="D26" s="27"/>
      <c r="E26" s="26"/>
      <c r="F26" s="26"/>
      <c r="G26" s="27"/>
      <c r="H26" s="27"/>
      <c r="I26" s="27"/>
      <c r="J26" s="28"/>
      <c r="K26" s="28"/>
      <c r="L26" s="26"/>
      <c r="M26" s="54" t="str">
        <f aca="false">IF(E26="","",IF(AND(N(B26)&gt;'Weekly Report'!$C$5,N(B26)&lt;='Weekly Report'!$C$4),"New",IF(AND(N(K26)&gt;'Weekly Report'!$C$5,N(K26)&lt;='Weekly Report'!$C$4),"Changed","")))</f>
        <v/>
      </c>
      <c r="N26" s="54" t="str">
        <f aca="true">IF(OR(E26="",J26="",I26="Remediated",I26="Closed",I26="Risk Accepted"),"",IF(J26&lt;TODAY(),"Overdue",""))</f>
        <v/>
      </c>
      <c r="O26" s="0" t="str">
        <f aca="false">IF(M26&lt;&gt;"",COUNT(O$4:O25)+1,"")</f>
        <v/>
      </c>
    </row>
    <row r="27" customFormat="false" ht="15" hidden="false" customHeight="false" outlineLevel="0" collapsed="false">
      <c r="A27" s="53" t="s">
        <v>366</v>
      </c>
      <c r="B27" s="28"/>
      <c r="C27" s="27"/>
      <c r="D27" s="27"/>
      <c r="E27" s="26"/>
      <c r="F27" s="26"/>
      <c r="G27" s="27"/>
      <c r="H27" s="27"/>
      <c r="I27" s="27"/>
      <c r="J27" s="28"/>
      <c r="K27" s="28"/>
      <c r="L27" s="26"/>
      <c r="M27" s="54" t="str">
        <f aca="false">IF(E27="","",IF(AND(N(B27)&gt;'Weekly Report'!$C$5,N(B27)&lt;='Weekly Report'!$C$4),"New",IF(AND(N(K27)&gt;'Weekly Report'!$C$5,N(K27)&lt;='Weekly Report'!$C$4),"Changed","")))</f>
        <v/>
      </c>
      <c r="N27" s="54" t="str">
        <f aca="true">IF(OR(E27="",J27="",I27="Remediated",I27="Closed",I27="Risk Accepted"),"",IF(J27&lt;TODAY(),"Overdue",""))</f>
        <v/>
      </c>
      <c r="O27" s="0" t="str">
        <f aca="false">IF(M27&lt;&gt;"",COUNT(O$4:O26)+1,"")</f>
        <v/>
      </c>
    </row>
    <row r="28" customFormat="false" ht="15" hidden="false" customHeight="false" outlineLevel="0" collapsed="false">
      <c r="A28" s="53" t="s">
        <v>367</v>
      </c>
      <c r="B28" s="28"/>
      <c r="C28" s="27"/>
      <c r="D28" s="27"/>
      <c r="E28" s="26"/>
      <c r="F28" s="26"/>
      <c r="G28" s="27"/>
      <c r="H28" s="27"/>
      <c r="I28" s="27"/>
      <c r="J28" s="28"/>
      <c r="K28" s="28"/>
      <c r="L28" s="26"/>
      <c r="M28" s="54" t="str">
        <f aca="false">IF(E28="","",IF(AND(N(B28)&gt;'Weekly Report'!$C$5,N(B28)&lt;='Weekly Report'!$C$4),"New",IF(AND(N(K28)&gt;'Weekly Report'!$C$5,N(K28)&lt;='Weekly Report'!$C$4),"Changed","")))</f>
        <v/>
      </c>
      <c r="N28" s="54" t="str">
        <f aca="true">IF(OR(E28="",J28="",I28="Remediated",I28="Closed",I28="Risk Accepted"),"",IF(J28&lt;TODAY(),"Overdue",""))</f>
        <v/>
      </c>
      <c r="O28" s="0" t="str">
        <f aca="false">IF(M28&lt;&gt;"",COUNT(O$4:O27)+1,"")</f>
        <v/>
      </c>
    </row>
    <row r="29" customFormat="false" ht="15" hidden="false" customHeight="false" outlineLevel="0" collapsed="false">
      <c r="A29" s="53" t="s">
        <v>368</v>
      </c>
      <c r="B29" s="28"/>
      <c r="C29" s="27"/>
      <c r="D29" s="27"/>
      <c r="E29" s="26"/>
      <c r="F29" s="26"/>
      <c r="G29" s="27"/>
      <c r="H29" s="27"/>
      <c r="I29" s="27"/>
      <c r="J29" s="28"/>
      <c r="K29" s="28"/>
      <c r="L29" s="26"/>
      <c r="M29" s="54" t="str">
        <f aca="false">IF(E29="","",IF(AND(N(B29)&gt;'Weekly Report'!$C$5,N(B29)&lt;='Weekly Report'!$C$4),"New",IF(AND(N(K29)&gt;'Weekly Report'!$C$5,N(K29)&lt;='Weekly Report'!$C$4),"Changed","")))</f>
        <v/>
      </c>
      <c r="N29" s="54" t="str">
        <f aca="true">IF(OR(E29="",J29="",I29="Remediated",I29="Closed",I29="Risk Accepted"),"",IF(J29&lt;TODAY(),"Overdue",""))</f>
        <v/>
      </c>
      <c r="O29" s="0" t="str">
        <f aca="false">IF(M29&lt;&gt;"",COUNT(O$4:O28)+1,"")</f>
        <v/>
      </c>
    </row>
    <row r="30" customFormat="false" ht="15" hidden="false" customHeight="false" outlineLevel="0" collapsed="false">
      <c r="A30" s="53" t="s">
        <v>369</v>
      </c>
      <c r="B30" s="28"/>
      <c r="C30" s="27"/>
      <c r="D30" s="27"/>
      <c r="E30" s="26"/>
      <c r="F30" s="26"/>
      <c r="G30" s="27"/>
      <c r="H30" s="27"/>
      <c r="I30" s="27"/>
      <c r="J30" s="28"/>
      <c r="K30" s="28"/>
      <c r="L30" s="26"/>
      <c r="M30" s="54" t="str">
        <f aca="false">IF(E30="","",IF(AND(N(B30)&gt;'Weekly Report'!$C$5,N(B30)&lt;='Weekly Report'!$C$4),"New",IF(AND(N(K30)&gt;'Weekly Report'!$C$5,N(K30)&lt;='Weekly Report'!$C$4),"Changed","")))</f>
        <v/>
      </c>
      <c r="N30" s="54" t="str">
        <f aca="true">IF(OR(E30="",J30="",I30="Remediated",I30="Closed",I30="Risk Accepted"),"",IF(J30&lt;TODAY(),"Overdue",""))</f>
        <v/>
      </c>
      <c r="O30" s="0" t="str">
        <f aca="false">IF(M30&lt;&gt;"",COUNT(O$4:O29)+1,"")</f>
        <v/>
      </c>
    </row>
    <row r="31" customFormat="false" ht="15" hidden="false" customHeight="false" outlineLevel="0" collapsed="false">
      <c r="A31" s="53" t="s">
        <v>370</v>
      </c>
      <c r="B31" s="28"/>
      <c r="C31" s="27"/>
      <c r="D31" s="27"/>
      <c r="E31" s="26"/>
      <c r="F31" s="26"/>
      <c r="G31" s="27"/>
      <c r="H31" s="27"/>
      <c r="I31" s="27"/>
      <c r="J31" s="28"/>
      <c r="K31" s="28"/>
      <c r="L31" s="26"/>
      <c r="M31" s="54" t="str">
        <f aca="false">IF(E31="","",IF(AND(N(B31)&gt;'Weekly Report'!$C$5,N(B31)&lt;='Weekly Report'!$C$4),"New",IF(AND(N(K31)&gt;'Weekly Report'!$C$5,N(K31)&lt;='Weekly Report'!$C$4),"Changed","")))</f>
        <v/>
      </c>
      <c r="N31" s="54" t="str">
        <f aca="true">IF(OR(E31="",J31="",I31="Remediated",I31="Closed",I31="Risk Accepted"),"",IF(J31&lt;TODAY(),"Overdue",""))</f>
        <v/>
      </c>
      <c r="O31" s="0" t="str">
        <f aca="false">IF(M31&lt;&gt;"",COUNT(O$4:O30)+1,"")</f>
        <v/>
      </c>
    </row>
    <row r="32" customFormat="false" ht="15" hidden="false" customHeight="false" outlineLevel="0" collapsed="false">
      <c r="A32" s="53" t="s">
        <v>371</v>
      </c>
      <c r="B32" s="28"/>
      <c r="C32" s="27"/>
      <c r="D32" s="27"/>
      <c r="E32" s="26"/>
      <c r="F32" s="26"/>
      <c r="G32" s="27"/>
      <c r="H32" s="27"/>
      <c r="I32" s="27"/>
      <c r="J32" s="28"/>
      <c r="K32" s="28"/>
      <c r="L32" s="26"/>
      <c r="M32" s="54" t="str">
        <f aca="false">IF(E32="","",IF(AND(N(B32)&gt;'Weekly Report'!$C$5,N(B32)&lt;='Weekly Report'!$C$4),"New",IF(AND(N(K32)&gt;'Weekly Report'!$C$5,N(K32)&lt;='Weekly Report'!$C$4),"Changed","")))</f>
        <v/>
      </c>
      <c r="N32" s="54" t="str">
        <f aca="true">IF(OR(E32="",J32="",I32="Remediated",I32="Closed",I32="Risk Accepted"),"",IF(J32&lt;TODAY(),"Overdue",""))</f>
        <v/>
      </c>
      <c r="O32" s="0" t="str">
        <f aca="false">IF(M32&lt;&gt;"",COUNT(O$4:O31)+1,"")</f>
        <v/>
      </c>
    </row>
    <row r="33" customFormat="false" ht="15" hidden="false" customHeight="false" outlineLevel="0" collapsed="false">
      <c r="A33" s="53" t="s">
        <v>372</v>
      </c>
      <c r="B33" s="28"/>
      <c r="C33" s="27"/>
      <c r="D33" s="27"/>
      <c r="E33" s="26"/>
      <c r="F33" s="26"/>
      <c r="G33" s="27"/>
      <c r="H33" s="27"/>
      <c r="I33" s="27"/>
      <c r="J33" s="28"/>
      <c r="K33" s="28"/>
      <c r="L33" s="26"/>
      <c r="M33" s="54" t="str">
        <f aca="false">IF(E33="","",IF(AND(N(B33)&gt;'Weekly Report'!$C$5,N(B33)&lt;='Weekly Report'!$C$4),"New",IF(AND(N(K33)&gt;'Weekly Report'!$C$5,N(K33)&lt;='Weekly Report'!$C$4),"Changed","")))</f>
        <v/>
      </c>
      <c r="N33" s="54" t="str">
        <f aca="true">IF(OR(E33="",J33="",I33="Remediated",I33="Closed",I33="Risk Accepted"),"",IF(J33&lt;TODAY(),"Overdue",""))</f>
        <v/>
      </c>
      <c r="O33" s="0" t="str">
        <f aca="false">IF(M33&lt;&gt;"",COUNT(O$4:O32)+1,"")</f>
        <v/>
      </c>
    </row>
    <row r="34" customFormat="false" ht="15" hidden="false" customHeight="false" outlineLevel="0" collapsed="false">
      <c r="A34" s="53" t="s">
        <v>373</v>
      </c>
      <c r="B34" s="28"/>
      <c r="C34" s="27"/>
      <c r="D34" s="27"/>
      <c r="E34" s="26"/>
      <c r="F34" s="26"/>
      <c r="G34" s="27"/>
      <c r="H34" s="27"/>
      <c r="I34" s="27"/>
      <c r="J34" s="28"/>
      <c r="K34" s="28"/>
      <c r="L34" s="26"/>
      <c r="M34" s="54" t="str">
        <f aca="false">IF(E34="","",IF(AND(N(B34)&gt;'Weekly Report'!$C$5,N(B34)&lt;='Weekly Report'!$C$4),"New",IF(AND(N(K34)&gt;'Weekly Report'!$C$5,N(K34)&lt;='Weekly Report'!$C$4),"Changed","")))</f>
        <v/>
      </c>
      <c r="N34" s="54" t="str">
        <f aca="true">IF(OR(E34="",J34="",I34="Remediated",I34="Closed",I34="Risk Accepted"),"",IF(J34&lt;TODAY(),"Overdue",""))</f>
        <v/>
      </c>
      <c r="O34" s="0" t="str">
        <f aca="false">IF(M34&lt;&gt;"",COUNT(O$4:O33)+1,"")</f>
        <v/>
      </c>
    </row>
    <row r="35" customFormat="false" ht="15" hidden="false" customHeight="false" outlineLevel="0" collapsed="false">
      <c r="A35" s="53" t="s">
        <v>374</v>
      </c>
      <c r="B35" s="28"/>
      <c r="C35" s="27"/>
      <c r="D35" s="27"/>
      <c r="E35" s="26"/>
      <c r="F35" s="26"/>
      <c r="G35" s="27"/>
      <c r="H35" s="27"/>
      <c r="I35" s="27"/>
      <c r="J35" s="28"/>
      <c r="K35" s="28"/>
      <c r="L35" s="26"/>
      <c r="M35" s="54" t="str">
        <f aca="false">IF(E35="","",IF(AND(N(B35)&gt;'Weekly Report'!$C$5,N(B35)&lt;='Weekly Report'!$C$4),"New",IF(AND(N(K35)&gt;'Weekly Report'!$C$5,N(K35)&lt;='Weekly Report'!$C$4),"Changed","")))</f>
        <v/>
      </c>
      <c r="N35" s="54" t="str">
        <f aca="true">IF(OR(E35="",J35="",I35="Remediated",I35="Closed",I35="Risk Accepted"),"",IF(J35&lt;TODAY(),"Overdue",""))</f>
        <v/>
      </c>
      <c r="O35" s="0" t="str">
        <f aca="false">IF(M35&lt;&gt;"",COUNT(O$4:O34)+1,"")</f>
        <v/>
      </c>
    </row>
    <row r="36" customFormat="false" ht="15" hidden="false" customHeight="false" outlineLevel="0" collapsed="false">
      <c r="A36" s="53" t="s">
        <v>375</v>
      </c>
      <c r="B36" s="28"/>
      <c r="C36" s="27"/>
      <c r="D36" s="27"/>
      <c r="E36" s="26"/>
      <c r="F36" s="26"/>
      <c r="G36" s="27"/>
      <c r="H36" s="27"/>
      <c r="I36" s="27"/>
      <c r="J36" s="28"/>
      <c r="K36" s="28"/>
      <c r="L36" s="26"/>
      <c r="M36" s="54" t="str">
        <f aca="false">IF(E36="","",IF(AND(N(B36)&gt;'Weekly Report'!$C$5,N(B36)&lt;='Weekly Report'!$C$4),"New",IF(AND(N(K36)&gt;'Weekly Report'!$C$5,N(K36)&lt;='Weekly Report'!$C$4),"Changed","")))</f>
        <v/>
      </c>
      <c r="N36" s="54" t="str">
        <f aca="true">IF(OR(E36="",J36="",I36="Remediated",I36="Closed",I36="Risk Accepted"),"",IF(J36&lt;TODAY(),"Overdue",""))</f>
        <v/>
      </c>
      <c r="O36" s="0" t="str">
        <f aca="false">IF(M36&lt;&gt;"",COUNT(O$4:O35)+1,"")</f>
        <v/>
      </c>
    </row>
    <row r="37" customFormat="false" ht="15" hidden="false" customHeight="false" outlineLevel="0" collapsed="false">
      <c r="A37" s="53" t="s">
        <v>376</v>
      </c>
      <c r="B37" s="28"/>
      <c r="C37" s="27"/>
      <c r="D37" s="27"/>
      <c r="E37" s="26"/>
      <c r="F37" s="26"/>
      <c r="G37" s="27"/>
      <c r="H37" s="27"/>
      <c r="I37" s="27"/>
      <c r="J37" s="28"/>
      <c r="K37" s="28"/>
      <c r="L37" s="26"/>
      <c r="M37" s="54" t="str">
        <f aca="false">IF(E37="","",IF(AND(N(B37)&gt;'Weekly Report'!$C$5,N(B37)&lt;='Weekly Report'!$C$4),"New",IF(AND(N(K37)&gt;'Weekly Report'!$C$5,N(K37)&lt;='Weekly Report'!$C$4),"Changed","")))</f>
        <v/>
      </c>
      <c r="N37" s="54" t="str">
        <f aca="true">IF(OR(E37="",J37="",I37="Remediated",I37="Closed",I37="Risk Accepted"),"",IF(J37&lt;TODAY(),"Overdue",""))</f>
        <v/>
      </c>
      <c r="O37" s="0" t="str">
        <f aca="false">IF(M37&lt;&gt;"",COUNT(O$4:O36)+1,"")</f>
        <v/>
      </c>
    </row>
    <row r="38" customFormat="false" ht="15" hidden="false" customHeight="false" outlineLevel="0" collapsed="false">
      <c r="A38" s="53" t="s">
        <v>377</v>
      </c>
      <c r="B38" s="28"/>
      <c r="C38" s="27"/>
      <c r="D38" s="27"/>
      <c r="E38" s="26"/>
      <c r="F38" s="26"/>
      <c r="G38" s="27"/>
      <c r="H38" s="27"/>
      <c r="I38" s="27"/>
      <c r="J38" s="28"/>
      <c r="K38" s="28"/>
      <c r="L38" s="26"/>
      <c r="M38" s="54" t="str">
        <f aca="false">IF(E38="","",IF(AND(N(B38)&gt;'Weekly Report'!$C$5,N(B38)&lt;='Weekly Report'!$C$4),"New",IF(AND(N(K38)&gt;'Weekly Report'!$C$5,N(K38)&lt;='Weekly Report'!$C$4),"Changed","")))</f>
        <v/>
      </c>
      <c r="N38" s="54" t="str">
        <f aca="true">IF(OR(E38="",J38="",I38="Remediated",I38="Closed",I38="Risk Accepted"),"",IF(J38&lt;TODAY(),"Overdue",""))</f>
        <v/>
      </c>
      <c r="O38" s="0" t="str">
        <f aca="false">IF(M38&lt;&gt;"",COUNT(O$4:O37)+1,"")</f>
        <v/>
      </c>
    </row>
    <row r="39" customFormat="false" ht="15" hidden="false" customHeight="false" outlineLevel="0" collapsed="false">
      <c r="A39" s="53" t="s">
        <v>378</v>
      </c>
      <c r="B39" s="28"/>
      <c r="C39" s="27"/>
      <c r="D39" s="27"/>
      <c r="E39" s="26"/>
      <c r="F39" s="26"/>
      <c r="G39" s="27"/>
      <c r="H39" s="27"/>
      <c r="I39" s="27"/>
      <c r="J39" s="28"/>
      <c r="K39" s="28"/>
      <c r="L39" s="26"/>
      <c r="M39" s="54" t="str">
        <f aca="false">IF(E39="","",IF(AND(N(B39)&gt;'Weekly Report'!$C$5,N(B39)&lt;='Weekly Report'!$C$4),"New",IF(AND(N(K39)&gt;'Weekly Report'!$C$5,N(K39)&lt;='Weekly Report'!$C$4),"Changed","")))</f>
        <v/>
      </c>
      <c r="N39" s="54" t="str">
        <f aca="true">IF(OR(E39="",J39="",I39="Remediated",I39="Closed",I39="Risk Accepted"),"",IF(J39&lt;TODAY(),"Overdue",""))</f>
        <v/>
      </c>
      <c r="O39" s="0" t="str">
        <f aca="false">IF(M39&lt;&gt;"",COUNT(O$4:O38)+1,"")</f>
        <v/>
      </c>
    </row>
    <row r="40" customFormat="false" ht="15" hidden="false" customHeight="false" outlineLevel="0" collapsed="false">
      <c r="A40" s="53" t="s">
        <v>379</v>
      </c>
      <c r="B40" s="28"/>
      <c r="C40" s="27"/>
      <c r="D40" s="27"/>
      <c r="E40" s="26"/>
      <c r="F40" s="26"/>
      <c r="G40" s="27"/>
      <c r="H40" s="27"/>
      <c r="I40" s="27"/>
      <c r="J40" s="28"/>
      <c r="K40" s="28"/>
      <c r="L40" s="26"/>
      <c r="M40" s="54" t="str">
        <f aca="false">IF(E40="","",IF(AND(N(B40)&gt;'Weekly Report'!$C$5,N(B40)&lt;='Weekly Report'!$C$4),"New",IF(AND(N(K40)&gt;'Weekly Report'!$C$5,N(K40)&lt;='Weekly Report'!$C$4),"Changed","")))</f>
        <v/>
      </c>
      <c r="N40" s="54" t="str">
        <f aca="true">IF(OR(E40="",J40="",I40="Remediated",I40="Closed",I40="Risk Accepted"),"",IF(J40&lt;TODAY(),"Overdue",""))</f>
        <v/>
      </c>
      <c r="O40" s="0" t="str">
        <f aca="false">IF(M40&lt;&gt;"",COUNT(O$4:O39)+1,"")</f>
        <v/>
      </c>
    </row>
    <row r="41" customFormat="false" ht="15" hidden="false" customHeight="false" outlineLevel="0" collapsed="false">
      <c r="A41" s="53" t="s">
        <v>380</v>
      </c>
      <c r="B41" s="28"/>
      <c r="C41" s="27"/>
      <c r="D41" s="27"/>
      <c r="E41" s="26"/>
      <c r="F41" s="26"/>
      <c r="G41" s="27"/>
      <c r="H41" s="27"/>
      <c r="I41" s="27"/>
      <c r="J41" s="28"/>
      <c r="K41" s="28"/>
      <c r="L41" s="26"/>
      <c r="M41" s="54" t="str">
        <f aca="false">IF(E41="","",IF(AND(N(B41)&gt;'Weekly Report'!$C$5,N(B41)&lt;='Weekly Report'!$C$4),"New",IF(AND(N(K41)&gt;'Weekly Report'!$C$5,N(K41)&lt;='Weekly Report'!$C$4),"Changed","")))</f>
        <v/>
      </c>
      <c r="N41" s="54" t="str">
        <f aca="true">IF(OR(E41="",J41="",I41="Remediated",I41="Closed",I41="Risk Accepted"),"",IF(J41&lt;TODAY(),"Overdue",""))</f>
        <v/>
      </c>
      <c r="O41" s="0" t="str">
        <f aca="false">IF(M41&lt;&gt;"",COUNT(O$4:O40)+1,"")</f>
        <v/>
      </c>
    </row>
    <row r="42" customFormat="false" ht="15" hidden="false" customHeight="false" outlineLevel="0" collapsed="false">
      <c r="A42" s="53" t="s">
        <v>381</v>
      </c>
      <c r="B42" s="28"/>
      <c r="C42" s="27"/>
      <c r="D42" s="27"/>
      <c r="E42" s="26"/>
      <c r="F42" s="26"/>
      <c r="G42" s="27"/>
      <c r="H42" s="27"/>
      <c r="I42" s="27"/>
      <c r="J42" s="28"/>
      <c r="K42" s="28"/>
      <c r="L42" s="26"/>
      <c r="M42" s="54" t="str">
        <f aca="false">IF(E42="","",IF(AND(N(B42)&gt;'Weekly Report'!$C$5,N(B42)&lt;='Weekly Report'!$C$4),"New",IF(AND(N(K42)&gt;'Weekly Report'!$C$5,N(K42)&lt;='Weekly Report'!$C$4),"Changed","")))</f>
        <v/>
      </c>
      <c r="N42" s="54" t="str">
        <f aca="true">IF(OR(E42="",J42="",I42="Remediated",I42="Closed",I42="Risk Accepted"),"",IF(J42&lt;TODAY(),"Overdue",""))</f>
        <v/>
      </c>
      <c r="O42" s="0" t="str">
        <f aca="false">IF(M42&lt;&gt;"",COUNT(O$4:O41)+1,"")</f>
        <v/>
      </c>
    </row>
    <row r="43" customFormat="false" ht="15" hidden="false" customHeight="false" outlineLevel="0" collapsed="false">
      <c r="A43" s="53" t="s">
        <v>382</v>
      </c>
      <c r="B43" s="28"/>
      <c r="C43" s="27"/>
      <c r="D43" s="27"/>
      <c r="E43" s="26"/>
      <c r="F43" s="26"/>
      <c r="G43" s="27"/>
      <c r="H43" s="27"/>
      <c r="I43" s="27"/>
      <c r="J43" s="28"/>
      <c r="K43" s="28"/>
      <c r="L43" s="26"/>
      <c r="M43" s="54" t="str">
        <f aca="false">IF(E43="","",IF(AND(N(B43)&gt;'Weekly Report'!$C$5,N(B43)&lt;='Weekly Report'!$C$4),"New",IF(AND(N(K43)&gt;'Weekly Report'!$C$5,N(K43)&lt;='Weekly Report'!$C$4),"Changed","")))</f>
        <v/>
      </c>
      <c r="N43" s="54" t="str">
        <f aca="true">IF(OR(E43="",J43="",I43="Remediated",I43="Closed",I43="Risk Accepted"),"",IF(J43&lt;TODAY(),"Overdue",""))</f>
        <v/>
      </c>
      <c r="O43" s="0" t="str">
        <f aca="false">IF(M43&lt;&gt;"",COUNT(O$4:O42)+1,"")</f>
        <v/>
      </c>
    </row>
    <row r="44" customFormat="false" ht="15" hidden="false" customHeight="false" outlineLevel="0" collapsed="false">
      <c r="A44" s="53" t="s">
        <v>383</v>
      </c>
      <c r="B44" s="28"/>
      <c r="C44" s="27"/>
      <c r="D44" s="27"/>
      <c r="E44" s="26"/>
      <c r="F44" s="26"/>
      <c r="G44" s="27"/>
      <c r="H44" s="27"/>
      <c r="I44" s="27"/>
      <c r="J44" s="28"/>
      <c r="K44" s="28"/>
      <c r="L44" s="26"/>
      <c r="M44" s="54" t="str">
        <f aca="false">IF(E44="","",IF(AND(N(B44)&gt;'Weekly Report'!$C$5,N(B44)&lt;='Weekly Report'!$C$4),"New",IF(AND(N(K44)&gt;'Weekly Report'!$C$5,N(K44)&lt;='Weekly Report'!$C$4),"Changed","")))</f>
        <v/>
      </c>
      <c r="N44" s="54" t="str">
        <f aca="true">IF(OR(E44="",J44="",I44="Remediated",I44="Closed",I44="Risk Accepted"),"",IF(J44&lt;TODAY(),"Overdue",""))</f>
        <v/>
      </c>
      <c r="O44" s="0" t="str">
        <f aca="false">IF(M44&lt;&gt;"",COUNT(O$4:O43)+1,"")</f>
        <v/>
      </c>
    </row>
    <row r="45" customFormat="false" ht="15" hidden="false" customHeight="false" outlineLevel="0" collapsed="false">
      <c r="A45" s="53" t="s">
        <v>384</v>
      </c>
      <c r="B45" s="28"/>
      <c r="C45" s="27"/>
      <c r="D45" s="27"/>
      <c r="E45" s="26"/>
      <c r="F45" s="26"/>
      <c r="G45" s="27"/>
      <c r="H45" s="27"/>
      <c r="I45" s="27"/>
      <c r="J45" s="28"/>
      <c r="K45" s="28"/>
      <c r="L45" s="26"/>
      <c r="M45" s="54" t="str">
        <f aca="false">IF(E45="","",IF(AND(N(B45)&gt;'Weekly Report'!$C$5,N(B45)&lt;='Weekly Report'!$C$4),"New",IF(AND(N(K45)&gt;'Weekly Report'!$C$5,N(K45)&lt;='Weekly Report'!$C$4),"Changed","")))</f>
        <v/>
      </c>
      <c r="N45" s="54" t="str">
        <f aca="true">IF(OR(E45="",J45="",I45="Remediated",I45="Closed",I45="Risk Accepted"),"",IF(J45&lt;TODAY(),"Overdue",""))</f>
        <v/>
      </c>
      <c r="O45" s="0" t="str">
        <f aca="false">IF(M45&lt;&gt;"",COUNT(O$4:O44)+1,"")</f>
        <v/>
      </c>
    </row>
    <row r="46" customFormat="false" ht="15" hidden="false" customHeight="false" outlineLevel="0" collapsed="false">
      <c r="A46" s="53" t="s">
        <v>385</v>
      </c>
      <c r="B46" s="28"/>
      <c r="C46" s="27"/>
      <c r="D46" s="27"/>
      <c r="E46" s="26"/>
      <c r="F46" s="26"/>
      <c r="G46" s="27"/>
      <c r="H46" s="27"/>
      <c r="I46" s="27"/>
      <c r="J46" s="28"/>
      <c r="K46" s="28"/>
      <c r="L46" s="26"/>
      <c r="M46" s="54" t="str">
        <f aca="false">IF(E46="","",IF(AND(N(B46)&gt;'Weekly Report'!$C$5,N(B46)&lt;='Weekly Report'!$C$4),"New",IF(AND(N(K46)&gt;'Weekly Report'!$C$5,N(K46)&lt;='Weekly Report'!$C$4),"Changed","")))</f>
        <v/>
      </c>
      <c r="N46" s="54" t="str">
        <f aca="true">IF(OR(E46="",J46="",I46="Remediated",I46="Closed",I46="Risk Accepted"),"",IF(J46&lt;TODAY(),"Overdue",""))</f>
        <v/>
      </c>
      <c r="O46" s="0" t="str">
        <f aca="false">IF(M46&lt;&gt;"",COUNT(O$4:O45)+1,"")</f>
        <v/>
      </c>
    </row>
    <row r="47" customFormat="false" ht="15" hidden="false" customHeight="false" outlineLevel="0" collapsed="false">
      <c r="A47" s="53" t="s">
        <v>386</v>
      </c>
      <c r="B47" s="28"/>
      <c r="C47" s="27"/>
      <c r="D47" s="27"/>
      <c r="E47" s="26"/>
      <c r="F47" s="26"/>
      <c r="G47" s="27"/>
      <c r="H47" s="27"/>
      <c r="I47" s="27"/>
      <c r="J47" s="28"/>
      <c r="K47" s="28"/>
      <c r="L47" s="26"/>
      <c r="M47" s="54" t="str">
        <f aca="false">IF(E47="","",IF(AND(N(B47)&gt;'Weekly Report'!$C$5,N(B47)&lt;='Weekly Report'!$C$4),"New",IF(AND(N(K47)&gt;'Weekly Report'!$C$5,N(K47)&lt;='Weekly Report'!$C$4),"Changed","")))</f>
        <v/>
      </c>
      <c r="N47" s="54" t="str">
        <f aca="true">IF(OR(E47="",J47="",I47="Remediated",I47="Closed",I47="Risk Accepted"),"",IF(J47&lt;TODAY(),"Overdue",""))</f>
        <v/>
      </c>
      <c r="O47" s="0" t="str">
        <f aca="false">IF(M47&lt;&gt;"",COUNT(O$4:O46)+1,"")</f>
        <v/>
      </c>
    </row>
    <row r="48" customFormat="false" ht="15" hidden="false" customHeight="false" outlineLevel="0" collapsed="false">
      <c r="A48" s="53" t="s">
        <v>387</v>
      </c>
      <c r="B48" s="28"/>
      <c r="C48" s="27"/>
      <c r="D48" s="27"/>
      <c r="E48" s="26"/>
      <c r="F48" s="26"/>
      <c r="G48" s="27"/>
      <c r="H48" s="27"/>
      <c r="I48" s="27"/>
      <c r="J48" s="28"/>
      <c r="K48" s="28"/>
      <c r="L48" s="26"/>
      <c r="M48" s="54" t="str">
        <f aca="false">IF(E48="","",IF(AND(N(B48)&gt;'Weekly Report'!$C$5,N(B48)&lt;='Weekly Report'!$C$4),"New",IF(AND(N(K48)&gt;'Weekly Report'!$C$5,N(K48)&lt;='Weekly Report'!$C$4),"Changed","")))</f>
        <v/>
      </c>
      <c r="N48" s="54" t="str">
        <f aca="true">IF(OR(E48="",J48="",I48="Remediated",I48="Closed",I48="Risk Accepted"),"",IF(J48&lt;TODAY(),"Overdue",""))</f>
        <v/>
      </c>
      <c r="O48" s="0" t="str">
        <f aca="false">IF(M48&lt;&gt;"",COUNT(O$4:O47)+1,"")</f>
        <v/>
      </c>
    </row>
    <row r="49" customFormat="false" ht="15" hidden="false" customHeight="false" outlineLevel="0" collapsed="false">
      <c r="A49" s="53" t="s">
        <v>388</v>
      </c>
      <c r="B49" s="28"/>
      <c r="C49" s="27"/>
      <c r="D49" s="27"/>
      <c r="E49" s="26"/>
      <c r="F49" s="26"/>
      <c r="G49" s="27"/>
      <c r="H49" s="27"/>
      <c r="I49" s="27"/>
      <c r="J49" s="28"/>
      <c r="K49" s="28"/>
      <c r="L49" s="26"/>
      <c r="M49" s="54" t="str">
        <f aca="false">IF(E49="","",IF(AND(N(B49)&gt;'Weekly Report'!$C$5,N(B49)&lt;='Weekly Report'!$C$4),"New",IF(AND(N(K49)&gt;'Weekly Report'!$C$5,N(K49)&lt;='Weekly Report'!$C$4),"Changed","")))</f>
        <v/>
      </c>
      <c r="N49" s="54" t="str">
        <f aca="true">IF(OR(E49="",J49="",I49="Remediated",I49="Closed",I49="Risk Accepted"),"",IF(J49&lt;TODAY(),"Overdue",""))</f>
        <v/>
      </c>
      <c r="O49" s="0" t="str">
        <f aca="false">IF(M49&lt;&gt;"",COUNT(O$4:O48)+1,"")</f>
        <v/>
      </c>
    </row>
    <row r="50" customFormat="false" ht="15" hidden="false" customHeight="false" outlineLevel="0" collapsed="false">
      <c r="A50" s="53" t="s">
        <v>389</v>
      </c>
      <c r="B50" s="28"/>
      <c r="C50" s="27"/>
      <c r="D50" s="27"/>
      <c r="E50" s="26"/>
      <c r="F50" s="26"/>
      <c r="G50" s="27"/>
      <c r="H50" s="27"/>
      <c r="I50" s="27"/>
      <c r="J50" s="28"/>
      <c r="K50" s="28"/>
      <c r="L50" s="26"/>
      <c r="M50" s="54" t="str">
        <f aca="false">IF(E50="","",IF(AND(N(B50)&gt;'Weekly Report'!$C$5,N(B50)&lt;='Weekly Report'!$C$4),"New",IF(AND(N(K50)&gt;'Weekly Report'!$C$5,N(K50)&lt;='Weekly Report'!$C$4),"Changed","")))</f>
        <v/>
      </c>
      <c r="N50" s="54" t="str">
        <f aca="true">IF(OR(E50="",J50="",I50="Remediated",I50="Closed",I50="Risk Accepted"),"",IF(J50&lt;TODAY(),"Overdue",""))</f>
        <v/>
      </c>
      <c r="O50" s="0" t="str">
        <f aca="false">IF(M50&lt;&gt;"",COUNT(O$4:O49)+1,"")</f>
        <v/>
      </c>
    </row>
    <row r="51" customFormat="false" ht="15" hidden="false" customHeight="false" outlineLevel="0" collapsed="false">
      <c r="A51" s="53" t="s">
        <v>390</v>
      </c>
      <c r="B51" s="28"/>
      <c r="C51" s="27"/>
      <c r="D51" s="27"/>
      <c r="E51" s="26"/>
      <c r="F51" s="26"/>
      <c r="G51" s="27"/>
      <c r="H51" s="27"/>
      <c r="I51" s="27"/>
      <c r="J51" s="28"/>
      <c r="K51" s="28"/>
      <c r="L51" s="26"/>
      <c r="M51" s="54" t="str">
        <f aca="false">IF(E51="","",IF(AND(N(B51)&gt;'Weekly Report'!$C$5,N(B51)&lt;='Weekly Report'!$C$4),"New",IF(AND(N(K51)&gt;'Weekly Report'!$C$5,N(K51)&lt;='Weekly Report'!$C$4),"Changed","")))</f>
        <v/>
      </c>
      <c r="N51" s="54" t="str">
        <f aca="true">IF(OR(E51="",J51="",I51="Remediated",I51="Closed",I51="Risk Accepted"),"",IF(J51&lt;TODAY(),"Overdue",""))</f>
        <v/>
      </c>
      <c r="O51" s="0" t="str">
        <f aca="false">IF(M51&lt;&gt;"",COUNT(O$4:O50)+1,"")</f>
        <v/>
      </c>
    </row>
    <row r="52" customFormat="false" ht="15" hidden="false" customHeight="false" outlineLevel="0" collapsed="false">
      <c r="A52" s="53" t="s">
        <v>391</v>
      </c>
      <c r="B52" s="28"/>
      <c r="C52" s="27"/>
      <c r="D52" s="27"/>
      <c r="E52" s="26"/>
      <c r="F52" s="26"/>
      <c r="G52" s="27"/>
      <c r="H52" s="27"/>
      <c r="I52" s="27"/>
      <c r="J52" s="28"/>
      <c r="K52" s="28"/>
      <c r="L52" s="26"/>
      <c r="M52" s="54" t="str">
        <f aca="false">IF(E52="","",IF(AND(N(B52)&gt;'Weekly Report'!$C$5,N(B52)&lt;='Weekly Report'!$C$4),"New",IF(AND(N(K52)&gt;'Weekly Report'!$C$5,N(K52)&lt;='Weekly Report'!$C$4),"Changed","")))</f>
        <v/>
      </c>
      <c r="N52" s="54" t="str">
        <f aca="true">IF(OR(E52="",J52="",I52="Remediated",I52="Closed",I52="Risk Accepted"),"",IF(J52&lt;TODAY(),"Overdue",""))</f>
        <v/>
      </c>
      <c r="O52" s="0" t="str">
        <f aca="false">IF(M52&lt;&gt;"",COUNT(O$4:O51)+1,"")</f>
        <v/>
      </c>
    </row>
    <row r="53" customFormat="false" ht="15" hidden="false" customHeight="false" outlineLevel="0" collapsed="false">
      <c r="A53" s="53" t="s">
        <v>392</v>
      </c>
      <c r="B53" s="28"/>
      <c r="C53" s="27"/>
      <c r="D53" s="27"/>
      <c r="E53" s="26"/>
      <c r="F53" s="26"/>
      <c r="G53" s="27"/>
      <c r="H53" s="27"/>
      <c r="I53" s="27"/>
      <c r="J53" s="28"/>
      <c r="K53" s="28"/>
      <c r="L53" s="26"/>
      <c r="M53" s="54" t="str">
        <f aca="false">IF(E53="","",IF(AND(N(B53)&gt;'Weekly Report'!$C$5,N(B53)&lt;='Weekly Report'!$C$4),"New",IF(AND(N(K53)&gt;'Weekly Report'!$C$5,N(K53)&lt;='Weekly Report'!$C$4),"Changed","")))</f>
        <v/>
      </c>
      <c r="N53" s="54" t="str">
        <f aca="true">IF(OR(E53="",J53="",I53="Remediated",I53="Closed",I53="Risk Accepted"),"",IF(J53&lt;TODAY(),"Overdue",""))</f>
        <v/>
      </c>
      <c r="O53" s="0" t="str">
        <f aca="false">IF(M53&lt;&gt;"",COUNT(O$4:O52)+1,"")</f>
        <v/>
      </c>
    </row>
    <row r="54" customFormat="false" ht="15" hidden="false" customHeight="false" outlineLevel="0" collapsed="false">
      <c r="A54" s="53" t="s">
        <v>393</v>
      </c>
      <c r="B54" s="28"/>
      <c r="C54" s="27"/>
      <c r="D54" s="27"/>
      <c r="E54" s="26"/>
      <c r="F54" s="26"/>
      <c r="G54" s="27"/>
      <c r="H54" s="27"/>
      <c r="I54" s="27"/>
      <c r="J54" s="28"/>
      <c r="K54" s="28"/>
      <c r="L54" s="26"/>
      <c r="M54" s="54" t="str">
        <f aca="false">IF(E54="","",IF(AND(N(B54)&gt;'Weekly Report'!$C$5,N(B54)&lt;='Weekly Report'!$C$4),"New",IF(AND(N(K54)&gt;'Weekly Report'!$C$5,N(K54)&lt;='Weekly Report'!$C$4),"Changed","")))</f>
        <v/>
      </c>
      <c r="N54" s="54" t="str">
        <f aca="true">IF(OR(E54="",J54="",I54="Remediated",I54="Closed",I54="Risk Accepted"),"",IF(J54&lt;TODAY(),"Overdue",""))</f>
        <v/>
      </c>
      <c r="O54" s="0" t="str">
        <f aca="false">IF(M54&lt;&gt;"",COUNT(O$4:O53)+1,"")</f>
        <v/>
      </c>
    </row>
    <row r="55" customFormat="false" ht="15" hidden="false" customHeight="false" outlineLevel="0" collapsed="false">
      <c r="A55" s="53" t="s">
        <v>394</v>
      </c>
      <c r="B55" s="28"/>
      <c r="C55" s="27"/>
      <c r="D55" s="27"/>
      <c r="E55" s="26"/>
      <c r="F55" s="26"/>
      <c r="G55" s="27"/>
      <c r="H55" s="27"/>
      <c r="I55" s="27"/>
      <c r="J55" s="28"/>
      <c r="K55" s="28"/>
      <c r="L55" s="26"/>
      <c r="M55" s="54" t="str">
        <f aca="false">IF(E55="","",IF(AND(N(B55)&gt;'Weekly Report'!$C$5,N(B55)&lt;='Weekly Report'!$C$4),"New",IF(AND(N(K55)&gt;'Weekly Report'!$C$5,N(K55)&lt;='Weekly Report'!$C$4),"Changed","")))</f>
        <v/>
      </c>
      <c r="N55" s="54" t="str">
        <f aca="true">IF(OR(E55="",J55="",I55="Remediated",I55="Closed",I55="Risk Accepted"),"",IF(J55&lt;TODAY(),"Overdue",""))</f>
        <v/>
      </c>
      <c r="O55" s="0" t="str">
        <f aca="false">IF(M55&lt;&gt;"",COUNT(O$4:O54)+1,"")</f>
        <v/>
      </c>
    </row>
    <row r="56" customFormat="false" ht="15" hidden="false" customHeight="false" outlineLevel="0" collapsed="false">
      <c r="A56" s="53" t="s">
        <v>395</v>
      </c>
      <c r="B56" s="28"/>
      <c r="C56" s="27"/>
      <c r="D56" s="27"/>
      <c r="E56" s="26"/>
      <c r="F56" s="26"/>
      <c r="G56" s="27"/>
      <c r="H56" s="27"/>
      <c r="I56" s="27"/>
      <c r="J56" s="28"/>
      <c r="K56" s="28"/>
      <c r="L56" s="26"/>
      <c r="M56" s="54" t="str">
        <f aca="false">IF(E56="","",IF(AND(N(B56)&gt;'Weekly Report'!$C$5,N(B56)&lt;='Weekly Report'!$C$4),"New",IF(AND(N(K56)&gt;'Weekly Report'!$C$5,N(K56)&lt;='Weekly Report'!$C$4),"Changed","")))</f>
        <v/>
      </c>
      <c r="N56" s="54" t="str">
        <f aca="true">IF(OR(E56="",J56="",I56="Remediated",I56="Closed",I56="Risk Accepted"),"",IF(J56&lt;TODAY(),"Overdue",""))</f>
        <v/>
      </c>
      <c r="O56" s="0" t="str">
        <f aca="false">IF(M56&lt;&gt;"",COUNT(O$4:O55)+1,"")</f>
        <v/>
      </c>
    </row>
    <row r="57" customFormat="false" ht="15" hidden="false" customHeight="false" outlineLevel="0" collapsed="false">
      <c r="A57" s="53" t="s">
        <v>396</v>
      </c>
      <c r="B57" s="28"/>
      <c r="C57" s="27"/>
      <c r="D57" s="27"/>
      <c r="E57" s="26"/>
      <c r="F57" s="26"/>
      <c r="G57" s="27"/>
      <c r="H57" s="27"/>
      <c r="I57" s="27"/>
      <c r="J57" s="28"/>
      <c r="K57" s="28"/>
      <c r="L57" s="26"/>
      <c r="M57" s="54" t="str">
        <f aca="false">IF(E57="","",IF(AND(N(B57)&gt;'Weekly Report'!$C$5,N(B57)&lt;='Weekly Report'!$C$4),"New",IF(AND(N(K57)&gt;'Weekly Report'!$C$5,N(K57)&lt;='Weekly Report'!$C$4),"Changed","")))</f>
        <v/>
      </c>
      <c r="N57" s="54" t="str">
        <f aca="true">IF(OR(E57="",J57="",I57="Remediated",I57="Closed",I57="Risk Accepted"),"",IF(J57&lt;TODAY(),"Overdue",""))</f>
        <v/>
      </c>
      <c r="O57" s="0" t="str">
        <f aca="false">IF(M57&lt;&gt;"",COUNT(O$4:O56)+1,"")</f>
        <v/>
      </c>
    </row>
    <row r="58" customFormat="false" ht="15" hidden="false" customHeight="false" outlineLevel="0" collapsed="false">
      <c r="A58" s="53" t="s">
        <v>397</v>
      </c>
      <c r="B58" s="28"/>
      <c r="C58" s="27"/>
      <c r="D58" s="27"/>
      <c r="E58" s="26"/>
      <c r="F58" s="26"/>
      <c r="G58" s="27"/>
      <c r="H58" s="27"/>
      <c r="I58" s="27"/>
      <c r="J58" s="28"/>
      <c r="K58" s="28"/>
      <c r="L58" s="26"/>
      <c r="M58" s="54" t="str">
        <f aca="false">IF(E58="","",IF(AND(N(B58)&gt;'Weekly Report'!$C$5,N(B58)&lt;='Weekly Report'!$C$4),"New",IF(AND(N(K58)&gt;'Weekly Report'!$C$5,N(K58)&lt;='Weekly Report'!$C$4),"Changed","")))</f>
        <v/>
      </c>
      <c r="N58" s="54" t="str">
        <f aca="true">IF(OR(E58="",J58="",I58="Remediated",I58="Closed",I58="Risk Accepted"),"",IF(J58&lt;TODAY(),"Overdue",""))</f>
        <v/>
      </c>
      <c r="O58" s="0" t="str">
        <f aca="false">IF(M58&lt;&gt;"",COUNT(O$4:O57)+1,"")</f>
        <v/>
      </c>
    </row>
    <row r="59" customFormat="false" ht="15" hidden="false" customHeight="false" outlineLevel="0" collapsed="false">
      <c r="A59" s="53" t="s">
        <v>398</v>
      </c>
      <c r="B59" s="28"/>
      <c r="C59" s="27"/>
      <c r="D59" s="27"/>
      <c r="E59" s="26"/>
      <c r="F59" s="26"/>
      <c r="G59" s="27"/>
      <c r="H59" s="27"/>
      <c r="I59" s="27"/>
      <c r="J59" s="28"/>
      <c r="K59" s="28"/>
      <c r="L59" s="26"/>
      <c r="M59" s="54" t="str">
        <f aca="false">IF(E59="","",IF(AND(N(B59)&gt;'Weekly Report'!$C$5,N(B59)&lt;='Weekly Report'!$C$4),"New",IF(AND(N(K59)&gt;'Weekly Report'!$C$5,N(K59)&lt;='Weekly Report'!$C$4),"Changed","")))</f>
        <v/>
      </c>
      <c r="N59" s="54" t="str">
        <f aca="true">IF(OR(E59="",J59="",I59="Remediated",I59="Closed",I59="Risk Accepted"),"",IF(J59&lt;TODAY(),"Overdue",""))</f>
        <v/>
      </c>
      <c r="O59" s="0" t="str">
        <f aca="false">IF(M59&lt;&gt;"",COUNT(O$4:O58)+1,"")</f>
        <v/>
      </c>
    </row>
    <row r="60" customFormat="false" ht="15" hidden="false" customHeight="false" outlineLevel="0" collapsed="false">
      <c r="A60" s="53" t="s">
        <v>399</v>
      </c>
      <c r="B60" s="28"/>
      <c r="C60" s="27"/>
      <c r="D60" s="27"/>
      <c r="E60" s="26"/>
      <c r="F60" s="26"/>
      <c r="G60" s="27"/>
      <c r="H60" s="27"/>
      <c r="I60" s="27"/>
      <c r="J60" s="28"/>
      <c r="K60" s="28"/>
      <c r="L60" s="26"/>
      <c r="M60" s="54" t="str">
        <f aca="false">IF(E60="","",IF(AND(N(B60)&gt;'Weekly Report'!$C$5,N(B60)&lt;='Weekly Report'!$C$4),"New",IF(AND(N(K60)&gt;'Weekly Report'!$C$5,N(K60)&lt;='Weekly Report'!$C$4),"Changed","")))</f>
        <v/>
      </c>
      <c r="N60" s="54" t="str">
        <f aca="true">IF(OR(E60="",J60="",I60="Remediated",I60="Closed",I60="Risk Accepted"),"",IF(J60&lt;TODAY(),"Overdue",""))</f>
        <v/>
      </c>
      <c r="O60" s="0" t="str">
        <f aca="false">IF(M60&lt;&gt;"",COUNT(O$4:O59)+1,"")</f>
        <v/>
      </c>
    </row>
    <row r="61" customFormat="false" ht="15" hidden="false" customHeight="false" outlineLevel="0" collapsed="false">
      <c r="A61" s="53" t="s">
        <v>400</v>
      </c>
      <c r="B61" s="28"/>
      <c r="C61" s="27"/>
      <c r="D61" s="27"/>
      <c r="E61" s="26"/>
      <c r="F61" s="26"/>
      <c r="G61" s="27"/>
      <c r="H61" s="27"/>
      <c r="I61" s="27"/>
      <c r="J61" s="28"/>
      <c r="K61" s="28"/>
      <c r="L61" s="26"/>
      <c r="M61" s="54" t="str">
        <f aca="false">IF(E61="","",IF(AND(N(B61)&gt;'Weekly Report'!$C$5,N(B61)&lt;='Weekly Report'!$C$4),"New",IF(AND(N(K61)&gt;'Weekly Report'!$C$5,N(K61)&lt;='Weekly Report'!$C$4),"Changed","")))</f>
        <v/>
      </c>
      <c r="N61" s="54" t="str">
        <f aca="true">IF(OR(E61="",J61="",I61="Remediated",I61="Closed",I61="Risk Accepted"),"",IF(J61&lt;TODAY(),"Overdue",""))</f>
        <v/>
      </c>
      <c r="O61" s="0" t="str">
        <f aca="false">IF(M61&lt;&gt;"",COUNT(O$4:O60)+1,"")</f>
        <v/>
      </c>
    </row>
    <row r="62" customFormat="false" ht="15" hidden="false" customHeight="false" outlineLevel="0" collapsed="false">
      <c r="A62" s="53" t="s">
        <v>401</v>
      </c>
      <c r="B62" s="28"/>
      <c r="C62" s="27"/>
      <c r="D62" s="27"/>
      <c r="E62" s="26"/>
      <c r="F62" s="26"/>
      <c r="G62" s="27"/>
      <c r="H62" s="27"/>
      <c r="I62" s="27"/>
      <c r="J62" s="28"/>
      <c r="K62" s="28"/>
      <c r="L62" s="26"/>
      <c r="M62" s="54" t="str">
        <f aca="false">IF(E62="","",IF(AND(N(B62)&gt;'Weekly Report'!$C$5,N(B62)&lt;='Weekly Report'!$C$4),"New",IF(AND(N(K62)&gt;'Weekly Report'!$C$5,N(K62)&lt;='Weekly Report'!$C$4),"Changed","")))</f>
        <v/>
      </c>
      <c r="N62" s="54" t="str">
        <f aca="true">IF(OR(E62="",J62="",I62="Remediated",I62="Closed",I62="Risk Accepted"),"",IF(J62&lt;TODAY(),"Overdue",""))</f>
        <v/>
      </c>
      <c r="O62" s="0" t="str">
        <f aca="false">IF(M62&lt;&gt;"",COUNT(O$4:O61)+1,"")</f>
        <v/>
      </c>
    </row>
    <row r="63" customFormat="false" ht="15" hidden="false" customHeight="false" outlineLevel="0" collapsed="false">
      <c r="A63" s="53" t="s">
        <v>402</v>
      </c>
      <c r="B63" s="28"/>
      <c r="C63" s="27"/>
      <c r="D63" s="27"/>
      <c r="E63" s="26"/>
      <c r="F63" s="26"/>
      <c r="G63" s="27"/>
      <c r="H63" s="27"/>
      <c r="I63" s="27"/>
      <c r="J63" s="28"/>
      <c r="K63" s="28"/>
      <c r="L63" s="26"/>
      <c r="M63" s="54" t="str">
        <f aca="false">IF(E63="","",IF(AND(N(B63)&gt;'Weekly Report'!$C$5,N(B63)&lt;='Weekly Report'!$C$4),"New",IF(AND(N(K63)&gt;'Weekly Report'!$C$5,N(K63)&lt;='Weekly Report'!$C$4),"Changed","")))</f>
        <v/>
      </c>
      <c r="N63" s="54" t="str">
        <f aca="true">IF(OR(E63="",J63="",I63="Remediated",I63="Closed",I63="Risk Accepted"),"",IF(J63&lt;TODAY(),"Overdue",""))</f>
        <v/>
      </c>
      <c r="O63" s="0" t="str">
        <f aca="false">IF(M63&lt;&gt;"",COUNT(O$4:O62)+1,"")</f>
        <v/>
      </c>
    </row>
    <row r="64" customFormat="false" ht="15" hidden="false" customHeight="false" outlineLevel="0" collapsed="false">
      <c r="A64" s="53" t="s">
        <v>403</v>
      </c>
      <c r="B64" s="28"/>
      <c r="C64" s="27"/>
      <c r="D64" s="27"/>
      <c r="E64" s="26"/>
      <c r="F64" s="26"/>
      <c r="G64" s="27"/>
      <c r="H64" s="27"/>
      <c r="I64" s="27"/>
      <c r="J64" s="28"/>
      <c r="K64" s="28"/>
      <c r="L64" s="26"/>
      <c r="M64" s="54" t="str">
        <f aca="false">IF(E64="","",IF(AND(N(B64)&gt;'Weekly Report'!$C$5,N(B64)&lt;='Weekly Report'!$C$4),"New",IF(AND(N(K64)&gt;'Weekly Report'!$C$5,N(K64)&lt;='Weekly Report'!$C$4),"Changed","")))</f>
        <v/>
      </c>
      <c r="N64" s="54" t="str">
        <f aca="true">IF(OR(E64="",J64="",I64="Remediated",I64="Closed",I64="Risk Accepted"),"",IF(J64&lt;TODAY(),"Overdue",""))</f>
        <v/>
      </c>
      <c r="O64" s="0" t="str">
        <f aca="false">IF(M64&lt;&gt;"",COUNT(O$4:O63)+1,"")</f>
        <v/>
      </c>
    </row>
    <row r="65" customFormat="false" ht="15" hidden="false" customHeight="false" outlineLevel="0" collapsed="false">
      <c r="A65" s="53" t="s">
        <v>404</v>
      </c>
      <c r="B65" s="28"/>
      <c r="C65" s="27"/>
      <c r="D65" s="27"/>
      <c r="E65" s="26"/>
      <c r="F65" s="26"/>
      <c r="G65" s="27"/>
      <c r="H65" s="27"/>
      <c r="I65" s="27"/>
      <c r="J65" s="28"/>
      <c r="K65" s="28"/>
      <c r="L65" s="26"/>
      <c r="M65" s="54" t="str">
        <f aca="false">IF(E65="","",IF(AND(N(B65)&gt;'Weekly Report'!$C$5,N(B65)&lt;='Weekly Report'!$C$4),"New",IF(AND(N(K65)&gt;'Weekly Report'!$C$5,N(K65)&lt;='Weekly Report'!$C$4),"Changed","")))</f>
        <v/>
      </c>
      <c r="N65" s="54" t="str">
        <f aca="true">IF(OR(E65="",J65="",I65="Remediated",I65="Closed",I65="Risk Accepted"),"",IF(J65&lt;TODAY(),"Overdue",""))</f>
        <v/>
      </c>
      <c r="O65" s="0" t="str">
        <f aca="false">IF(M65&lt;&gt;"",COUNT(O$4:O64)+1,"")</f>
        <v/>
      </c>
    </row>
    <row r="66" customFormat="false" ht="15" hidden="false" customHeight="false" outlineLevel="0" collapsed="false">
      <c r="A66" s="53" t="s">
        <v>405</v>
      </c>
      <c r="B66" s="28"/>
      <c r="C66" s="27"/>
      <c r="D66" s="27"/>
      <c r="E66" s="26"/>
      <c r="F66" s="26"/>
      <c r="G66" s="27"/>
      <c r="H66" s="27"/>
      <c r="I66" s="27"/>
      <c r="J66" s="28"/>
      <c r="K66" s="28"/>
      <c r="L66" s="26"/>
      <c r="M66" s="54" t="str">
        <f aca="false">IF(E66="","",IF(AND(N(B66)&gt;'Weekly Report'!$C$5,N(B66)&lt;='Weekly Report'!$C$4),"New",IF(AND(N(K66)&gt;'Weekly Report'!$C$5,N(K66)&lt;='Weekly Report'!$C$4),"Changed","")))</f>
        <v/>
      </c>
      <c r="N66" s="54" t="str">
        <f aca="true">IF(OR(E66="",J66="",I66="Remediated",I66="Closed",I66="Risk Accepted"),"",IF(J66&lt;TODAY(),"Overdue",""))</f>
        <v/>
      </c>
      <c r="O66" s="0" t="str">
        <f aca="false">IF(M66&lt;&gt;"",COUNT(O$4:O65)+1,"")</f>
        <v/>
      </c>
    </row>
    <row r="67" customFormat="false" ht="15" hidden="false" customHeight="false" outlineLevel="0" collapsed="false">
      <c r="A67" s="53" t="s">
        <v>406</v>
      </c>
      <c r="B67" s="28"/>
      <c r="C67" s="27"/>
      <c r="D67" s="27"/>
      <c r="E67" s="26"/>
      <c r="F67" s="26"/>
      <c r="G67" s="27"/>
      <c r="H67" s="27"/>
      <c r="I67" s="27"/>
      <c r="J67" s="28"/>
      <c r="K67" s="28"/>
      <c r="L67" s="26"/>
      <c r="M67" s="54" t="str">
        <f aca="false">IF(E67="","",IF(AND(N(B67)&gt;'Weekly Report'!$C$5,N(B67)&lt;='Weekly Report'!$C$4),"New",IF(AND(N(K67)&gt;'Weekly Report'!$C$5,N(K67)&lt;='Weekly Report'!$C$4),"Changed","")))</f>
        <v/>
      </c>
      <c r="N67" s="54" t="str">
        <f aca="true">IF(OR(E67="",J67="",I67="Remediated",I67="Closed",I67="Risk Accepted"),"",IF(J67&lt;TODAY(),"Overdue",""))</f>
        <v/>
      </c>
      <c r="O67" s="0" t="str">
        <f aca="false">IF(M67&lt;&gt;"",COUNT(O$4:O66)+1,"")</f>
        <v/>
      </c>
    </row>
    <row r="68" customFormat="false" ht="15" hidden="false" customHeight="false" outlineLevel="0" collapsed="false">
      <c r="A68" s="53" t="s">
        <v>407</v>
      </c>
      <c r="B68" s="28"/>
      <c r="C68" s="27"/>
      <c r="D68" s="27"/>
      <c r="E68" s="26"/>
      <c r="F68" s="26"/>
      <c r="G68" s="27"/>
      <c r="H68" s="27"/>
      <c r="I68" s="27"/>
      <c r="J68" s="28"/>
      <c r="K68" s="28"/>
      <c r="L68" s="26"/>
      <c r="M68" s="54" t="str">
        <f aca="false">IF(E68="","",IF(AND(N(B68)&gt;'Weekly Report'!$C$5,N(B68)&lt;='Weekly Report'!$C$4),"New",IF(AND(N(K68)&gt;'Weekly Report'!$C$5,N(K68)&lt;='Weekly Report'!$C$4),"Changed","")))</f>
        <v/>
      </c>
      <c r="N68" s="54" t="str">
        <f aca="true">IF(OR(E68="",J68="",I68="Remediated",I68="Closed",I68="Risk Accepted"),"",IF(J68&lt;TODAY(),"Overdue",""))</f>
        <v/>
      </c>
      <c r="O68" s="0" t="str">
        <f aca="false">IF(M68&lt;&gt;"",COUNT(O$4:O67)+1,"")</f>
        <v/>
      </c>
    </row>
    <row r="69" customFormat="false" ht="15" hidden="false" customHeight="false" outlineLevel="0" collapsed="false">
      <c r="A69" s="53" t="s">
        <v>408</v>
      </c>
      <c r="B69" s="28"/>
      <c r="C69" s="27"/>
      <c r="D69" s="27"/>
      <c r="E69" s="26"/>
      <c r="F69" s="26"/>
      <c r="G69" s="27"/>
      <c r="H69" s="27"/>
      <c r="I69" s="27"/>
      <c r="J69" s="28"/>
      <c r="K69" s="28"/>
      <c r="L69" s="26"/>
      <c r="M69" s="54" t="str">
        <f aca="false">IF(E69="","",IF(AND(N(B69)&gt;'Weekly Report'!$C$5,N(B69)&lt;='Weekly Report'!$C$4),"New",IF(AND(N(K69)&gt;'Weekly Report'!$C$5,N(K69)&lt;='Weekly Report'!$C$4),"Changed","")))</f>
        <v/>
      </c>
      <c r="N69" s="54" t="str">
        <f aca="true">IF(OR(E69="",J69="",I69="Remediated",I69="Closed",I69="Risk Accepted"),"",IF(J69&lt;TODAY(),"Overdue",""))</f>
        <v/>
      </c>
      <c r="O69" s="0" t="str">
        <f aca="false">IF(M69&lt;&gt;"",COUNT(O$4:O68)+1,"")</f>
        <v/>
      </c>
    </row>
    <row r="70" customFormat="false" ht="15" hidden="false" customHeight="false" outlineLevel="0" collapsed="false">
      <c r="A70" s="53" t="s">
        <v>409</v>
      </c>
      <c r="B70" s="28"/>
      <c r="C70" s="27"/>
      <c r="D70" s="27"/>
      <c r="E70" s="26"/>
      <c r="F70" s="26"/>
      <c r="G70" s="27"/>
      <c r="H70" s="27"/>
      <c r="I70" s="27"/>
      <c r="J70" s="28"/>
      <c r="K70" s="28"/>
      <c r="L70" s="26"/>
      <c r="M70" s="54" t="str">
        <f aca="false">IF(E70="","",IF(AND(N(B70)&gt;'Weekly Report'!$C$5,N(B70)&lt;='Weekly Report'!$C$4),"New",IF(AND(N(K70)&gt;'Weekly Report'!$C$5,N(K70)&lt;='Weekly Report'!$C$4),"Changed","")))</f>
        <v/>
      </c>
      <c r="N70" s="54" t="str">
        <f aca="true">IF(OR(E70="",J70="",I70="Remediated",I70="Closed",I70="Risk Accepted"),"",IF(J70&lt;TODAY(),"Overdue",""))</f>
        <v/>
      </c>
      <c r="O70" s="0" t="str">
        <f aca="false">IF(M70&lt;&gt;"",COUNT(O$4:O69)+1,"")</f>
        <v/>
      </c>
    </row>
    <row r="71" customFormat="false" ht="15" hidden="false" customHeight="false" outlineLevel="0" collapsed="false">
      <c r="A71" s="53" t="s">
        <v>410</v>
      </c>
      <c r="B71" s="28"/>
      <c r="C71" s="27"/>
      <c r="D71" s="27"/>
      <c r="E71" s="26"/>
      <c r="F71" s="26"/>
      <c r="G71" s="27"/>
      <c r="H71" s="27"/>
      <c r="I71" s="27"/>
      <c r="J71" s="28"/>
      <c r="K71" s="28"/>
      <c r="L71" s="26"/>
      <c r="M71" s="54" t="str">
        <f aca="false">IF(E71="","",IF(AND(N(B71)&gt;'Weekly Report'!$C$5,N(B71)&lt;='Weekly Report'!$C$4),"New",IF(AND(N(K71)&gt;'Weekly Report'!$C$5,N(K71)&lt;='Weekly Report'!$C$4),"Changed","")))</f>
        <v/>
      </c>
      <c r="N71" s="54" t="str">
        <f aca="true">IF(OR(E71="",J71="",I71="Remediated",I71="Closed",I71="Risk Accepted"),"",IF(J71&lt;TODAY(),"Overdue",""))</f>
        <v/>
      </c>
      <c r="O71" s="0" t="str">
        <f aca="false">IF(M71&lt;&gt;"",COUNT(O$4:O70)+1,"")</f>
        <v/>
      </c>
    </row>
    <row r="72" customFormat="false" ht="15" hidden="false" customHeight="false" outlineLevel="0" collapsed="false">
      <c r="A72" s="53" t="s">
        <v>411</v>
      </c>
      <c r="B72" s="28"/>
      <c r="C72" s="27"/>
      <c r="D72" s="27"/>
      <c r="E72" s="26"/>
      <c r="F72" s="26"/>
      <c r="G72" s="27"/>
      <c r="H72" s="27"/>
      <c r="I72" s="27"/>
      <c r="J72" s="28"/>
      <c r="K72" s="28"/>
      <c r="L72" s="26"/>
      <c r="M72" s="54" t="str">
        <f aca="false">IF(E72="","",IF(AND(N(B72)&gt;'Weekly Report'!$C$5,N(B72)&lt;='Weekly Report'!$C$4),"New",IF(AND(N(K72)&gt;'Weekly Report'!$C$5,N(K72)&lt;='Weekly Report'!$C$4),"Changed","")))</f>
        <v/>
      </c>
      <c r="N72" s="54" t="str">
        <f aca="true">IF(OR(E72="",J72="",I72="Remediated",I72="Closed",I72="Risk Accepted"),"",IF(J72&lt;TODAY(),"Overdue",""))</f>
        <v/>
      </c>
      <c r="O72" s="0" t="str">
        <f aca="false">IF(M72&lt;&gt;"",COUNT(O$4:O71)+1,"")</f>
        <v/>
      </c>
    </row>
    <row r="73" customFormat="false" ht="15" hidden="false" customHeight="false" outlineLevel="0" collapsed="false">
      <c r="A73" s="53" t="s">
        <v>412</v>
      </c>
      <c r="B73" s="28"/>
      <c r="C73" s="27"/>
      <c r="D73" s="27"/>
      <c r="E73" s="26"/>
      <c r="F73" s="26"/>
      <c r="G73" s="27"/>
      <c r="H73" s="27"/>
      <c r="I73" s="27"/>
      <c r="J73" s="28"/>
      <c r="K73" s="28"/>
      <c r="L73" s="26"/>
      <c r="M73" s="54" t="str">
        <f aca="false">IF(E73="","",IF(AND(N(B73)&gt;'Weekly Report'!$C$5,N(B73)&lt;='Weekly Report'!$C$4),"New",IF(AND(N(K73)&gt;'Weekly Report'!$C$5,N(K73)&lt;='Weekly Report'!$C$4),"Changed","")))</f>
        <v/>
      </c>
      <c r="N73" s="54" t="str">
        <f aca="true">IF(OR(E73="",J73="",I73="Remediated",I73="Closed",I73="Risk Accepted"),"",IF(J73&lt;TODAY(),"Overdue",""))</f>
        <v/>
      </c>
      <c r="O73" s="0" t="str">
        <f aca="false">IF(M73&lt;&gt;"",COUNT(O$4:O72)+1,"")</f>
        <v/>
      </c>
    </row>
    <row r="74" customFormat="false" ht="15" hidden="false" customHeight="false" outlineLevel="0" collapsed="false">
      <c r="A74" s="53" t="s">
        <v>413</v>
      </c>
      <c r="B74" s="28"/>
      <c r="C74" s="27"/>
      <c r="D74" s="27"/>
      <c r="E74" s="26"/>
      <c r="F74" s="26"/>
      <c r="G74" s="27"/>
      <c r="H74" s="27"/>
      <c r="I74" s="27"/>
      <c r="J74" s="28"/>
      <c r="K74" s="28"/>
      <c r="L74" s="26"/>
      <c r="M74" s="54" t="str">
        <f aca="false">IF(E74="","",IF(AND(N(B74)&gt;'Weekly Report'!$C$5,N(B74)&lt;='Weekly Report'!$C$4),"New",IF(AND(N(K74)&gt;'Weekly Report'!$C$5,N(K74)&lt;='Weekly Report'!$C$4),"Changed","")))</f>
        <v/>
      </c>
      <c r="N74" s="54" t="str">
        <f aca="true">IF(OR(E74="",J74="",I74="Remediated",I74="Closed",I74="Risk Accepted"),"",IF(J74&lt;TODAY(),"Overdue",""))</f>
        <v/>
      </c>
      <c r="O74" s="0" t="str">
        <f aca="false">IF(M74&lt;&gt;"",COUNT(O$4:O73)+1,"")</f>
        <v/>
      </c>
    </row>
    <row r="75" customFormat="false" ht="15" hidden="false" customHeight="false" outlineLevel="0" collapsed="false">
      <c r="A75" s="53" t="s">
        <v>414</v>
      </c>
      <c r="B75" s="28"/>
      <c r="C75" s="27"/>
      <c r="D75" s="27"/>
      <c r="E75" s="26"/>
      <c r="F75" s="26"/>
      <c r="G75" s="27"/>
      <c r="H75" s="27"/>
      <c r="I75" s="27"/>
      <c r="J75" s="28"/>
      <c r="K75" s="28"/>
      <c r="L75" s="26"/>
      <c r="M75" s="54" t="str">
        <f aca="false">IF(E75="","",IF(AND(N(B75)&gt;'Weekly Report'!$C$5,N(B75)&lt;='Weekly Report'!$C$4),"New",IF(AND(N(K75)&gt;'Weekly Report'!$C$5,N(K75)&lt;='Weekly Report'!$C$4),"Changed","")))</f>
        <v/>
      </c>
      <c r="N75" s="54" t="str">
        <f aca="true">IF(OR(E75="",J75="",I75="Remediated",I75="Closed",I75="Risk Accepted"),"",IF(J75&lt;TODAY(),"Overdue",""))</f>
        <v/>
      </c>
      <c r="O75" s="0" t="str">
        <f aca="false">IF(M75&lt;&gt;"",COUNT(O$4:O74)+1,"")</f>
        <v/>
      </c>
    </row>
    <row r="76" customFormat="false" ht="15" hidden="false" customHeight="false" outlineLevel="0" collapsed="false">
      <c r="A76" s="53" t="s">
        <v>415</v>
      </c>
      <c r="B76" s="28"/>
      <c r="C76" s="27"/>
      <c r="D76" s="27"/>
      <c r="E76" s="26"/>
      <c r="F76" s="26"/>
      <c r="G76" s="27"/>
      <c r="H76" s="27"/>
      <c r="I76" s="27"/>
      <c r="J76" s="28"/>
      <c r="K76" s="28"/>
      <c r="L76" s="26"/>
      <c r="M76" s="54" t="str">
        <f aca="false">IF(E76="","",IF(AND(N(B76)&gt;'Weekly Report'!$C$5,N(B76)&lt;='Weekly Report'!$C$4),"New",IF(AND(N(K76)&gt;'Weekly Report'!$C$5,N(K76)&lt;='Weekly Report'!$C$4),"Changed","")))</f>
        <v/>
      </c>
      <c r="N76" s="54" t="str">
        <f aca="true">IF(OR(E76="",J76="",I76="Remediated",I76="Closed",I76="Risk Accepted"),"",IF(J76&lt;TODAY(),"Overdue",""))</f>
        <v/>
      </c>
      <c r="O76" s="0" t="str">
        <f aca="false">IF(M76&lt;&gt;"",COUNT(O$4:O75)+1,"")</f>
        <v/>
      </c>
    </row>
    <row r="77" customFormat="false" ht="15" hidden="false" customHeight="false" outlineLevel="0" collapsed="false">
      <c r="A77" s="53" t="s">
        <v>416</v>
      </c>
      <c r="B77" s="28"/>
      <c r="C77" s="27"/>
      <c r="D77" s="27"/>
      <c r="E77" s="26"/>
      <c r="F77" s="26"/>
      <c r="G77" s="27"/>
      <c r="H77" s="27"/>
      <c r="I77" s="27"/>
      <c r="J77" s="28"/>
      <c r="K77" s="28"/>
      <c r="L77" s="26"/>
      <c r="M77" s="54" t="str">
        <f aca="false">IF(E77="","",IF(AND(N(B77)&gt;'Weekly Report'!$C$5,N(B77)&lt;='Weekly Report'!$C$4),"New",IF(AND(N(K77)&gt;'Weekly Report'!$C$5,N(K77)&lt;='Weekly Report'!$C$4),"Changed","")))</f>
        <v/>
      </c>
      <c r="N77" s="54" t="str">
        <f aca="true">IF(OR(E77="",J77="",I77="Remediated",I77="Closed",I77="Risk Accepted"),"",IF(J77&lt;TODAY(),"Overdue",""))</f>
        <v/>
      </c>
      <c r="O77" s="0" t="str">
        <f aca="false">IF(M77&lt;&gt;"",COUNT(O$4:O76)+1,"")</f>
        <v/>
      </c>
    </row>
    <row r="78" customFormat="false" ht="15" hidden="false" customHeight="false" outlineLevel="0" collapsed="false">
      <c r="A78" s="53" t="s">
        <v>417</v>
      </c>
      <c r="B78" s="28"/>
      <c r="C78" s="27"/>
      <c r="D78" s="27"/>
      <c r="E78" s="26"/>
      <c r="F78" s="26"/>
      <c r="G78" s="27"/>
      <c r="H78" s="27"/>
      <c r="I78" s="27"/>
      <c r="J78" s="28"/>
      <c r="K78" s="28"/>
      <c r="L78" s="26"/>
      <c r="M78" s="54" t="str">
        <f aca="false">IF(E78="","",IF(AND(N(B78)&gt;'Weekly Report'!$C$5,N(B78)&lt;='Weekly Report'!$C$4),"New",IF(AND(N(K78)&gt;'Weekly Report'!$C$5,N(K78)&lt;='Weekly Report'!$C$4),"Changed","")))</f>
        <v/>
      </c>
      <c r="N78" s="54" t="str">
        <f aca="true">IF(OR(E78="",J78="",I78="Remediated",I78="Closed",I78="Risk Accepted"),"",IF(J78&lt;TODAY(),"Overdue",""))</f>
        <v/>
      </c>
      <c r="O78" s="0" t="str">
        <f aca="false">IF(M78&lt;&gt;"",COUNT(O$4:O77)+1,"")</f>
        <v/>
      </c>
    </row>
    <row r="79" customFormat="false" ht="15" hidden="false" customHeight="false" outlineLevel="0" collapsed="false">
      <c r="A79" s="53" t="s">
        <v>418</v>
      </c>
      <c r="B79" s="28"/>
      <c r="C79" s="27"/>
      <c r="D79" s="27"/>
      <c r="E79" s="26"/>
      <c r="F79" s="26"/>
      <c r="G79" s="27"/>
      <c r="H79" s="27"/>
      <c r="I79" s="27"/>
      <c r="J79" s="28"/>
      <c r="K79" s="28"/>
      <c r="L79" s="26"/>
      <c r="M79" s="54" t="str">
        <f aca="false">IF(E79="","",IF(AND(N(B79)&gt;'Weekly Report'!$C$5,N(B79)&lt;='Weekly Report'!$C$4),"New",IF(AND(N(K79)&gt;'Weekly Report'!$C$5,N(K79)&lt;='Weekly Report'!$C$4),"Changed","")))</f>
        <v/>
      </c>
      <c r="N79" s="54" t="str">
        <f aca="true">IF(OR(E79="",J79="",I79="Remediated",I79="Closed",I79="Risk Accepted"),"",IF(J79&lt;TODAY(),"Overdue",""))</f>
        <v/>
      </c>
      <c r="O79" s="0" t="str">
        <f aca="false">IF(M79&lt;&gt;"",COUNT(O$4:O78)+1,"")</f>
        <v/>
      </c>
    </row>
    <row r="80" customFormat="false" ht="15" hidden="false" customHeight="false" outlineLevel="0" collapsed="false">
      <c r="A80" s="53" t="s">
        <v>419</v>
      </c>
      <c r="B80" s="28"/>
      <c r="C80" s="27"/>
      <c r="D80" s="27"/>
      <c r="E80" s="26"/>
      <c r="F80" s="26"/>
      <c r="G80" s="27"/>
      <c r="H80" s="27"/>
      <c r="I80" s="27"/>
      <c r="J80" s="28"/>
      <c r="K80" s="28"/>
      <c r="L80" s="26"/>
      <c r="M80" s="54" t="str">
        <f aca="false">IF(E80="","",IF(AND(N(B80)&gt;'Weekly Report'!$C$5,N(B80)&lt;='Weekly Report'!$C$4),"New",IF(AND(N(K80)&gt;'Weekly Report'!$C$5,N(K80)&lt;='Weekly Report'!$C$4),"Changed","")))</f>
        <v/>
      </c>
      <c r="N80" s="54" t="str">
        <f aca="true">IF(OR(E80="",J80="",I80="Remediated",I80="Closed",I80="Risk Accepted"),"",IF(J80&lt;TODAY(),"Overdue",""))</f>
        <v/>
      </c>
      <c r="O80" s="0" t="str">
        <f aca="false">IF(M80&lt;&gt;"",COUNT(O$4:O79)+1,"")</f>
        <v/>
      </c>
    </row>
    <row r="81" customFormat="false" ht="15" hidden="false" customHeight="false" outlineLevel="0" collapsed="false">
      <c r="A81" s="53" t="s">
        <v>420</v>
      </c>
      <c r="B81" s="28"/>
      <c r="C81" s="27"/>
      <c r="D81" s="27"/>
      <c r="E81" s="26"/>
      <c r="F81" s="26"/>
      <c r="G81" s="27"/>
      <c r="H81" s="27"/>
      <c r="I81" s="27"/>
      <c r="J81" s="28"/>
      <c r="K81" s="28"/>
      <c r="L81" s="26"/>
      <c r="M81" s="54" t="str">
        <f aca="false">IF(E81="","",IF(AND(N(B81)&gt;'Weekly Report'!$C$5,N(B81)&lt;='Weekly Report'!$C$4),"New",IF(AND(N(K81)&gt;'Weekly Report'!$C$5,N(K81)&lt;='Weekly Report'!$C$4),"Changed","")))</f>
        <v/>
      </c>
      <c r="N81" s="54" t="str">
        <f aca="true">IF(OR(E81="",J81="",I81="Remediated",I81="Closed",I81="Risk Accepted"),"",IF(J81&lt;TODAY(),"Overdue",""))</f>
        <v/>
      </c>
      <c r="O81" s="0" t="str">
        <f aca="false">IF(M81&lt;&gt;"",COUNT(O$4:O80)+1,"")</f>
        <v/>
      </c>
    </row>
    <row r="82" customFormat="false" ht="15" hidden="false" customHeight="false" outlineLevel="0" collapsed="false">
      <c r="A82" s="53" t="s">
        <v>421</v>
      </c>
      <c r="B82" s="28"/>
      <c r="C82" s="27"/>
      <c r="D82" s="27"/>
      <c r="E82" s="26"/>
      <c r="F82" s="26"/>
      <c r="G82" s="27"/>
      <c r="H82" s="27"/>
      <c r="I82" s="27"/>
      <c r="J82" s="28"/>
      <c r="K82" s="28"/>
      <c r="L82" s="26"/>
      <c r="M82" s="54" t="str">
        <f aca="false">IF(E82="","",IF(AND(N(B82)&gt;'Weekly Report'!$C$5,N(B82)&lt;='Weekly Report'!$C$4),"New",IF(AND(N(K82)&gt;'Weekly Report'!$C$5,N(K82)&lt;='Weekly Report'!$C$4),"Changed","")))</f>
        <v/>
      </c>
      <c r="N82" s="54" t="str">
        <f aca="true">IF(OR(E82="",J82="",I82="Remediated",I82="Closed",I82="Risk Accepted"),"",IF(J82&lt;TODAY(),"Overdue",""))</f>
        <v/>
      </c>
      <c r="O82" s="0" t="str">
        <f aca="false">IF(M82&lt;&gt;"",COUNT(O$4:O81)+1,"")</f>
        <v/>
      </c>
    </row>
    <row r="83" customFormat="false" ht="15" hidden="false" customHeight="false" outlineLevel="0" collapsed="false">
      <c r="A83" s="53" t="s">
        <v>422</v>
      </c>
      <c r="B83" s="28"/>
      <c r="C83" s="27"/>
      <c r="D83" s="27"/>
      <c r="E83" s="26"/>
      <c r="F83" s="26"/>
      <c r="G83" s="27"/>
      <c r="H83" s="27"/>
      <c r="I83" s="27"/>
      <c r="J83" s="28"/>
      <c r="K83" s="28"/>
      <c r="L83" s="26"/>
      <c r="M83" s="54" t="str">
        <f aca="false">IF(E83="","",IF(AND(N(B83)&gt;'Weekly Report'!$C$5,N(B83)&lt;='Weekly Report'!$C$4),"New",IF(AND(N(K83)&gt;'Weekly Report'!$C$5,N(K83)&lt;='Weekly Report'!$C$4),"Changed","")))</f>
        <v/>
      </c>
      <c r="N83" s="54" t="str">
        <f aca="true">IF(OR(E83="",J83="",I83="Remediated",I83="Closed",I83="Risk Accepted"),"",IF(J83&lt;TODAY(),"Overdue",""))</f>
        <v/>
      </c>
      <c r="O83" s="0" t="str">
        <f aca="false">IF(M83&lt;&gt;"",COUNT(O$4:O82)+1,"")</f>
        <v/>
      </c>
    </row>
    <row r="84" customFormat="false" ht="15" hidden="false" customHeight="false" outlineLevel="0" collapsed="false">
      <c r="A84" s="53" t="s">
        <v>423</v>
      </c>
      <c r="B84" s="28"/>
      <c r="C84" s="27"/>
      <c r="D84" s="27"/>
      <c r="E84" s="26"/>
      <c r="F84" s="26"/>
      <c r="G84" s="27"/>
      <c r="H84" s="27"/>
      <c r="I84" s="27"/>
      <c r="J84" s="28"/>
      <c r="K84" s="28"/>
      <c r="L84" s="26"/>
      <c r="M84" s="54" t="str">
        <f aca="false">IF(E84="","",IF(AND(N(B84)&gt;'Weekly Report'!$C$5,N(B84)&lt;='Weekly Report'!$C$4),"New",IF(AND(N(K84)&gt;'Weekly Report'!$C$5,N(K84)&lt;='Weekly Report'!$C$4),"Changed","")))</f>
        <v/>
      </c>
      <c r="N84" s="54" t="str">
        <f aca="true">IF(OR(E84="",J84="",I84="Remediated",I84="Closed",I84="Risk Accepted"),"",IF(J84&lt;TODAY(),"Overdue",""))</f>
        <v/>
      </c>
      <c r="O84" s="0" t="str">
        <f aca="false">IF(M84&lt;&gt;"",COUNT(O$4:O83)+1,"")</f>
        <v/>
      </c>
    </row>
    <row r="85" customFormat="false" ht="15" hidden="false" customHeight="false" outlineLevel="0" collapsed="false">
      <c r="A85" s="53" t="s">
        <v>424</v>
      </c>
      <c r="B85" s="28"/>
      <c r="C85" s="27"/>
      <c r="D85" s="27"/>
      <c r="E85" s="26"/>
      <c r="F85" s="26"/>
      <c r="G85" s="27"/>
      <c r="H85" s="27"/>
      <c r="I85" s="27"/>
      <c r="J85" s="28"/>
      <c r="K85" s="28"/>
      <c r="L85" s="26"/>
      <c r="M85" s="54" t="str">
        <f aca="false">IF(E85="","",IF(AND(N(B85)&gt;'Weekly Report'!$C$5,N(B85)&lt;='Weekly Report'!$C$4),"New",IF(AND(N(K85)&gt;'Weekly Report'!$C$5,N(K85)&lt;='Weekly Report'!$C$4),"Changed","")))</f>
        <v/>
      </c>
      <c r="N85" s="54" t="str">
        <f aca="true">IF(OR(E85="",J85="",I85="Remediated",I85="Closed",I85="Risk Accepted"),"",IF(J85&lt;TODAY(),"Overdue",""))</f>
        <v/>
      </c>
      <c r="O85" s="0" t="str">
        <f aca="false">IF(M85&lt;&gt;"",COUNT(O$4:O84)+1,"")</f>
        <v/>
      </c>
    </row>
    <row r="86" customFormat="false" ht="15" hidden="false" customHeight="false" outlineLevel="0" collapsed="false">
      <c r="A86" s="53" t="s">
        <v>425</v>
      </c>
      <c r="B86" s="28"/>
      <c r="C86" s="27"/>
      <c r="D86" s="27"/>
      <c r="E86" s="26"/>
      <c r="F86" s="26"/>
      <c r="G86" s="27"/>
      <c r="H86" s="27"/>
      <c r="I86" s="27"/>
      <c r="J86" s="28"/>
      <c r="K86" s="28"/>
      <c r="L86" s="26"/>
      <c r="M86" s="54" t="str">
        <f aca="false">IF(E86="","",IF(AND(N(B86)&gt;'Weekly Report'!$C$5,N(B86)&lt;='Weekly Report'!$C$4),"New",IF(AND(N(K86)&gt;'Weekly Report'!$C$5,N(K86)&lt;='Weekly Report'!$C$4),"Changed","")))</f>
        <v/>
      </c>
      <c r="N86" s="54" t="str">
        <f aca="true">IF(OR(E86="",J86="",I86="Remediated",I86="Closed",I86="Risk Accepted"),"",IF(J86&lt;TODAY(),"Overdue",""))</f>
        <v/>
      </c>
      <c r="O86" s="0" t="str">
        <f aca="false">IF(M86&lt;&gt;"",COUNT(O$4:O85)+1,"")</f>
        <v/>
      </c>
    </row>
    <row r="87" customFormat="false" ht="15" hidden="false" customHeight="false" outlineLevel="0" collapsed="false">
      <c r="A87" s="53" t="s">
        <v>426</v>
      </c>
      <c r="B87" s="28"/>
      <c r="C87" s="27"/>
      <c r="D87" s="27"/>
      <c r="E87" s="26"/>
      <c r="F87" s="26"/>
      <c r="G87" s="27"/>
      <c r="H87" s="27"/>
      <c r="I87" s="27"/>
      <c r="J87" s="28"/>
      <c r="K87" s="28"/>
      <c r="L87" s="26"/>
      <c r="M87" s="54" t="str">
        <f aca="false">IF(E87="","",IF(AND(N(B87)&gt;'Weekly Report'!$C$5,N(B87)&lt;='Weekly Report'!$C$4),"New",IF(AND(N(K87)&gt;'Weekly Report'!$C$5,N(K87)&lt;='Weekly Report'!$C$4),"Changed","")))</f>
        <v/>
      </c>
      <c r="N87" s="54" t="str">
        <f aca="true">IF(OR(E87="",J87="",I87="Remediated",I87="Closed",I87="Risk Accepted"),"",IF(J87&lt;TODAY(),"Overdue",""))</f>
        <v/>
      </c>
      <c r="O87" s="0" t="str">
        <f aca="false">IF(M87&lt;&gt;"",COUNT(O$4:O86)+1,"")</f>
        <v/>
      </c>
    </row>
    <row r="88" customFormat="false" ht="15" hidden="false" customHeight="false" outlineLevel="0" collapsed="false">
      <c r="A88" s="53" t="s">
        <v>427</v>
      </c>
      <c r="B88" s="28"/>
      <c r="C88" s="27"/>
      <c r="D88" s="27"/>
      <c r="E88" s="26"/>
      <c r="F88" s="26"/>
      <c r="G88" s="27"/>
      <c r="H88" s="27"/>
      <c r="I88" s="27"/>
      <c r="J88" s="28"/>
      <c r="K88" s="28"/>
      <c r="L88" s="26"/>
      <c r="M88" s="54" t="str">
        <f aca="false">IF(E88="","",IF(AND(N(B88)&gt;'Weekly Report'!$C$5,N(B88)&lt;='Weekly Report'!$C$4),"New",IF(AND(N(K88)&gt;'Weekly Report'!$C$5,N(K88)&lt;='Weekly Report'!$C$4),"Changed","")))</f>
        <v/>
      </c>
      <c r="N88" s="54" t="str">
        <f aca="true">IF(OR(E88="",J88="",I88="Remediated",I88="Closed",I88="Risk Accepted"),"",IF(J88&lt;TODAY(),"Overdue",""))</f>
        <v/>
      </c>
      <c r="O88" s="0" t="str">
        <f aca="false">IF(M88&lt;&gt;"",COUNT(O$4:O87)+1,"")</f>
        <v/>
      </c>
    </row>
    <row r="89" customFormat="false" ht="15" hidden="false" customHeight="false" outlineLevel="0" collapsed="false">
      <c r="A89" s="53" t="s">
        <v>428</v>
      </c>
      <c r="B89" s="28"/>
      <c r="C89" s="27"/>
      <c r="D89" s="27"/>
      <c r="E89" s="26"/>
      <c r="F89" s="26"/>
      <c r="G89" s="27"/>
      <c r="H89" s="27"/>
      <c r="I89" s="27"/>
      <c r="J89" s="28"/>
      <c r="K89" s="28"/>
      <c r="L89" s="26"/>
      <c r="M89" s="54" t="str">
        <f aca="false">IF(E89="","",IF(AND(N(B89)&gt;'Weekly Report'!$C$5,N(B89)&lt;='Weekly Report'!$C$4),"New",IF(AND(N(K89)&gt;'Weekly Report'!$C$5,N(K89)&lt;='Weekly Report'!$C$4),"Changed","")))</f>
        <v/>
      </c>
      <c r="N89" s="54" t="str">
        <f aca="true">IF(OR(E89="",J89="",I89="Remediated",I89="Closed",I89="Risk Accepted"),"",IF(J89&lt;TODAY(),"Overdue",""))</f>
        <v/>
      </c>
      <c r="O89" s="0" t="str">
        <f aca="false">IF(M89&lt;&gt;"",COUNT(O$4:O88)+1,"")</f>
        <v/>
      </c>
    </row>
    <row r="90" customFormat="false" ht="15" hidden="false" customHeight="false" outlineLevel="0" collapsed="false">
      <c r="A90" s="53" t="s">
        <v>429</v>
      </c>
      <c r="B90" s="28"/>
      <c r="C90" s="27"/>
      <c r="D90" s="27"/>
      <c r="E90" s="26"/>
      <c r="F90" s="26"/>
      <c r="G90" s="27"/>
      <c r="H90" s="27"/>
      <c r="I90" s="27"/>
      <c r="J90" s="28"/>
      <c r="K90" s="28"/>
      <c r="L90" s="26"/>
      <c r="M90" s="54" t="str">
        <f aca="false">IF(E90="","",IF(AND(N(B90)&gt;'Weekly Report'!$C$5,N(B90)&lt;='Weekly Report'!$C$4),"New",IF(AND(N(K90)&gt;'Weekly Report'!$C$5,N(K90)&lt;='Weekly Report'!$C$4),"Changed","")))</f>
        <v/>
      </c>
      <c r="N90" s="54" t="str">
        <f aca="true">IF(OR(E90="",J90="",I90="Remediated",I90="Closed",I90="Risk Accepted"),"",IF(J90&lt;TODAY(),"Overdue",""))</f>
        <v/>
      </c>
      <c r="O90" s="0" t="str">
        <f aca="false">IF(M90&lt;&gt;"",COUNT(O$4:O89)+1,"")</f>
        <v/>
      </c>
    </row>
    <row r="91" customFormat="false" ht="15" hidden="false" customHeight="false" outlineLevel="0" collapsed="false">
      <c r="A91" s="53" t="s">
        <v>430</v>
      </c>
      <c r="B91" s="28"/>
      <c r="C91" s="27"/>
      <c r="D91" s="27"/>
      <c r="E91" s="26"/>
      <c r="F91" s="26"/>
      <c r="G91" s="27"/>
      <c r="H91" s="27"/>
      <c r="I91" s="27"/>
      <c r="J91" s="28"/>
      <c r="K91" s="28"/>
      <c r="L91" s="26"/>
      <c r="M91" s="54" t="str">
        <f aca="false">IF(E91="","",IF(AND(N(B91)&gt;'Weekly Report'!$C$5,N(B91)&lt;='Weekly Report'!$C$4),"New",IF(AND(N(K91)&gt;'Weekly Report'!$C$5,N(K91)&lt;='Weekly Report'!$C$4),"Changed","")))</f>
        <v/>
      </c>
      <c r="N91" s="54" t="str">
        <f aca="true">IF(OR(E91="",J91="",I91="Remediated",I91="Closed",I91="Risk Accepted"),"",IF(J91&lt;TODAY(),"Overdue",""))</f>
        <v/>
      </c>
      <c r="O91" s="0" t="str">
        <f aca="false">IF(M91&lt;&gt;"",COUNT(O$4:O90)+1,"")</f>
        <v/>
      </c>
    </row>
    <row r="92" customFormat="false" ht="15" hidden="false" customHeight="false" outlineLevel="0" collapsed="false">
      <c r="A92" s="53" t="s">
        <v>431</v>
      </c>
      <c r="B92" s="28"/>
      <c r="C92" s="27"/>
      <c r="D92" s="27"/>
      <c r="E92" s="26"/>
      <c r="F92" s="26"/>
      <c r="G92" s="27"/>
      <c r="H92" s="27"/>
      <c r="I92" s="27"/>
      <c r="J92" s="28"/>
      <c r="K92" s="28"/>
      <c r="L92" s="26"/>
      <c r="M92" s="54" t="str">
        <f aca="false">IF(E92="","",IF(AND(N(B92)&gt;'Weekly Report'!$C$5,N(B92)&lt;='Weekly Report'!$C$4),"New",IF(AND(N(K92)&gt;'Weekly Report'!$C$5,N(K92)&lt;='Weekly Report'!$C$4),"Changed","")))</f>
        <v/>
      </c>
      <c r="N92" s="54" t="str">
        <f aca="true">IF(OR(E92="",J92="",I92="Remediated",I92="Closed",I92="Risk Accepted"),"",IF(J92&lt;TODAY(),"Overdue",""))</f>
        <v/>
      </c>
      <c r="O92" s="0" t="str">
        <f aca="false">IF(M92&lt;&gt;"",COUNT(O$4:O91)+1,"")</f>
        <v/>
      </c>
    </row>
    <row r="93" customFormat="false" ht="15" hidden="false" customHeight="false" outlineLevel="0" collapsed="false">
      <c r="A93" s="53" t="s">
        <v>432</v>
      </c>
      <c r="B93" s="28"/>
      <c r="C93" s="27"/>
      <c r="D93" s="27"/>
      <c r="E93" s="26"/>
      <c r="F93" s="26"/>
      <c r="G93" s="27"/>
      <c r="H93" s="27"/>
      <c r="I93" s="27"/>
      <c r="J93" s="28"/>
      <c r="K93" s="28"/>
      <c r="L93" s="26"/>
      <c r="M93" s="54" t="str">
        <f aca="false">IF(E93="","",IF(AND(N(B93)&gt;'Weekly Report'!$C$5,N(B93)&lt;='Weekly Report'!$C$4),"New",IF(AND(N(K93)&gt;'Weekly Report'!$C$5,N(K93)&lt;='Weekly Report'!$C$4),"Changed","")))</f>
        <v/>
      </c>
      <c r="N93" s="54" t="str">
        <f aca="true">IF(OR(E93="",J93="",I93="Remediated",I93="Closed",I93="Risk Accepted"),"",IF(J93&lt;TODAY(),"Overdue",""))</f>
        <v/>
      </c>
      <c r="O93" s="0" t="str">
        <f aca="false">IF(M93&lt;&gt;"",COUNT(O$4:O92)+1,"")</f>
        <v/>
      </c>
    </row>
    <row r="94" customFormat="false" ht="15" hidden="false" customHeight="false" outlineLevel="0" collapsed="false">
      <c r="A94" s="53" t="s">
        <v>433</v>
      </c>
      <c r="B94" s="28"/>
      <c r="C94" s="27"/>
      <c r="D94" s="27"/>
      <c r="E94" s="26"/>
      <c r="F94" s="26"/>
      <c r="G94" s="27"/>
      <c r="H94" s="27"/>
      <c r="I94" s="27"/>
      <c r="J94" s="28"/>
      <c r="K94" s="28"/>
      <c r="L94" s="26"/>
      <c r="M94" s="54" t="str">
        <f aca="false">IF(E94="","",IF(AND(N(B94)&gt;'Weekly Report'!$C$5,N(B94)&lt;='Weekly Report'!$C$4),"New",IF(AND(N(K94)&gt;'Weekly Report'!$C$5,N(K94)&lt;='Weekly Report'!$C$4),"Changed","")))</f>
        <v/>
      </c>
      <c r="N94" s="54" t="str">
        <f aca="true">IF(OR(E94="",J94="",I94="Remediated",I94="Closed",I94="Risk Accepted"),"",IF(J94&lt;TODAY(),"Overdue",""))</f>
        <v/>
      </c>
      <c r="O94" s="0" t="str">
        <f aca="false">IF(M94&lt;&gt;"",COUNT(O$4:O93)+1,"")</f>
        <v/>
      </c>
    </row>
    <row r="95" customFormat="false" ht="15" hidden="false" customHeight="false" outlineLevel="0" collapsed="false">
      <c r="A95" s="53" t="s">
        <v>434</v>
      </c>
      <c r="B95" s="28"/>
      <c r="C95" s="27"/>
      <c r="D95" s="27"/>
      <c r="E95" s="26"/>
      <c r="F95" s="26"/>
      <c r="G95" s="27"/>
      <c r="H95" s="27"/>
      <c r="I95" s="27"/>
      <c r="J95" s="28"/>
      <c r="K95" s="28"/>
      <c r="L95" s="26"/>
      <c r="M95" s="54" t="str">
        <f aca="false">IF(E95="","",IF(AND(N(B95)&gt;'Weekly Report'!$C$5,N(B95)&lt;='Weekly Report'!$C$4),"New",IF(AND(N(K95)&gt;'Weekly Report'!$C$5,N(K95)&lt;='Weekly Report'!$C$4),"Changed","")))</f>
        <v/>
      </c>
      <c r="N95" s="54" t="str">
        <f aca="true">IF(OR(E95="",J95="",I95="Remediated",I95="Closed",I95="Risk Accepted"),"",IF(J95&lt;TODAY(),"Overdue",""))</f>
        <v/>
      </c>
      <c r="O95" s="0" t="str">
        <f aca="false">IF(M95&lt;&gt;"",COUNT(O$4:O94)+1,"")</f>
        <v/>
      </c>
    </row>
    <row r="96" customFormat="false" ht="15" hidden="false" customHeight="false" outlineLevel="0" collapsed="false">
      <c r="A96" s="53" t="s">
        <v>435</v>
      </c>
      <c r="B96" s="28"/>
      <c r="C96" s="27"/>
      <c r="D96" s="27"/>
      <c r="E96" s="26"/>
      <c r="F96" s="26"/>
      <c r="G96" s="27"/>
      <c r="H96" s="27"/>
      <c r="I96" s="27"/>
      <c r="J96" s="28"/>
      <c r="K96" s="28"/>
      <c r="L96" s="26"/>
      <c r="M96" s="54" t="str">
        <f aca="false">IF(E96="","",IF(AND(N(B96)&gt;'Weekly Report'!$C$5,N(B96)&lt;='Weekly Report'!$C$4),"New",IF(AND(N(K96)&gt;'Weekly Report'!$C$5,N(K96)&lt;='Weekly Report'!$C$4),"Changed","")))</f>
        <v/>
      </c>
      <c r="N96" s="54" t="str">
        <f aca="true">IF(OR(E96="",J96="",I96="Remediated",I96="Closed",I96="Risk Accepted"),"",IF(J96&lt;TODAY(),"Overdue",""))</f>
        <v/>
      </c>
      <c r="O96" s="0" t="str">
        <f aca="false">IF(M96&lt;&gt;"",COUNT(O$4:O95)+1,"")</f>
        <v/>
      </c>
    </row>
    <row r="97" customFormat="false" ht="15" hidden="false" customHeight="false" outlineLevel="0" collapsed="false">
      <c r="A97" s="53" t="s">
        <v>436</v>
      </c>
      <c r="B97" s="28"/>
      <c r="C97" s="27"/>
      <c r="D97" s="27"/>
      <c r="E97" s="26"/>
      <c r="F97" s="26"/>
      <c r="G97" s="27"/>
      <c r="H97" s="27"/>
      <c r="I97" s="27"/>
      <c r="J97" s="28"/>
      <c r="K97" s="28"/>
      <c r="L97" s="26"/>
      <c r="M97" s="54" t="str">
        <f aca="false">IF(E97="","",IF(AND(N(B97)&gt;'Weekly Report'!$C$5,N(B97)&lt;='Weekly Report'!$C$4),"New",IF(AND(N(K97)&gt;'Weekly Report'!$C$5,N(K97)&lt;='Weekly Report'!$C$4),"Changed","")))</f>
        <v/>
      </c>
      <c r="N97" s="54" t="str">
        <f aca="true">IF(OR(E97="",J97="",I97="Remediated",I97="Closed",I97="Risk Accepted"),"",IF(J97&lt;TODAY(),"Overdue",""))</f>
        <v/>
      </c>
      <c r="O97" s="0" t="str">
        <f aca="false">IF(M97&lt;&gt;"",COUNT(O$4:O96)+1,"")</f>
        <v/>
      </c>
    </row>
    <row r="98" customFormat="false" ht="15" hidden="false" customHeight="false" outlineLevel="0" collapsed="false">
      <c r="A98" s="53" t="s">
        <v>437</v>
      </c>
      <c r="B98" s="28"/>
      <c r="C98" s="27"/>
      <c r="D98" s="27"/>
      <c r="E98" s="26"/>
      <c r="F98" s="26"/>
      <c r="G98" s="27"/>
      <c r="H98" s="27"/>
      <c r="I98" s="27"/>
      <c r="J98" s="28"/>
      <c r="K98" s="28"/>
      <c r="L98" s="26"/>
      <c r="M98" s="54" t="str">
        <f aca="false">IF(E98="","",IF(AND(N(B98)&gt;'Weekly Report'!$C$5,N(B98)&lt;='Weekly Report'!$C$4),"New",IF(AND(N(K98)&gt;'Weekly Report'!$C$5,N(K98)&lt;='Weekly Report'!$C$4),"Changed","")))</f>
        <v/>
      </c>
      <c r="N98" s="54" t="str">
        <f aca="true">IF(OR(E98="",J98="",I98="Remediated",I98="Closed",I98="Risk Accepted"),"",IF(J98&lt;TODAY(),"Overdue",""))</f>
        <v/>
      </c>
      <c r="O98" s="0" t="str">
        <f aca="false">IF(M98&lt;&gt;"",COUNT(O$4:O97)+1,"")</f>
        <v/>
      </c>
    </row>
    <row r="99" customFormat="false" ht="15" hidden="false" customHeight="false" outlineLevel="0" collapsed="false">
      <c r="A99" s="53" t="s">
        <v>438</v>
      </c>
      <c r="B99" s="28"/>
      <c r="C99" s="27"/>
      <c r="D99" s="27"/>
      <c r="E99" s="26"/>
      <c r="F99" s="26"/>
      <c r="G99" s="27"/>
      <c r="H99" s="27"/>
      <c r="I99" s="27"/>
      <c r="J99" s="28"/>
      <c r="K99" s="28"/>
      <c r="L99" s="26"/>
      <c r="M99" s="54" t="str">
        <f aca="false">IF(E99="","",IF(AND(N(B99)&gt;'Weekly Report'!$C$5,N(B99)&lt;='Weekly Report'!$C$4),"New",IF(AND(N(K99)&gt;'Weekly Report'!$C$5,N(K99)&lt;='Weekly Report'!$C$4),"Changed","")))</f>
        <v/>
      </c>
      <c r="N99" s="54" t="str">
        <f aca="true">IF(OR(E99="",J99="",I99="Remediated",I99="Closed",I99="Risk Accepted"),"",IF(J99&lt;TODAY(),"Overdue",""))</f>
        <v/>
      </c>
      <c r="O99" s="0" t="str">
        <f aca="false">IF(M99&lt;&gt;"",COUNT(O$4:O98)+1,"")</f>
        <v/>
      </c>
    </row>
    <row r="100" customFormat="false" ht="15" hidden="false" customHeight="false" outlineLevel="0" collapsed="false">
      <c r="A100" s="53" t="s">
        <v>439</v>
      </c>
      <c r="B100" s="28"/>
      <c r="C100" s="27"/>
      <c r="D100" s="27"/>
      <c r="E100" s="26"/>
      <c r="F100" s="26"/>
      <c r="G100" s="27"/>
      <c r="H100" s="27"/>
      <c r="I100" s="27"/>
      <c r="J100" s="28"/>
      <c r="K100" s="28"/>
      <c r="L100" s="26"/>
      <c r="M100" s="54" t="str">
        <f aca="false">IF(E100="","",IF(AND(N(B100)&gt;'Weekly Report'!$C$5,N(B100)&lt;='Weekly Report'!$C$4),"New",IF(AND(N(K100)&gt;'Weekly Report'!$C$5,N(K100)&lt;='Weekly Report'!$C$4),"Changed","")))</f>
        <v/>
      </c>
      <c r="N100" s="54" t="str">
        <f aca="true">IF(OR(E100="",J100="",I100="Remediated",I100="Closed",I100="Risk Accepted"),"",IF(J100&lt;TODAY(),"Overdue",""))</f>
        <v/>
      </c>
      <c r="O100" s="0" t="str">
        <f aca="false">IF(M100&lt;&gt;"",COUNT(O$4:O99)+1,"")</f>
        <v/>
      </c>
    </row>
    <row r="101" customFormat="false" ht="15" hidden="false" customHeight="false" outlineLevel="0" collapsed="false">
      <c r="A101" s="53" t="s">
        <v>440</v>
      </c>
      <c r="B101" s="28"/>
      <c r="C101" s="27"/>
      <c r="D101" s="27"/>
      <c r="E101" s="26"/>
      <c r="F101" s="26"/>
      <c r="G101" s="27"/>
      <c r="H101" s="27"/>
      <c r="I101" s="27"/>
      <c r="J101" s="28"/>
      <c r="K101" s="28"/>
      <c r="L101" s="26"/>
      <c r="M101" s="54" t="str">
        <f aca="false">IF(E101="","",IF(AND(N(B101)&gt;'Weekly Report'!$C$5,N(B101)&lt;='Weekly Report'!$C$4),"New",IF(AND(N(K101)&gt;'Weekly Report'!$C$5,N(K101)&lt;='Weekly Report'!$C$4),"Changed","")))</f>
        <v/>
      </c>
      <c r="N101" s="54" t="str">
        <f aca="true">IF(OR(E101="",J101="",I101="Remediated",I101="Closed",I101="Risk Accepted"),"",IF(J101&lt;TODAY(),"Overdue",""))</f>
        <v/>
      </c>
      <c r="O101" s="0" t="str">
        <f aca="false">IF(M101&lt;&gt;"",COUNT(O$4:O100)+1,"")</f>
        <v/>
      </c>
    </row>
    <row r="102" customFormat="false" ht="15" hidden="false" customHeight="false" outlineLevel="0" collapsed="false">
      <c r="A102" s="53" t="s">
        <v>441</v>
      </c>
      <c r="B102" s="28"/>
      <c r="C102" s="27"/>
      <c r="D102" s="27"/>
      <c r="E102" s="26"/>
      <c r="F102" s="26"/>
      <c r="G102" s="27"/>
      <c r="H102" s="27"/>
      <c r="I102" s="27"/>
      <c r="J102" s="28"/>
      <c r="K102" s="28"/>
      <c r="L102" s="26"/>
      <c r="M102" s="54" t="str">
        <f aca="false">IF(E102="","",IF(AND(N(B102)&gt;'Weekly Report'!$C$5,N(B102)&lt;='Weekly Report'!$C$4),"New",IF(AND(N(K102)&gt;'Weekly Report'!$C$5,N(K102)&lt;='Weekly Report'!$C$4),"Changed","")))</f>
        <v/>
      </c>
      <c r="N102" s="54" t="str">
        <f aca="true">IF(OR(E102="",J102="",I102="Remediated",I102="Closed",I102="Risk Accepted"),"",IF(J102&lt;TODAY(),"Overdue",""))</f>
        <v/>
      </c>
      <c r="O102" s="0" t="str">
        <f aca="false">IF(M102&lt;&gt;"",COUNT(O$4:O101)+1,"")</f>
        <v/>
      </c>
    </row>
    <row r="103" customFormat="false" ht="15" hidden="false" customHeight="false" outlineLevel="0" collapsed="false">
      <c r="A103" s="53" t="s">
        <v>442</v>
      </c>
      <c r="B103" s="28"/>
      <c r="C103" s="27"/>
      <c r="D103" s="27"/>
      <c r="E103" s="26"/>
      <c r="F103" s="26"/>
      <c r="G103" s="27"/>
      <c r="H103" s="27"/>
      <c r="I103" s="27"/>
      <c r="J103" s="28"/>
      <c r="K103" s="28"/>
      <c r="L103" s="26"/>
      <c r="M103" s="54" t="str">
        <f aca="false">IF(E103="","",IF(AND(N(B103)&gt;'Weekly Report'!$C$5,N(B103)&lt;='Weekly Report'!$C$4),"New",IF(AND(N(K103)&gt;'Weekly Report'!$C$5,N(K103)&lt;='Weekly Report'!$C$4),"Changed","")))</f>
        <v/>
      </c>
      <c r="N103" s="54" t="str">
        <f aca="true">IF(OR(E103="",J103="",I103="Remediated",I103="Closed",I103="Risk Accepted"),"",IF(J103&lt;TODAY(),"Overdue",""))</f>
        <v/>
      </c>
      <c r="O103" s="0" t="str">
        <f aca="false">IF(M103&lt;&gt;"",COUNT(O$4:O102)+1,"")</f>
        <v/>
      </c>
    </row>
    <row r="104" customFormat="false" ht="15" hidden="false" customHeight="false" outlineLevel="0" collapsed="false">
      <c r="A104" s="53" t="s">
        <v>443</v>
      </c>
      <c r="B104" s="28"/>
      <c r="C104" s="27"/>
      <c r="D104" s="27"/>
      <c r="E104" s="26"/>
      <c r="F104" s="26"/>
      <c r="G104" s="27"/>
      <c r="H104" s="27"/>
      <c r="I104" s="27"/>
      <c r="J104" s="28"/>
      <c r="K104" s="28"/>
      <c r="L104" s="26"/>
      <c r="M104" s="54" t="str">
        <f aca="false">IF(E104="","",IF(AND(N(B104)&gt;'Weekly Report'!$C$5,N(B104)&lt;='Weekly Report'!$C$4),"New",IF(AND(N(K104)&gt;'Weekly Report'!$C$5,N(K104)&lt;='Weekly Report'!$C$4),"Changed","")))</f>
        <v/>
      </c>
      <c r="N104" s="54" t="str">
        <f aca="true">IF(OR(E104="",J104="",I104="Remediated",I104="Closed",I104="Risk Accepted"),"",IF(J104&lt;TODAY(),"Overdue",""))</f>
        <v/>
      </c>
      <c r="O104" s="0" t="str">
        <f aca="false">IF(M104&lt;&gt;"",COUNT(O$4:O103)+1,"")</f>
        <v/>
      </c>
    </row>
    <row r="105" customFormat="false" ht="15" hidden="false" customHeight="false" outlineLevel="0" collapsed="false">
      <c r="A105" s="53" t="s">
        <v>444</v>
      </c>
      <c r="B105" s="28"/>
      <c r="C105" s="27"/>
      <c r="D105" s="27"/>
      <c r="E105" s="26"/>
      <c r="F105" s="26"/>
      <c r="G105" s="27"/>
      <c r="H105" s="27"/>
      <c r="I105" s="27"/>
      <c r="J105" s="28"/>
      <c r="K105" s="28"/>
      <c r="L105" s="26"/>
      <c r="M105" s="54" t="str">
        <f aca="false">IF(E105="","",IF(AND(N(B105)&gt;'Weekly Report'!$C$5,N(B105)&lt;='Weekly Report'!$C$4),"New",IF(AND(N(K105)&gt;'Weekly Report'!$C$5,N(K105)&lt;='Weekly Report'!$C$4),"Changed","")))</f>
        <v/>
      </c>
      <c r="N105" s="54" t="str">
        <f aca="true">IF(OR(E105="",J105="",I105="Remediated",I105="Closed",I105="Risk Accepted"),"",IF(J105&lt;TODAY(),"Overdue",""))</f>
        <v/>
      </c>
      <c r="O105" s="0" t="str">
        <f aca="false">IF(M105&lt;&gt;"",COUNT(O$4:O104)+1,"")</f>
        <v/>
      </c>
    </row>
    <row r="106" customFormat="false" ht="15" hidden="false" customHeight="false" outlineLevel="0" collapsed="false">
      <c r="A106" s="53" t="s">
        <v>445</v>
      </c>
      <c r="B106" s="28"/>
      <c r="C106" s="27"/>
      <c r="D106" s="27"/>
      <c r="E106" s="26"/>
      <c r="F106" s="26"/>
      <c r="G106" s="27"/>
      <c r="H106" s="27"/>
      <c r="I106" s="27"/>
      <c r="J106" s="28"/>
      <c r="K106" s="28"/>
      <c r="L106" s="26"/>
      <c r="M106" s="54" t="str">
        <f aca="false">IF(E106="","",IF(AND(N(B106)&gt;'Weekly Report'!$C$5,N(B106)&lt;='Weekly Report'!$C$4),"New",IF(AND(N(K106)&gt;'Weekly Report'!$C$5,N(K106)&lt;='Weekly Report'!$C$4),"Changed","")))</f>
        <v/>
      </c>
      <c r="N106" s="54" t="str">
        <f aca="true">IF(OR(E106="",J106="",I106="Remediated",I106="Closed",I106="Risk Accepted"),"",IF(J106&lt;TODAY(),"Overdue",""))</f>
        <v/>
      </c>
      <c r="O106" s="0" t="str">
        <f aca="false">IF(M106&lt;&gt;"",COUNT(O$4:O105)+1,"")</f>
        <v/>
      </c>
    </row>
    <row r="107" customFormat="false" ht="15" hidden="false" customHeight="false" outlineLevel="0" collapsed="false">
      <c r="A107" s="53" t="s">
        <v>446</v>
      </c>
      <c r="B107" s="28"/>
      <c r="C107" s="27"/>
      <c r="D107" s="27"/>
      <c r="E107" s="26"/>
      <c r="F107" s="26"/>
      <c r="G107" s="27"/>
      <c r="H107" s="27"/>
      <c r="I107" s="27"/>
      <c r="J107" s="28"/>
      <c r="K107" s="28"/>
      <c r="L107" s="26"/>
      <c r="M107" s="54" t="str">
        <f aca="false">IF(E107="","",IF(AND(N(B107)&gt;'Weekly Report'!$C$5,N(B107)&lt;='Weekly Report'!$C$4),"New",IF(AND(N(K107)&gt;'Weekly Report'!$C$5,N(K107)&lt;='Weekly Report'!$C$4),"Changed","")))</f>
        <v/>
      </c>
      <c r="N107" s="54" t="str">
        <f aca="true">IF(OR(E107="",J107="",I107="Remediated",I107="Closed",I107="Risk Accepted"),"",IF(J107&lt;TODAY(),"Overdue",""))</f>
        <v/>
      </c>
      <c r="O107" s="0" t="str">
        <f aca="false">IF(M107&lt;&gt;"",COUNT(O$4:O106)+1,"")</f>
        <v/>
      </c>
    </row>
    <row r="108" customFormat="false" ht="15" hidden="false" customHeight="false" outlineLevel="0" collapsed="false">
      <c r="A108" s="53" t="s">
        <v>447</v>
      </c>
      <c r="B108" s="28"/>
      <c r="C108" s="27"/>
      <c r="D108" s="27"/>
      <c r="E108" s="26"/>
      <c r="F108" s="26"/>
      <c r="G108" s="27"/>
      <c r="H108" s="27"/>
      <c r="I108" s="27"/>
      <c r="J108" s="28"/>
      <c r="K108" s="28"/>
      <c r="L108" s="26"/>
      <c r="M108" s="54" t="str">
        <f aca="false">IF(E108="","",IF(AND(N(B108)&gt;'Weekly Report'!$C$5,N(B108)&lt;='Weekly Report'!$C$4),"New",IF(AND(N(K108)&gt;'Weekly Report'!$C$5,N(K108)&lt;='Weekly Report'!$C$4),"Changed","")))</f>
        <v/>
      </c>
      <c r="N108" s="54" t="str">
        <f aca="true">IF(OR(E108="",J108="",I108="Remediated",I108="Closed",I108="Risk Accepted"),"",IF(J108&lt;TODAY(),"Overdue",""))</f>
        <v/>
      </c>
      <c r="O108" s="0" t="str">
        <f aca="false">IF(M108&lt;&gt;"",COUNT(O$4:O107)+1,"")</f>
        <v/>
      </c>
    </row>
    <row r="109" customFormat="false" ht="15" hidden="false" customHeight="false" outlineLevel="0" collapsed="false">
      <c r="A109" s="53" t="s">
        <v>448</v>
      </c>
      <c r="B109" s="28"/>
      <c r="C109" s="27"/>
      <c r="D109" s="27"/>
      <c r="E109" s="26"/>
      <c r="F109" s="26"/>
      <c r="G109" s="27"/>
      <c r="H109" s="27"/>
      <c r="I109" s="27"/>
      <c r="J109" s="28"/>
      <c r="K109" s="28"/>
      <c r="L109" s="26"/>
      <c r="M109" s="54" t="str">
        <f aca="false">IF(E109="","",IF(AND(N(B109)&gt;'Weekly Report'!$C$5,N(B109)&lt;='Weekly Report'!$C$4),"New",IF(AND(N(K109)&gt;'Weekly Report'!$C$5,N(K109)&lt;='Weekly Report'!$C$4),"Changed","")))</f>
        <v/>
      </c>
      <c r="N109" s="54" t="str">
        <f aca="true">IF(OR(E109="",J109="",I109="Remediated",I109="Closed",I109="Risk Accepted"),"",IF(J109&lt;TODAY(),"Overdue",""))</f>
        <v/>
      </c>
      <c r="O109" s="0" t="str">
        <f aca="false">IF(M109&lt;&gt;"",COUNT(O$4:O108)+1,"")</f>
        <v/>
      </c>
    </row>
    <row r="110" customFormat="false" ht="15" hidden="false" customHeight="false" outlineLevel="0" collapsed="false">
      <c r="A110" s="53" t="s">
        <v>449</v>
      </c>
      <c r="B110" s="28"/>
      <c r="C110" s="27"/>
      <c r="D110" s="27"/>
      <c r="E110" s="26"/>
      <c r="F110" s="26"/>
      <c r="G110" s="27"/>
      <c r="H110" s="27"/>
      <c r="I110" s="27"/>
      <c r="J110" s="28"/>
      <c r="K110" s="28"/>
      <c r="L110" s="26"/>
      <c r="M110" s="54" t="str">
        <f aca="false">IF(E110="","",IF(AND(N(B110)&gt;'Weekly Report'!$C$5,N(B110)&lt;='Weekly Report'!$C$4),"New",IF(AND(N(K110)&gt;'Weekly Report'!$C$5,N(K110)&lt;='Weekly Report'!$C$4),"Changed","")))</f>
        <v/>
      </c>
      <c r="N110" s="54" t="str">
        <f aca="true">IF(OR(E110="",J110="",I110="Remediated",I110="Closed",I110="Risk Accepted"),"",IF(J110&lt;TODAY(),"Overdue",""))</f>
        <v/>
      </c>
      <c r="O110" s="0" t="str">
        <f aca="false">IF(M110&lt;&gt;"",COUNT(O$4:O109)+1,"")</f>
        <v/>
      </c>
    </row>
    <row r="111" customFormat="false" ht="15" hidden="false" customHeight="false" outlineLevel="0" collapsed="false">
      <c r="A111" s="53" t="s">
        <v>450</v>
      </c>
      <c r="B111" s="28"/>
      <c r="C111" s="27"/>
      <c r="D111" s="27"/>
      <c r="E111" s="26"/>
      <c r="F111" s="26"/>
      <c r="G111" s="27"/>
      <c r="H111" s="27"/>
      <c r="I111" s="27"/>
      <c r="J111" s="28"/>
      <c r="K111" s="28"/>
      <c r="L111" s="26"/>
      <c r="M111" s="54" t="str">
        <f aca="false">IF(E111="","",IF(AND(N(B111)&gt;'Weekly Report'!$C$5,N(B111)&lt;='Weekly Report'!$C$4),"New",IF(AND(N(K111)&gt;'Weekly Report'!$C$5,N(K111)&lt;='Weekly Report'!$C$4),"Changed","")))</f>
        <v/>
      </c>
      <c r="N111" s="54" t="str">
        <f aca="true">IF(OR(E111="",J111="",I111="Remediated",I111="Closed",I111="Risk Accepted"),"",IF(J111&lt;TODAY(),"Overdue",""))</f>
        <v/>
      </c>
      <c r="O111" s="0" t="str">
        <f aca="false">IF(M111&lt;&gt;"",COUNT(O$4:O110)+1,"")</f>
        <v/>
      </c>
    </row>
    <row r="112" customFormat="false" ht="15" hidden="false" customHeight="false" outlineLevel="0" collapsed="false">
      <c r="A112" s="53" t="s">
        <v>451</v>
      </c>
      <c r="B112" s="28"/>
      <c r="C112" s="27"/>
      <c r="D112" s="27"/>
      <c r="E112" s="26"/>
      <c r="F112" s="26"/>
      <c r="G112" s="27"/>
      <c r="H112" s="27"/>
      <c r="I112" s="27"/>
      <c r="J112" s="28"/>
      <c r="K112" s="28"/>
      <c r="L112" s="26"/>
      <c r="M112" s="54" t="str">
        <f aca="false">IF(E112="","",IF(AND(N(B112)&gt;'Weekly Report'!$C$5,N(B112)&lt;='Weekly Report'!$C$4),"New",IF(AND(N(K112)&gt;'Weekly Report'!$C$5,N(K112)&lt;='Weekly Report'!$C$4),"Changed","")))</f>
        <v/>
      </c>
      <c r="N112" s="54" t="str">
        <f aca="true">IF(OR(E112="",J112="",I112="Remediated",I112="Closed",I112="Risk Accepted"),"",IF(J112&lt;TODAY(),"Overdue",""))</f>
        <v/>
      </c>
      <c r="O112" s="0" t="str">
        <f aca="false">IF(M112&lt;&gt;"",COUNT(O$4:O111)+1,"")</f>
        <v/>
      </c>
    </row>
    <row r="113" customFormat="false" ht="15" hidden="false" customHeight="false" outlineLevel="0" collapsed="false">
      <c r="A113" s="53" t="s">
        <v>452</v>
      </c>
      <c r="B113" s="28"/>
      <c r="C113" s="27"/>
      <c r="D113" s="27"/>
      <c r="E113" s="26"/>
      <c r="F113" s="26"/>
      <c r="G113" s="27"/>
      <c r="H113" s="27"/>
      <c r="I113" s="27"/>
      <c r="J113" s="28"/>
      <c r="K113" s="28"/>
      <c r="L113" s="26"/>
      <c r="M113" s="54" t="str">
        <f aca="false">IF(E113="","",IF(AND(N(B113)&gt;'Weekly Report'!$C$5,N(B113)&lt;='Weekly Report'!$C$4),"New",IF(AND(N(K113)&gt;'Weekly Report'!$C$5,N(K113)&lt;='Weekly Report'!$C$4),"Changed","")))</f>
        <v/>
      </c>
      <c r="N113" s="54" t="str">
        <f aca="true">IF(OR(E113="",J113="",I113="Remediated",I113="Closed",I113="Risk Accepted"),"",IF(J113&lt;TODAY(),"Overdue",""))</f>
        <v/>
      </c>
      <c r="O113" s="0" t="str">
        <f aca="false">IF(M113&lt;&gt;"",COUNT(O$4:O112)+1,"")</f>
        <v/>
      </c>
    </row>
    <row r="114" customFormat="false" ht="15" hidden="false" customHeight="false" outlineLevel="0" collapsed="false">
      <c r="A114" s="53" t="s">
        <v>453</v>
      </c>
      <c r="B114" s="28"/>
      <c r="C114" s="27"/>
      <c r="D114" s="27"/>
      <c r="E114" s="26"/>
      <c r="F114" s="26"/>
      <c r="G114" s="27"/>
      <c r="H114" s="27"/>
      <c r="I114" s="27"/>
      <c r="J114" s="28"/>
      <c r="K114" s="28"/>
      <c r="L114" s="26"/>
      <c r="M114" s="54" t="str">
        <f aca="false">IF(E114="","",IF(AND(N(B114)&gt;'Weekly Report'!$C$5,N(B114)&lt;='Weekly Report'!$C$4),"New",IF(AND(N(K114)&gt;'Weekly Report'!$C$5,N(K114)&lt;='Weekly Report'!$C$4),"Changed","")))</f>
        <v/>
      </c>
      <c r="N114" s="54" t="str">
        <f aca="true">IF(OR(E114="",J114="",I114="Remediated",I114="Closed",I114="Risk Accepted"),"",IF(J114&lt;TODAY(),"Overdue",""))</f>
        <v/>
      </c>
      <c r="O114" s="0" t="str">
        <f aca="false">IF(M114&lt;&gt;"",COUNT(O$4:O113)+1,"")</f>
        <v/>
      </c>
    </row>
    <row r="115" customFormat="false" ht="15" hidden="false" customHeight="false" outlineLevel="0" collapsed="false">
      <c r="A115" s="53" t="s">
        <v>454</v>
      </c>
      <c r="B115" s="28"/>
      <c r="C115" s="27"/>
      <c r="D115" s="27"/>
      <c r="E115" s="26"/>
      <c r="F115" s="26"/>
      <c r="G115" s="27"/>
      <c r="H115" s="27"/>
      <c r="I115" s="27"/>
      <c r="J115" s="28"/>
      <c r="K115" s="28"/>
      <c r="L115" s="26"/>
      <c r="M115" s="54" t="str">
        <f aca="false">IF(E115="","",IF(AND(N(B115)&gt;'Weekly Report'!$C$5,N(B115)&lt;='Weekly Report'!$C$4),"New",IF(AND(N(K115)&gt;'Weekly Report'!$C$5,N(K115)&lt;='Weekly Report'!$C$4),"Changed","")))</f>
        <v/>
      </c>
      <c r="N115" s="54" t="str">
        <f aca="true">IF(OR(E115="",J115="",I115="Remediated",I115="Closed",I115="Risk Accepted"),"",IF(J115&lt;TODAY(),"Overdue",""))</f>
        <v/>
      </c>
      <c r="O115" s="0" t="str">
        <f aca="false">IF(M115&lt;&gt;"",COUNT(O$4:O114)+1,"")</f>
        <v/>
      </c>
    </row>
    <row r="116" customFormat="false" ht="15" hidden="false" customHeight="false" outlineLevel="0" collapsed="false">
      <c r="A116" s="53" t="s">
        <v>455</v>
      </c>
      <c r="B116" s="28"/>
      <c r="C116" s="27"/>
      <c r="D116" s="27"/>
      <c r="E116" s="26"/>
      <c r="F116" s="26"/>
      <c r="G116" s="27"/>
      <c r="H116" s="27"/>
      <c r="I116" s="27"/>
      <c r="J116" s="28"/>
      <c r="K116" s="28"/>
      <c r="L116" s="26"/>
      <c r="M116" s="54" t="str">
        <f aca="false">IF(E116="","",IF(AND(N(B116)&gt;'Weekly Report'!$C$5,N(B116)&lt;='Weekly Report'!$C$4),"New",IF(AND(N(K116)&gt;'Weekly Report'!$C$5,N(K116)&lt;='Weekly Report'!$C$4),"Changed","")))</f>
        <v/>
      </c>
      <c r="N116" s="54" t="str">
        <f aca="true">IF(OR(E116="",J116="",I116="Remediated",I116="Closed",I116="Risk Accepted"),"",IF(J116&lt;TODAY(),"Overdue",""))</f>
        <v/>
      </c>
      <c r="O116" s="0" t="str">
        <f aca="false">IF(M116&lt;&gt;"",COUNT(O$4:O115)+1,"")</f>
        <v/>
      </c>
    </row>
    <row r="117" customFormat="false" ht="15" hidden="false" customHeight="false" outlineLevel="0" collapsed="false">
      <c r="A117" s="53" t="s">
        <v>456</v>
      </c>
      <c r="B117" s="28"/>
      <c r="C117" s="27"/>
      <c r="D117" s="27"/>
      <c r="E117" s="26"/>
      <c r="F117" s="26"/>
      <c r="G117" s="27"/>
      <c r="H117" s="27"/>
      <c r="I117" s="27"/>
      <c r="J117" s="28"/>
      <c r="K117" s="28"/>
      <c r="L117" s="26"/>
      <c r="M117" s="54" t="str">
        <f aca="false">IF(E117="","",IF(AND(N(B117)&gt;'Weekly Report'!$C$5,N(B117)&lt;='Weekly Report'!$C$4),"New",IF(AND(N(K117)&gt;'Weekly Report'!$C$5,N(K117)&lt;='Weekly Report'!$C$4),"Changed","")))</f>
        <v/>
      </c>
      <c r="N117" s="54" t="str">
        <f aca="true">IF(OR(E117="",J117="",I117="Remediated",I117="Closed",I117="Risk Accepted"),"",IF(J117&lt;TODAY(),"Overdue",""))</f>
        <v/>
      </c>
      <c r="O117" s="0" t="str">
        <f aca="false">IF(M117&lt;&gt;"",COUNT(O$4:O116)+1,"")</f>
        <v/>
      </c>
    </row>
    <row r="118" customFormat="false" ht="15" hidden="false" customHeight="false" outlineLevel="0" collapsed="false">
      <c r="A118" s="53" t="s">
        <v>457</v>
      </c>
      <c r="B118" s="28"/>
      <c r="C118" s="27"/>
      <c r="D118" s="27"/>
      <c r="E118" s="26"/>
      <c r="F118" s="26"/>
      <c r="G118" s="27"/>
      <c r="H118" s="27"/>
      <c r="I118" s="27"/>
      <c r="J118" s="28"/>
      <c r="K118" s="28"/>
      <c r="L118" s="26"/>
      <c r="M118" s="54" t="str">
        <f aca="false">IF(E118="","",IF(AND(N(B118)&gt;'Weekly Report'!$C$5,N(B118)&lt;='Weekly Report'!$C$4),"New",IF(AND(N(K118)&gt;'Weekly Report'!$C$5,N(K118)&lt;='Weekly Report'!$C$4),"Changed","")))</f>
        <v/>
      </c>
      <c r="N118" s="54" t="str">
        <f aca="true">IF(OR(E118="",J118="",I118="Remediated",I118="Closed",I118="Risk Accepted"),"",IF(J118&lt;TODAY(),"Overdue",""))</f>
        <v/>
      </c>
      <c r="O118" s="0" t="str">
        <f aca="false">IF(M118&lt;&gt;"",COUNT(O$4:O117)+1,"")</f>
        <v/>
      </c>
    </row>
    <row r="119" customFormat="false" ht="15" hidden="false" customHeight="false" outlineLevel="0" collapsed="false">
      <c r="A119" s="53" t="s">
        <v>458</v>
      </c>
      <c r="B119" s="28"/>
      <c r="C119" s="27"/>
      <c r="D119" s="27"/>
      <c r="E119" s="26"/>
      <c r="F119" s="26"/>
      <c r="G119" s="27"/>
      <c r="H119" s="27"/>
      <c r="I119" s="27"/>
      <c r="J119" s="28"/>
      <c r="K119" s="28"/>
      <c r="L119" s="26"/>
      <c r="M119" s="54" t="str">
        <f aca="false">IF(E119="","",IF(AND(N(B119)&gt;'Weekly Report'!$C$5,N(B119)&lt;='Weekly Report'!$C$4),"New",IF(AND(N(K119)&gt;'Weekly Report'!$C$5,N(K119)&lt;='Weekly Report'!$C$4),"Changed","")))</f>
        <v/>
      </c>
      <c r="N119" s="54" t="str">
        <f aca="true">IF(OR(E119="",J119="",I119="Remediated",I119="Closed",I119="Risk Accepted"),"",IF(J119&lt;TODAY(),"Overdue",""))</f>
        <v/>
      </c>
      <c r="O119" s="0" t="str">
        <f aca="false">IF(M119&lt;&gt;"",COUNT(O$4:O118)+1,"")</f>
        <v/>
      </c>
    </row>
    <row r="120" customFormat="false" ht="15" hidden="false" customHeight="false" outlineLevel="0" collapsed="false">
      <c r="A120" s="53" t="s">
        <v>459</v>
      </c>
      <c r="B120" s="28"/>
      <c r="C120" s="27"/>
      <c r="D120" s="27"/>
      <c r="E120" s="26"/>
      <c r="F120" s="26"/>
      <c r="G120" s="27"/>
      <c r="H120" s="27"/>
      <c r="I120" s="27"/>
      <c r="J120" s="28"/>
      <c r="K120" s="28"/>
      <c r="L120" s="26"/>
      <c r="M120" s="54" t="str">
        <f aca="false">IF(E120="","",IF(AND(N(B120)&gt;'Weekly Report'!$C$5,N(B120)&lt;='Weekly Report'!$C$4),"New",IF(AND(N(K120)&gt;'Weekly Report'!$C$5,N(K120)&lt;='Weekly Report'!$C$4),"Changed","")))</f>
        <v/>
      </c>
      <c r="N120" s="54" t="str">
        <f aca="true">IF(OR(E120="",J120="",I120="Remediated",I120="Closed",I120="Risk Accepted"),"",IF(J120&lt;TODAY(),"Overdue",""))</f>
        <v/>
      </c>
      <c r="O120" s="0" t="str">
        <f aca="false">IF(M120&lt;&gt;"",COUNT(O$4:O119)+1,"")</f>
        <v/>
      </c>
    </row>
    <row r="121" customFormat="false" ht="15" hidden="false" customHeight="false" outlineLevel="0" collapsed="false">
      <c r="A121" s="53" t="s">
        <v>460</v>
      </c>
      <c r="B121" s="28"/>
      <c r="C121" s="27"/>
      <c r="D121" s="27"/>
      <c r="E121" s="26"/>
      <c r="F121" s="26"/>
      <c r="G121" s="27"/>
      <c r="H121" s="27"/>
      <c r="I121" s="27"/>
      <c r="J121" s="28"/>
      <c r="K121" s="28"/>
      <c r="L121" s="26"/>
      <c r="M121" s="54" t="str">
        <f aca="false">IF(E121="","",IF(AND(N(B121)&gt;'Weekly Report'!$C$5,N(B121)&lt;='Weekly Report'!$C$4),"New",IF(AND(N(K121)&gt;'Weekly Report'!$C$5,N(K121)&lt;='Weekly Report'!$C$4),"Changed","")))</f>
        <v/>
      </c>
      <c r="N121" s="54" t="str">
        <f aca="true">IF(OR(E121="",J121="",I121="Remediated",I121="Closed",I121="Risk Accepted"),"",IF(J121&lt;TODAY(),"Overdue",""))</f>
        <v/>
      </c>
      <c r="O121" s="0" t="str">
        <f aca="false">IF(M121&lt;&gt;"",COUNT(O$4:O120)+1,"")</f>
        <v/>
      </c>
    </row>
    <row r="122" customFormat="false" ht="15" hidden="false" customHeight="false" outlineLevel="0" collapsed="false">
      <c r="A122" s="53" t="s">
        <v>461</v>
      </c>
      <c r="B122" s="28"/>
      <c r="C122" s="27"/>
      <c r="D122" s="27"/>
      <c r="E122" s="26"/>
      <c r="F122" s="26"/>
      <c r="G122" s="27"/>
      <c r="H122" s="27"/>
      <c r="I122" s="27"/>
      <c r="J122" s="28"/>
      <c r="K122" s="28"/>
      <c r="L122" s="26"/>
      <c r="M122" s="54" t="str">
        <f aca="false">IF(E122="","",IF(AND(N(B122)&gt;'Weekly Report'!$C$5,N(B122)&lt;='Weekly Report'!$C$4),"New",IF(AND(N(K122)&gt;'Weekly Report'!$C$5,N(K122)&lt;='Weekly Report'!$C$4),"Changed","")))</f>
        <v/>
      </c>
      <c r="N122" s="54" t="str">
        <f aca="true">IF(OR(E122="",J122="",I122="Remediated",I122="Closed",I122="Risk Accepted"),"",IF(J122&lt;TODAY(),"Overdue",""))</f>
        <v/>
      </c>
      <c r="O122" s="0" t="str">
        <f aca="false">IF(M122&lt;&gt;"",COUNT(O$4:O121)+1,"")</f>
        <v/>
      </c>
    </row>
    <row r="123" customFormat="false" ht="15" hidden="false" customHeight="false" outlineLevel="0" collapsed="false">
      <c r="A123" s="53" t="s">
        <v>462</v>
      </c>
      <c r="B123" s="28"/>
      <c r="C123" s="27"/>
      <c r="D123" s="27"/>
      <c r="E123" s="26"/>
      <c r="F123" s="26"/>
      <c r="G123" s="27"/>
      <c r="H123" s="27"/>
      <c r="I123" s="27"/>
      <c r="J123" s="28"/>
      <c r="K123" s="28"/>
      <c r="L123" s="26"/>
      <c r="M123" s="54" t="str">
        <f aca="false">IF(E123="","",IF(AND(N(B123)&gt;'Weekly Report'!$C$5,N(B123)&lt;='Weekly Report'!$C$4),"New",IF(AND(N(K123)&gt;'Weekly Report'!$C$5,N(K123)&lt;='Weekly Report'!$C$4),"Changed","")))</f>
        <v/>
      </c>
      <c r="N123" s="54" t="str">
        <f aca="true">IF(OR(E123="",J123="",I123="Remediated",I123="Closed",I123="Risk Accepted"),"",IF(J123&lt;TODAY(),"Overdue",""))</f>
        <v/>
      </c>
      <c r="O123" s="0" t="str">
        <f aca="false">IF(M123&lt;&gt;"",COUNT(O$4:O122)+1,"")</f>
        <v/>
      </c>
    </row>
    <row r="124" customFormat="false" ht="15" hidden="false" customHeight="false" outlineLevel="0" collapsed="false">
      <c r="A124" s="53" t="s">
        <v>463</v>
      </c>
      <c r="B124" s="28"/>
      <c r="C124" s="27"/>
      <c r="D124" s="27"/>
      <c r="E124" s="26"/>
      <c r="F124" s="26"/>
      <c r="G124" s="27"/>
      <c r="H124" s="27"/>
      <c r="I124" s="27"/>
      <c r="J124" s="28"/>
      <c r="K124" s="28"/>
      <c r="L124" s="26"/>
      <c r="M124" s="54" t="str">
        <f aca="false">IF(E124="","",IF(AND(N(B124)&gt;'Weekly Report'!$C$5,N(B124)&lt;='Weekly Report'!$C$4),"New",IF(AND(N(K124)&gt;'Weekly Report'!$C$5,N(K124)&lt;='Weekly Report'!$C$4),"Changed","")))</f>
        <v/>
      </c>
      <c r="N124" s="54" t="str">
        <f aca="true">IF(OR(E124="",J124="",I124="Remediated",I124="Closed",I124="Risk Accepted"),"",IF(J124&lt;TODAY(),"Overdue",""))</f>
        <v/>
      </c>
      <c r="O124" s="0" t="str">
        <f aca="false">IF(M124&lt;&gt;"",COUNT(O$4:O123)+1,"")</f>
        <v/>
      </c>
    </row>
    <row r="125" customFormat="false" ht="15" hidden="false" customHeight="false" outlineLevel="0" collapsed="false">
      <c r="A125" s="53" t="s">
        <v>464</v>
      </c>
      <c r="B125" s="28"/>
      <c r="C125" s="27"/>
      <c r="D125" s="27"/>
      <c r="E125" s="26"/>
      <c r="F125" s="26"/>
      <c r="G125" s="27"/>
      <c r="H125" s="27"/>
      <c r="I125" s="27"/>
      <c r="J125" s="28"/>
      <c r="K125" s="28"/>
      <c r="L125" s="26"/>
      <c r="M125" s="54" t="str">
        <f aca="false">IF(E125="","",IF(AND(N(B125)&gt;'Weekly Report'!$C$5,N(B125)&lt;='Weekly Report'!$C$4),"New",IF(AND(N(K125)&gt;'Weekly Report'!$C$5,N(K125)&lt;='Weekly Report'!$C$4),"Changed","")))</f>
        <v/>
      </c>
      <c r="N125" s="54" t="str">
        <f aca="true">IF(OR(E125="",J125="",I125="Remediated",I125="Closed",I125="Risk Accepted"),"",IF(J125&lt;TODAY(),"Overdue",""))</f>
        <v/>
      </c>
      <c r="O125" s="0" t="str">
        <f aca="false">IF(M125&lt;&gt;"",COUNT(O$4:O124)+1,"")</f>
        <v/>
      </c>
    </row>
    <row r="126" customFormat="false" ht="15" hidden="false" customHeight="false" outlineLevel="0" collapsed="false">
      <c r="A126" s="53" t="s">
        <v>465</v>
      </c>
      <c r="B126" s="28"/>
      <c r="C126" s="27"/>
      <c r="D126" s="27"/>
      <c r="E126" s="26"/>
      <c r="F126" s="26"/>
      <c r="G126" s="27"/>
      <c r="H126" s="27"/>
      <c r="I126" s="27"/>
      <c r="J126" s="28"/>
      <c r="K126" s="28"/>
      <c r="L126" s="26"/>
      <c r="M126" s="54" t="str">
        <f aca="false">IF(E126="","",IF(AND(N(B126)&gt;'Weekly Report'!$C$5,N(B126)&lt;='Weekly Report'!$C$4),"New",IF(AND(N(K126)&gt;'Weekly Report'!$C$5,N(K126)&lt;='Weekly Report'!$C$4),"Changed","")))</f>
        <v/>
      </c>
      <c r="N126" s="54" t="str">
        <f aca="true">IF(OR(E126="",J126="",I126="Remediated",I126="Closed",I126="Risk Accepted"),"",IF(J126&lt;TODAY(),"Overdue",""))</f>
        <v/>
      </c>
      <c r="O126" s="0" t="str">
        <f aca="false">IF(M126&lt;&gt;"",COUNT(O$4:O125)+1,"")</f>
        <v/>
      </c>
    </row>
    <row r="127" customFormat="false" ht="15" hidden="false" customHeight="false" outlineLevel="0" collapsed="false">
      <c r="A127" s="53" t="s">
        <v>466</v>
      </c>
      <c r="B127" s="28"/>
      <c r="C127" s="27"/>
      <c r="D127" s="27"/>
      <c r="E127" s="26"/>
      <c r="F127" s="26"/>
      <c r="G127" s="27"/>
      <c r="H127" s="27"/>
      <c r="I127" s="27"/>
      <c r="J127" s="28"/>
      <c r="K127" s="28"/>
      <c r="L127" s="26"/>
      <c r="M127" s="54" t="str">
        <f aca="false">IF(E127="","",IF(AND(N(B127)&gt;'Weekly Report'!$C$5,N(B127)&lt;='Weekly Report'!$C$4),"New",IF(AND(N(K127)&gt;'Weekly Report'!$C$5,N(K127)&lt;='Weekly Report'!$C$4),"Changed","")))</f>
        <v/>
      </c>
      <c r="N127" s="54" t="str">
        <f aca="true">IF(OR(E127="",J127="",I127="Remediated",I127="Closed",I127="Risk Accepted"),"",IF(J127&lt;TODAY(),"Overdue",""))</f>
        <v/>
      </c>
      <c r="O127" s="0" t="str">
        <f aca="false">IF(M127&lt;&gt;"",COUNT(O$4:O126)+1,"")</f>
        <v/>
      </c>
    </row>
    <row r="128" customFormat="false" ht="15" hidden="false" customHeight="false" outlineLevel="0" collapsed="false">
      <c r="A128" s="53" t="s">
        <v>467</v>
      </c>
      <c r="B128" s="28"/>
      <c r="C128" s="27"/>
      <c r="D128" s="27"/>
      <c r="E128" s="26"/>
      <c r="F128" s="26"/>
      <c r="G128" s="27"/>
      <c r="H128" s="27"/>
      <c r="I128" s="27"/>
      <c r="J128" s="28"/>
      <c r="K128" s="28"/>
      <c r="L128" s="26"/>
      <c r="M128" s="54" t="str">
        <f aca="false">IF(E128="","",IF(AND(N(B128)&gt;'Weekly Report'!$C$5,N(B128)&lt;='Weekly Report'!$C$4),"New",IF(AND(N(K128)&gt;'Weekly Report'!$C$5,N(K128)&lt;='Weekly Report'!$C$4),"Changed","")))</f>
        <v/>
      </c>
      <c r="N128" s="54" t="str">
        <f aca="true">IF(OR(E128="",J128="",I128="Remediated",I128="Closed",I128="Risk Accepted"),"",IF(J128&lt;TODAY(),"Overdue",""))</f>
        <v/>
      </c>
      <c r="O128" s="0" t="str">
        <f aca="false">IF(M128&lt;&gt;"",COUNT(O$4:O127)+1,"")</f>
        <v/>
      </c>
    </row>
    <row r="129" customFormat="false" ht="15" hidden="false" customHeight="false" outlineLevel="0" collapsed="false">
      <c r="A129" s="53" t="s">
        <v>468</v>
      </c>
      <c r="B129" s="28"/>
      <c r="C129" s="27"/>
      <c r="D129" s="27"/>
      <c r="E129" s="26"/>
      <c r="F129" s="26"/>
      <c r="G129" s="27"/>
      <c r="H129" s="27"/>
      <c r="I129" s="27"/>
      <c r="J129" s="28"/>
      <c r="K129" s="28"/>
      <c r="L129" s="26"/>
      <c r="M129" s="54" t="str">
        <f aca="false">IF(E129="","",IF(AND(N(B129)&gt;'Weekly Report'!$C$5,N(B129)&lt;='Weekly Report'!$C$4),"New",IF(AND(N(K129)&gt;'Weekly Report'!$C$5,N(K129)&lt;='Weekly Report'!$C$4),"Changed","")))</f>
        <v/>
      </c>
      <c r="N129" s="54" t="str">
        <f aca="true">IF(OR(E129="",J129="",I129="Remediated",I129="Closed",I129="Risk Accepted"),"",IF(J129&lt;TODAY(),"Overdue",""))</f>
        <v/>
      </c>
      <c r="O129" s="0" t="str">
        <f aca="false">IF(M129&lt;&gt;"",COUNT(O$4:O128)+1,"")</f>
        <v/>
      </c>
    </row>
    <row r="130" customFormat="false" ht="15" hidden="false" customHeight="false" outlineLevel="0" collapsed="false">
      <c r="A130" s="53" t="s">
        <v>469</v>
      </c>
      <c r="B130" s="28"/>
      <c r="C130" s="27"/>
      <c r="D130" s="27"/>
      <c r="E130" s="26"/>
      <c r="F130" s="26"/>
      <c r="G130" s="27"/>
      <c r="H130" s="27"/>
      <c r="I130" s="27"/>
      <c r="J130" s="28"/>
      <c r="K130" s="28"/>
      <c r="L130" s="26"/>
      <c r="M130" s="54" t="str">
        <f aca="false">IF(E130="","",IF(AND(N(B130)&gt;'Weekly Report'!$C$5,N(B130)&lt;='Weekly Report'!$C$4),"New",IF(AND(N(K130)&gt;'Weekly Report'!$C$5,N(K130)&lt;='Weekly Report'!$C$4),"Changed","")))</f>
        <v/>
      </c>
      <c r="N130" s="54" t="str">
        <f aca="true">IF(OR(E130="",J130="",I130="Remediated",I130="Closed",I130="Risk Accepted"),"",IF(J130&lt;TODAY(),"Overdue",""))</f>
        <v/>
      </c>
      <c r="O130" s="0" t="str">
        <f aca="false">IF(M130&lt;&gt;"",COUNT(O$4:O129)+1,"")</f>
        <v/>
      </c>
    </row>
    <row r="131" customFormat="false" ht="15" hidden="false" customHeight="false" outlineLevel="0" collapsed="false">
      <c r="A131" s="53" t="s">
        <v>470</v>
      </c>
      <c r="B131" s="28"/>
      <c r="C131" s="27"/>
      <c r="D131" s="27"/>
      <c r="E131" s="26"/>
      <c r="F131" s="26"/>
      <c r="G131" s="27"/>
      <c r="H131" s="27"/>
      <c r="I131" s="27"/>
      <c r="J131" s="28"/>
      <c r="K131" s="28"/>
      <c r="L131" s="26"/>
      <c r="M131" s="54" t="str">
        <f aca="false">IF(E131="","",IF(AND(N(B131)&gt;'Weekly Report'!$C$5,N(B131)&lt;='Weekly Report'!$C$4),"New",IF(AND(N(K131)&gt;'Weekly Report'!$C$5,N(K131)&lt;='Weekly Report'!$C$4),"Changed","")))</f>
        <v/>
      </c>
      <c r="N131" s="54" t="str">
        <f aca="true">IF(OR(E131="",J131="",I131="Remediated",I131="Closed",I131="Risk Accepted"),"",IF(J131&lt;TODAY(),"Overdue",""))</f>
        <v/>
      </c>
      <c r="O131" s="0" t="str">
        <f aca="false">IF(M131&lt;&gt;"",COUNT(O$4:O130)+1,"")</f>
        <v/>
      </c>
    </row>
    <row r="132" customFormat="false" ht="15" hidden="false" customHeight="false" outlineLevel="0" collapsed="false">
      <c r="A132" s="53" t="s">
        <v>471</v>
      </c>
      <c r="B132" s="28"/>
      <c r="C132" s="27"/>
      <c r="D132" s="27"/>
      <c r="E132" s="26"/>
      <c r="F132" s="26"/>
      <c r="G132" s="27"/>
      <c r="H132" s="27"/>
      <c r="I132" s="27"/>
      <c r="J132" s="28"/>
      <c r="K132" s="28"/>
      <c r="L132" s="26"/>
      <c r="M132" s="54" t="str">
        <f aca="false">IF(E132="","",IF(AND(N(B132)&gt;'Weekly Report'!$C$5,N(B132)&lt;='Weekly Report'!$C$4),"New",IF(AND(N(K132)&gt;'Weekly Report'!$C$5,N(K132)&lt;='Weekly Report'!$C$4),"Changed","")))</f>
        <v/>
      </c>
      <c r="N132" s="54" t="str">
        <f aca="true">IF(OR(E132="",J132="",I132="Remediated",I132="Closed",I132="Risk Accepted"),"",IF(J132&lt;TODAY(),"Overdue",""))</f>
        <v/>
      </c>
      <c r="O132" s="0" t="str">
        <f aca="false">IF(M132&lt;&gt;"",COUNT(O$4:O131)+1,"")</f>
        <v/>
      </c>
    </row>
    <row r="133" customFormat="false" ht="15" hidden="false" customHeight="false" outlineLevel="0" collapsed="false">
      <c r="A133" s="53" t="s">
        <v>472</v>
      </c>
      <c r="B133" s="28"/>
      <c r="C133" s="27"/>
      <c r="D133" s="27"/>
      <c r="E133" s="26"/>
      <c r="F133" s="26"/>
      <c r="G133" s="27"/>
      <c r="H133" s="27"/>
      <c r="I133" s="27"/>
      <c r="J133" s="28"/>
      <c r="K133" s="28"/>
      <c r="L133" s="26"/>
      <c r="M133" s="54" t="str">
        <f aca="false">IF(E133="","",IF(AND(N(B133)&gt;'Weekly Report'!$C$5,N(B133)&lt;='Weekly Report'!$C$4),"New",IF(AND(N(K133)&gt;'Weekly Report'!$C$5,N(K133)&lt;='Weekly Report'!$C$4),"Changed","")))</f>
        <v/>
      </c>
      <c r="N133" s="54" t="str">
        <f aca="true">IF(OR(E133="",J133="",I133="Remediated",I133="Closed",I133="Risk Accepted"),"",IF(J133&lt;TODAY(),"Overdue",""))</f>
        <v/>
      </c>
      <c r="O133" s="0" t="str">
        <f aca="false">IF(M133&lt;&gt;"",COUNT(O$4:O132)+1,"")</f>
        <v/>
      </c>
    </row>
    <row r="134" customFormat="false" ht="15" hidden="false" customHeight="false" outlineLevel="0" collapsed="false">
      <c r="A134" s="53" t="s">
        <v>473</v>
      </c>
      <c r="B134" s="28"/>
      <c r="C134" s="27"/>
      <c r="D134" s="27"/>
      <c r="E134" s="26"/>
      <c r="F134" s="26"/>
      <c r="G134" s="27"/>
      <c r="H134" s="27"/>
      <c r="I134" s="27"/>
      <c r="J134" s="28"/>
      <c r="K134" s="28"/>
      <c r="L134" s="26"/>
      <c r="M134" s="54" t="str">
        <f aca="false">IF(E134="","",IF(AND(N(B134)&gt;'Weekly Report'!$C$5,N(B134)&lt;='Weekly Report'!$C$4),"New",IF(AND(N(K134)&gt;'Weekly Report'!$C$5,N(K134)&lt;='Weekly Report'!$C$4),"Changed","")))</f>
        <v/>
      </c>
      <c r="N134" s="54" t="str">
        <f aca="true">IF(OR(E134="",J134="",I134="Remediated",I134="Closed",I134="Risk Accepted"),"",IF(J134&lt;TODAY(),"Overdue",""))</f>
        <v/>
      </c>
      <c r="O134" s="0" t="str">
        <f aca="false">IF(M134&lt;&gt;"",COUNT(O$4:O133)+1,"")</f>
        <v/>
      </c>
    </row>
    <row r="135" customFormat="false" ht="15" hidden="false" customHeight="false" outlineLevel="0" collapsed="false">
      <c r="A135" s="53" t="s">
        <v>474</v>
      </c>
      <c r="B135" s="28"/>
      <c r="C135" s="27"/>
      <c r="D135" s="27"/>
      <c r="E135" s="26"/>
      <c r="F135" s="26"/>
      <c r="G135" s="27"/>
      <c r="H135" s="27"/>
      <c r="I135" s="27"/>
      <c r="J135" s="28"/>
      <c r="K135" s="28"/>
      <c r="L135" s="26"/>
      <c r="M135" s="54" t="str">
        <f aca="false">IF(E135="","",IF(AND(N(B135)&gt;'Weekly Report'!$C$5,N(B135)&lt;='Weekly Report'!$C$4),"New",IF(AND(N(K135)&gt;'Weekly Report'!$C$5,N(K135)&lt;='Weekly Report'!$C$4),"Changed","")))</f>
        <v/>
      </c>
      <c r="N135" s="54" t="str">
        <f aca="true">IF(OR(E135="",J135="",I135="Remediated",I135="Closed",I135="Risk Accepted"),"",IF(J135&lt;TODAY(),"Overdue",""))</f>
        <v/>
      </c>
      <c r="O135" s="0" t="str">
        <f aca="false">IF(M135&lt;&gt;"",COUNT(O$4:O134)+1,"")</f>
        <v/>
      </c>
    </row>
    <row r="136" customFormat="false" ht="15" hidden="false" customHeight="false" outlineLevel="0" collapsed="false">
      <c r="A136" s="53" t="s">
        <v>475</v>
      </c>
      <c r="B136" s="28"/>
      <c r="C136" s="27"/>
      <c r="D136" s="27"/>
      <c r="E136" s="26"/>
      <c r="F136" s="26"/>
      <c r="G136" s="27"/>
      <c r="H136" s="27"/>
      <c r="I136" s="27"/>
      <c r="J136" s="28"/>
      <c r="K136" s="28"/>
      <c r="L136" s="26"/>
      <c r="M136" s="54" t="str">
        <f aca="false">IF(E136="","",IF(AND(N(B136)&gt;'Weekly Report'!$C$5,N(B136)&lt;='Weekly Report'!$C$4),"New",IF(AND(N(K136)&gt;'Weekly Report'!$C$5,N(K136)&lt;='Weekly Report'!$C$4),"Changed","")))</f>
        <v/>
      </c>
      <c r="N136" s="54" t="str">
        <f aca="true">IF(OR(E136="",J136="",I136="Remediated",I136="Closed",I136="Risk Accepted"),"",IF(J136&lt;TODAY(),"Overdue",""))</f>
        <v/>
      </c>
      <c r="O136" s="0" t="str">
        <f aca="false">IF(M136&lt;&gt;"",COUNT(O$4:O135)+1,"")</f>
        <v/>
      </c>
    </row>
    <row r="137" customFormat="false" ht="15" hidden="false" customHeight="false" outlineLevel="0" collapsed="false">
      <c r="A137" s="53" t="s">
        <v>476</v>
      </c>
      <c r="B137" s="28"/>
      <c r="C137" s="27"/>
      <c r="D137" s="27"/>
      <c r="E137" s="26"/>
      <c r="F137" s="26"/>
      <c r="G137" s="27"/>
      <c r="H137" s="27"/>
      <c r="I137" s="27"/>
      <c r="J137" s="28"/>
      <c r="K137" s="28"/>
      <c r="L137" s="26"/>
      <c r="M137" s="54" t="str">
        <f aca="false">IF(E137="","",IF(AND(N(B137)&gt;'Weekly Report'!$C$5,N(B137)&lt;='Weekly Report'!$C$4),"New",IF(AND(N(K137)&gt;'Weekly Report'!$C$5,N(K137)&lt;='Weekly Report'!$C$4),"Changed","")))</f>
        <v/>
      </c>
      <c r="N137" s="54" t="str">
        <f aca="true">IF(OR(E137="",J137="",I137="Remediated",I137="Closed",I137="Risk Accepted"),"",IF(J137&lt;TODAY(),"Overdue",""))</f>
        <v/>
      </c>
      <c r="O137" s="0" t="str">
        <f aca="false">IF(M137&lt;&gt;"",COUNT(O$4:O136)+1,"")</f>
        <v/>
      </c>
    </row>
    <row r="138" customFormat="false" ht="15" hidden="false" customHeight="false" outlineLevel="0" collapsed="false">
      <c r="A138" s="53" t="s">
        <v>477</v>
      </c>
      <c r="B138" s="28"/>
      <c r="C138" s="27"/>
      <c r="D138" s="27"/>
      <c r="E138" s="26"/>
      <c r="F138" s="26"/>
      <c r="G138" s="27"/>
      <c r="H138" s="27"/>
      <c r="I138" s="27"/>
      <c r="J138" s="28"/>
      <c r="K138" s="28"/>
      <c r="L138" s="26"/>
      <c r="M138" s="54" t="str">
        <f aca="false">IF(E138="","",IF(AND(N(B138)&gt;'Weekly Report'!$C$5,N(B138)&lt;='Weekly Report'!$C$4),"New",IF(AND(N(K138)&gt;'Weekly Report'!$C$5,N(K138)&lt;='Weekly Report'!$C$4),"Changed","")))</f>
        <v/>
      </c>
      <c r="N138" s="54" t="str">
        <f aca="true">IF(OR(E138="",J138="",I138="Remediated",I138="Closed",I138="Risk Accepted"),"",IF(J138&lt;TODAY(),"Overdue",""))</f>
        <v/>
      </c>
      <c r="O138" s="0" t="str">
        <f aca="false">IF(M138&lt;&gt;"",COUNT(O$4:O137)+1,"")</f>
        <v/>
      </c>
    </row>
    <row r="139" customFormat="false" ht="15" hidden="false" customHeight="false" outlineLevel="0" collapsed="false">
      <c r="A139" s="53" t="s">
        <v>478</v>
      </c>
      <c r="B139" s="28"/>
      <c r="C139" s="27"/>
      <c r="D139" s="27"/>
      <c r="E139" s="26"/>
      <c r="F139" s="26"/>
      <c r="G139" s="27"/>
      <c r="H139" s="27"/>
      <c r="I139" s="27"/>
      <c r="J139" s="28"/>
      <c r="K139" s="28"/>
      <c r="L139" s="26"/>
      <c r="M139" s="54" t="str">
        <f aca="false">IF(E139="","",IF(AND(N(B139)&gt;'Weekly Report'!$C$5,N(B139)&lt;='Weekly Report'!$C$4),"New",IF(AND(N(K139)&gt;'Weekly Report'!$C$5,N(K139)&lt;='Weekly Report'!$C$4),"Changed","")))</f>
        <v/>
      </c>
      <c r="N139" s="54" t="str">
        <f aca="true">IF(OR(E139="",J139="",I139="Remediated",I139="Closed",I139="Risk Accepted"),"",IF(J139&lt;TODAY(),"Overdue",""))</f>
        <v/>
      </c>
      <c r="O139" s="0" t="str">
        <f aca="false">IF(M139&lt;&gt;"",COUNT(O$4:O138)+1,"")</f>
        <v/>
      </c>
    </row>
    <row r="140" customFormat="false" ht="15" hidden="false" customHeight="false" outlineLevel="0" collapsed="false">
      <c r="A140" s="53" t="s">
        <v>479</v>
      </c>
      <c r="B140" s="28"/>
      <c r="C140" s="27"/>
      <c r="D140" s="27"/>
      <c r="E140" s="26"/>
      <c r="F140" s="26"/>
      <c r="G140" s="27"/>
      <c r="H140" s="27"/>
      <c r="I140" s="27"/>
      <c r="J140" s="28"/>
      <c r="K140" s="28"/>
      <c r="L140" s="26"/>
      <c r="M140" s="54" t="str">
        <f aca="false">IF(E140="","",IF(AND(N(B140)&gt;'Weekly Report'!$C$5,N(B140)&lt;='Weekly Report'!$C$4),"New",IF(AND(N(K140)&gt;'Weekly Report'!$C$5,N(K140)&lt;='Weekly Report'!$C$4),"Changed","")))</f>
        <v/>
      </c>
      <c r="N140" s="54" t="str">
        <f aca="true">IF(OR(E140="",J140="",I140="Remediated",I140="Closed",I140="Risk Accepted"),"",IF(J140&lt;TODAY(),"Overdue",""))</f>
        <v/>
      </c>
      <c r="O140" s="0" t="str">
        <f aca="false">IF(M140&lt;&gt;"",COUNT(O$4:O139)+1,"")</f>
        <v/>
      </c>
    </row>
    <row r="141" customFormat="false" ht="15" hidden="false" customHeight="false" outlineLevel="0" collapsed="false">
      <c r="A141" s="53" t="s">
        <v>480</v>
      </c>
      <c r="B141" s="28"/>
      <c r="C141" s="27"/>
      <c r="D141" s="27"/>
      <c r="E141" s="26"/>
      <c r="F141" s="26"/>
      <c r="G141" s="27"/>
      <c r="H141" s="27"/>
      <c r="I141" s="27"/>
      <c r="J141" s="28"/>
      <c r="K141" s="28"/>
      <c r="L141" s="26"/>
      <c r="M141" s="54" t="str">
        <f aca="false">IF(E141="","",IF(AND(N(B141)&gt;'Weekly Report'!$C$5,N(B141)&lt;='Weekly Report'!$C$4),"New",IF(AND(N(K141)&gt;'Weekly Report'!$C$5,N(K141)&lt;='Weekly Report'!$C$4),"Changed","")))</f>
        <v/>
      </c>
      <c r="N141" s="54" t="str">
        <f aca="true">IF(OR(E141="",J141="",I141="Remediated",I141="Closed",I141="Risk Accepted"),"",IF(J141&lt;TODAY(),"Overdue",""))</f>
        <v/>
      </c>
      <c r="O141" s="0" t="str">
        <f aca="false">IF(M141&lt;&gt;"",COUNT(O$4:O140)+1,"")</f>
        <v/>
      </c>
    </row>
    <row r="142" customFormat="false" ht="15" hidden="false" customHeight="false" outlineLevel="0" collapsed="false">
      <c r="A142" s="53" t="s">
        <v>481</v>
      </c>
      <c r="B142" s="28"/>
      <c r="C142" s="27"/>
      <c r="D142" s="27"/>
      <c r="E142" s="26"/>
      <c r="F142" s="26"/>
      <c r="G142" s="27"/>
      <c r="H142" s="27"/>
      <c r="I142" s="27"/>
      <c r="J142" s="28"/>
      <c r="K142" s="28"/>
      <c r="L142" s="26"/>
      <c r="M142" s="54" t="str">
        <f aca="false">IF(E142="","",IF(AND(N(B142)&gt;'Weekly Report'!$C$5,N(B142)&lt;='Weekly Report'!$C$4),"New",IF(AND(N(K142)&gt;'Weekly Report'!$C$5,N(K142)&lt;='Weekly Report'!$C$4),"Changed","")))</f>
        <v/>
      </c>
      <c r="N142" s="54" t="str">
        <f aca="true">IF(OR(E142="",J142="",I142="Remediated",I142="Closed",I142="Risk Accepted"),"",IF(J142&lt;TODAY(),"Overdue",""))</f>
        <v/>
      </c>
      <c r="O142" s="0" t="str">
        <f aca="false">IF(M142&lt;&gt;"",COUNT(O$4:O141)+1,"")</f>
        <v/>
      </c>
    </row>
    <row r="143" customFormat="false" ht="15" hidden="false" customHeight="false" outlineLevel="0" collapsed="false">
      <c r="A143" s="53" t="s">
        <v>482</v>
      </c>
      <c r="B143" s="28"/>
      <c r="C143" s="27"/>
      <c r="D143" s="27"/>
      <c r="E143" s="26"/>
      <c r="F143" s="26"/>
      <c r="G143" s="27"/>
      <c r="H143" s="27"/>
      <c r="I143" s="27"/>
      <c r="J143" s="28"/>
      <c r="K143" s="28"/>
      <c r="L143" s="26"/>
      <c r="M143" s="54" t="str">
        <f aca="false">IF(E143="","",IF(AND(N(B143)&gt;'Weekly Report'!$C$5,N(B143)&lt;='Weekly Report'!$C$4),"New",IF(AND(N(K143)&gt;'Weekly Report'!$C$5,N(K143)&lt;='Weekly Report'!$C$4),"Changed","")))</f>
        <v/>
      </c>
      <c r="N143" s="54" t="str">
        <f aca="true">IF(OR(E143="",J143="",I143="Remediated",I143="Closed",I143="Risk Accepted"),"",IF(J143&lt;TODAY(),"Overdue",""))</f>
        <v/>
      </c>
      <c r="O143" s="0" t="str">
        <f aca="false">IF(M143&lt;&gt;"",COUNT(O$4:O142)+1,"")</f>
        <v/>
      </c>
    </row>
    <row r="144" customFormat="false" ht="15" hidden="false" customHeight="false" outlineLevel="0" collapsed="false">
      <c r="A144" s="53" t="s">
        <v>483</v>
      </c>
      <c r="B144" s="28"/>
      <c r="C144" s="27"/>
      <c r="D144" s="27"/>
      <c r="E144" s="26"/>
      <c r="F144" s="26"/>
      <c r="G144" s="27"/>
      <c r="H144" s="27"/>
      <c r="I144" s="27"/>
      <c r="J144" s="28"/>
      <c r="K144" s="28"/>
      <c r="L144" s="26"/>
      <c r="M144" s="54" t="str">
        <f aca="false">IF(E144="","",IF(AND(N(B144)&gt;'Weekly Report'!$C$5,N(B144)&lt;='Weekly Report'!$C$4),"New",IF(AND(N(K144)&gt;'Weekly Report'!$C$5,N(K144)&lt;='Weekly Report'!$C$4),"Changed","")))</f>
        <v/>
      </c>
      <c r="N144" s="54" t="str">
        <f aca="true">IF(OR(E144="",J144="",I144="Remediated",I144="Closed",I144="Risk Accepted"),"",IF(J144&lt;TODAY(),"Overdue",""))</f>
        <v/>
      </c>
      <c r="O144" s="0" t="str">
        <f aca="false">IF(M144&lt;&gt;"",COUNT(O$4:O143)+1,"")</f>
        <v/>
      </c>
    </row>
    <row r="145" customFormat="false" ht="15" hidden="false" customHeight="false" outlineLevel="0" collapsed="false">
      <c r="A145" s="53" t="s">
        <v>484</v>
      </c>
      <c r="B145" s="28"/>
      <c r="C145" s="27"/>
      <c r="D145" s="27"/>
      <c r="E145" s="26"/>
      <c r="F145" s="26"/>
      <c r="G145" s="27"/>
      <c r="H145" s="27"/>
      <c r="I145" s="27"/>
      <c r="J145" s="28"/>
      <c r="K145" s="28"/>
      <c r="L145" s="26"/>
      <c r="M145" s="54" t="str">
        <f aca="false">IF(E145="","",IF(AND(N(B145)&gt;'Weekly Report'!$C$5,N(B145)&lt;='Weekly Report'!$C$4),"New",IF(AND(N(K145)&gt;'Weekly Report'!$C$5,N(K145)&lt;='Weekly Report'!$C$4),"Changed","")))</f>
        <v/>
      </c>
      <c r="N145" s="54" t="str">
        <f aca="true">IF(OR(E145="",J145="",I145="Remediated",I145="Closed",I145="Risk Accepted"),"",IF(J145&lt;TODAY(),"Overdue",""))</f>
        <v/>
      </c>
      <c r="O145" s="0" t="str">
        <f aca="false">IF(M145&lt;&gt;"",COUNT(O$4:O144)+1,"")</f>
        <v/>
      </c>
    </row>
    <row r="146" customFormat="false" ht="15" hidden="false" customHeight="false" outlineLevel="0" collapsed="false">
      <c r="A146" s="53" t="s">
        <v>485</v>
      </c>
      <c r="B146" s="28"/>
      <c r="C146" s="27"/>
      <c r="D146" s="27"/>
      <c r="E146" s="26"/>
      <c r="F146" s="26"/>
      <c r="G146" s="27"/>
      <c r="H146" s="27"/>
      <c r="I146" s="27"/>
      <c r="J146" s="28"/>
      <c r="K146" s="28"/>
      <c r="L146" s="26"/>
      <c r="M146" s="54" t="str">
        <f aca="false">IF(E146="","",IF(AND(N(B146)&gt;'Weekly Report'!$C$5,N(B146)&lt;='Weekly Report'!$C$4),"New",IF(AND(N(K146)&gt;'Weekly Report'!$C$5,N(K146)&lt;='Weekly Report'!$C$4),"Changed","")))</f>
        <v/>
      </c>
      <c r="N146" s="54" t="str">
        <f aca="true">IF(OR(E146="",J146="",I146="Remediated",I146="Closed",I146="Risk Accepted"),"",IF(J146&lt;TODAY(),"Overdue",""))</f>
        <v/>
      </c>
      <c r="O146" s="0" t="str">
        <f aca="false">IF(M146&lt;&gt;"",COUNT(O$4:O145)+1,"")</f>
        <v/>
      </c>
    </row>
    <row r="147" customFormat="false" ht="15" hidden="false" customHeight="false" outlineLevel="0" collapsed="false">
      <c r="A147" s="53" t="s">
        <v>486</v>
      </c>
      <c r="B147" s="28"/>
      <c r="C147" s="27"/>
      <c r="D147" s="27"/>
      <c r="E147" s="26"/>
      <c r="F147" s="26"/>
      <c r="G147" s="27"/>
      <c r="H147" s="27"/>
      <c r="I147" s="27"/>
      <c r="J147" s="28"/>
      <c r="K147" s="28"/>
      <c r="L147" s="26"/>
      <c r="M147" s="54" t="str">
        <f aca="false">IF(E147="","",IF(AND(N(B147)&gt;'Weekly Report'!$C$5,N(B147)&lt;='Weekly Report'!$C$4),"New",IF(AND(N(K147)&gt;'Weekly Report'!$C$5,N(K147)&lt;='Weekly Report'!$C$4),"Changed","")))</f>
        <v/>
      </c>
      <c r="N147" s="54" t="str">
        <f aca="true">IF(OR(E147="",J147="",I147="Remediated",I147="Closed",I147="Risk Accepted"),"",IF(J147&lt;TODAY(),"Overdue",""))</f>
        <v/>
      </c>
      <c r="O147" s="0" t="str">
        <f aca="false">IF(M147&lt;&gt;"",COUNT(O$4:O146)+1,"")</f>
        <v/>
      </c>
    </row>
    <row r="148" customFormat="false" ht="15" hidden="false" customHeight="false" outlineLevel="0" collapsed="false">
      <c r="A148" s="53" t="s">
        <v>487</v>
      </c>
      <c r="B148" s="28"/>
      <c r="C148" s="27"/>
      <c r="D148" s="27"/>
      <c r="E148" s="26"/>
      <c r="F148" s="26"/>
      <c r="G148" s="27"/>
      <c r="H148" s="27"/>
      <c r="I148" s="27"/>
      <c r="J148" s="28"/>
      <c r="K148" s="28"/>
      <c r="L148" s="26"/>
      <c r="M148" s="54" t="str">
        <f aca="false">IF(E148="","",IF(AND(N(B148)&gt;'Weekly Report'!$C$5,N(B148)&lt;='Weekly Report'!$C$4),"New",IF(AND(N(K148)&gt;'Weekly Report'!$C$5,N(K148)&lt;='Weekly Report'!$C$4),"Changed","")))</f>
        <v/>
      </c>
      <c r="N148" s="54" t="str">
        <f aca="true">IF(OR(E148="",J148="",I148="Remediated",I148="Closed",I148="Risk Accepted"),"",IF(J148&lt;TODAY(),"Overdue",""))</f>
        <v/>
      </c>
      <c r="O148" s="0" t="str">
        <f aca="false">IF(M148&lt;&gt;"",COUNT(O$4:O147)+1,"")</f>
        <v/>
      </c>
    </row>
    <row r="149" customFormat="false" ht="15" hidden="false" customHeight="false" outlineLevel="0" collapsed="false">
      <c r="A149" s="53" t="s">
        <v>488</v>
      </c>
      <c r="B149" s="28"/>
      <c r="C149" s="27"/>
      <c r="D149" s="27"/>
      <c r="E149" s="26"/>
      <c r="F149" s="26"/>
      <c r="G149" s="27"/>
      <c r="H149" s="27"/>
      <c r="I149" s="27"/>
      <c r="J149" s="28"/>
      <c r="K149" s="28"/>
      <c r="L149" s="26"/>
      <c r="M149" s="54" t="str">
        <f aca="false">IF(E149="","",IF(AND(N(B149)&gt;'Weekly Report'!$C$5,N(B149)&lt;='Weekly Report'!$C$4),"New",IF(AND(N(K149)&gt;'Weekly Report'!$C$5,N(K149)&lt;='Weekly Report'!$C$4),"Changed","")))</f>
        <v/>
      </c>
      <c r="N149" s="54" t="str">
        <f aca="true">IF(OR(E149="",J149="",I149="Remediated",I149="Closed",I149="Risk Accepted"),"",IF(J149&lt;TODAY(),"Overdue",""))</f>
        <v/>
      </c>
      <c r="O149" s="0" t="str">
        <f aca="false">IF(M149&lt;&gt;"",COUNT(O$4:O148)+1,"")</f>
        <v/>
      </c>
    </row>
    <row r="150" customFormat="false" ht="15" hidden="false" customHeight="false" outlineLevel="0" collapsed="false">
      <c r="A150" s="53" t="s">
        <v>489</v>
      </c>
      <c r="B150" s="28"/>
      <c r="C150" s="27"/>
      <c r="D150" s="27"/>
      <c r="E150" s="26"/>
      <c r="F150" s="26"/>
      <c r="G150" s="27"/>
      <c r="H150" s="27"/>
      <c r="I150" s="27"/>
      <c r="J150" s="28"/>
      <c r="K150" s="28"/>
      <c r="L150" s="26"/>
      <c r="M150" s="54" t="str">
        <f aca="false">IF(E150="","",IF(AND(N(B150)&gt;'Weekly Report'!$C$5,N(B150)&lt;='Weekly Report'!$C$4),"New",IF(AND(N(K150)&gt;'Weekly Report'!$C$5,N(K150)&lt;='Weekly Report'!$C$4),"Changed","")))</f>
        <v/>
      </c>
      <c r="N150" s="54" t="str">
        <f aca="true">IF(OR(E150="",J150="",I150="Remediated",I150="Closed",I150="Risk Accepted"),"",IF(J150&lt;TODAY(),"Overdue",""))</f>
        <v/>
      </c>
      <c r="O150" s="0" t="str">
        <f aca="false">IF(M150&lt;&gt;"",COUNT(O$4:O149)+1,"")</f>
        <v/>
      </c>
    </row>
    <row r="151" customFormat="false" ht="15" hidden="false" customHeight="false" outlineLevel="0" collapsed="false">
      <c r="A151" s="53" t="s">
        <v>490</v>
      </c>
      <c r="B151" s="28"/>
      <c r="C151" s="27"/>
      <c r="D151" s="27"/>
      <c r="E151" s="26"/>
      <c r="F151" s="26"/>
      <c r="G151" s="27"/>
      <c r="H151" s="27"/>
      <c r="I151" s="27"/>
      <c r="J151" s="28"/>
      <c r="K151" s="28"/>
      <c r="L151" s="26"/>
      <c r="M151" s="54" t="str">
        <f aca="false">IF(E151="","",IF(AND(N(B151)&gt;'Weekly Report'!$C$5,N(B151)&lt;='Weekly Report'!$C$4),"New",IF(AND(N(K151)&gt;'Weekly Report'!$C$5,N(K151)&lt;='Weekly Report'!$C$4),"Changed","")))</f>
        <v/>
      </c>
      <c r="N151" s="54" t="str">
        <f aca="true">IF(OR(E151="",J151="",I151="Remediated",I151="Closed",I151="Risk Accepted"),"",IF(J151&lt;TODAY(),"Overdue",""))</f>
        <v/>
      </c>
      <c r="O151" s="0" t="str">
        <f aca="false">IF(M151&lt;&gt;"",COUNT(O$4:O150)+1,"")</f>
        <v/>
      </c>
    </row>
    <row r="152" customFormat="false" ht="15" hidden="false" customHeight="false" outlineLevel="0" collapsed="false">
      <c r="A152" s="53" t="s">
        <v>491</v>
      </c>
      <c r="B152" s="28"/>
      <c r="C152" s="27"/>
      <c r="D152" s="27"/>
      <c r="E152" s="26"/>
      <c r="F152" s="26"/>
      <c r="G152" s="27"/>
      <c r="H152" s="27"/>
      <c r="I152" s="27"/>
      <c r="J152" s="28"/>
      <c r="K152" s="28"/>
      <c r="L152" s="26"/>
      <c r="M152" s="54" t="str">
        <f aca="false">IF(E152="","",IF(AND(N(B152)&gt;'Weekly Report'!$C$5,N(B152)&lt;='Weekly Report'!$C$4),"New",IF(AND(N(K152)&gt;'Weekly Report'!$C$5,N(K152)&lt;='Weekly Report'!$C$4),"Changed","")))</f>
        <v/>
      </c>
      <c r="N152" s="54" t="str">
        <f aca="true">IF(OR(E152="",J152="",I152="Remediated",I152="Closed",I152="Risk Accepted"),"",IF(J152&lt;TODAY(),"Overdue",""))</f>
        <v/>
      </c>
      <c r="O152" s="0" t="str">
        <f aca="false">IF(M152&lt;&gt;"",COUNT(O$4:O151)+1,"")</f>
        <v/>
      </c>
    </row>
    <row r="153" customFormat="false" ht="15" hidden="false" customHeight="false" outlineLevel="0" collapsed="false">
      <c r="A153" s="53" t="s">
        <v>492</v>
      </c>
      <c r="B153" s="28"/>
      <c r="C153" s="27"/>
      <c r="D153" s="27"/>
      <c r="E153" s="26"/>
      <c r="F153" s="26"/>
      <c r="G153" s="27"/>
      <c r="H153" s="27"/>
      <c r="I153" s="27"/>
      <c r="J153" s="28"/>
      <c r="K153" s="28"/>
      <c r="L153" s="26"/>
      <c r="M153" s="54" t="str">
        <f aca="false">IF(E153="","",IF(AND(N(B153)&gt;'Weekly Report'!$C$5,N(B153)&lt;='Weekly Report'!$C$4),"New",IF(AND(N(K153)&gt;'Weekly Report'!$C$5,N(K153)&lt;='Weekly Report'!$C$4),"Changed","")))</f>
        <v/>
      </c>
      <c r="N153" s="54" t="str">
        <f aca="true">IF(OR(E153="",J153="",I153="Remediated",I153="Closed",I153="Risk Accepted"),"",IF(J153&lt;TODAY(),"Overdue",""))</f>
        <v/>
      </c>
      <c r="O153" s="0" t="str">
        <f aca="false">IF(M153&lt;&gt;"",COUNT(O$4:O152)+1,"")</f>
        <v/>
      </c>
    </row>
    <row r="154" customFormat="false" ht="15" hidden="false" customHeight="false" outlineLevel="0" collapsed="false">
      <c r="A154" s="53" t="s">
        <v>493</v>
      </c>
      <c r="B154" s="28"/>
      <c r="C154" s="27"/>
      <c r="D154" s="27"/>
      <c r="E154" s="26"/>
      <c r="F154" s="26"/>
      <c r="G154" s="27"/>
      <c r="H154" s="27"/>
      <c r="I154" s="27"/>
      <c r="J154" s="28"/>
      <c r="K154" s="28"/>
      <c r="L154" s="26"/>
      <c r="M154" s="54" t="str">
        <f aca="false">IF(E154="","",IF(AND(N(B154)&gt;'Weekly Report'!$C$5,N(B154)&lt;='Weekly Report'!$C$4),"New",IF(AND(N(K154)&gt;'Weekly Report'!$C$5,N(K154)&lt;='Weekly Report'!$C$4),"Changed","")))</f>
        <v/>
      </c>
      <c r="N154" s="54" t="str">
        <f aca="true">IF(OR(E154="",J154="",I154="Remediated",I154="Closed",I154="Risk Accepted"),"",IF(J154&lt;TODAY(),"Overdue",""))</f>
        <v/>
      </c>
      <c r="O154" s="0" t="str">
        <f aca="false">IF(M154&lt;&gt;"",COUNT(O$4:O153)+1,"")</f>
        <v/>
      </c>
    </row>
    <row r="155" customFormat="false" ht="15" hidden="false" customHeight="false" outlineLevel="0" collapsed="false">
      <c r="A155" s="53" t="s">
        <v>494</v>
      </c>
      <c r="B155" s="28"/>
      <c r="C155" s="27"/>
      <c r="D155" s="27"/>
      <c r="E155" s="26"/>
      <c r="F155" s="26"/>
      <c r="G155" s="27"/>
      <c r="H155" s="27"/>
      <c r="I155" s="27"/>
      <c r="J155" s="28"/>
      <c r="K155" s="28"/>
      <c r="L155" s="26"/>
      <c r="M155" s="54" t="str">
        <f aca="false">IF(E155="","",IF(AND(N(B155)&gt;'Weekly Report'!$C$5,N(B155)&lt;='Weekly Report'!$C$4),"New",IF(AND(N(K155)&gt;'Weekly Report'!$C$5,N(K155)&lt;='Weekly Report'!$C$4),"Changed","")))</f>
        <v/>
      </c>
      <c r="N155" s="54" t="str">
        <f aca="true">IF(OR(E155="",J155="",I155="Remediated",I155="Closed",I155="Risk Accepted"),"",IF(J155&lt;TODAY(),"Overdue",""))</f>
        <v/>
      </c>
      <c r="O155" s="0" t="str">
        <f aca="false">IF(M155&lt;&gt;"",COUNT(O$4:O154)+1,"")</f>
        <v/>
      </c>
    </row>
    <row r="156" customFormat="false" ht="15" hidden="false" customHeight="false" outlineLevel="0" collapsed="false">
      <c r="A156" s="53" t="s">
        <v>495</v>
      </c>
      <c r="B156" s="28"/>
      <c r="C156" s="27"/>
      <c r="D156" s="27"/>
      <c r="E156" s="26"/>
      <c r="F156" s="26"/>
      <c r="G156" s="27"/>
      <c r="H156" s="27"/>
      <c r="I156" s="27"/>
      <c r="J156" s="28"/>
      <c r="K156" s="28"/>
      <c r="L156" s="26"/>
      <c r="M156" s="54" t="str">
        <f aca="false">IF(E156="","",IF(AND(N(B156)&gt;'Weekly Report'!$C$5,N(B156)&lt;='Weekly Report'!$C$4),"New",IF(AND(N(K156)&gt;'Weekly Report'!$C$5,N(K156)&lt;='Weekly Report'!$C$4),"Changed","")))</f>
        <v/>
      </c>
      <c r="N156" s="54" t="str">
        <f aca="true">IF(OR(E156="",J156="",I156="Remediated",I156="Closed",I156="Risk Accepted"),"",IF(J156&lt;TODAY(),"Overdue",""))</f>
        <v/>
      </c>
      <c r="O156" s="0" t="str">
        <f aca="false">IF(M156&lt;&gt;"",COUNT(O$4:O155)+1,"")</f>
        <v/>
      </c>
    </row>
    <row r="157" customFormat="false" ht="15" hidden="false" customHeight="false" outlineLevel="0" collapsed="false">
      <c r="A157" s="53" t="s">
        <v>496</v>
      </c>
      <c r="B157" s="28"/>
      <c r="C157" s="27"/>
      <c r="D157" s="27"/>
      <c r="E157" s="26"/>
      <c r="F157" s="26"/>
      <c r="G157" s="27"/>
      <c r="H157" s="27"/>
      <c r="I157" s="27"/>
      <c r="J157" s="28"/>
      <c r="K157" s="28"/>
      <c r="L157" s="26"/>
      <c r="M157" s="54" t="str">
        <f aca="false">IF(E157="","",IF(AND(N(B157)&gt;'Weekly Report'!$C$5,N(B157)&lt;='Weekly Report'!$C$4),"New",IF(AND(N(K157)&gt;'Weekly Report'!$C$5,N(K157)&lt;='Weekly Report'!$C$4),"Changed","")))</f>
        <v/>
      </c>
      <c r="N157" s="54" t="str">
        <f aca="true">IF(OR(E157="",J157="",I157="Remediated",I157="Closed",I157="Risk Accepted"),"",IF(J157&lt;TODAY(),"Overdue",""))</f>
        <v/>
      </c>
      <c r="O157" s="0" t="str">
        <f aca="false">IF(M157&lt;&gt;"",COUNT(O$4:O156)+1,"")</f>
        <v/>
      </c>
    </row>
    <row r="158" customFormat="false" ht="15" hidden="false" customHeight="false" outlineLevel="0" collapsed="false">
      <c r="A158" s="53" t="s">
        <v>497</v>
      </c>
      <c r="B158" s="28"/>
      <c r="C158" s="27"/>
      <c r="D158" s="27"/>
      <c r="E158" s="26"/>
      <c r="F158" s="26"/>
      <c r="G158" s="27"/>
      <c r="H158" s="27"/>
      <c r="I158" s="27"/>
      <c r="J158" s="28"/>
      <c r="K158" s="28"/>
      <c r="L158" s="26"/>
      <c r="M158" s="54" t="str">
        <f aca="false">IF(E158="","",IF(AND(N(B158)&gt;'Weekly Report'!$C$5,N(B158)&lt;='Weekly Report'!$C$4),"New",IF(AND(N(K158)&gt;'Weekly Report'!$C$5,N(K158)&lt;='Weekly Report'!$C$4),"Changed","")))</f>
        <v/>
      </c>
      <c r="N158" s="54" t="str">
        <f aca="true">IF(OR(E158="",J158="",I158="Remediated",I158="Closed",I158="Risk Accepted"),"",IF(J158&lt;TODAY(),"Overdue",""))</f>
        <v/>
      </c>
      <c r="O158" s="0" t="str">
        <f aca="false">IF(M158&lt;&gt;"",COUNT(O$4:O157)+1,"")</f>
        <v/>
      </c>
    </row>
    <row r="159" customFormat="false" ht="15" hidden="false" customHeight="false" outlineLevel="0" collapsed="false">
      <c r="A159" s="53" t="s">
        <v>498</v>
      </c>
      <c r="B159" s="28"/>
      <c r="C159" s="27"/>
      <c r="D159" s="27"/>
      <c r="E159" s="26"/>
      <c r="F159" s="26"/>
      <c r="G159" s="27"/>
      <c r="H159" s="27"/>
      <c r="I159" s="27"/>
      <c r="J159" s="28"/>
      <c r="K159" s="28"/>
      <c r="L159" s="26"/>
      <c r="M159" s="54" t="str">
        <f aca="false">IF(E159="","",IF(AND(N(B159)&gt;'Weekly Report'!$C$5,N(B159)&lt;='Weekly Report'!$C$4),"New",IF(AND(N(K159)&gt;'Weekly Report'!$C$5,N(K159)&lt;='Weekly Report'!$C$4),"Changed","")))</f>
        <v/>
      </c>
      <c r="N159" s="54" t="str">
        <f aca="true">IF(OR(E159="",J159="",I159="Remediated",I159="Closed",I159="Risk Accepted"),"",IF(J159&lt;TODAY(),"Overdue",""))</f>
        <v/>
      </c>
      <c r="O159" s="0" t="str">
        <f aca="false">IF(M159&lt;&gt;"",COUNT(O$4:O158)+1,"")</f>
        <v/>
      </c>
    </row>
    <row r="160" customFormat="false" ht="15" hidden="false" customHeight="false" outlineLevel="0" collapsed="false">
      <c r="A160" s="53" t="s">
        <v>499</v>
      </c>
      <c r="B160" s="28"/>
      <c r="C160" s="27"/>
      <c r="D160" s="27"/>
      <c r="E160" s="26"/>
      <c r="F160" s="26"/>
      <c r="G160" s="27"/>
      <c r="H160" s="27"/>
      <c r="I160" s="27"/>
      <c r="J160" s="28"/>
      <c r="K160" s="28"/>
      <c r="L160" s="26"/>
      <c r="M160" s="54" t="str">
        <f aca="false">IF(E160="","",IF(AND(N(B160)&gt;'Weekly Report'!$C$5,N(B160)&lt;='Weekly Report'!$C$4),"New",IF(AND(N(K160)&gt;'Weekly Report'!$C$5,N(K160)&lt;='Weekly Report'!$C$4),"Changed","")))</f>
        <v/>
      </c>
      <c r="N160" s="54" t="str">
        <f aca="true">IF(OR(E160="",J160="",I160="Remediated",I160="Closed",I160="Risk Accepted"),"",IF(J160&lt;TODAY(),"Overdue",""))</f>
        <v/>
      </c>
      <c r="O160" s="0" t="str">
        <f aca="false">IF(M160&lt;&gt;"",COUNT(O$4:O159)+1,"")</f>
        <v/>
      </c>
    </row>
    <row r="161" customFormat="false" ht="15" hidden="false" customHeight="false" outlineLevel="0" collapsed="false">
      <c r="A161" s="53" t="s">
        <v>500</v>
      </c>
      <c r="B161" s="28"/>
      <c r="C161" s="27"/>
      <c r="D161" s="27"/>
      <c r="E161" s="26"/>
      <c r="F161" s="26"/>
      <c r="G161" s="27"/>
      <c r="H161" s="27"/>
      <c r="I161" s="27"/>
      <c r="J161" s="28"/>
      <c r="K161" s="28"/>
      <c r="L161" s="26"/>
      <c r="M161" s="54" t="str">
        <f aca="false">IF(E161="","",IF(AND(N(B161)&gt;'Weekly Report'!$C$5,N(B161)&lt;='Weekly Report'!$C$4),"New",IF(AND(N(K161)&gt;'Weekly Report'!$C$5,N(K161)&lt;='Weekly Report'!$C$4),"Changed","")))</f>
        <v/>
      </c>
      <c r="N161" s="54" t="str">
        <f aca="true">IF(OR(E161="",J161="",I161="Remediated",I161="Closed",I161="Risk Accepted"),"",IF(J161&lt;TODAY(),"Overdue",""))</f>
        <v/>
      </c>
      <c r="O161" s="0" t="str">
        <f aca="false">IF(M161&lt;&gt;"",COUNT(O$4:O160)+1,"")</f>
        <v/>
      </c>
    </row>
    <row r="162" customFormat="false" ht="15" hidden="false" customHeight="false" outlineLevel="0" collapsed="false">
      <c r="A162" s="53" t="s">
        <v>501</v>
      </c>
      <c r="B162" s="28"/>
      <c r="C162" s="27"/>
      <c r="D162" s="27"/>
      <c r="E162" s="26"/>
      <c r="F162" s="26"/>
      <c r="G162" s="27"/>
      <c r="H162" s="27"/>
      <c r="I162" s="27"/>
      <c r="J162" s="28"/>
      <c r="K162" s="28"/>
      <c r="L162" s="26"/>
      <c r="M162" s="54" t="str">
        <f aca="false">IF(E162="","",IF(AND(N(B162)&gt;'Weekly Report'!$C$5,N(B162)&lt;='Weekly Report'!$C$4),"New",IF(AND(N(K162)&gt;'Weekly Report'!$C$5,N(K162)&lt;='Weekly Report'!$C$4),"Changed","")))</f>
        <v/>
      </c>
      <c r="N162" s="54" t="str">
        <f aca="true">IF(OR(E162="",J162="",I162="Remediated",I162="Closed",I162="Risk Accepted"),"",IF(J162&lt;TODAY(),"Overdue",""))</f>
        <v/>
      </c>
      <c r="O162" s="0" t="str">
        <f aca="false">IF(M162&lt;&gt;"",COUNT(O$4:O161)+1,"")</f>
        <v/>
      </c>
    </row>
    <row r="163" customFormat="false" ht="15" hidden="false" customHeight="false" outlineLevel="0" collapsed="false">
      <c r="A163" s="53" t="s">
        <v>502</v>
      </c>
      <c r="B163" s="28"/>
      <c r="C163" s="27"/>
      <c r="D163" s="27"/>
      <c r="E163" s="26"/>
      <c r="F163" s="26"/>
      <c r="G163" s="27"/>
      <c r="H163" s="27"/>
      <c r="I163" s="27"/>
      <c r="J163" s="28"/>
      <c r="K163" s="28"/>
      <c r="L163" s="26"/>
      <c r="M163" s="54" t="str">
        <f aca="false">IF(E163="","",IF(AND(N(B163)&gt;'Weekly Report'!$C$5,N(B163)&lt;='Weekly Report'!$C$4),"New",IF(AND(N(K163)&gt;'Weekly Report'!$C$5,N(K163)&lt;='Weekly Report'!$C$4),"Changed","")))</f>
        <v/>
      </c>
      <c r="N163" s="54" t="str">
        <f aca="true">IF(OR(E163="",J163="",I163="Remediated",I163="Closed",I163="Risk Accepted"),"",IF(J163&lt;TODAY(),"Overdue",""))</f>
        <v/>
      </c>
      <c r="O163" s="0" t="str">
        <f aca="false">IF(M163&lt;&gt;"",COUNT(O$4:O162)+1,"")</f>
        <v/>
      </c>
    </row>
    <row r="164" customFormat="false" ht="15" hidden="false" customHeight="false" outlineLevel="0" collapsed="false">
      <c r="A164" s="53" t="s">
        <v>503</v>
      </c>
      <c r="B164" s="28"/>
      <c r="C164" s="27"/>
      <c r="D164" s="27"/>
      <c r="E164" s="26"/>
      <c r="F164" s="26"/>
      <c r="G164" s="27"/>
      <c r="H164" s="27"/>
      <c r="I164" s="27"/>
      <c r="J164" s="28"/>
      <c r="K164" s="28"/>
      <c r="L164" s="26"/>
      <c r="M164" s="54" t="str">
        <f aca="false">IF(E164="","",IF(AND(N(B164)&gt;'Weekly Report'!$C$5,N(B164)&lt;='Weekly Report'!$C$4),"New",IF(AND(N(K164)&gt;'Weekly Report'!$C$5,N(K164)&lt;='Weekly Report'!$C$4),"Changed","")))</f>
        <v/>
      </c>
      <c r="N164" s="54" t="str">
        <f aca="true">IF(OR(E164="",J164="",I164="Remediated",I164="Closed",I164="Risk Accepted"),"",IF(J164&lt;TODAY(),"Overdue",""))</f>
        <v/>
      </c>
      <c r="O164" s="0" t="str">
        <f aca="false">IF(M164&lt;&gt;"",COUNT(O$4:O163)+1,"")</f>
        <v/>
      </c>
    </row>
    <row r="165" customFormat="false" ht="15" hidden="false" customHeight="false" outlineLevel="0" collapsed="false">
      <c r="A165" s="53" t="s">
        <v>504</v>
      </c>
      <c r="B165" s="28"/>
      <c r="C165" s="27"/>
      <c r="D165" s="27"/>
      <c r="E165" s="26"/>
      <c r="F165" s="26"/>
      <c r="G165" s="27"/>
      <c r="H165" s="27"/>
      <c r="I165" s="27"/>
      <c r="J165" s="28"/>
      <c r="K165" s="28"/>
      <c r="L165" s="26"/>
      <c r="M165" s="54" t="str">
        <f aca="false">IF(E165="","",IF(AND(N(B165)&gt;'Weekly Report'!$C$5,N(B165)&lt;='Weekly Report'!$C$4),"New",IF(AND(N(K165)&gt;'Weekly Report'!$C$5,N(K165)&lt;='Weekly Report'!$C$4),"Changed","")))</f>
        <v/>
      </c>
      <c r="N165" s="54" t="str">
        <f aca="true">IF(OR(E165="",J165="",I165="Remediated",I165="Closed",I165="Risk Accepted"),"",IF(J165&lt;TODAY(),"Overdue",""))</f>
        <v/>
      </c>
      <c r="O165" s="0" t="str">
        <f aca="false">IF(M165&lt;&gt;"",COUNT(O$4:O164)+1,"")</f>
        <v/>
      </c>
    </row>
    <row r="166" customFormat="false" ht="15" hidden="false" customHeight="false" outlineLevel="0" collapsed="false">
      <c r="A166" s="53" t="s">
        <v>505</v>
      </c>
      <c r="B166" s="28"/>
      <c r="C166" s="27"/>
      <c r="D166" s="27"/>
      <c r="E166" s="26"/>
      <c r="F166" s="26"/>
      <c r="G166" s="27"/>
      <c r="H166" s="27"/>
      <c r="I166" s="27"/>
      <c r="J166" s="28"/>
      <c r="K166" s="28"/>
      <c r="L166" s="26"/>
      <c r="M166" s="54" t="str">
        <f aca="false">IF(E166="","",IF(AND(N(B166)&gt;'Weekly Report'!$C$5,N(B166)&lt;='Weekly Report'!$C$4),"New",IF(AND(N(K166)&gt;'Weekly Report'!$C$5,N(K166)&lt;='Weekly Report'!$C$4),"Changed","")))</f>
        <v/>
      </c>
      <c r="N166" s="54" t="str">
        <f aca="true">IF(OR(E166="",J166="",I166="Remediated",I166="Closed",I166="Risk Accepted"),"",IF(J166&lt;TODAY(),"Overdue",""))</f>
        <v/>
      </c>
      <c r="O166" s="0" t="str">
        <f aca="false">IF(M166&lt;&gt;"",COUNT(O$4:O165)+1,"")</f>
        <v/>
      </c>
    </row>
    <row r="167" customFormat="false" ht="15" hidden="false" customHeight="false" outlineLevel="0" collapsed="false">
      <c r="A167" s="53" t="s">
        <v>506</v>
      </c>
      <c r="B167" s="28"/>
      <c r="C167" s="27"/>
      <c r="D167" s="27"/>
      <c r="E167" s="26"/>
      <c r="F167" s="26"/>
      <c r="G167" s="27"/>
      <c r="H167" s="27"/>
      <c r="I167" s="27"/>
      <c r="J167" s="28"/>
      <c r="K167" s="28"/>
      <c r="L167" s="26"/>
      <c r="M167" s="54" t="str">
        <f aca="false">IF(E167="","",IF(AND(N(B167)&gt;'Weekly Report'!$C$5,N(B167)&lt;='Weekly Report'!$C$4),"New",IF(AND(N(K167)&gt;'Weekly Report'!$C$5,N(K167)&lt;='Weekly Report'!$C$4),"Changed","")))</f>
        <v/>
      </c>
      <c r="N167" s="54" t="str">
        <f aca="true">IF(OR(E167="",J167="",I167="Remediated",I167="Closed",I167="Risk Accepted"),"",IF(J167&lt;TODAY(),"Overdue",""))</f>
        <v/>
      </c>
      <c r="O167" s="0" t="str">
        <f aca="false">IF(M167&lt;&gt;"",COUNT(O$4:O166)+1,"")</f>
        <v/>
      </c>
    </row>
    <row r="168" customFormat="false" ht="15" hidden="false" customHeight="false" outlineLevel="0" collapsed="false">
      <c r="A168" s="53" t="s">
        <v>507</v>
      </c>
      <c r="B168" s="28"/>
      <c r="C168" s="27"/>
      <c r="D168" s="27"/>
      <c r="E168" s="26"/>
      <c r="F168" s="26"/>
      <c r="G168" s="27"/>
      <c r="H168" s="27"/>
      <c r="I168" s="27"/>
      <c r="J168" s="28"/>
      <c r="K168" s="28"/>
      <c r="L168" s="26"/>
      <c r="M168" s="54" t="str">
        <f aca="false">IF(E168="","",IF(AND(N(B168)&gt;'Weekly Report'!$C$5,N(B168)&lt;='Weekly Report'!$C$4),"New",IF(AND(N(K168)&gt;'Weekly Report'!$C$5,N(K168)&lt;='Weekly Report'!$C$4),"Changed","")))</f>
        <v/>
      </c>
      <c r="N168" s="54" t="str">
        <f aca="true">IF(OR(E168="",J168="",I168="Remediated",I168="Closed",I168="Risk Accepted"),"",IF(J168&lt;TODAY(),"Overdue",""))</f>
        <v/>
      </c>
      <c r="O168" s="0" t="str">
        <f aca="false">IF(M168&lt;&gt;"",COUNT(O$4:O167)+1,"")</f>
        <v/>
      </c>
    </row>
    <row r="169" customFormat="false" ht="15" hidden="false" customHeight="false" outlineLevel="0" collapsed="false">
      <c r="A169" s="53" t="s">
        <v>508</v>
      </c>
      <c r="B169" s="28"/>
      <c r="C169" s="27"/>
      <c r="D169" s="27"/>
      <c r="E169" s="26"/>
      <c r="F169" s="26"/>
      <c r="G169" s="27"/>
      <c r="H169" s="27"/>
      <c r="I169" s="27"/>
      <c r="J169" s="28"/>
      <c r="K169" s="28"/>
      <c r="L169" s="26"/>
      <c r="M169" s="54" t="str">
        <f aca="false">IF(E169="","",IF(AND(N(B169)&gt;'Weekly Report'!$C$5,N(B169)&lt;='Weekly Report'!$C$4),"New",IF(AND(N(K169)&gt;'Weekly Report'!$C$5,N(K169)&lt;='Weekly Report'!$C$4),"Changed","")))</f>
        <v/>
      </c>
      <c r="N169" s="54" t="str">
        <f aca="true">IF(OR(E169="",J169="",I169="Remediated",I169="Closed",I169="Risk Accepted"),"",IF(J169&lt;TODAY(),"Overdue",""))</f>
        <v/>
      </c>
      <c r="O169" s="0" t="str">
        <f aca="false">IF(M169&lt;&gt;"",COUNT(O$4:O168)+1,"")</f>
        <v/>
      </c>
    </row>
    <row r="170" customFormat="false" ht="15" hidden="false" customHeight="false" outlineLevel="0" collapsed="false">
      <c r="A170" s="53" t="s">
        <v>509</v>
      </c>
      <c r="B170" s="28"/>
      <c r="C170" s="27"/>
      <c r="D170" s="27"/>
      <c r="E170" s="26"/>
      <c r="F170" s="26"/>
      <c r="G170" s="27"/>
      <c r="H170" s="27"/>
      <c r="I170" s="27"/>
      <c r="J170" s="28"/>
      <c r="K170" s="28"/>
      <c r="L170" s="26"/>
      <c r="M170" s="54" t="str">
        <f aca="false">IF(E170="","",IF(AND(N(B170)&gt;'Weekly Report'!$C$5,N(B170)&lt;='Weekly Report'!$C$4),"New",IF(AND(N(K170)&gt;'Weekly Report'!$C$5,N(K170)&lt;='Weekly Report'!$C$4),"Changed","")))</f>
        <v/>
      </c>
      <c r="N170" s="54" t="str">
        <f aca="true">IF(OR(E170="",J170="",I170="Remediated",I170="Closed",I170="Risk Accepted"),"",IF(J170&lt;TODAY(),"Overdue",""))</f>
        <v/>
      </c>
      <c r="O170" s="0" t="str">
        <f aca="false">IF(M170&lt;&gt;"",COUNT(O$4:O169)+1,"")</f>
        <v/>
      </c>
    </row>
    <row r="171" customFormat="false" ht="15" hidden="false" customHeight="false" outlineLevel="0" collapsed="false">
      <c r="A171" s="53" t="s">
        <v>510</v>
      </c>
      <c r="B171" s="28"/>
      <c r="C171" s="27"/>
      <c r="D171" s="27"/>
      <c r="E171" s="26"/>
      <c r="F171" s="26"/>
      <c r="G171" s="27"/>
      <c r="H171" s="27"/>
      <c r="I171" s="27"/>
      <c r="J171" s="28"/>
      <c r="K171" s="28"/>
      <c r="L171" s="26"/>
      <c r="M171" s="54" t="str">
        <f aca="false">IF(E171="","",IF(AND(N(B171)&gt;'Weekly Report'!$C$5,N(B171)&lt;='Weekly Report'!$C$4),"New",IF(AND(N(K171)&gt;'Weekly Report'!$C$5,N(K171)&lt;='Weekly Report'!$C$4),"Changed","")))</f>
        <v/>
      </c>
      <c r="N171" s="54" t="str">
        <f aca="true">IF(OR(E171="",J171="",I171="Remediated",I171="Closed",I171="Risk Accepted"),"",IF(J171&lt;TODAY(),"Overdue",""))</f>
        <v/>
      </c>
      <c r="O171" s="0" t="str">
        <f aca="false">IF(M171&lt;&gt;"",COUNT(O$4:O170)+1,"")</f>
        <v/>
      </c>
    </row>
    <row r="172" customFormat="false" ht="15" hidden="false" customHeight="false" outlineLevel="0" collapsed="false">
      <c r="A172" s="53" t="s">
        <v>511</v>
      </c>
      <c r="B172" s="28"/>
      <c r="C172" s="27"/>
      <c r="D172" s="27"/>
      <c r="E172" s="26"/>
      <c r="F172" s="26"/>
      <c r="G172" s="27"/>
      <c r="H172" s="27"/>
      <c r="I172" s="27"/>
      <c r="J172" s="28"/>
      <c r="K172" s="28"/>
      <c r="L172" s="26"/>
      <c r="M172" s="54" t="str">
        <f aca="false">IF(E172="","",IF(AND(N(B172)&gt;'Weekly Report'!$C$5,N(B172)&lt;='Weekly Report'!$C$4),"New",IF(AND(N(K172)&gt;'Weekly Report'!$C$5,N(K172)&lt;='Weekly Report'!$C$4),"Changed","")))</f>
        <v/>
      </c>
      <c r="N172" s="54" t="str">
        <f aca="true">IF(OR(E172="",J172="",I172="Remediated",I172="Closed",I172="Risk Accepted"),"",IF(J172&lt;TODAY(),"Overdue",""))</f>
        <v/>
      </c>
      <c r="O172" s="0" t="str">
        <f aca="false">IF(M172&lt;&gt;"",COUNT(O$4:O171)+1,"")</f>
        <v/>
      </c>
    </row>
    <row r="173" customFormat="false" ht="15" hidden="false" customHeight="false" outlineLevel="0" collapsed="false">
      <c r="A173" s="53" t="s">
        <v>512</v>
      </c>
      <c r="B173" s="28"/>
      <c r="C173" s="27"/>
      <c r="D173" s="27"/>
      <c r="E173" s="26"/>
      <c r="F173" s="26"/>
      <c r="G173" s="27"/>
      <c r="H173" s="27"/>
      <c r="I173" s="27"/>
      <c r="J173" s="28"/>
      <c r="K173" s="28"/>
      <c r="L173" s="26"/>
      <c r="M173" s="54" t="str">
        <f aca="false">IF(E173="","",IF(AND(N(B173)&gt;'Weekly Report'!$C$5,N(B173)&lt;='Weekly Report'!$C$4),"New",IF(AND(N(K173)&gt;'Weekly Report'!$C$5,N(K173)&lt;='Weekly Report'!$C$4),"Changed","")))</f>
        <v/>
      </c>
      <c r="N173" s="54" t="str">
        <f aca="true">IF(OR(E173="",J173="",I173="Remediated",I173="Closed",I173="Risk Accepted"),"",IF(J173&lt;TODAY(),"Overdue",""))</f>
        <v/>
      </c>
      <c r="O173" s="0" t="str">
        <f aca="false">IF(M173&lt;&gt;"",COUNT(O$4:O172)+1,"")</f>
        <v/>
      </c>
    </row>
    <row r="174" customFormat="false" ht="15" hidden="false" customHeight="false" outlineLevel="0" collapsed="false">
      <c r="A174" s="53" t="s">
        <v>513</v>
      </c>
      <c r="B174" s="28"/>
      <c r="C174" s="27"/>
      <c r="D174" s="27"/>
      <c r="E174" s="26"/>
      <c r="F174" s="26"/>
      <c r="G174" s="27"/>
      <c r="H174" s="27"/>
      <c r="I174" s="27"/>
      <c r="J174" s="28"/>
      <c r="K174" s="28"/>
      <c r="L174" s="26"/>
      <c r="M174" s="54" t="str">
        <f aca="false">IF(E174="","",IF(AND(N(B174)&gt;'Weekly Report'!$C$5,N(B174)&lt;='Weekly Report'!$C$4),"New",IF(AND(N(K174)&gt;'Weekly Report'!$C$5,N(K174)&lt;='Weekly Report'!$C$4),"Changed","")))</f>
        <v/>
      </c>
      <c r="N174" s="54" t="str">
        <f aca="true">IF(OR(E174="",J174="",I174="Remediated",I174="Closed",I174="Risk Accepted"),"",IF(J174&lt;TODAY(),"Overdue",""))</f>
        <v/>
      </c>
      <c r="O174" s="0" t="str">
        <f aca="false">IF(M174&lt;&gt;"",COUNT(O$4:O173)+1,"")</f>
        <v/>
      </c>
    </row>
    <row r="175" customFormat="false" ht="15" hidden="false" customHeight="false" outlineLevel="0" collapsed="false">
      <c r="A175" s="53" t="s">
        <v>514</v>
      </c>
      <c r="B175" s="28"/>
      <c r="C175" s="27"/>
      <c r="D175" s="27"/>
      <c r="E175" s="26"/>
      <c r="F175" s="26"/>
      <c r="G175" s="27"/>
      <c r="H175" s="27"/>
      <c r="I175" s="27"/>
      <c r="J175" s="28"/>
      <c r="K175" s="28"/>
      <c r="L175" s="26"/>
      <c r="M175" s="54" t="str">
        <f aca="false">IF(E175="","",IF(AND(N(B175)&gt;'Weekly Report'!$C$5,N(B175)&lt;='Weekly Report'!$C$4),"New",IF(AND(N(K175)&gt;'Weekly Report'!$C$5,N(K175)&lt;='Weekly Report'!$C$4),"Changed","")))</f>
        <v/>
      </c>
      <c r="N175" s="54" t="str">
        <f aca="true">IF(OR(E175="",J175="",I175="Remediated",I175="Closed",I175="Risk Accepted"),"",IF(J175&lt;TODAY(),"Overdue",""))</f>
        <v/>
      </c>
      <c r="O175" s="0" t="str">
        <f aca="false">IF(M175&lt;&gt;"",COUNT(O$4:O174)+1,"")</f>
        <v/>
      </c>
    </row>
    <row r="176" customFormat="false" ht="15" hidden="false" customHeight="false" outlineLevel="0" collapsed="false">
      <c r="A176" s="53" t="s">
        <v>515</v>
      </c>
      <c r="B176" s="28"/>
      <c r="C176" s="27"/>
      <c r="D176" s="27"/>
      <c r="E176" s="26"/>
      <c r="F176" s="26"/>
      <c r="G176" s="27"/>
      <c r="H176" s="27"/>
      <c r="I176" s="27"/>
      <c r="J176" s="28"/>
      <c r="K176" s="28"/>
      <c r="L176" s="26"/>
      <c r="M176" s="54" t="str">
        <f aca="false">IF(E176="","",IF(AND(N(B176)&gt;'Weekly Report'!$C$5,N(B176)&lt;='Weekly Report'!$C$4),"New",IF(AND(N(K176)&gt;'Weekly Report'!$C$5,N(K176)&lt;='Weekly Report'!$C$4),"Changed","")))</f>
        <v/>
      </c>
      <c r="N176" s="54" t="str">
        <f aca="true">IF(OR(E176="",J176="",I176="Remediated",I176="Closed",I176="Risk Accepted"),"",IF(J176&lt;TODAY(),"Overdue",""))</f>
        <v/>
      </c>
      <c r="O176" s="0" t="str">
        <f aca="false">IF(M176&lt;&gt;"",COUNT(O$4:O175)+1,"")</f>
        <v/>
      </c>
    </row>
    <row r="177" customFormat="false" ht="15" hidden="false" customHeight="false" outlineLevel="0" collapsed="false">
      <c r="A177" s="53" t="s">
        <v>516</v>
      </c>
      <c r="B177" s="28"/>
      <c r="C177" s="27"/>
      <c r="D177" s="27"/>
      <c r="E177" s="26"/>
      <c r="F177" s="26"/>
      <c r="G177" s="27"/>
      <c r="H177" s="27"/>
      <c r="I177" s="27"/>
      <c r="J177" s="28"/>
      <c r="K177" s="28"/>
      <c r="L177" s="26"/>
      <c r="M177" s="54" t="str">
        <f aca="false">IF(E177="","",IF(AND(N(B177)&gt;'Weekly Report'!$C$5,N(B177)&lt;='Weekly Report'!$C$4),"New",IF(AND(N(K177)&gt;'Weekly Report'!$C$5,N(K177)&lt;='Weekly Report'!$C$4),"Changed","")))</f>
        <v/>
      </c>
      <c r="N177" s="54" t="str">
        <f aca="true">IF(OR(E177="",J177="",I177="Remediated",I177="Closed",I177="Risk Accepted"),"",IF(J177&lt;TODAY(),"Overdue",""))</f>
        <v/>
      </c>
      <c r="O177" s="0" t="str">
        <f aca="false">IF(M177&lt;&gt;"",COUNT(O$4:O176)+1,"")</f>
        <v/>
      </c>
    </row>
    <row r="178" customFormat="false" ht="15" hidden="false" customHeight="false" outlineLevel="0" collapsed="false">
      <c r="A178" s="53" t="s">
        <v>517</v>
      </c>
      <c r="B178" s="28"/>
      <c r="C178" s="27"/>
      <c r="D178" s="27"/>
      <c r="E178" s="26"/>
      <c r="F178" s="26"/>
      <c r="G178" s="27"/>
      <c r="H178" s="27"/>
      <c r="I178" s="27"/>
      <c r="J178" s="28"/>
      <c r="K178" s="28"/>
      <c r="L178" s="26"/>
      <c r="M178" s="54" t="str">
        <f aca="false">IF(E178="","",IF(AND(N(B178)&gt;'Weekly Report'!$C$5,N(B178)&lt;='Weekly Report'!$C$4),"New",IF(AND(N(K178)&gt;'Weekly Report'!$C$5,N(K178)&lt;='Weekly Report'!$C$4),"Changed","")))</f>
        <v/>
      </c>
      <c r="N178" s="54" t="str">
        <f aca="true">IF(OR(E178="",J178="",I178="Remediated",I178="Closed",I178="Risk Accepted"),"",IF(J178&lt;TODAY(),"Overdue",""))</f>
        <v/>
      </c>
      <c r="O178" s="0" t="str">
        <f aca="false">IF(M178&lt;&gt;"",COUNT(O$4:O177)+1,"")</f>
        <v/>
      </c>
    </row>
    <row r="179" customFormat="false" ht="15" hidden="false" customHeight="false" outlineLevel="0" collapsed="false">
      <c r="A179" s="53" t="s">
        <v>518</v>
      </c>
      <c r="B179" s="28"/>
      <c r="C179" s="27"/>
      <c r="D179" s="27"/>
      <c r="E179" s="26"/>
      <c r="F179" s="26"/>
      <c r="G179" s="27"/>
      <c r="H179" s="27"/>
      <c r="I179" s="27"/>
      <c r="J179" s="28"/>
      <c r="K179" s="28"/>
      <c r="L179" s="26"/>
      <c r="M179" s="54" t="str">
        <f aca="false">IF(E179="","",IF(AND(N(B179)&gt;'Weekly Report'!$C$5,N(B179)&lt;='Weekly Report'!$C$4),"New",IF(AND(N(K179)&gt;'Weekly Report'!$C$5,N(K179)&lt;='Weekly Report'!$C$4),"Changed","")))</f>
        <v/>
      </c>
      <c r="N179" s="54" t="str">
        <f aca="true">IF(OR(E179="",J179="",I179="Remediated",I179="Closed",I179="Risk Accepted"),"",IF(J179&lt;TODAY(),"Overdue",""))</f>
        <v/>
      </c>
      <c r="O179" s="0" t="str">
        <f aca="false">IF(M179&lt;&gt;"",COUNT(O$4:O178)+1,"")</f>
        <v/>
      </c>
    </row>
    <row r="180" customFormat="false" ht="15" hidden="false" customHeight="false" outlineLevel="0" collapsed="false">
      <c r="A180" s="53" t="s">
        <v>519</v>
      </c>
      <c r="B180" s="28"/>
      <c r="C180" s="27"/>
      <c r="D180" s="27"/>
      <c r="E180" s="26"/>
      <c r="F180" s="26"/>
      <c r="G180" s="27"/>
      <c r="H180" s="27"/>
      <c r="I180" s="27"/>
      <c r="J180" s="28"/>
      <c r="K180" s="28"/>
      <c r="L180" s="26"/>
      <c r="M180" s="54" t="str">
        <f aca="false">IF(E180="","",IF(AND(N(B180)&gt;'Weekly Report'!$C$5,N(B180)&lt;='Weekly Report'!$C$4),"New",IF(AND(N(K180)&gt;'Weekly Report'!$C$5,N(K180)&lt;='Weekly Report'!$C$4),"Changed","")))</f>
        <v/>
      </c>
      <c r="N180" s="54" t="str">
        <f aca="true">IF(OR(E180="",J180="",I180="Remediated",I180="Closed",I180="Risk Accepted"),"",IF(J180&lt;TODAY(),"Overdue",""))</f>
        <v/>
      </c>
      <c r="O180" s="0" t="str">
        <f aca="false">IF(M180&lt;&gt;"",COUNT(O$4:O179)+1,"")</f>
        <v/>
      </c>
    </row>
    <row r="181" customFormat="false" ht="15" hidden="false" customHeight="false" outlineLevel="0" collapsed="false">
      <c r="A181" s="53" t="s">
        <v>520</v>
      </c>
      <c r="B181" s="28"/>
      <c r="C181" s="27"/>
      <c r="D181" s="27"/>
      <c r="E181" s="26"/>
      <c r="F181" s="26"/>
      <c r="G181" s="27"/>
      <c r="H181" s="27"/>
      <c r="I181" s="27"/>
      <c r="J181" s="28"/>
      <c r="K181" s="28"/>
      <c r="L181" s="26"/>
      <c r="M181" s="54" t="str">
        <f aca="false">IF(E181="","",IF(AND(N(B181)&gt;'Weekly Report'!$C$5,N(B181)&lt;='Weekly Report'!$C$4),"New",IF(AND(N(K181)&gt;'Weekly Report'!$C$5,N(K181)&lt;='Weekly Report'!$C$4),"Changed","")))</f>
        <v/>
      </c>
      <c r="N181" s="54" t="str">
        <f aca="true">IF(OR(E181="",J181="",I181="Remediated",I181="Closed",I181="Risk Accepted"),"",IF(J181&lt;TODAY(),"Overdue",""))</f>
        <v/>
      </c>
      <c r="O181" s="0" t="str">
        <f aca="false">IF(M181&lt;&gt;"",COUNT(O$4:O180)+1,"")</f>
        <v/>
      </c>
    </row>
    <row r="182" customFormat="false" ht="15" hidden="false" customHeight="false" outlineLevel="0" collapsed="false">
      <c r="A182" s="53" t="s">
        <v>521</v>
      </c>
      <c r="B182" s="28"/>
      <c r="C182" s="27"/>
      <c r="D182" s="27"/>
      <c r="E182" s="26"/>
      <c r="F182" s="26"/>
      <c r="G182" s="27"/>
      <c r="H182" s="27"/>
      <c r="I182" s="27"/>
      <c r="J182" s="28"/>
      <c r="K182" s="28"/>
      <c r="L182" s="26"/>
      <c r="M182" s="54" t="str">
        <f aca="false">IF(E182="","",IF(AND(N(B182)&gt;'Weekly Report'!$C$5,N(B182)&lt;='Weekly Report'!$C$4),"New",IF(AND(N(K182)&gt;'Weekly Report'!$C$5,N(K182)&lt;='Weekly Report'!$C$4),"Changed","")))</f>
        <v/>
      </c>
      <c r="N182" s="54" t="str">
        <f aca="true">IF(OR(E182="",J182="",I182="Remediated",I182="Closed",I182="Risk Accepted"),"",IF(J182&lt;TODAY(),"Overdue",""))</f>
        <v/>
      </c>
      <c r="O182" s="0" t="str">
        <f aca="false">IF(M182&lt;&gt;"",COUNT(O$4:O181)+1,"")</f>
        <v/>
      </c>
    </row>
    <row r="183" customFormat="false" ht="15" hidden="false" customHeight="false" outlineLevel="0" collapsed="false">
      <c r="A183" s="53" t="s">
        <v>522</v>
      </c>
      <c r="B183" s="28"/>
      <c r="C183" s="27"/>
      <c r="D183" s="27"/>
      <c r="E183" s="26"/>
      <c r="F183" s="26"/>
      <c r="G183" s="27"/>
      <c r="H183" s="27"/>
      <c r="I183" s="27"/>
      <c r="J183" s="28"/>
      <c r="K183" s="28"/>
      <c r="L183" s="26"/>
      <c r="M183" s="54" t="str">
        <f aca="false">IF(E183="","",IF(AND(N(B183)&gt;'Weekly Report'!$C$5,N(B183)&lt;='Weekly Report'!$C$4),"New",IF(AND(N(K183)&gt;'Weekly Report'!$C$5,N(K183)&lt;='Weekly Report'!$C$4),"Changed","")))</f>
        <v/>
      </c>
      <c r="N183" s="54" t="str">
        <f aca="true">IF(OR(E183="",J183="",I183="Remediated",I183="Closed",I183="Risk Accepted"),"",IF(J183&lt;TODAY(),"Overdue",""))</f>
        <v/>
      </c>
      <c r="O183" s="0" t="str">
        <f aca="false">IF(M183&lt;&gt;"",COUNT(O$4:O182)+1,"")</f>
        <v/>
      </c>
    </row>
    <row r="184" customFormat="false" ht="15" hidden="false" customHeight="false" outlineLevel="0" collapsed="false">
      <c r="A184" s="53" t="s">
        <v>523</v>
      </c>
      <c r="B184" s="28"/>
      <c r="C184" s="27"/>
      <c r="D184" s="27"/>
      <c r="E184" s="26"/>
      <c r="F184" s="26"/>
      <c r="G184" s="27"/>
      <c r="H184" s="27"/>
      <c r="I184" s="27"/>
      <c r="J184" s="28"/>
      <c r="K184" s="28"/>
      <c r="L184" s="26"/>
      <c r="M184" s="54" t="str">
        <f aca="false">IF(E184="","",IF(AND(N(B184)&gt;'Weekly Report'!$C$5,N(B184)&lt;='Weekly Report'!$C$4),"New",IF(AND(N(K184)&gt;'Weekly Report'!$C$5,N(K184)&lt;='Weekly Report'!$C$4),"Changed","")))</f>
        <v/>
      </c>
      <c r="N184" s="54" t="str">
        <f aca="true">IF(OR(E184="",J184="",I184="Remediated",I184="Closed",I184="Risk Accepted"),"",IF(J184&lt;TODAY(),"Overdue",""))</f>
        <v/>
      </c>
      <c r="O184" s="0" t="str">
        <f aca="false">IF(M184&lt;&gt;"",COUNT(O$4:O183)+1,"")</f>
        <v/>
      </c>
    </row>
    <row r="185" customFormat="false" ht="15" hidden="false" customHeight="false" outlineLevel="0" collapsed="false">
      <c r="A185" s="53" t="s">
        <v>524</v>
      </c>
      <c r="B185" s="28"/>
      <c r="C185" s="27"/>
      <c r="D185" s="27"/>
      <c r="E185" s="26"/>
      <c r="F185" s="26"/>
      <c r="G185" s="27"/>
      <c r="H185" s="27"/>
      <c r="I185" s="27"/>
      <c r="J185" s="28"/>
      <c r="K185" s="28"/>
      <c r="L185" s="26"/>
      <c r="M185" s="54" t="str">
        <f aca="false">IF(E185="","",IF(AND(N(B185)&gt;'Weekly Report'!$C$5,N(B185)&lt;='Weekly Report'!$C$4),"New",IF(AND(N(K185)&gt;'Weekly Report'!$C$5,N(K185)&lt;='Weekly Report'!$C$4),"Changed","")))</f>
        <v/>
      </c>
      <c r="N185" s="54" t="str">
        <f aca="true">IF(OR(E185="",J185="",I185="Remediated",I185="Closed",I185="Risk Accepted"),"",IF(J185&lt;TODAY(),"Overdue",""))</f>
        <v/>
      </c>
      <c r="O185" s="0" t="str">
        <f aca="false">IF(M185&lt;&gt;"",COUNT(O$4:O184)+1,"")</f>
        <v/>
      </c>
    </row>
    <row r="186" customFormat="false" ht="15" hidden="false" customHeight="false" outlineLevel="0" collapsed="false">
      <c r="A186" s="53" t="s">
        <v>525</v>
      </c>
      <c r="B186" s="28"/>
      <c r="C186" s="27"/>
      <c r="D186" s="27"/>
      <c r="E186" s="26"/>
      <c r="F186" s="26"/>
      <c r="G186" s="27"/>
      <c r="H186" s="27"/>
      <c r="I186" s="27"/>
      <c r="J186" s="28"/>
      <c r="K186" s="28"/>
      <c r="L186" s="26"/>
      <c r="M186" s="54" t="str">
        <f aca="false">IF(E186="","",IF(AND(N(B186)&gt;'Weekly Report'!$C$5,N(B186)&lt;='Weekly Report'!$C$4),"New",IF(AND(N(K186)&gt;'Weekly Report'!$C$5,N(K186)&lt;='Weekly Report'!$C$4),"Changed","")))</f>
        <v/>
      </c>
      <c r="N186" s="54" t="str">
        <f aca="true">IF(OR(E186="",J186="",I186="Remediated",I186="Closed",I186="Risk Accepted"),"",IF(J186&lt;TODAY(),"Overdue",""))</f>
        <v/>
      </c>
      <c r="O186" s="0" t="str">
        <f aca="false">IF(M186&lt;&gt;"",COUNT(O$4:O185)+1,"")</f>
        <v/>
      </c>
    </row>
    <row r="187" customFormat="false" ht="15" hidden="false" customHeight="false" outlineLevel="0" collapsed="false">
      <c r="A187" s="53" t="s">
        <v>526</v>
      </c>
      <c r="B187" s="28"/>
      <c r="C187" s="27"/>
      <c r="D187" s="27"/>
      <c r="E187" s="26"/>
      <c r="F187" s="26"/>
      <c r="G187" s="27"/>
      <c r="H187" s="27"/>
      <c r="I187" s="27"/>
      <c r="J187" s="28"/>
      <c r="K187" s="28"/>
      <c r="L187" s="26"/>
      <c r="M187" s="54" t="str">
        <f aca="false">IF(E187="","",IF(AND(N(B187)&gt;'Weekly Report'!$C$5,N(B187)&lt;='Weekly Report'!$C$4),"New",IF(AND(N(K187)&gt;'Weekly Report'!$C$5,N(K187)&lt;='Weekly Report'!$C$4),"Changed","")))</f>
        <v/>
      </c>
      <c r="N187" s="54" t="str">
        <f aca="true">IF(OR(E187="",J187="",I187="Remediated",I187="Closed",I187="Risk Accepted"),"",IF(J187&lt;TODAY(),"Overdue",""))</f>
        <v/>
      </c>
      <c r="O187" s="0" t="str">
        <f aca="false">IF(M187&lt;&gt;"",COUNT(O$4:O186)+1,"")</f>
        <v/>
      </c>
    </row>
    <row r="188" customFormat="false" ht="15" hidden="false" customHeight="false" outlineLevel="0" collapsed="false">
      <c r="A188" s="53" t="s">
        <v>527</v>
      </c>
      <c r="B188" s="28"/>
      <c r="C188" s="27"/>
      <c r="D188" s="27"/>
      <c r="E188" s="26"/>
      <c r="F188" s="26"/>
      <c r="G188" s="27"/>
      <c r="H188" s="27"/>
      <c r="I188" s="27"/>
      <c r="J188" s="28"/>
      <c r="K188" s="28"/>
      <c r="L188" s="26"/>
      <c r="M188" s="54" t="str">
        <f aca="false">IF(E188="","",IF(AND(N(B188)&gt;'Weekly Report'!$C$5,N(B188)&lt;='Weekly Report'!$C$4),"New",IF(AND(N(K188)&gt;'Weekly Report'!$C$5,N(K188)&lt;='Weekly Report'!$C$4),"Changed","")))</f>
        <v/>
      </c>
      <c r="N188" s="54" t="str">
        <f aca="true">IF(OR(E188="",J188="",I188="Remediated",I188="Closed",I188="Risk Accepted"),"",IF(J188&lt;TODAY(),"Overdue",""))</f>
        <v/>
      </c>
      <c r="O188" s="0" t="str">
        <f aca="false">IF(M188&lt;&gt;"",COUNT(O$4:O187)+1,"")</f>
        <v/>
      </c>
    </row>
    <row r="189" customFormat="false" ht="15" hidden="false" customHeight="false" outlineLevel="0" collapsed="false">
      <c r="A189" s="53" t="s">
        <v>528</v>
      </c>
      <c r="B189" s="28"/>
      <c r="C189" s="27"/>
      <c r="D189" s="27"/>
      <c r="E189" s="26"/>
      <c r="F189" s="26"/>
      <c r="G189" s="27"/>
      <c r="H189" s="27"/>
      <c r="I189" s="27"/>
      <c r="J189" s="28"/>
      <c r="K189" s="28"/>
      <c r="L189" s="26"/>
      <c r="M189" s="54" t="str">
        <f aca="false">IF(E189="","",IF(AND(N(B189)&gt;'Weekly Report'!$C$5,N(B189)&lt;='Weekly Report'!$C$4),"New",IF(AND(N(K189)&gt;'Weekly Report'!$C$5,N(K189)&lt;='Weekly Report'!$C$4),"Changed","")))</f>
        <v/>
      </c>
      <c r="N189" s="54" t="str">
        <f aca="true">IF(OR(E189="",J189="",I189="Remediated",I189="Closed",I189="Risk Accepted"),"",IF(J189&lt;TODAY(),"Overdue",""))</f>
        <v/>
      </c>
      <c r="O189" s="0" t="str">
        <f aca="false">IF(M189&lt;&gt;"",COUNT(O$4:O188)+1,"")</f>
        <v/>
      </c>
    </row>
    <row r="190" customFormat="false" ht="15" hidden="false" customHeight="false" outlineLevel="0" collapsed="false">
      <c r="A190" s="53" t="s">
        <v>529</v>
      </c>
      <c r="B190" s="28"/>
      <c r="C190" s="27"/>
      <c r="D190" s="27"/>
      <c r="E190" s="26"/>
      <c r="F190" s="26"/>
      <c r="G190" s="27"/>
      <c r="H190" s="27"/>
      <c r="I190" s="27"/>
      <c r="J190" s="28"/>
      <c r="K190" s="28"/>
      <c r="L190" s="26"/>
      <c r="M190" s="54" t="str">
        <f aca="false">IF(E190="","",IF(AND(N(B190)&gt;'Weekly Report'!$C$5,N(B190)&lt;='Weekly Report'!$C$4),"New",IF(AND(N(K190)&gt;'Weekly Report'!$C$5,N(K190)&lt;='Weekly Report'!$C$4),"Changed","")))</f>
        <v/>
      </c>
      <c r="N190" s="54" t="str">
        <f aca="true">IF(OR(E190="",J190="",I190="Remediated",I190="Closed",I190="Risk Accepted"),"",IF(J190&lt;TODAY(),"Overdue",""))</f>
        <v/>
      </c>
      <c r="O190" s="0" t="str">
        <f aca="false">IF(M190&lt;&gt;"",COUNT(O$4:O189)+1,"")</f>
        <v/>
      </c>
    </row>
    <row r="191" customFormat="false" ht="15" hidden="false" customHeight="false" outlineLevel="0" collapsed="false">
      <c r="A191" s="53" t="s">
        <v>530</v>
      </c>
      <c r="B191" s="28"/>
      <c r="C191" s="27"/>
      <c r="D191" s="27"/>
      <c r="E191" s="26"/>
      <c r="F191" s="26"/>
      <c r="G191" s="27"/>
      <c r="H191" s="27"/>
      <c r="I191" s="27"/>
      <c r="J191" s="28"/>
      <c r="K191" s="28"/>
      <c r="L191" s="26"/>
      <c r="M191" s="54" t="str">
        <f aca="false">IF(E191="","",IF(AND(N(B191)&gt;'Weekly Report'!$C$5,N(B191)&lt;='Weekly Report'!$C$4),"New",IF(AND(N(K191)&gt;'Weekly Report'!$C$5,N(K191)&lt;='Weekly Report'!$C$4),"Changed","")))</f>
        <v/>
      </c>
      <c r="N191" s="54" t="str">
        <f aca="true">IF(OR(E191="",J191="",I191="Remediated",I191="Closed",I191="Risk Accepted"),"",IF(J191&lt;TODAY(),"Overdue",""))</f>
        <v/>
      </c>
      <c r="O191" s="0" t="str">
        <f aca="false">IF(M191&lt;&gt;"",COUNT(O$4:O190)+1,"")</f>
        <v/>
      </c>
    </row>
    <row r="192" customFormat="false" ht="15" hidden="false" customHeight="false" outlineLevel="0" collapsed="false">
      <c r="A192" s="53" t="s">
        <v>531</v>
      </c>
      <c r="B192" s="28"/>
      <c r="C192" s="27"/>
      <c r="D192" s="27"/>
      <c r="E192" s="26"/>
      <c r="F192" s="26"/>
      <c r="G192" s="27"/>
      <c r="H192" s="27"/>
      <c r="I192" s="27"/>
      <c r="J192" s="28"/>
      <c r="K192" s="28"/>
      <c r="L192" s="26"/>
      <c r="M192" s="54" t="str">
        <f aca="false">IF(E192="","",IF(AND(N(B192)&gt;'Weekly Report'!$C$5,N(B192)&lt;='Weekly Report'!$C$4),"New",IF(AND(N(K192)&gt;'Weekly Report'!$C$5,N(K192)&lt;='Weekly Report'!$C$4),"Changed","")))</f>
        <v/>
      </c>
      <c r="N192" s="54" t="str">
        <f aca="true">IF(OR(E192="",J192="",I192="Remediated",I192="Closed",I192="Risk Accepted"),"",IF(J192&lt;TODAY(),"Overdue",""))</f>
        <v/>
      </c>
      <c r="O192" s="0" t="str">
        <f aca="false">IF(M192&lt;&gt;"",COUNT(O$4:O191)+1,"")</f>
        <v/>
      </c>
    </row>
    <row r="193" customFormat="false" ht="15" hidden="false" customHeight="false" outlineLevel="0" collapsed="false">
      <c r="A193" s="53" t="s">
        <v>532</v>
      </c>
      <c r="B193" s="28"/>
      <c r="C193" s="27"/>
      <c r="D193" s="27"/>
      <c r="E193" s="26"/>
      <c r="F193" s="26"/>
      <c r="G193" s="27"/>
      <c r="H193" s="27"/>
      <c r="I193" s="27"/>
      <c r="J193" s="28"/>
      <c r="K193" s="28"/>
      <c r="L193" s="26"/>
      <c r="M193" s="54" t="str">
        <f aca="false">IF(E193="","",IF(AND(N(B193)&gt;'Weekly Report'!$C$5,N(B193)&lt;='Weekly Report'!$C$4),"New",IF(AND(N(K193)&gt;'Weekly Report'!$C$5,N(K193)&lt;='Weekly Report'!$C$4),"Changed","")))</f>
        <v/>
      </c>
      <c r="N193" s="54" t="str">
        <f aca="true">IF(OR(E193="",J193="",I193="Remediated",I193="Closed",I193="Risk Accepted"),"",IF(J193&lt;TODAY(),"Overdue",""))</f>
        <v/>
      </c>
      <c r="O193" s="0" t="str">
        <f aca="false">IF(M193&lt;&gt;"",COUNT(O$4:O192)+1,"")</f>
        <v/>
      </c>
    </row>
    <row r="194" customFormat="false" ht="15" hidden="false" customHeight="false" outlineLevel="0" collapsed="false">
      <c r="A194" s="53" t="s">
        <v>533</v>
      </c>
      <c r="B194" s="28"/>
      <c r="C194" s="27"/>
      <c r="D194" s="27"/>
      <c r="E194" s="26"/>
      <c r="F194" s="26"/>
      <c r="G194" s="27"/>
      <c r="H194" s="27"/>
      <c r="I194" s="27"/>
      <c r="J194" s="28"/>
      <c r="K194" s="28"/>
      <c r="L194" s="26"/>
      <c r="M194" s="54" t="str">
        <f aca="false">IF(E194="","",IF(AND(N(B194)&gt;'Weekly Report'!$C$5,N(B194)&lt;='Weekly Report'!$C$4),"New",IF(AND(N(K194)&gt;'Weekly Report'!$C$5,N(K194)&lt;='Weekly Report'!$C$4),"Changed","")))</f>
        <v/>
      </c>
      <c r="N194" s="54" t="str">
        <f aca="true">IF(OR(E194="",J194="",I194="Remediated",I194="Closed",I194="Risk Accepted"),"",IF(J194&lt;TODAY(),"Overdue",""))</f>
        <v/>
      </c>
      <c r="O194" s="0" t="str">
        <f aca="false">IF(M194&lt;&gt;"",COUNT(O$4:O193)+1,"")</f>
        <v/>
      </c>
    </row>
    <row r="195" customFormat="false" ht="15" hidden="false" customHeight="false" outlineLevel="0" collapsed="false">
      <c r="A195" s="53" t="s">
        <v>534</v>
      </c>
      <c r="B195" s="28"/>
      <c r="C195" s="27"/>
      <c r="D195" s="27"/>
      <c r="E195" s="26"/>
      <c r="F195" s="26"/>
      <c r="G195" s="27"/>
      <c r="H195" s="27"/>
      <c r="I195" s="27"/>
      <c r="J195" s="28"/>
      <c r="K195" s="28"/>
      <c r="L195" s="26"/>
      <c r="M195" s="54" t="str">
        <f aca="false">IF(E195="","",IF(AND(N(B195)&gt;'Weekly Report'!$C$5,N(B195)&lt;='Weekly Report'!$C$4),"New",IF(AND(N(K195)&gt;'Weekly Report'!$C$5,N(K195)&lt;='Weekly Report'!$C$4),"Changed","")))</f>
        <v/>
      </c>
      <c r="N195" s="54" t="str">
        <f aca="true">IF(OR(E195="",J195="",I195="Remediated",I195="Closed",I195="Risk Accepted"),"",IF(J195&lt;TODAY(),"Overdue",""))</f>
        <v/>
      </c>
      <c r="O195" s="0" t="str">
        <f aca="false">IF(M195&lt;&gt;"",COUNT(O$4:O194)+1,"")</f>
        <v/>
      </c>
    </row>
    <row r="196" customFormat="false" ht="15" hidden="false" customHeight="false" outlineLevel="0" collapsed="false">
      <c r="A196" s="53" t="s">
        <v>535</v>
      </c>
      <c r="B196" s="28"/>
      <c r="C196" s="27"/>
      <c r="D196" s="27"/>
      <c r="E196" s="26"/>
      <c r="F196" s="26"/>
      <c r="G196" s="27"/>
      <c r="H196" s="27"/>
      <c r="I196" s="27"/>
      <c r="J196" s="28"/>
      <c r="K196" s="28"/>
      <c r="L196" s="26"/>
      <c r="M196" s="54" t="str">
        <f aca="false">IF(E196="","",IF(AND(N(B196)&gt;'Weekly Report'!$C$5,N(B196)&lt;='Weekly Report'!$C$4),"New",IF(AND(N(K196)&gt;'Weekly Report'!$C$5,N(K196)&lt;='Weekly Report'!$C$4),"Changed","")))</f>
        <v/>
      </c>
      <c r="N196" s="54" t="str">
        <f aca="true">IF(OR(E196="",J196="",I196="Remediated",I196="Closed",I196="Risk Accepted"),"",IF(J196&lt;TODAY(),"Overdue",""))</f>
        <v/>
      </c>
      <c r="O196" s="0" t="str">
        <f aca="false">IF(M196&lt;&gt;"",COUNT(O$4:O195)+1,"")</f>
        <v/>
      </c>
    </row>
    <row r="197" customFormat="false" ht="15" hidden="false" customHeight="false" outlineLevel="0" collapsed="false">
      <c r="A197" s="53" t="s">
        <v>536</v>
      </c>
      <c r="B197" s="28"/>
      <c r="C197" s="27"/>
      <c r="D197" s="27"/>
      <c r="E197" s="26"/>
      <c r="F197" s="26"/>
      <c r="G197" s="27"/>
      <c r="H197" s="27"/>
      <c r="I197" s="27"/>
      <c r="J197" s="28"/>
      <c r="K197" s="28"/>
      <c r="L197" s="26"/>
      <c r="M197" s="54" t="str">
        <f aca="false">IF(E197="","",IF(AND(N(B197)&gt;'Weekly Report'!$C$5,N(B197)&lt;='Weekly Report'!$C$4),"New",IF(AND(N(K197)&gt;'Weekly Report'!$C$5,N(K197)&lt;='Weekly Report'!$C$4),"Changed","")))</f>
        <v/>
      </c>
      <c r="N197" s="54" t="str">
        <f aca="true">IF(OR(E197="",J197="",I197="Remediated",I197="Closed",I197="Risk Accepted"),"",IF(J197&lt;TODAY(),"Overdue",""))</f>
        <v/>
      </c>
      <c r="O197" s="0" t="str">
        <f aca="false">IF(M197&lt;&gt;"",COUNT(O$4:O196)+1,"")</f>
        <v/>
      </c>
    </row>
    <row r="198" customFormat="false" ht="15" hidden="false" customHeight="false" outlineLevel="0" collapsed="false">
      <c r="A198" s="53" t="s">
        <v>537</v>
      </c>
      <c r="B198" s="28"/>
      <c r="C198" s="27"/>
      <c r="D198" s="27"/>
      <c r="E198" s="26"/>
      <c r="F198" s="26"/>
      <c r="G198" s="27"/>
      <c r="H198" s="27"/>
      <c r="I198" s="27"/>
      <c r="J198" s="28"/>
      <c r="K198" s="28"/>
      <c r="L198" s="26"/>
      <c r="M198" s="54" t="str">
        <f aca="false">IF(E198="","",IF(AND(N(B198)&gt;'Weekly Report'!$C$5,N(B198)&lt;='Weekly Report'!$C$4),"New",IF(AND(N(K198)&gt;'Weekly Report'!$C$5,N(K198)&lt;='Weekly Report'!$C$4),"Changed","")))</f>
        <v/>
      </c>
      <c r="N198" s="54" t="str">
        <f aca="true">IF(OR(E198="",J198="",I198="Remediated",I198="Closed",I198="Risk Accepted"),"",IF(J198&lt;TODAY(),"Overdue",""))</f>
        <v/>
      </c>
      <c r="O198" s="0" t="str">
        <f aca="false">IF(M198&lt;&gt;"",COUNT(O$4:O197)+1,"")</f>
        <v/>
      </c>
    </row>
    <row r="199" customFormat="false" ht="15" hidden="false" customHeight="false" outlineLevel="0" collapsed="false">
      <c r="A199" s="53" t="s">
        <v>538</v>
      </c>
      <c r="B199" s="28"/>
      <c r="C199" s="27"/>
      <c r="D199" s="27"/>
      <c r="E199" s="26"/>
      <c r="F199" s="26"/>
      <c r="G199" s="27"/>
      <c r="H199" s="27"/>
      <c r="I199" s="27"/>
      <c r="J199" s="28"/>
      <c r="K199" s="28"/>
      <c r="L199" s="26"/>
      <c r="M199" s="54" t="str">
        <f aca="false">IF(E199="","",IF(AND(N(B199)&gt;'Weekly Report'!$C$5,N(B199)&lt;='Weekly Report'!$C$4),"New",IF(AND(N(K199)&gt;'Weekly Report'!$C$5,N(K199)&lt;='Weekly Report'!$C$4),"Changed","")))</f>
        <v/>
      </c>
      <c r="N199" s="54" t="str">
        <f aca="true">IF(OR(E199="",J199="",I199="Remediated",I199="Closed",I199="Risk Accepted"),"",IF(J199&lt;TODAY(),"Overdue",""))</f>
        <v/>
      </c>
      <c r="O199" s="0" t="str">
        <f aca="false">IF(M199&lt;&gt;"",COUNT(O$4:O198)+1,"")</f>
        <v/>
      </c>
    </row>
    <row r="200" customFormat="false" ht="15" hidden="false" customHeight="false" outlineLevel="0" collapsed="false">
      <c r="A200" s="53" t="s">
        <v>539</v>
      </c>
      <c r="B200" s="28"/>
      <c r="C200" s="27"/>
      <c r="D200" s="27"/>
      <c r="E200" s="26"/>
      <c r="F200" s="26"/>
      <c r="G200" s="27"/>
      <c r="H200" s="27"/>
      <c r="I200" s="27"/>
      <c r="J200" s="28"/>
      <c r="K200" s="28"/>
      <c r="L200" s="26"/>
      <c r="M200" s="54" t="str">
        <f aca="false">IF(E200="","",IF(AND(N(B200)&gt;'Weekly Report'!$C$5,N(B200)&lt;='Weekly Report'!$C$4),"New",IF(AND(N(K200)&gt;'Weekly Report'!$C$5,N(K200)&lt;='Weekly Report'!$C$4),"Changed","")))</f>
        <v/>
      </c>
      <c r="N200" s="54" t="str">
        <f aca="true">IF(OR(E200="",J200="",I200="Remediated",I200="Closed",I200="Risk Accepted"),"",IF(J200&lt;TODAY(),"Overdue",""))</f>
        <v/>
      </c>
      <c r="O200" s="0" t="str">
        <f aca="false">IF(M200&lt;&gt;"",COUNT(O$4:O199)+1,"")</f>
        <v/>
      </c>
    </row>
    <row r="201" customFormat="false" ht="15" hidden="false" customHeight="false" outlineLevel="0" collapsed="false">
      <c r="A201" s="53" t="s">
        <v>540</v>
      </c>
      <c r="B201" s="28"/>
      <c r="C201" s="27"/>
      <c r="D201" s="27"/>
      <c r="E201" s="26"/>
      <c r="F201" s="26"/>
      <c r="G201" s="27"/>
      <c r="H201" s="27"/>
      <c r="I201" s="27"/>
      <c r="J201" s="28"/>
      <c r="K201" s="28"/>
      <c r="L201" s="26"/>
      <c r="M201" s="54" t="str">
        <f aca="false">IF(E201="","",IF(AND(N(B201)&gt;'Weekly Report'!$C$5,N(B201)&lt;='Weekly Report'!$C$4),"New",IF(AND(N(K201)&gt;'Weekly Report'!$C$5,N(K201)&lt;='Weekly Report'!$C$4),"Changed","")))</f>
        <v/>
      </c>
      <c r="N201" s="54" t="str">
        <f aca="true">IF(OR(E201="",J201="",I201="Remediated",I201="Closed",I201="Risk Accepted"),"",IF(J201&lt;TODAY(),"Overdue",""))</f>
        <v/>
      </c>
      <c r="O201" s="0" t="str">
        <f aca="false">IF(M201&lt;&gt;"",COUNT(O$4:O200)+1,"")</f>
        <v/>
      </c>
    </row>
    <row r="202" customFormat="false" ht="15" hidden="false" customHeight="false" outlineLevel="0" collapsed="false">
      <c r="A202" s="53" t="s">
        <v>541</v>
      </c>
      <c r="B202" s="28"/>
      <c r="C202" s="27"/>
      <c r="D202" s="27"/>
      <c r="E202" s="26"/>
      <c r="F202" s="26"/>
      <c r="G202" s="27"/>
      <c r="H202" s="27"/>
      <c r="I202" s="27"/>
      <c r="J202" s="28"/>
      <c r="K202" s="28"/>
      <c r="L202" s="26"/>
      <c r="M202" s="54" t="str">
        <f aca="false">IF(E202="","",IF(AND(N(B202)&gt;'Weekly Report'!$C$5,N(B202)&lt;='Weekly Report'!$C$4),"New",IF(AND(N(K202)&gt;'Weekly Report'!$C$5,N(K202)&lt;='Weekly Report'!$C$4),"Changed","")))</f>
        <v/>
      </c>
      <c r="N202" s="54" t="str">
        <f aca="true">IF(OR(E202="",J202="",I202="Remediated",I202="Closed",I202="Risk Accepted"),"",IF(J202&lt;TODAY(),"Overdue",""))</f>
        <v/>
      </c>
      <c r="O202" s="0" t="str">
        <f aca="false">IF(M202&lt;&gt;"",COUNT(O$4:O201)+1,"")</f>
        <v/>
      </c>
    </row>
    <row r="203" customFormat="false" ht="15" hidden="false" customHeight="false" outlineLevel="0" collapsed="false">
      <c r="A203" s="53" t="s">
        <v>542</v>
      </c>
      <c r="B203" s="28"/>
      <c r="C203" s="27"/>
      <c r="D203" s="27"/>
      <c r="E203" s="26"/>
      <c r="F203" s="26"/>
      <c r="G203" s="27"/>
      <c r="H203" s="27"/>
      <c r="I203" s="27"/>
      <c r="J203" s="28"/>
      <c r="K203" s="28"/>
      <c r="L203" s="26"/>
      <c r="M203" s="54" t="str">
        <f aca="false">IF(E203="","",IF(AND(N(B203)&gt;'Weekly Report'!$C$5,N(B203)&lt;='Weekly Report'!$C$4),"New",IF(AND(N(K203)&gt;'Weekly Report'!$C$5,N(K203)&lt;='Weekly Report'!$C$4),"Changed","")))</f>
        <v/>
      </c>
      <c r="N203" s="54" t="str">
        <f aca="true">IF(OR(E203="",J203="",I203="Remediated",I203="Closed",I203="Risk Accepted"),"",IF(J203&lt;TODAY(),"Overdue",""))</f>
        <v/>
      </c>
      <c r="O203" s="0" t="str">
        <f aca="false">IF(M203&lt;&gt;"",COUNT(O$4:O202)+1,"")</f>
        <v/>
      </c>
    </row>
    <row r="204" customFormat="false" ht="15" hidden="false" customHeight="false" outlineLevel="0" collapsed="false">
      <c r="A204" s="53" t="s">
        <v>543</v>
      </c>
      <c r="B204" s="28"/>
      <c r="C204" s="27"/>
      <c r="D204" s="27"/>
      <c r="E204" s="26"/>
      <c r="F204" s="26"/>
      <c r="G204" s="27"/>
      <c r="H204" s="27"/>
      <c r="I204" s="27"/>
      <c r="J204" s="28"/>
      <c r="K204" s="28"/>
      <c r="L204" s="26"/>
      <c r="M204" s="54" t="str">
        <f aca="false">IF(E204="","",IF(AND(N(B204)&gt;'Weekly Report'!$C$5,N(B204)&lt;='Weekly Report'!$C$4),"New",IF(AND(N(K204)&gt;'Weekly Report'!$C$5,N(K204)&lt;='Weekly Report'!$C$4),"Changed","")))</f>
        <v/>
      </c>
      <c r="N204" s="54" t="str">
        <f aca="true">IF(OR(E204="",J204="",I204="Remediated",I204="Closed",I204="Risk Accepted"),"",IF(J204&lt;TODAY(),"Overdue",""))</f>
        <v/>
      </c>
      <c r="O204" s="0" t="str">
        <f aca="false">IF(M204&lt;&gt;"",COUNT(O$4:O203)+1,"")</f>
        <v/>
      </c>
    </row>
  </sheetData>
  <autoFilter ref="A4:N204"/>
  <conditionalFormatting sqref="G5:G204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3">
      <formula>"High"</formula>
    </cfRule>
    <cfRule type="cellIs" priority="4" operator="equal" aboveAverage="0" equalAverage="0" bottom="0" percent="0" rank="0" text="" dxfId="2">
      <formula>"Medium"</formula>
    </cfRule>
  </conditionalFormatting>
  <conditionalFormatting sqref="I5:I204">
    <cfRule type="cellIs" priority="5" operator="equal" aboveAverage="0" equalAverage="0" bottom="0" percent="0" rank="0" text="" dxfId="1">
      <formula>"Completed"</formula>
    </cfRule>
    <cfRule type="cellIs" priority="6" operator="equal" aboveAverage="0" equalAverage="0" bottom="0" percent="0" rank="0" text="" dxfId="1">
      <formula>"Remediated"</formula>
    </cfRule>
    <cfRule type="cellIs" priority="7" operator="equal" aboveAverage="0" equalAverage="0" bottom="0" percent="0" rank="0" text="" dxfId="1">
      <formula>"Closed"</formula>
    </cfRule>
    <cfRule type="cellIs" priority="8" operator="equal" aboveAverage="0" equalAverage="0" bottom="0" percent="0" rank="0" text="" dxfId="1">
      <formula>"Resolved"</formula>
    </cfRule>
    <cfRule type="cellIs" priority="9" operator="equal" aboveAverage="0" equalAverage="0" bottom="0" percent="0" rank="0" text="" dxfId="1">
      <formula>"Done"</formula>
    </cfRule>
    <cfRule type="cellIs" priority="10" operator="equal" aboveAverage="0" equalAverage="0" bottom="0" percent="0" rank="0" text="" dxfId="1">
      <formula>"On plan"</formula>
    </cfRule>
    <cfRule type="cellIs" priority="11" operator="equal" aboveAverage="0" equalAverage="0" bottom="0" percent="0" rank="0" text="" dxfId="2">
      <formula>"In Progress"</formula>
    </cfRule>
    <cfRule type="cellIs" priority="12" operator="equal" aboveAverage="0" equalAverage="0" bottom="0" percent="0" rank="0" text="" dxfId="2">
      <formula>"Open"</formula>
    </cfRule>
    <cfRule type="cellIs" priority="13" operator="equal" aboveAverage="0" equalAverage="0" bottom="0" percent="0" rank="0" text="" dxfId="2">
      <formula>"Late start"</formula>
    </cfRule>
    <cfRule type="cellIs" priority="14" operator="equal" aboveAverage="0" equalAverage="0" bottom="0" percent="0" rank="0" text="" dxfId="2">
      <formula>"Changed"</formula>
    </cfRule>
    <cfRule type="cellIs" priority="15" operator="equal" aboveAverage="0" equalAverage="0" bottom="0" percent="0" rank="0" text="" dxfId="3">
      <formula>"Blocked"</formula>
    </cfRule>
    <cfRule type="cellIs" priority="16" operator="equal" aboveAverage="0" equalAverage="0" bottom="0" percent="0" rank="0" text="" dxfId="3">
      <formula>"Delayed"</formula>
    </cfRule>
    <cfRule type="cellIs" priority="17" operator="equal" aboveAverage="0" equalAverage="0" bottom="0" percent="0" rank="0" text="" dxfId="3">
      <formula>"Overdue"</formula>
    </cfRule>
    <cfRule type="cellIs" priority="18" operator="equal" aboveAverage="0" equalAverage="0" bottom="0" percent="0" rank="0" text="" dxfId="3">
      <formula>"Behind plan"</formula>
    </cfRule>
    <cfRule type="cellIs" priority="19" operator="equal" aboveAverage="0" equalAverage="0" bottom="0" percent="0" rank="0" text="" dxfId="3">
      <formula>"New"</formula>
    </cfRule>
    <cfRule type="cellIs" priority="20" operator="equal" aboveAverage="0" equalAverage="0" bottom="0" percent="0" rank="0" text="" dxfId="4">
      <formula>"Cancelled"</formula>
    </cfRule>
    <cfRule type="cellIs" priority="21" operator="equal" aboveAverage="0" equalAverage="0" bottom="0" percent="0" rank="0" text="" dxfId="4">
      <formula>"Risk Accepted"</formula>
    </cfRule>
  </conditionalFormatting>
  <conditionalFormatting sqref="M5:M204">
    <cfRule type="cellIs" priority="22" operator="equal" aboveAverage="0" equalAverage="0" bottom="0" percent="0" rank="0" text="" dxfId="1">
      <formula>"Completed"</formula>
    </cfRule>
    <cfRule type="cellIs" priority="23" operator="equal" aboveAverage="0" equalAverage="0" bottom="0" percent="0" rank="0" text="" dxfId="1">
      <formula>"Remediated"</formula>
    </cfRule>
    <cfRule type="cellIs" priority="24" operator="equal" aboveAverage="0" equalAverage="0" bottom="0" percent="0" rank="0" text="" dxfId="1">
      <formula>"Closed"</formula>
    </cfRule>
    <cfRule type="cellIs" priority="25" operator="equal" aboveAverage="0" equalAverage="0" bottom="0" percent="0" rank="0" text="" dxfId="1">
      <formula>"Resolved"</formula>
    </cfRule>
    <cfRule type="cellIs" priority="26" operator="equal" aboveAverage="0" equalAverage="0" bottom="0" percent="0" rank="0" text="" dxfId="1">
      <formula>"Done"</formula>
    </cfRule>
    <cfRule type="cellIs" priority="27" operator="equal" aboveAverage="0" equalAverage="0" bottom="0" percent="0" rank="0" text="" dxfId="1">
      <formula>"On plan"</formula>
    </cfRule>
    <cfRule type="cellIs" priority="28" operator="equal" aboveAverage="0" equalAverage="0" bottom="0" percent="0" rank="0" text="" dxfId="2">
      <formula>"In Progress"</formula>
    </cfRule>
    <cfRule type="cellIs" priority="29" operator="equal" aboveAverage="0" equalAverage="0" bottom="0" percent="0" rank="0" text="" dxfId="2">
      <formula>"Open"</formula>
    </cfRule>
    <cfRule type="cellIs" priority="30" operator="equal" aboveAverage="0" equalAverage="0" bottom="0" percent="0" rank="0" text="" dxfId="2">
      <formula>"Late start"</formula>
    </cfRule>
    <cfRule type="cellIs" priority="31" operator="equal" aboveAverage="0" equalAverage="0" bottom="0" percent="0" rank="0" text="" dxfId="2">
      <formula>"Changed"</formula>
    </cfRule>
    <cfRule type="cellIs" priority="32" operator="equal" aboveAverage="0" equalAverage="0" bottom="0" percent="0" rank="0" text="" dxfId="3">
      <formula>"Blocked"</formula>
    </cfRule>
    <cfRule type="cellIs" priority="33" operator="equal" aboveAverage="0" equalAverage="0" bottom="0" percent="0" rank="0" text="" dxfId="3">
      <formula>"Delayed"</formula>
    </cfRule>
    <cfRule type="cellIs" priority="34" operator="equal" aboveAverage="0" equalAverage="0" bottom="0" percent="0" rank="0" text="" dxfId="3">
      <formula>"Overdue"</formula>
    </cfRule>
    <cfRule type="cellIs" priority="35" operator="equal" aboveAverage="0" equalAverage="0" bottom="0" percent="0" rank="0" text="" dxfId="3">
      <formula>"Behind plan"</formula>
    </cfRule>
    <cfRule type="cellIs" priority="36" operator="equal" aboveAverage="0" equalAverage="0" bottom="0" percent="0" rank="0" text="" dxfId="3">
      <formula>"New"</formula>
    </cfRule>
    <cfRule type="cellIs" priority="37" operator="equal" aboveAverage="0" equalAverage="0" bottom="0" percent="0" rank="0" text="" dxfId="4">
      <formula>"Cancelled"</formula>
    </cfRule>
    <cfRule type="cellIs" priority="38" operator="equal" aboveAverage="0" equalAverage="0" bottom="0" percent="0" rank="0" text="" dxfId="4">
      <formula>"Risk Accepted"</formula>
    </cfRule>
  </conditionalFormatting>
  <conditionalFormatting sqref="N5:N204">
    <cfRule type="cellIs" priority="39" operator="equal" aboveAverage="0" equalAverage="0" bottom="0" percent="0" rank="0" text="" dxfId="1">
      <formula>"Completed"</formula>
    </cfRule>
    <cfRule type="cellIs" priority="40" operator="equal" aboveAverage="0" equalAverage="0" bottom="0" percent="0" rank="0" text="" dxfId="1">
      <formula>"Remediated"</formula>
    </cfRule>
    <cfRule type="cellIs" priority="41" operator="equal" aboveAverage="0" equalAverage="0" bottom="0" percent="0" rank="0" text="" dxfId="1">
      <formula>"Closed"</formula>
    </cfRule>
    <cfRule type="cellIs" priority="42" operator="equal" aboveAverage="0" equalAverage="0" bottom="0" percent="0" rank="0" text="" dxfId="1">
      <formula>"Resolved"</formula>
    </cfRule>
    <cfRule type="cellIs" priority="43" operator="equal" aboveAverage="0" equalAverage="0" bottom="0" percent="0" rank="0" text="" dxfId="1">
      <formula>"Done"</formula>
    </cfRule>
    <cfRule type="cellIs" priority="44" operator="equal" aboveAverage="0" equalAverage="0" bottom="0" percent="0" rank="0" text="" dxfId="1">
      <formula>"On plan"</formula>
    </cfRule>
    <cfRule type="cellIs" priority="45" operator="equal" aboveAverage="0" equalAverage="0" bottom="0" percent="0" rank="0" text="" dxfId="2">
      <formula>"In Progress"</formula>
    </cfRule>
    <cfRule type="cellIs" priority="46" operator="equal" aboveAverage="0" equalAverage="0" bottom="0" percent="0" rank="0" text="" dxfId="2">
      <formula>"Open"</formula>
    </cfRule>
    <cfRule type="cellIs" priority="47" operator="equal" aboveAverage="0" equalAverage="0" bottom="0" percent="0" rank="0" text="" dxfId="2">
      <formula>"Late start"</formula>
    </cfRule>
    <cfRule type="cellIs" priority="48" operator="equal" aboveAverage="0" equalAverage="0" bottom="0" percent="0" rank="0" text="" dxfId="2">
      <formula>"Changed"</formula>
    </cfRule>
    <cfRule type="cellIs" priority="49" operator="equal" aboveAverage="0" equalAverage="0" bottom="0" percent="0" rank="0" text="" dxfId="3">
      <formula>"Blocked"</formula>
    </cfRule>
    <cfRule type="cellIs" priority="50" operator="equal" aboveAverage="0" equalAverage="0" bottom="0" percent="0" rank="0" text="" dxfId="3">
      <formula>"Delayed"</formula>
    </cfRule>
    <cfRule type="cellIs" priority="51" operator="equal" aboveAverage="0" equalAverage="0" bottom="0" percent="0" rank="0" text="" dxfId="3">
      <formula>"Overdue"</formula>
    </cfRule>
    <cfRule type="cellIs" priority="52" operator="equal" aboveAverage="0" equalAverage="0" bottom="0" percent="0" rank="0" text="" dxfId="3">
      <formula>"Behind plan"</formula>
    </cfRule>
    <cfRule type="cellIs" priority="53" operator="equal" aboveAverage="0" equalAverage="0" bottom="0" percent="0" rank="0" text="" dxfId="3">
      <formula>"New"</formula>
    </cfRule>
    <cfRule type="cellIs" priority="54" operator="equal" aboveAverage="0" equalAverage="0" bottom="0" percent="0" rank="0" text="" dxfId="4">
      <formula>"Cancelled"</formula>
    </cfRule>
    <cfRule type="cellIs" priority="55" operator="equal" aboveAverage="0" equalAverage="0" bottom="0" percent="0" rank="0" text="" dxfId="4">
      <formula>"Risk Accepted"</formula>
    </cfRule>
  </conditionalFormatting>
  <dataValidations count="7">
    <dataValidation allowBlank="true" error="Enter a date, e.g. 20-Oct-2026" errorStyle="stop" operator="greaterThan" showDropDown="false" showErrorMessage="true" showInputMessage="false" sqref="B5:B204" type="date">
      <formula1>DATE(2020,1,1)</formula1>
      <formula2>0</formula2>
    </dataValidation>
    <dataValidation allowBlank="true" errorStyle="stop" operator="between" showDropDown="false" showErrorMessage="false" showInputMessage="false" sqref="C5:C204" type="list">
      <formula1>Lists!$C$4:$C$8</formula1>
      <formula2>0</formula2>
    </dataValidation>
    <dataValidation allowBlank="true" errorStyle="stop" operator="between" showDropDown="false" showErrorMessage="false" showInputMessage="false" sqref="D5:D204" type="list">
      <formula1>Lists!$B$4:$B$8</formula1>
      <formula2>0</formula2>
    </dataValidation>
    <dataValidation allowBlank="true" errorStyle="stop" operator="between" showDropDown="false" showErrorMessage="false" showInputMessage="false" sqref="G5:G204" type="list">
      <formula1>Lists!$G$4:$G$7</formula1>
      <formula2>0</formula2>
    </dataValidation>
    <dataValidation allowBlank="true" errorStyle="stop" operator="between" showDropDown="false" showErrorMessage="false" showInputMessage="false" sqref="I5:I204" type="list">
      <formula1>Lists!$H$4:$H$8</formula1>
      <formula2>0</formula2>
    </dataValidation>
    <dataValidation allowBlank="true" error="Enter a date, e.g. 20-Oct-2026" errorStyle="stop" operator="greaterThan" showDropDown="false" showErrorMessage="true" showInputMessage="false" sqref="J5:J204" type="date">
      <formula1>DATE(2020,1,1)</formula1>
      <formula2>0</formula2>
    </dataValidation>
    <dataValidation allowBlank="true" error="Enter a date, e.g. 20-Oct-2026" errorStyle="stop" operator="greaterThan" showDropDown="false" showErrorMessage="true" showInputMessage="false" sqref="K5:K204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2"/>
    <col collapsed="false" customWidth="true" hidden="true" outlineLevel="0" max="12" min="12" style="0" width="13"/>
  </cols>
  <sheetData>
    <row r="1" customFormat="false" ht="19.7" hidden="false" customHeight="false" outlineLevel="0" collapsed="false">
      <c r="A1" s="30" t="s">
        <v>544</v>
      </c>
    </row>
    <row r="2" customFormat="false" ht="15" hidden="false" customHeight="false" outlineLevel="0" collapsed="false">
      <c r="A2" s="31" t="s">
        <v>545</v>
      </c>
    </row>
    <row r="3" customFormat="false" ht="15" hidden="false" customHeight="false" outlineLevel="0" collapsed="false">
      <c r="A3" s="32" t="s">
        <v>57</v>
      </c>
    </row>
    <row r="4" customFormat="false" ht="36" hidden="false" customHeight="true" outlineLevel="0" collapsed="false">
      <c r="A4" s="33" t="s">
        <v>30</v>
      </c>
      <c r="B4" s="33" t="s">
        <v>546</v>
      </c>
      <c r="C4" s="33" t="s">
        <v>51</v>
      </c>
      <c r="D4" s="33" t="s">
        <v>547</v>
      </c>
      <c r="E4" s="33" t="s">
        <v>548</v>
      </c>
      <c r="F4" s="33" t="s">
        <v>549</v>
      </c>
      <c r="G4" s="33" t="s">
        <v>550</v>
      </c>
      <c r="H4" s="33" t="s">
        <v>551</v>
      </c>
      <c r="I4" s="33" t="s">
        <v>18</v>
      </c>
      <c r="J4" s="33" t="s">
        <v>552</v>
      </c>
      <c r="K4" s="33" t="s">
        <v>553</v>
      </c>
      <c r="L4" s="34" t="s">
        <v>554</v>
      </c>
    </row>
    <row r="5" customFormat="false" ht="23.85" hidden="false" customHeight="false" outlineLevel="0" collapsed="false">
      <c r="A5" s="53" t="s">
        <v>555</v>
      </c>
      <c r="B5" s="35" t="n">
        <v>46314</v>
      </c>
      <c r="C5" s="36" t="s">
        <v>556</v>
      </c>
      <c r="D5" s="37" t="s">
        <v>557</v>
      </c>
      <c r="E5" s="37" t="s">
        <v>558</v>
      </c>
      <c r="F5" s="37" t="s">
        <v>559</v>
      </c>
      <c r="G5" s="36" t="s">
        <v>560</v>
      </c>
      <c r="H5" s="35" t="n">
        <v>46322</v>
      </c>
      <c r="I5" s="36" t="s">
        <v>343</v>
      </c>
      <c r="J5" s="28"/>
      <c r="K5" s="26"/>
      <c r="L5" s="38" t="n">
        <f aca="false">IF(AND(D5&lt;&gt;"",I5="Open"),COUNT(L$4:L4)+1,"")</f>
        <v>1</v>
      </c>
    </row>
    <row r="6" customFormat="false" ht="15" hidden="false" customHeight="false" outlineLevel="0" collapsed="false">
      <c r="A6" s="53" t="s">
        <v>561</v>
      </c>
      <c r="B6" s="28"/>
      <c r="C6" s="27"/>
      <c r="D6" s="26"/>
      <c r="E6" s="26"/>
      <c r="F6" s="26"/>
      <c r="G6" s="27"/>
      <c r="H6" s="28"/>
      <c r="I6" s="27"/>
      <c r="J6" s="28"/>
      <c r="K6" s="26"/>
      <c r="L6" s="0" t="str">
        <f aca="false">IF(AND(D6&lt;&gt;"",I6="Open"),COUNT(L$4:L5)+1,"")</f>
        <v/>
      </c>
    </row>
    <row r="7" customFormat="false" ht="15" hidden="false" customHeight="false" outlineLevel="0" collapsed="false">
      <c r="A7" s="53" t="s">
        <v>562</v>
      </c>
      <c r="B7" s="28"/>
      <c r="C7" s="27"/>
      <c r="D7" s="26"/>
      <c r="E7" s="26"/>
      <c r="F7" s="26"/>
      <c r="G7" s="27"/>
      <c r="H7" s="28"/>
      <c r="I7" s="27"/>
      <c r="J7" s="28"/>
      <c r="K7" s="26"/>
      <c r="L7" s="0" t="str">
        <f aca="false">IF(AND(D7&lt;&gt;"",I7="Open"),COUNT(L$4:L6)+1,"")</f>
        <v/>
      </c>
    </row>
    <row r="8" customFormat="false" ht="15" hidden="false" customHeight="false" outlineLevel="0" collapsed="false">
      <c r="A8" s="53" t="s">
        <v>563</v>
      </c>
      <c r="B8" s="28"/>
      <c r="C8" s="27"/>
      <c r="D8" s="26"/>
      <c r="E8" s="26"/>
      <c r="F8" s="26"/>
      <c r="G8" s="27"/>
      <c r="H8" s="28"/>
      <c r="I8" s="27"/>
      <c r="J8" s="28"/>
      <c r="K8" s="26"/>
      <c r="L8" s="0" t="str">
        <f aca="false">IF(AND(D8&lt;&gt;"",I8="Open"),COUNT(L$4:L7)+1,"")</f>
        <v/>
      </c>
    </row>
    <row r="9" customFormat="false" ht="15" hidden="false" customHeight="false" outlineLevel="0" collapsed="false">
      <c r="A9" s="53" t="s">
        <v>564</v>
      </c>
      <c r="B9" s="28"/>
      <c r="C9" s="27"/>
      <c r="D9" s="26"/>
      <c r="E9" s="26"/>
      <c r="F9" s="26"/>
      <c r="G9" s="27"/>
      <c r="H9" s="28"/>
      <c r="I9" s="27"/>
      <c r="J9" s="28"/>
      <c r="K9" s="26"/>
      <c r="L9" s="0" t="str">
        <f aca="false">IF(AND(D9&lt;&gt;"",I9="Open"),COUNT(L$4:L8)+1,"")</f>
        <v/>
      </c>
    </row>
    <row r="10" customFormat="false" ht="15" hidden="false" customHeight="false" outlineLevel="0" collapsed="false">
      <c r="A10" s="53" t="s">
        <v>565</v>
      </c>
      <c r="B10" s="28"/>
      <c r="C10" s="27"/>
      <c r="D10" s="26"/>
      <c r="E10" s="26"/>
      <c r="F10" s="26"/>
      <c r="G10" s="27"/>
      <c r="H10" s="28"/>
      <c r="I10" s="27"/>
      <c r="J10" s="28"/>
      <c r="K10" s="26"/>
      <c r="L10" s="0" t="str">
        <f aca="false">IF(AND(D10&lt;&gt;"",I10="Open"),COUNT(L$4:L9)+1,"")</f>
        <v/>
      </c>
    </row>
    <row r="11" customFormat="false" ht="15" hidden="false" customHeight="false" outlineLevel="0" collapsed="false">
      <c r="A11" s="53" t="s">
        <v>566</v>
      </c>
      <c r="B11" s="28"/>
      <c r="C11" s="27"/>
      <c r="D11" s="26"/>
      <c r="E11" s="26"/>
      <c r="F11" s="26"/>
      <c r="G11" s="27"/>
      <c r="H11" s="28"/>
      <c r="I11" s="27"/>
      <c r="J11" s="28"/>
      <c r="K11" s="26"/>
      <c r="L11" s="0" t="str">
        <f aca="false">IF(AND(D11&lt;&gt;"",I11="Open"),COUNT(L$4:L10)+1,"")</f>
        <v/>
      </c>
    </row>
    <row r="12" customFormat="false" ht="15" hidden="false" customHeight="false" outlineLevel="0" collapsed="false">
      <c r="A12" s="53" t="s">
        <v>567</v>
      </c>
      <c r="B12" s="28"/>
      <c r="C12" s="27"/>
      <c r="D12" s="26"/>
      <c r="E12" s="26"/>
      <c r="F12" s="26"/>
      <c r="G12" s="27"/>
      <c r="H12" s="28"/>
      <c r="I12" s="27"/>
      <c r="J12" s="28"/>
      <c r="K12" s="26"/>
      <c r="L12" s="0" t="str">
        <f aca="false">IF(AND(D12&lt;&gt;"",I12="Open"),COUNT(L$4:L11)+1,"")</f>
        <v/>
      </c>
    </row>
    <row r="13" customFormat="false" ht="15" hidden="false" customHeight="false" outlineLevel="0" collapsed="false">
      <c r="A13" s="53" t="s">
        <v>568</v>
      </c>
      <c r="B13" s="28"/>
      <c r="C13" s="27"/>
      <c r="D13" s="26"/>
      <c r="E13" s="26"/>
      <c r="F13" s="26"/>
      <c r="G13" s="27"/>
      <c r="H13" s="28"/>
      <c r="I13" s="27"/>
      <c r="J13" s="28"/>
      <c r="K13" s="26"/>
      <c r="L13" s="0" t="str">
        <f aca="false">IF(AND(D13&lt;&gt;"",I13="Open"),COUNT(L$4:L12)+1,"")</f>
        <v/>
      </c>
    </row>
    <row r="14" customFormat="false" ht="15" hidden="false" customHeight="false" outlineLevel="0" collapsed="false">
      <c r="A14" s="53" t="s">
        <v>569</v>
      </c>
      <c r="B14" s="28"/>
      <c r="C14" s="27"/>
      <c r="D14" s="26"/>
      <c r="E14" s="26"/>
      <c r="F14" s="26"/>
      <c r="G14" s="27"/>
      <c r="H14" s="28"/>
      <c r="I14" s="27"/>
      <c r="J14" s="28"/>
      <c r="K14" s="26"/>
      <c r="L14" s="0" t="str">
        <f aca="false">IF(AND(D14&lt;&gt;"",I14="Open"),COUNT(L$4:L13)+1,"")</f>
        <v/>
      </c>
    </row>
    <row r="15" customFormat="false" ht="15" hidden="false" customHeight="false" outlineLevel="0" collapsed="false">
      <c r="A15" s="53" t="s">
        <v>570</v>
      </c>
      <c r="B15" s="28"/>
      <c r="C15" s="27"/>
      <c r="D15" s="26"/>
      <c r="E15" s="26"/>
      <c r="F15" s="26"/>
      <c r="G15" s="27"/>
      <c r="H15" s="28"/>
      <c r="I15" s="27"/>
      <c r="J15" s="28"/>
      <c r="K15" s="26"/>
      <c r="L15" s="0" t="str">
        <f aca="false">IF(AND(D15&lt;&gt;"",I15="Open"),COUNT(L$4:L14)+1,"")</f>
        <v/>
      </c>
    </row>
    <row r="16" customFormat="false" ht="15" hidden="false" customHeight="false" outlineLevel="0" collapsed="false">
      <c r="A16" s="53" t="s">
        <v>571</v>
      </c>
      <c r="B16" s="28"/>
      <c r="C16" s="27"/>
      <c r="D16" s="26"/>
      <c r="E16" s="26"/>
      <c r="F16" s="26"/>
      <c r="G16" s="27"/>
      <c r="H16" s="28"/>
      <c r="I16" s="27"/>
      <c r="J16" s="28"/>
      <c r="K16" s="26"/>
      <c r="L16" s="0" t="str">
        <f aca="false">IF(AND(D16&lt;&gt;"",I16="Open"),COUNT(L$4:L15)+1,"")</f>
        <v/>
      </c>
    </row>
    <row r="17" customFormat="false" ht="15" hidden="false" customHeight="false" outlineLevel="0" collapsed="false">
      <c r="A17" s="53" t="s">
        <v>572</v>
      </c>
      <c r="B17" s="28"/>
      <c r="C17" s="27"/>
      <c r="D17" s="26"/>
      <c r="E17" s="26"/>
      <c r="F17" s="26"/>
      <c r="G17" s="27"/>
      <c r="H17" s="28"/>
      <c r="I17" s="27"/>
      <c r="J17" s="28"/>
      <c r="K17" s="26"/>
      <c r="L17" s="0" t="str">
        <f aca="false">IF(AND(D17&lt;&gt;"",I17="Open"),COUNT(L$4:L16)+1,"")</f>
        <v/>
      </c>
    </row>
    <row r="18" customFormat="false" ht="15" hidden="false" customHeight="false" outlineLevel="0" collapsed="false">
      <c r="A18" s="53" t="s">
        <v>573</v>
      </c>
      <c r="B18" s="28"/>
      <c r="C18" s="27"/>
      <c r="D18" s="26"/>
      <c r="E18" s="26"/>
      <c r="F18" s="26"/>
      <c r="G18" s="27"/>
      <c r="H18" s="28"/>
      <c r="I18" s="27"/>
      <c r="J18" s="28"/>
      <c r="K18" s="26"/>
      <c r="L18" s="0" t="str">
        <f aca="false">IF(AND(D18&lt;&gt;"",I18="Open"),COUNT(L$4:L17)+1,"")</f>
        <v/>
      </c>
    </row>
    <row r="19" customFormat="false" ht="15" hidden="false" customHeight="false" outlineLevel="0" collapsed="false">
      <c r="A19" s="53" t="s">
        <v>574</v>
      </c>
      <c r="B19" s="28"/>
      <c r="C19" s="27"/>
      <c r="D19" s="26"/>
      <c r="E19" s="26"/>
      <c r="F19" s="26"/>
      <c r="G19" s="27"/>
      <c r="H19" s="28"/>
      <c r="I19" s="27"/>
      <c r="J19" s="28"/>
      <c r="K19" s="26"/>
      <c r="L19" s="0" t="str">
        <f aca="false">IF(AND(D19&lt;&gt;"",I19="Open"),COUNT(L$4:L18)+1,"")</f>
        <v/>
      </c>
    </row>
    <row r="20" customFormat="false" ht="15" hidden="false" customHeight="false" outlineLevel="0" collapsed="false">
      <c r="A20" s="53" t="s">
        <v>575</v>
      </c>
      <c r="B20" s="28"/>
      <c r="C20" s="27"/>
      <c r="D20" s="26"/>
      <c r="E20" s="26"/>
      <c r="F20" s="26"/>
      <c r="G20" s="27"/>
      <c r="H20" s="28"/>
      <c r="I20" s="27"/>
      <c r="J20" s="28"/>
      <c r="K20" s="26"/>
      <c r="L20" s="0" t="str">
        <f aca="false">IF(AND(D20&lt;&gt;"",I20="Open"),COUNT(L$4:L19)+1,"")</f>
        <v/>
      </c>
    </row>
    <row r="21" customFormat="false" ht="15" hidden="false" customHeight="false" outlineLevel="0" collapsed="false">
      <c r="A21" s="53" t="s">
        <v>576</v>
      </c>
      <c r="B21" s="28"/>
      <c r="C21" s="27"/>
      <c r="D21" s="26"/>
      <c r="E21" s="26"/>
      <c r="F21" s="26"/>
      <c r="G21" s="27"/>
      <c r="H21" s="28"/>
      <c r="I21" s="27"/>
      <c r="J21" s="28"/>
      <c r="K21" s="26"/>
      <c r="L21" s="0" t="str">
        <f aca="false">IF(AND(D21&lt;&gt;"",I21="Open"),COUNT(L$4:L20)+1,"")</f>
        <v/>
      </c>
    </row>
    <row r="22" customFormat="false" ht="15" hidden="false" customHeight="false" outlineLevel="0" collapsed="false">
      <c r="A22" s="53" t="s">
        <v>577</v>
      </c>
      <c r="B22" s="28"/>
      <c r="C22" s="27"/>
      <c r="D22" s="26"/>
      <c r="E22" s="26"/>
      <c r="F22" s="26"/>
      <c r="G22" s="27"/>
      <c r="H22" s="28"/>
      <c r="I22" s="27"/>
      <c r="J22" s="28"/>
      <c r="K22" s="26"/>
      <c r="L22" s="0" t="str">
        <f aca="false">IF(AND(D22&lt;&gt;"",I22="Open"),COUNT(L$4:L21)+1,"")</f>
        <v/>
      </c>
    </row>
    <row r="23" customFormat="false" ht="15" hidden="false" customHeight="false" outlineLevel="0" collapsed="false">
      <c r="A23" s="53" t="s">
        <v>578</v>
      </c>
      <c r="B23" s="28"/>
      <c r="C23" s="27"/>
      <c r="D23" s="26"/>
      <c r="E23" s="26"/>
      <c r="F23" s="26"/>
      <c r="G23" s="27"/>
      <c r="H23" s="28"/>
      <c r="I23" s="27"/>
      <c r="J23" s="28"/>
      <c r="K23" s="26"/>
      <c r="L23" s="0" t="str">
        <f aca="false">IF(AND(D23&lt;&gt;"",I23="Open"),COUNT(L$4:L22)+1,"")</f>
        <v/>
      </c>
    </row>
    <row r="24" customFormat="false" ht="15" hidden="false" customHeight="false" outlineLevel="0" collapsed="false">
      <c r="A24" s="53" t="s">
        <v>579</v>
      </c>
      <c r="B24" s="28"/>
      <c r="C24" s="27"/>
      <c r="D24" s="26"/>
      <c r="E24" s="26"/>
      <c r="F24" s="26"/>
      <c r="G24" s="27"/>
      <c r="H24" s="28"/>
      <c r="I24" s="27"/>
      <c r="J24" s="28"/>
      <c r="K24" s="26"/>
      <c r="L24" s="0" t="str">
        <f aca="false">IF(AND(D24&lt;&gt;"",I24="Open"),COUNT(L$4:L23)+1,"")</f>
        <v/>
      </c>
    </row>
    <row r="25" customFormat="false" ht="15" hidden="false" customHeight="false" outlineLevel="0" collapsed="false">
      <c r="A25" s="53" t="s">
        <v>580</v>
      </c>
      <c r="B25" s="28"/>
      <c r="C25" s="27"/>
      <c r="D25" s="26"/>
      <c r="E25" s="26"/>
      <c r="F25" s="26"/>
      <c r="G25" s="27"/>
      <c r="H25" s="28"/>
      <c r="I25" s="27"/>
      <c r="J25" s="28"/>
      <c r="K25" s="26"/>
      <c r="L25" s="0" t="str">
        <f aca="false">IF(AND(D25&lt;&gt;"",I25="Open"),COUNT(L$4:L24)+1,"")</f>
        <v/>
      </c>
    </row>
    <row r="26" customFormat="false" ht="15" hidden="false" customHeight="false" outlineLevel="0" collapsed="false">
      <c r="A26" s="53" t="s">
        <v>581</v>
      </c>
      <c r="B26" s="28"/>
      <c r="C26" s="27"/>
      <c r="D26" s="26"/>
      <c r="E26" s="26"/>
      <c r="F26" s="26"/>
      <c r="G26" s="27"/>
      <c r="H26" s="28"/>
      <c r="I26" s="27"/>
      <c r="J26" s="28"/>
      <c r="K26" s="26"/>
      <c r="L26" s="0" t="str">
        <f aca="false">IF(AND(D26&lt;&gt;"",I26="Open"),COUNT(L$4:L25)+1,"")</f>
        <v/>
      </c>
    </row>
    <row r="27" customFormat="false" ht="15" hidden="false" customHeight="false" outlineLevel="0" collapsed="false">
      <c r="A27" s="53" t="s">
        <v>582</v>
      </c>
      <c r="B27" s="28"/>
      <c r="C27" s="27"/>
      <c r="D27" s="26"/>
      <c r="E27" s="26"/>
      <c r="F27" s="26"/>
      <c r="G27" s="27"/>
      <c r="H27" s="28"/>
      <c r="I27" s="27"/>
      <c r="J27" s="28"/>
      <c r="K27" s="26"/>
      <c r="L27" s="0" t="str">
        <f aca="false">IF(AND(D27&lt;&gt;"",I27="Open"),COUNT(L$4:L26)+1,"")</f>
        <v/>
      </c>
    </row>
    <row r="28" customFormat="false" ht="15" hidden="false" customHeight="false" outlineLevel="0" collapsed="false">
      <c r="A28" s="53" t="s">
        <v>583</v>
      </c>
      <c r="B28" s="28"/>
      <c r="C28" s="27"/>
      <c r="D28" s="26"/>
      <c r="E28" s="26"/>
      <c r="F28" s="26"/>
      <c r="G28" s="27"/>
      <c r="H28" s="28"/>
      <c r="I28" s="27"/>
      <c r="J28" s="28"/>
      <c r="K28" s="26"/>
      <c r="L28" s="0" t="str">
        <f aca="false">IF(AND(D28&lt;&gt;"",I28="Open"),COUNT(L$4:L27)+1,"")</f>
        <v/>
      </c>
    </row>
    <row r="29" customFormat="false" ht="15" hidden="false" customHeight="false" outlineLevel="0" collapsed="false">
      <c r="A29" s="53" t="s">
        <v>584</v>
      </c>
      <c r="B29" s="28"/>
      <c r="C29" s="27"/>
      <c r="D29" s="26"/>
      <c r="E29" s="26"/>
      <c r="F29" s="26"/>
      <c r="G29" s="27"/>
      <c r="H29" s="28"/>
      <c r="I29" s="27"/>
      <c r="J29" s="28"/>
      <c r="K29" s="26"/>
      <c r="L29" s="0" t="str">
        <f aca="false">IF(AND(D29&lt;&gt;"",I29="Open"),COUNT(L$4:L28)+1,"")</f>
        <v/>
      </c>
    </row>
    <row r="30" customFormat="false" ht="15" hidden="false" customHeight="false" outlineLevel="0" collapsed="false">
      <c r="A30" s="53" t="s">
        <v>585</v>
      </c>
      <c r="B30" s="28"/>
      <c r="C30" s="27"/>
      <c r="D30" s="26"/>
      <c r="E30" s="26"/>
      <c r="F30" s="26"/>
      <c r="G30" s="27"/>
      <c r="H30" s="28"/>
      <c r="I30" s="27"/>
      <c r="J30" s="28"/>
      <c r="K30" s="26"/>
      <c r="L30" s="0" t="str">
        <f aca="false">IF(AND(D30&lt;&gt;"",I30="Open"),COUNT(L$4:L29)+1,"")</f>
        <v/>
      </c>
    </row>
    <row r="31" customFormat="false" ht="15" hidden="false" customHeight="false" outlineLevel="0" collapsed="false">
      <c r="A31" s="53" t="s">
        <v>586</v>
      </c>
      <c r="B31" s="28"/>
      <c r="C31" s="27"/>
      <c r="D31" s="26"/>
      <c r="E31" s="26"/>
      <c r="F31" s="26"/>
      <c r="G31" s="27"/>
      <c r="H31" s="28"/>
      <c r="I31" s="27"/>
      <c r="J31" s="28"/>
      <c r="K31" s="26"/>
      <c r="L31" s="0" t="str">
        <f aca="false">IF(AND(D31&lt;&gt;"",I31="Open"),COUNT(L$4:L30)+1,"")</f>
        <v/>
      </c>
    </row>
    <row r="32" customFormat="false" ht="15" hidden="false" customHeight="false" outlineLevel="0" collapsed="false">
      <c r="A32" s="53" t="s">
        <v>587</v>
      </c>
      <c r="B32" s="28"/>
      <c r="C32" s="27"/>
      <c r="D32" s="26"/>
      <c r="E32" s="26"/>
      <c r="F32" s="26"/>
      <c r="G32" s="27"/>
      <c r="H32" s="28"/>
      <c r="I32" s="27"/>
      <c r="J32" s="28"/>
      <c r="K32" s="26"/>
      <c r="L32" s="0" t="str">
        <f aca="false">IF(AND(D32&lt;&gt;"",I32="Open"),COUNT(L$4:L31)+1,"")</f>
        <v/>
      </c>
    </row>
    <row r="33" customFormat="false" ht="15" hidden="false" customHeight="false" outlineLevel="0" collapsed="false">
      <c r="A33" s="53" t="s">
        <v>588</v>
      </c>
      <c r="B33" s="28"/>
      <c r="C33" s="27"/>
      <c r="D33" s="26"/>
      <c r="E33" s="26"/>
      <c r="F33" s="26"/>
      <c r="G33" s="27"/>
      <c r="H33" s="28"/>
      <c r="I33" s="27"/>
      <c r="J33" s="28"/>
      <c r="K33" s="26"/>
      <c r="L33" s="0" t="str">
        <f aca="false">IF(AND(D33&lt;&gt;"",I33="Open"),COUNT(L$4:L32)+1,"")</f>
        <v/>
      </c>
    </row>
    <row r="34" customFormat="false" ht="15" hidden="false" customHeight="false" outlineLevel="0" collapsed="false">
      <c r="A34" s="53" t="s">
        <v>589</v>
      </c>
      <c r="B34" s="28"/>
      <c r="C34" s="27"/>
      <c r="D34" s="26"/>
      <c r="E34" s="26"/>
      <c r="F34" s="26"/>
      <c r="G34" s="27"/>
      <c r="H34" s="28"/>
      <c r="I34" s="27"/>
      <c r="J34" s="28"/>
      <c r="K34" s="26"/>
      <c r="L34" s="0" t="str">
        <f aca="false">IF(AND(D34&lt;&gt;"",I34="Open"),COUNT(L$4:L33)+1,"")</f>
        <v/>
      </c>
    </row>
    <row r="35" customFormat="false" ht="15" hidden="false" customHeight="false" outlineLevel="0" collapsed="false">
      <c r="A35" s="53" t="s">
        <v>590</v>
      </c>
      <c r="B35" s="28"/>
      <c r="C35" s="27"/>
      <c r="D35" s="26"/>
      <c r="E35" s="26"/>
      <c r="F35" s="26"/>
      <c r="G35" s="27"/>
      <c r="H35" s="28"/>
      <c r="I35" s="27"/>
      <c r="J35" s="28"/>
      <c r="K35" s="26"/>
      <c r="L35" s="0" t="str">
        <f aca="false">IF(AND(D35&lt;&gt;"",I35="Open"),COUNT(L$4:L34)+1,"")</f>
        <v/>
      </c>
    </row>
    <row r="36" customFormat="false" ht="15" hidden="false" customHeight="false" outlineLevel="0" collapsed="false">
      <c r="A36" s="53" t="s">
        <v>591</v>
      </c>
      <c r="B36" s="28"/>
      <c r="C36" s="27"/>
      <c r="D36" s="26"/>
      <c r="E36" s="26"/>
      <c r="F36" s="26"/>
      <c r="G36" s="27"/>
      <c r="H36" s="28"/>
      <c r="I36" s="27"/>
      <c r="J36" s="28"/>
      <c r="K36" s="26"/>
      <c r="L36" s="0" t="str">
        <f aca="false">IF(AND(D36&lt;&gt;"",I36="Open"),COUNT(L$4:L35)+1,"")</f>
        <v/>
      </c>
    </row>
    <row r="37" customFormat="false" ht="15" hidden="false" customHeight="false" outlineLevel="0" collapsed="false">
      <c r="A37" s="53" t="s">
        <v>592</v>
      </c>
      <c r="B37" s="28"/>
      <c r="C37" s="27"/>
      <c r="D37" s="26"/>
      <c r="E37" s="26"/>
      <c r="F37" s="26"/>
      <c r="G37" s="27"/>
      <c r="H37" s="28"/>
      <c r="I37" s="27"/>
      <c r="J37" s="28"/>
      <c r="K37" s="26"/>
      <c r="L37" s="0" t="str">
        <f aca="false">IF(AND(D37&lt;&gt;"",I37="Open"),COUNT(L$4:L36)+1,"")</f>
        <v/>
      </c>
    </row>
    <row r="38" customFormat="false" ht="15" hidden="false" customHeight="false" outlineLevel="0" collapsed="false">
      <c r="A38" s="53" t="s">
        <v>593</v>
      </c>
      <c r="B38" s="28"/>
      <c r="C38" s="27"/>
      <c r="D38" s="26"/>
      <c r="E38" s="26"/>
      <c r="F38" s="26"/>
      <c r="G38" s="27"/>
      <c r="H38" s="28"/>
      <c r="I38" s="27"/>
      <c r="J38" s="28"/>
      <c r="K38" s="26"/>
      <c r="L38" s="0" t="str">
        <f aca="false">IF(AND(D38&lt;&gt;"",I38="Open"),COUNT(L$4:L37)+1,"")</f>
        <v/>
      </c>
    </row>
    <row r="39" customFormat="false" ht="15" hidden="false" customHeight="false" outlineLevel="0" collapsed="false">
      <c r="A39" s="53" t="s">
        <v>594</v>
      </c>
      <c r="B39" s="28"/>
      <c r="C39" s="27"/>
      <c r="D39" s="26"/>
      <c r="E39" s="26"/>
      <c r="F39" s="26"/>
      <c r="G39" s="27"/>
      <c r="H39" s="28"/>
      <c r="I39" s="27"/>
      <c r="J39" s="28"/>
      <c r="K39" s="26"/>
      <c r="L39" s="0" t="str">
        <f aca="false">IF(AND(D39&lt;&gt;"",I39="Open"),COUNT(L$4:L38)+1,"")</f>
        <v/>
      </c>
    </row>
    <row r="40" customFormat="false" ht="15" hidden="false" customHeight="false" outlineLevel="0" collapsed="false">
      <c r="A40" s="53" t="s">
        <v>595</v>
      </c>
      <c r="B40" s="28"/>
      <c r="C40" s="27"/>
      <c r="D40" s="26"/>
      <c r="E40" s="26"/>
      <c r="F40" s="26"/>
      <c r="G40" s="27"/>
      <c r="H40" s="28"/>
      <c r="I40" s="27"/>
      <c r="J40" s="28"/>
      <c r="K40" s="26"/>
      <c r="L40" s="0" t="str">
        <f aca="false">IF(AND(D40&lt;&gt;"",I40="Open"),COUNT(L$4:L39)+1,"")</f>
        <v/>
      </c>
    </row>
    <row r="41" customFormat="false" ht="15" hidden="false" customHeight="false" outlineLevel="0" collapsed="false">
      <c r="A41" s="53" t="s">
        <v>596</v>
      </c>
      <c r="B41" s="28"/>
      <c r="C41" s="27"/>
      <c r="D41" s="26"/>
      <c r="E41" s="26"/>
      <c r="F41" s="26"/>
      <c r="G41" s="27"/>
      <c r="H41" s="28"/>
      <c r="I41" s="27"/>
      <c r="J41" s="28"/>
      <c r="K41" s="26"/>
      <c r="L41" s="0" t="str">
        <f aca="false">IF(AND(D41&lt;&gt;"",I41="Open"),COUNT(L$4:L40)+1,"")</f>
        <v/>
      </c>
    </row>
    <row r="42" customFormat="false" ht="15" hidden="false" customHeight="false" outlineLevel="0" collapsed="false">
      <c r="A42" s="53" t="s">
        <v>597</v>
      </c>
      <c r="B42" s="28"/>
      <c r="C42" s="27"/>
      <c r="D42" s="26"/>
      <c r="E42" s="26"/>
      <c r="F42" s="26"/>
      <c r="G42" s="27"/>
      <c r="H42" s="28"/>
      <c r="I42" s="27"/>
      <c r="J42" s="28"/>
      <c r="K42" s="26"/>
      <c r="L42" s="0" t="str">
        <f aca="false">IF(AND(D42&lt;&gt;"",I42="Open"),COUNT(L$4:L41)+1,"")</f>
        <v/>
      </c>
    </row>
    <row r="43" customFormat="false" ht="15" hidden="false" customHeight="false" outlineLevel="0" collapsed="false">
      <c r="A43" s="53" t="s">
        <v>598</v>
      </c>
      <c r="B43" s="28"/>
      <c r="C43" s="27"/>
      <c r="D43" s="26"/>
      <c r="E43" s="26"/>
      <c r="F43" s="26"/>
      <c r="G43" s="27"/>
      <c r="H43" s="28"/>
      <c r="I43" s="27"/>
      <c r="J43" s="28"/>
      <c r="K43" s="26"/>
      <c r="L43" s="0" t="str">
        <f aca="false">IF(AND(D43&lt;&gt;"",I43="Open"),COUNT(L$4:L42)+1,"")</f>
        <v/>
      </c>
    </row>
    <row r="44" customFormat="false" ht="15" hidden="false" customHeight="false" outlineLevel="0" collapsed="false">
      <c r="A44" s="53" t="s">
        <v>599</v>
      </c>
      <c r="B44" s="28"/>
      <c r="C44" s="27"/>
      <c r="D44" s="26"/>
      <c r="E44" s="26"/>
      <c r="F44" s="26"/>
      <c r="G44" s="27"/>
      <c r="H44" s="28"/>
      <c r="I44" s="27"/>
      <c r="J44" s="28"/>
      <c r="K44" s="26"/>
      <c r="L44" s="0" t="str">
        <f aca="false">IF(AND(D44&lt;&gt;"",I44="Open"),COUNT(L$4:L43)+1,"")</f>
        <v/>
      </c>
    </row>
    <row r="45" customFormat="false" ht="15" hidden="false" customHeight="false" outlineLevel="0" collapsed="false">
      <c r="A45" s="53" t="s">
        <v>600</v>
      </c>
      <c r="B45" s="28"/>
      <c r="C45" s="27"/>
      <c r="D45" s="26"/>
      <c r="E45" s="26"/>
      <c r="F45" s="26"/>
      <c r="G45" s="27"/>
      <c r="H45" s="28"/>
      <c r="I45" s="27"/>
      <c r="J45" s="28"/>
      <c r="K45" s="26"/>
      <c r="L45" s="0" t="str">
        <f aca="false">IF(AND(D45&lt;&gt;"",I45="Open"),COUNT(L$4:L44)+1,"")</f>
        <v/>
      </c>
    </row>
    <row r="46" customFormat="false" ht="15" hidden="false" customHeight="false" outlineLevel="0" collapsed="false">
      <c r="A46" s="53" t="s">
        <v>601</v>
      </c>
      <c r="B46" s="28"/>
      <c r="C46" s="27"/>
      <c r="D46" s="26"/>
      <c r="E46" s="26"/>
      <c r="F46" s="26"/>
      <c r="G46" s="27"/>
      <c r="H46" s="28"/>
      <c r="I46" s="27"/>
      <c r="J46" s="28"/>
      <c r="K46" s="26"/>
      <c r="L46" s="0" t="str">
        <f aca="false">IF(AND(D46&lt;&gt;"",I46="Open"),COUNT(L$4:L45)+1,"")</f>
        <v/>
      </c>
    </row>
    <row r="47" customFormat="false" ht="15" hidden="false" customHeight="false" outlineLevel="0" collapsed="false">
      <c r="A47" s="53" t="s">
        <v>602</v>
      </c>
      <c r="B47" s="28"/>
      <c r="C47" s="27"/>
      <c r="D47" s="26"/>
      <c r="E47" s="26"/>
      <c r="F47" s="26"/>
      <c r="G47" s="27"/>
      <c r="H47" s="28"/>
      <c r="I47" s="27"/>
      <c r="J47" s="28"/>
      <c r="K47" s="26"/>
      <c r="L47" s="0" t="str">
        <f aca="false">IF(AND(D47&lt;&gt;"",I47="Open"),COUNT(L$4:L46)+1,"")</f>
        <v/>
      </c>
    </row>
    <row r="48" customFormat="false" ht="15" hidden="false" customHeight="false" outlineLevel="0" collapsed="false">
      <c r="A48" s="53" t="s">
        <v>603</v>
      </c>
      <c r="B48" s="28"/>
      <c r="C48" s="27"/>
      <c r="D48" s="26"/>
      <c r="E48" s="26"/>
      <c r="F48" s="26"/>
      <c r="G48" s="27"/>
      <c r="H48" s="28"/>
      <c r="I48" s="27"/>
      <c r="J48" s="28"/>
      <c r="K48" s="26"/>
      <c r="L48" s="0" t="str">
        <f aca="false">IF(AND(D48&lt;&gt;"",I48="Open"),COUNT(L$4:L47)+1,"")</f>
        <v/>
      </c>
    </row>
    <row r="49" customFormat="false" ht="15" hidden="false" customHeight="false" outlineLevel="0" collapsed="false">
      <c r="A49" s="53" t="s">
        <v>604</v>
      </c>
      <c r="B49" s="28"/>
      <c r="C49" s="27"/>
      <c r="D49" s="26"/>
      <c r="E49" s="26"/>
      <c r="F49" s="26"/>
      <c r="G49" s="27"/>
      <c r="H49" s="28"/>
      <c r="I49" s="27"/>
      <c r="J49" s="28"/>
      <c r="K49" s="26"/>
      <c r="L49" s="0" t="str">
        <f aca="false">IF(AND(D49&lt;&gt;"",I49="Open"),COUNT(L$4:L48)+1,"")</f>
        <v/>
      </c>
    </row>
    <row r="50" customFormat="false" ht="15" hidden="false" customHeight="false" outlineLevel="0" collapsed="false">
      <c r="A50" s="53" t="s">
        <v>605</v>
      </c>
      <c r="B50" s="28"/>
      <c r="C50" s="27"/>
      <c r="D50" s="26"/>
      <c r="E50" s="26"/>
      <c r="F50" s="26"/>
      <c r="G50" s="27"/>
      <c r="H50" s="28"/>
      <c r="I50" s="27"/>
      <c r="J50" s="28"/>
      <c r="K50" s="26"/>
      <c r="L50" s="0" t="str">
        <f aca="false">IF(AND(D50&lt;&gt;"",I50="Open"),COUNT(L$4:L49)+1,"")</f>
        <v/>
      </c>
    </row>
    <row r="51" customFormat="false" ht="15" hidden="false" customHeight="false" outlineLevel="0" collapsed="false">
      <c r="A51" s="53" t="s">
        <v>606</v>
      </c>
      <c r="B51" s="28"/>
      <c r="C51" s="27"/>
      <c r="D51" s="26"/>
      <c r="E51" s="26"/>
      <c r="F51" s="26"/>
      <c r="G51" s="27"/>
      <c r="H51" s="28"/>
      <c r="I51" s="27"/>
      <c r="J51" s="28"/>
      <c r="K51" s="26"/>
      <c r="L51" s="0" t="str">
        <f aca="false">IF(AND(D51&lt;&gt;"",I51="Open"),COUNT(L$4:L50)+1,"")</f>
        <v/>
      </c>
    </row>
    <row r="52" customFormat="false" ht="15" hidden="false" customHeight="false" outlineLevel="0" collapsed="false">
      <c r="A52" s="53" t="s">
        <v>607</v>
      </c>
      <c r="B52" s="28"/>
      <c r="C52" s="27"/>
      <c r="D52" s="26"/>
      <c r="E52" s="26"/>
      <c r="F52" s="26"/>
      <c r="G52" s="27"/>
      <c r="H52" s="28"/>
      <c r="I52" s="27"/>
      <c r="J52" s="28"/>
      <c r="K52" s="26"/>
      <c r="L52" s="0" t="str">
        <f aca="false">IF(AND(D52&lt;&gt;"",I52="Open"),COUNT(L$4:L51)+1,"")</f>
        <v/>
      </c>
    </row>
    <row r="53" customFormat="false" ht="15" hidden="false" customHeight="false" outlineLevel="0" collapsed="false">
      <c r="A53" s="53" t="s">
        <v>608</v>
      </c>
      <c r="B53" s="28"/>
      <c r="C53" s="27"/>
      <c r="D53" s="26"/>
      <c r="E53" s="26"/>
      <c r="F53" s="26"/>
      <c r="G53" s="27"/>
      <c r="H53" s="28"/>
      <c r="I53" s="27"/>
      <c r="J53" s="28"/>
      <c r="K53" s="26"/>
      <c r="L53" s="0" t="str">
        <f aca="false">IF(AND(D53&lt;&gt;"",I53="Open"),COUNT(L$4:L52)+1,"")</f>
        <v/>
      </c>
    </row>
    <row r="54" customFormat="false" ht="15" hidden="false" customHeight="false" outlineLevel="0" collapsed="false">
      <c r="A54" s="53" t="s">
        <v>609</v>
      </c>
      <c r="B54" s="28"/>
      <c r="C54" s="27"/>
      <c r="D54" s="26"/>
      <c r="E54" s="26"/>
      <c r="F54" s="26"/>
      <c r="G54" s="27"/>
      <c r="H54" s="28"/>
      <c r="I54" s="27"/>
      <c r="J54" s="28"/>
      <c r="K54" s="26"/>
      <c r="L54" s="0" t="str">
        <f aca="false">IF(AND(D54&lt;&gt;"",I54="Open"),COUNT(L$4:L53)+1,"")</f>
        <v/>
      </c>
    </row>
    <row r="55" customFormat="false" ht="15" hidden="false" customHeight="false" outlineLevel="0" collapsed="false">
      <c r="A55" s="53" t="s">
        <v>610</v>
      </c>
      <c r="B55" s="28"/>
      <c r="C55" s="27"/>
      <c r="D55" s="26"/>
      <c r="E55" s="26"/>
      <c r="F55" s="26"/>
      <c r="G55" s="27"/>
      <c r="H55" s="28"/>
      <c r="I55" s="27"/>
      <c r="J55" s="28"/>
      <c r="K55" s="26"/>
      <c r="L55" s="0" t="str">
        <f aca="false">IF(AND(D55&lt;&gt;"",I55="Open"),COUNT(L$4:L54)+1,"")</f>
        <v/>
      </c>
    </row>
    <row r="56" customFormat="false" ht="15" hidden="false" customHeight="false" outlineLevel="0" collapsed="false">
      <c r="A56" s="53" t="s">
        <v>611</v>
      </c>
      <c r="B56" s="28"/>
      <c r="C56" s="27"/>
      <c r="D56" s="26"/>
      <c r="E56" s="26"/>
      <c r="F56" s="26"/>
      <c r="G56" s="27"/>
      <c r="H56" s="28"/>
      <c r="I56" s="27"/>
      <c r="J56" s="28"/>
      <c r="K56" s="26"/>
      <c r="L56" s="0" t="str">
        <f aca="false">IF(AND(D56&lt;&gt;"",I56="Open"),COUNT(L$4:L55)+1,"")</f>
        <v/>
      </c>
    </row>
    <row r="57" customFormat="false" ht="15" hidden="false" customHeight="false" outlineLevel="0" collapsed="false">
      <c r="A57" s="53" t="s">
        <v>612</v>
      </c>
      <c r="B57" s="28"/>
      <c r="C57" s="27"/>
      <c r="D57" s="26"/>
      <c r="E57" s="26"/>
      <c r="F57" s="26"/>
      <c r="G57" s="27"/>
      <c r="H57" s="28"/>
      <c r="I57" s="27"/>
      <c r="J57" s="28"/>
      <c r="K57" s="26"/>
      <c r="L57" s="0" t="str">
        <f aca="false">IF(AND(D57&lt;&gt;"",I57="Open"),COUNT(L$4:L56)+1,"")</f>
        <v/>
      </c>
    </row>
    <row r="58" customFormat="false" ht="15" hidden="false" customHeight="false" outlineLevel="0" collapsed="false">
      <c r="A58" s="53" t="s">
        <v>613</v>
      </c>
      <c r="B58" s="28"/>
      <c r="C58" s="27"/>
      <c r="D58" s="26"/>
      <c r="E58" s="26"/>
      <c r="F58" s="26"/>
      <c r="G58" s="27"/>
      <c r="H58" s="28"/>
      <c r="I58" s="27"/>
      <c r="J58" s="28"/>
      <c r="K58" s="26"/>
      <c r="L58" s="0" t="str">
        <f aca="false">IF(AND(D58&lt;&gt;"",I58="Open"),COUNT(L$4:L57)+1,"")</f>
        <v/>
      </c>
    </row>
    <row r="59" customFormat="false" ht="15" hidden="false" customHeight="false" outlineLevel="0" collapsed="false">
      <c r="A59" s="53" t="s">
        <v>614</v>
      </c>
      <c r="B59" s="28"/>
      <c r="C59" s="27"/>
      <c r="D59" s="26"/>
      <c r="E59" s="26"/>
      <c r="F59" s="26"/>
      <c r="G59" s="27"/>
      <c r="H59" s="28"/>
      <c r="I59" s="27"/>
      <c r="J59" s="28"/>
      <c r="K59" s="26"/>
      <c r="L59" s="0" t="str">
        <f aca="false">IF(AND(D59&lt;&gt;"",I59="Open"),COUNT(L$4:L58)+1,"")</f>
        <v/>
      </c>
    </row>
    <row r="60" customFormat="false" ht="15" hidden="false" customHeight="false" outlineLevel="0" collapsed="false">
      <c r="A60" s="53" t="s">
        <v>615</v>
      </c>
      <c r="B60" s="28"/>
      <c r="C60" s="27"/>
      <c r="D60" s="26"/>
      <c r="E60" s="26"/>
      <c r="F60" s="26"/>
      <c r="G60" s="27"/>
      <c r="H60" s="28"/>
      <c r="I60" s="27"/>
      <c r="J60" s="28"/>
      <c r="K60" s="26"/>
      <c r="L60" s="0" t="str">
        <f aca="false">IF(AND(D60&lt;&gt;"",I60="Open"),COUNT(L$4:L59)+1,"")</f>
        <v/>
      </c>
    </row>
    <row r="61" customFormat="false" ht="15" hidden="false" customHeight="false" outlineLevel="0" collapsed="false">
      <c r="A61" s="53" t="s">
        <v>616</v>
      </c>
      <c r="B61" s="28"/>
      <c r="C61" s="27"/>
      <c r="D61" s="26"/>
      <c r="E61" s="26"/>
      <c r="F61" s="26"/>
      <c r="G61" s="27"/>
      <c r="H61" s="28"/>
      <c r="I61" s="27"/>
      <c r="J61" s="28"/>
      <c r="K61" s="26"/>
      <c r="L61" s="0" t="str">
        <f aca="false">IF(AND(D61&lt;&gt;"",I61="Open"),COUNT(L$4:L60)+1,"")</f>
        <v/>
      </c>
    </row>
    <row r="62" customFormat="false" ht="15" hidden="false" customHeight="false" outlineLevel="0" collapsed="false">
      <c r="A62" s="53" t="s">
        <v>617</v>
      </c>
      <c r="B62" s="28"/>
      <c r="C62" s="27"/>
      <c r="D62" s="26"/>
      <c r="E62" s="26"/>
      <c r="F62" s="26"/>
      <c r="G62" s="27"/>
      <c r="H62" s="28"/>
      <c r="I62" s="27"/>
      <c r="J62" s="28"/>
      <c r="K62" s="26"/>
      <c r="L62" s="0" t="str">
        <f aca="false">IF(AND(D62&lt;&gt;"",I62="Open"),COUNT(L$4:L61)+1,"")</f>
        <v/>
      </c>
    </row>
    <row r="63" customFormat="false" ht="15" hidden="false" customHeight="false" outlineLevel="0" collapsed="false">
      <c r="A63" s="53" t="s">
        <v>618</v>
      </c>
      <c r="B63" s="28"/>
      <c r="C63" s="27"/>
      <c r="D63" s="26"/>
      <c r="E63" s="26"/>
      <c r="F63" s="26"/>
      <c r="G63" s="27"/>
      <c r="H63" s="28"/>
      <c r="I63" s="27"/>
      <c r="J63" s="28"/>
      <c r="K63" s="26"/>
      <c r="L63" s="0" t="str">
        <f aca="false">IF(AND(D63&lt;&gt;"",I63="Open"),COUNT(L$4:L62)+1,"")</f>
        <v/>
      </c>
    </row>
    <row r="64" customFormat="false" ht="15" hidden="false" customHeight="false" outlineLevel="0" collapsed="false">
      <c r="A64" s="53" t="s">
        <v>619</v>
      </c>
      <c r="B64" s="28"/>
      <c r="C64" s="27"/>
      <c r="D64" s="26"/>
      <c r="E64" s="26"/>
      <c r="F64" s="26"/>
      <c r="G64" s="27"/>
      <c r="H64" s="28"/>
      <c r="I64" s="27"/>
      <c r="J64" s="28"/>
      <c r="K64" s="26"/>
      <c r="L64" s="0" t="str">
        <f aca="false">IF(AND(D64&lt;&gt;"",I64="Open"),COUNT(L$4:L63)+1,"")</f>
        <v/>
      </c>
    </row>
    <row r="65" customFormat="false" ht="15" hidden="false" customHeight="false" outlineLevel="0" collapsed="false">
      <c r="A65" s="53" t="s">
        <v>620</v>
      </c>
      <c r="B65" s="28"/>
      <c r="C65" s="27"/>
      <c r="D65" s="26"/>
      <c r="E65" s="26"/>
      <c r="F65" s="26"/>
      <c r="G65" s="27"/>
      <c r="H65" s="28"/>
      <c r="I65" s="27"/>
      <c r="J65" s="28"/>
      <c r="K65" s="26"/>
      <c r="L65" s="0" t="str">
        <f aca="false">IF(AND(D65&lt;&gt;"",I65="Open"),COUNT(L$4:L64)+1,"")</f>
        <v/>
      </c>
    </row>
    <row r="66" customFormat="false" ht="15" hidden="false" customHeight="false" outlineLevel="0" collapsed="false">
      <c r="A66" s="53" t="s">
        <v>621</v>
      </c>
      <c r="B66" s="28"/>
      <c r="C66" s="27"/>
      <c r="D66" s="26"/>
      <c r="E66" s="26"/>
      <c r="F66" s="26"/>
      <c r="G66" s="27"/>
      <c r="H66" s="28"/>
      <c r="I66" s="27"/>
      <c r="J66" s="28"/>
      <c r="K66" s="26"/>
      <c r="L66" s="0" t="str">
        <f aca="false">IF(AND(D66&lt;&gt;"",I66="Open"),COUNT(L$4:L65)+1,"")</f>
        <v/>
      </c>
    </row>
    <row r="67" customFormat="false" ht="15" hidden="false" customHeight="false" outlineLevel="0" collapsed="false">
      <c r="A67" s="53" t="s">
        <v>622</v>
      </c>
      <c r="B67" s="28"/>
      <c r="C67" s="27"/>
      <c r="D67" s="26"/>
      <c r="E67" s="26"/>
      <c r="F67" s="26"/>
      <c r="G67" s="27"/>
      <c r="H67" s="28"/>
      <c r="I67" s="27"/>
      <c r="J67" s="28"/>
      <c r="K67" s="26"/>
      <c r="L67" s="0" t="str">
        <f aca="false">IF(AND(D67&lt;&gt;"",I67="Open"),COUNT(L$4:L66)+1,"")</f>
        <v/>
      </c>
    </row>
    <row r="68" customFormat="false" ht="15" hidden="false" customHeight="false" outlineLevel="0" collapsed="false">
      <c r="A68" s="53" t="s">
        <v>623</v>
      </c>
      <c r="B68" s="28"/>
      <c r="C68" s="27"/>
      <c r="D68" s="26"/>
      <c r="E68" s="26"/>
      <c r="F68" s="26"/>
      <c r="G68" s="27"/>
      <c r="H68" s="28"/>
      <c r="I68" s="27"/>
      <c r="J68" s="28"/>
      <c r="K68" s="26"/>
      <c r="L68" s="0" t="str">
        <f aca="false">IF(AND(D68&lt;&gt;"",I68="Open"),COUNT(L$4:L67)+1,"")</f>
        <v/>
      </c>
    </row>
    <row r="69" customFormat="false" ht="15" hidden="false" customHeight="false" outlineLevel="0" collapsed="false">
      <c r="A69" s="53" t="s">
        <v>624</v>
      </c>
      <c r="B69" s="28"/>
      <c r="C69" s="27"/>
      <c r="D69" s="26"/>
      <c r="E69" s="26"/>
      <c r="F69" s="26"/>
      <c r="G69" s="27"/>
      <c r="H69" s="28"/>
      <c r="I69" s="27"/>
      <c r="J69" s="28"/>
      <c r="K69" s="26"/>
      <c r="L69" s="0" t="str">
        <f aca="false">IF(AND(D69&lt;&gt;"",I69="Open"),COUNT(L$4:L68)+1,"")</f>
        <v/>
      </c>
    </row>
    <row r="70" customFormat="false" ht="15" hidden="false" customHeight="false" outlineLevel="0" collapsed="false">
      <c r="A70" s="53" t="s">
        <v>625</v>
      </c>
      <c r="B70" s="28"/>
      <c r="C70" s="27"/>
      <c r="D70" s="26"/>
      <c r="E70" s="26"/>
      <c r="F70" s="26"/>
      <c r="G70" s="27"/>
      <c r="H70" s="28"/>
      <c r="I70" s="27"/>
      <c r="J70" s="28"/>
      <c r="K70" s="26"/>
      <c r="L70" s="0" t="str">
        <f aca="false">IF(AND(D70&lt;&gt;"",I70="Open"),COUNT(L$4:L69)+1,"")</f>
        <v/>
      </c>
    </row>
    <row r="71" customFormat="false" ht="15" hidden="false" customHeight="false" outlineLevel="0" collapsed="false">
      <c r="A71" s="53" t="s">
        <v>626</v>
      </c>
      <c r="B71" s="28"/>
      <c r="C71" s="27"/>
      <c r="D71" s="26"/>
      <c r="E71" s="26"/>
      <c r="F71" s="26"/>
      <c r="G71" s="27"/>
      <c r="H71" s="28"/>
      <c r="I71" s="27"/>
      <c r="J71" s="28"/>
      <c r="K71" s="26"/>
      <c r="L71" s="0" t="str">
        <f aca="false">IF(AND(D71&lt;&gt;"",I71="Open"),COUNT(L$4:L70)+1,"")</f>
        <v/>
      </c>
    </row>
    <row r="72" customFormat="false" ht="15" hidden="false" customHeight="false" outlineLevel="0" collapsed="false">
      <c r="A72" s="53" t="s">
        <v>627</v>
      </c>
      <c r="B72" s="28"/>
      <c r="C72" s="27"/>
      <c r="D72" s="26"/>
      <c r="E72" s="26"/>
      <c r="F72" s="26"/>
      <c r="G72" s="27"/>
      <c r="H72" s="28"/>
      <c r="I72" s="27"/>
      <c r="J72" s="28"/>
      <c r="K72" s="26"/>
      <c r="L72" s="0" t="str">
        <f aca="false">IF(AND(D72&lt;&gt;"",I72="Open"),COUNT(L$4:L71)+1,"")</f>
        <v/>
      </c>
    </row>
    <row r="73" customFormat="false" ht="15" hidden="false" customHeight="false" outlineLevel="0" collapsed="false">
      <c r="A73" s="53" t="s">
        <v>628</v>
      </c>
      <c r="B73" s="28"/>
      <c r="C73" s="27"/>
      <c r="D73" s="26"/>
      <c r="E73" s="26"/>
      <c r="F73" s="26"/>
      <c r="G73" s="27"/>
      <c r="H73" s="28"/>
      <c r="I73" s="27"/>
      <c r="J73" s="28"/>
      <c r="K73" s="26"/>
      <c r="L73" s="0" t="str">
        <f aca="false">IF(AND(D73&lt;&gt;"",I73="Open"),COUNT(L$4:L72)+1,"")</f>
        <v/>
      </c>
    </row>
    <row r="74" customFormat="false" ht="15" hidden="false" customHeight="false" outlineLevel="0" collapsed="false">
      <c r="A74" s="53" t="s">
        <v>629</v>
      </c>
      <c r="B74" s="28"/>
      <c r="C74" s="27"/>
      <c r="D74" s="26"/>
      <c r="E74" s="26"/>
      <c r="F74" s="26"/>
      <c r="G74" s="27"/>
      <c r="H74" s="28"/>
      <c r="I74" s="27"/>
      <c r="J74" s="28"/>
      <c r="K74" s="26"/>
      <c r="L74" s="0" t="str">
        <f aca="false">IF(AND(D74&lt;&gt;"",I74="Open"),COUNT(L$4:L73)+1,"")</f>
        <v/>
      </c>
    </row>
    <row r="75" customFormat="false" ht="15" hidden="false" customHeight="false" outlineLevel="0" collapsed="false">
      <c r="A75" s="53" t="s">
        <v>630</v>
      </c>
      <c r="B75" s="28"/>
      <c r="C75" s="27"/>
      <c r="D75" s="26"/>
      <c r="E75" s="26"/>
      <c r="F75" s="26"/>
      <c r="G75" s="27"/>
      <c r="H75" s="28"/>
      <c r="I75" s="27"/>
      <c r="J75" s="28"/>
      <c r="K75" s="26"/>
      <c r="L75" s="0" t="str">
        <f aca="false">IF(AND(D75&lt;&gt;"",I75="Open"),COUNT(L$4:L74)+1,"")</f>
        <v/>
      </c>
    </row>
    <row r="76" customFormat="false" ht="15" hidden="false" customHeight="false" outlineLevel="0" collapsed="false">
      <c r="A76" s="53" t="s">
        <v>631</v>
      </c>
      <c r="B76" s="28"/>
      <c r="C76" s="27"/>
      <c r="D76" s="26"/>
      <c r="E76" s="26"/>
      <c r="F76" s="26"/>
      <c r="G76" s="27"/>
      <c r="H76" s="28"/>
      <c r="I76" s="27"/>
      <c r="J76" s="28"/>
      <c r="K76" s="26"/>
      <c r="L76" s="0" t="str">
        <f aca="false">IF(AND(D76&lt;&gt;"",I76="Open"),COUNT(L$4:L75)+1,"")</f>
        <v/>
      </c>
    </row>
    <row r="77" customFormat="false" ht="15" hidden="false" customHeight="false" outlineLevel="0" collapsed="false">
      <c r="A77" s="53" t="s">
        <v>632</v>
      </c>
      <c r="B77" s="28"/>
      <c r="C77" s="27"/>
      <c r="D77" s="26"/>
      <c r="E77" s="26"/>
      <c r="F77" s="26"/>
      <c r="G77" s="27"/>
      <c r="H77" s="28"/>
      <c r="I77" s="27"/>
      <c r="J77" s="28"/>
      <c r="K77" s="26"/>
      <c r="L77" s="0" t="str">
        <f aca="false">IF(AND(D77&lt;&gt;"",I77="Open"),COUNT(L$4:L76)+1,"")</f>
        <v/>
      </c>
    </row>
    <row r="78" customFormat="false" ht="15" hidden="false" customHeight="false" outlineLevel="0" collapsed="false">
      <c r="A78" s="53" t="s">
        <v>633</v>
      </c>
      <c r="B78" s="28"/>
      <c r="C78" s="27"/>
      <c r="D78" s="26"/>
      <c r="E78" s="26"/>
      <c r="F78" s="26"/>
      <c r="G78" s="27"/>
      <c r="H78" s="28"/>
      <c r="I78" s="27"/>
      <c r="J78" s="28"/>
      <c r="K78" s="26"/>
      <c r="L78" s="0" t="str">
        <f aca="false">IF(AND(D78&lt;&gt;"",I78="Open"),COUNT(L$4:L77)+1,"")</f>
        <v/>
      </c>
    </row>
    <row r="79" customFormat="false" ht="15" hidden="false" customHeight="false" outlineLevel="0" collapsed="false">
      <c r="A79" s="53" t="s">
        <v>634</v>
      </c>
      <c r="B79" s="28"/>
      <c r="C79" s="27"/>
      <c r="D79" s="26"/>
      <c r="E79" s="26"/>
      <c r="F79" s="26"/>
      <c r="G79" s="27"/>
      <c r="H79" s="28"/>
      <c r="I79" s="27"/>
      <c r="J79" s="28"/>
      <c r="K79" s="26"/>
      <c r="L79" s="0" t="str">
        <f aca="false">IF(AND(D79&lt;&gt;"",I79="Open"),COUNT(L$4:L78)+1,"")</f>
        <v/>
      </c>
    </row>
    <row r="80" customFormat="false" ht="15" hidden="false" customHeight="false" outlineLevel="0" collapsed="false">
      <c r="A80" s="53" t="s">
        <v>635</v>
      </c>
      <c r="B80" s="28"/>
      <c r="C80" s="27"/>
      <c r="D80" s="26"/>
      <c r="E80" s="26"/>
      <c r="F80" s="26"/>
      <c r="G80" s="27"/>
      <c r="H80" s="28"/>
      <c r="I80" s="27"/>
      <c r="J80" s="28"/>
      <c r="K80" s="26"/>
      <c r="L80" s="0" t="str">
        <f aca="false">IF(AND(D80&lt;&gt;"",I80="Open"),COUNT(L$4:L79)+1,"")</f>
        <v/>
      </c>
    </row>
    <row r="81" customFormat="false" ht="15" hidden="false" customHeight="false" outlineLevel="0" collapsed="false">
      <c r="A81" s="53" t="s">
        <v>636</v>
      </c>
      <c r="B81" s="28"/>
      <c r="C81" s="27"/>
      <c r="D81" s="26"/>
      <c r="E81" s="26"/>
      <c r="F81" s="26"/>
      <c r="G81" s="27"/>
      <c r="H81" s="28"/>
      <c r="I81" s="27"/>
      <c r="J81" s="28"/>
      <c r="K81" s="26"/>
      <c r="L81" s="0" t="str">
        <f aca="false">IF(AND(D81&lt;&gt;"",I81="Open"),COUNT(L$4:L80)+1,"")</f>
        <v/>
      </c>
    </row>
    <row r="82" customFormat="false" ht="15" hidden="false" customHeight="false" outlineLevel="0" collapsed="false">
      <c r="A82" s="53" t="s">
        <v>637</v>
      </c>
      <c r="B82" s="28"/>
      <c r="C82" s="27"/>
      <c r="D82" s="26"/>
      <c r="E82" s="26"/>
      <c r="F82" s="26"/>
      <c r="G82" s="27"/>
      <c r="H82" s="28"/>
      <c r="I82" s="27"/>
      <c r="J82" s="28"/>
      <c r="K82" s="26"/>
      <c r="L82" s="0" t="str">
        <f aca="false">IF(AND(D82&lt;&gt;"",I82="Open"),COUNT(L$4:L81)+1,"")</f>
        <v/>
      </c>
    </row>
    <row r="83" customFormat="false" ht="15" hidden="false" customHeight="false" outlineLevel="0" collapsed="false">
      <c r="A83" s="53" t="s">
        <v>638</v>
      </c>
      <c r="B83" s="28"/>
      <c r="C83" s="27"/>
      <c r="D83" s="26"/>
      <c r="E83" s="26"/>
      <c r="F83" s="26"/>
      <c r="G83" s="27"/>
      <c r="H83" s="28"/>
      <c r="I83" s="27"/>
      <c r="J83" s="28"/>
      <c r="K83" s="26"/>
      <c r="L83" s="0" t="str">
        <f aca="false">IF(AND(D83&lt;&gt;"",I83="Open"),COUNT(L$4:L82)+1,"")</f>
        <v/>
      </c>
    </row>
    <row r="84" customFormat="false" ht="15" hidden="false" customHeight="false" outlineLevel="0" collapsed="false">
      <c r="A84" s="53" t="s">
        <v>639</v>
      </c>
      <c r="B84" s="28"/>
      <c r="C84" s="27"/>
      <c r="D84" s="26"/>
      <c r="E84" s="26"/>
      <c r="F84" s="26"/>
      <c r="G84" s="27"/>
      <c r="H84" s="28"/>
      <c r="I84" s="27"/>
      <c r="J84" s="28"/>
      <c r="K84" s="26"/>
      <c r="L84" s="0" t="str">
        <f aca="false">IF(AND(D84&lt;&gt;"",I84="Open"),COUNT(L$4:L83)+1,"")</f>
        <v/>
      </c>
    </row>
    <row r="85" customFormat="false" ht="15" hidden="false" customHeight="false" outlineLevel="0" collapsed="false">
      <c r="A85" s="53" t="s">
        <v>640</v>
      </c>
      <c r="B85" s="28"/>
      <c r="C85" s="27"/>
      <c r="D85" s="26"/>
      <c r="E85" s="26"/>
      <c r="F85" s="26"/>
      <c r="G85" s="27"/>
      <c r="H85" s="28"/>
      <c r="I85" s="27"/>
      <c r="J85" s="28"/>
      <c r="K85" s="26"/>
      <c r="L85" s="0" t="str">
        <f aca="false">IF(AND(D85&lt;&gt;"",I85="Open"),COUNT(L$4:L84)+1,"")</f>
        <v/>
      </c>
    </row>
    <row r="86" customFormat="false" ht="15" hidden="false" customHeight="false" outlineLevel="0" collapsed="false">
      <c r="A86" s="53" t="s">
        <v>641</v>
      </c>
      <c r="B86" s="28"/>
      <c r="C86" s="27"/>
      <c r="D86" s="26"/>
      <c r="E86" s="26"/>
      <c r="F86" s="26"/>
      <c r="G86" s="27"/>
      <c r="H86" s="28"/>
      <c r="I86" s="27"/>
      <c r="J86" s="28"/>
      <c r="K86" s="26"/>
      <c r="L86" s="0" t="str">
        <f aca="false">IF(AND(D86&lt;&gt;"",I86="Open"),COUNT(L$4:L85)+1,"")</f>
        <v/>
      </c>
    </row>
    <row r="87" customFormat="false" ht="15" hidden="false" customHeight="false" outlineLevel="0" collapsed="false">
      <c r="A87" s="53" t="s">
        <v>642</v>
      </c>
      <c r="B87" s="28"/>
      <c r="C87" s="27"/>
      <c r="D87" s="26"/>
      <c r="E87" s="26"/>
      <c r="F87" s="26"/>
      <c r="G87" s="27"/>
      <c r="H87" s="28"/>
      <c r="I87" s="27"/>
      <c r="J87" s="28"/>
      <c r="K87" s="26"/>
      <c r="L87" s="0" t="str">
        <f aca="false">IF(AND(D87&lt;&gt;"",I87="Open"),COUNT(L$4:L86)+1,"")</f>
        <v/>
      </c>
    </row>
    <row r="88" customFormat="false" ht="15" hidden="false" customHeight="false" outlineLevel="0" collapsed="false">
      <c r="A88" s="53" t="s">
        <v>643</v>
      </c>
      <c r="B88" s="28"/>
      <c r="C88" s="27"/>
      <c r="D88" s="26"/>
      <c r="E88" s="26"/>
      <c r="F88" s="26"/>
      <c r="G88" s="27"/>
      <c r="H88" s="28"/>
      <c r="I88" s="27"/>
      <c r="J88" s="28"/>
      <c r="K88" s="26"/>
      <c r="L88" s="0" t="str">
        <f aca="false">IF(AND(D88&lt;&gt;"",I88="Open"),COUNT(L$4:L87)+1,"")</f>
        <v/>
      </c>
    </row>
    <row r="89" customFormat="false" ht="15" hidden="false" customHeight="false" outlineLevel="0" collapsed="false">
      <c r="A89" s="53" t="s">
        <v>644</v>
      </c>
      <c r="B89" s="28"/>
      <c r="C89" s="27"/>
      <c r="D89" s="26"/>
      <c r="E89" s="26"/>
      <c r="F89" s="26"/>
      <c r="G89" s="27"/>
      <c r="H89" s="28"/>
      <c r="I89" s="27"/>
      <c r="J89" s="28"/>
      <c r="K89" s="26"/>
      <c r="L89" s="0" t="str">
        <f aca="false">IF(AND(D89&lt;&gt;"",I89="Open"),COUNT(L$4:L88)+1,"")</f>
        <v/>
      </c>
    </row>
    <row r="90" customFormat="false" ht="15" hidden="false" customHeight="false" outlineLevel="0" collapsed="false">
      <c r="A90" s="53" t="s">
        <v>645</v>
      </c>
      <c r="B90" s="28"/>
      <c r="C90" s="27"/>
      <c r="D90" s="26"/>
      <c r="E90" s="26"/>
      <c r="F90" s="26"/>
      <c r="G90" s="27"/>
      <c r="H90" s="28"/>
      <c r="I90" s="27"/>
      <c r="J90" s="28"/>
      <c r="K90" s="26"/>
      <c r="L90" s="0" t="str">
        <f aca="false">IF(AND(D90&lt;&gt;"",I90="Open"),COUNT(L$4:L89)+1,"")</f>
        <v/>
      </c>
    </row>
    <row r="91" customFormat="false" ht="15" hidden="false" customHeight="false" outlineLevel="0" collapsed="false">
      <c r="A91" s="53" t="s">
        <v>646</v>
      </c>
      <c r="B91" s="28"/>
      <c r="C91" s="27"/>
      <c r="D91" s="26"/>
      <c r="E91" s="26"/>
      <c r="F91" s="26"/>
      <c r="G91" s="27"/>
      <c r="H91" s="28"/>
      <c r="I91" s="27"/>
      <c r="J91" s="28"/>
      <c r="K91" s="26"/>
      <c r="L91" s="0" t="str">
        <f aca="false">IF(AND(D91&lt;&gt;"",I91="Open"),COUNT(L$4:L90)+1,"")</f>
        <v/>
      </c>
    </row>
    <row r="92" customFormat="false" ht="15" hidden="false" customHeight="false" outlineLevel="0" collapsed="false">
      <c r="A92" s="53" t="s">
        <v>647</v>
      </c>
      <c r="B92" s="28"/>
      <c r="C92" s="27"/>
      <c r="D92" s="26"/>
      <c r="E92" s="26"/>
      <c r="F92" s="26"/>
      <c r="G92" s="27"/>
      <c r="H92" s="28"/>
      <c r="I92" s="27"/>
      <c r="J92" s="28"/>
      <c r="K92" s="26"/>
      <c r="L92" s="0" t="str">
        <f aca="false">IF(AND(D92&lt;&gt;"",I92="Open"),COUNT(L$4:L91)+1,"")</f>
        <v/>
      </c>
    </row>
    <row r="93" customFormat="false" ht="15" hidden="false" customHeight="false" outlineLevel="0" collapsed="false">
      <c r="A93" s="53" t="s">
        <v>648</v>
      </c>
      <c r="B93" s="28"/>
      <c r="C93" s="27"/>
      <c r="D93" s="26"/>
      <c r="E93" s="26"/>
      <c r="F93" s="26"/>
      <c r="G93" s="27"/>
      <c r="H93" s="28"/>
      <c r="I93" s="27"/>
      <c r="J93" s="28"/>
      <c r="K93" s="26"/>
      <c r="L93" s="0" t="str">
        <f aca="false">IF(AND(D93&lt;&gt;"",I93="Open"),COUNT(L$4:L92)+1,"")</f>
        <v/>
      </c>
    </row>
    <row r="94" customFormat="false" ht="15" hidden="false" customHeight="false" outlineLevel="0" collapsed="false">
      <c r="A94" s="53" t="s">
        <v>649</v>
      </c>
      <c r="B94" s="28"/>
      <c r="C94" s="27"/>
      <c r="D94" s="26"/>
      <c r="E94" s="26"/>
      <c r="F94" s="26"/>
      <c r="G94" s="27"/>
      <c r="H94" s="28"/>
      <c r="I94" s="27"/>
      <c r="J94" s="28"/>
      <c r="K94" s="26"/>
      <c r="L94" s="0" t="str">
        <f aca="false">IF(AND(D94&lt;&gt;"",I94="Open"),COUNT(L$4:L93)+1,"")</f>
        <v/>
      </c>
    </row>
    <row r="95" customFormat="false" ht="15" hidden="false" customHeight="false" outlineLevel="0" collapsed="false">
      <c r="A95" s="53" t="s">
        <v>650</v>
      </c>
      <c r="B95" s="28"/>
      <c r="C95" s="27"/>
      <c r="D95" s="26"/>
      <c r="E95" s="26"/>
      <c r="F95" s="26"/>
      <c r="G95" s="27"/>
      <c r="H95" s="28"/>
      <c r="I95" s="27"/>
      <c r="J95" s="28"/>
      <c r="K95" s="26"/>
      <c r="L95" s="0" t="str">
        <f aca="false">IF(AND(D95&lt;&gt;"",I95="Open"),COUNT(L$4:L94)+1,"")</f>
        <v/>
      </c>
    </row>
    <row r="96" customFormat="false" ht="15" hidden="false" customHeight="false" outlineLevel="0" collapsed="false">
      <c r="A96" s="53" t="s">
        <v>651</v>
      </c>
      <c r="B96" s="28"/>
      <c r="C96" s="27"/>
      <c r="D96" s="26"/>
      <c r="E96" s="26"/>
      <c r="F96" s="26"/>
      <c r="G96" s="27"/>
      <c r="H96" s="28"/>
      <c r="I96" s="27"/>
      <c r="J96" s="28"/>
      <c r="K96" s="26"/>
      <c r="L96" s="0" t="str">
        <f aca="false">IF(AND(D96&lt;&gt;"",I96="Open"),COUNT(L$4:L95)+1,"")</f>
        <v/>
      </c>
    </row>
    <row r="97" customFormat="false" ht="15" hidden="false" customHeight="false" outlineLevel="0" collapsed="false">
      <c r="A97" s="53" t="s">
        <v>652</v>
      </c>
      <c r="B97" s="28"/>
      <c r="C97" s="27"/>
      <c r="D97" s="26"/>
      <c r="E97" s="26"/>
      <c r="F97" s="26"/>
      <c r="G97" s="27"/>
      <c r="H97" s="28"/>
      <c r="I97" s="27"/>
      <c r="J97" s="28"/>
      <c r="K97" s="26"/>
      <c r="L97" s="0" t="str">
        <f aca="false">IF(AND(D97&lt;&gt;"",I97="Open"),COUNT(L$4:L96)+1,"")</f>
        <v/>
      </c>
    </row>
    <row r="98" customFormat="false" ht="15" hidden="false" customHeight="false" outlineLevel="0" collapsed="false">
      <c r="A98" s="53" t="s">
        <v>653</v>
      </c>
      <c r="B98" s="28"/>
      <c r="C98" s="27"/>
      <c r="D98" s="26"/>
      <c r="E98" s="26"/>
      <c r="F98" s="26"/>
      <c r="G98" s="27"/>
      <c r="H98" s="28"/>
      <c r="I98" s="27"/>
      <c r="J98" s="28"/>
      <c r="K98" s="26"/>
      <c r="L98" s="0" t="str">
        <f aca="false">IF(AND(D98&lt;&gt;"",I98="Open"),COUNT(L$4:L97)+1,"")</f>
        <v/>
      </c>
    </row>
    <row r="99" customFormat="false" ht="15" hidden="false" customHeight="false" outlineLevel="0" collapsed="false">
      <c r="A99" s="53" t="s">
        <v>654</v>
      </c>
      <c r="B99" s="28"/>
      <c r="C99" s="27"/>
      <c r="D99" s="26"/>
      <c r="E99" s="26"/>
      <c r="F99" s="26"/>
      <c r="G99" s="27"/>
      <c r="H99" s="28"/>
      <c r="I99" s="27"/>
      <c r="J99" s="28"/>
      <c r="K99" s="26"/>
      <c r="L99" s="0" t="str">
        <f aca="false">IF(AND(D99&lt;&gt;"",I99="Open"),COUNT(L$4:L98)+1,"")</f>
        <v/>
      </c>
    </row>
    <row r="100" customFormat="false" ht="15" hidden="false" customHeight="false" outlineLevel="0" collapsed="false">
      <c r="A100" s="53" t="s">
        <v>655</v>
      </c>
      <c r="B100" s="28"/>
      <c r="C100" s="27"/>
      <c r="D100" s="26"/>
      <c r="E100" s="26"/>
      <c r="F100" s="26"/>
      <c r="G100" s="27"/>
      <c r="H100" s="28"/>
      <c r="I100" s="27"/>
      <c r="J100" s="28"/>
      <c r="K100" s="26"/>
      <c r="L100" s="0" t="str">
        <f aca="false">IF(AND(D100&lt;&gt;"",I100="Open"),COUNT(L$4:L99)+1,"")</f>
        <v/>
      </c>
    </row>
    <row r="101" customFormat="false" ht="15" hidden="false" customHeight="false" outlineLevel="0" collapsed="false">
      <c r="A101" s="53" t="s">
        <v>656</v>
      </c>
      <c r="B101" s="28"/>
      <c r="C101" s="27"/>
      <c r="D101" s="26"/>
      <c r="E101" s="26"/>
      <c r="F101" s="26"/>
      <c r="G101" s="27"/>
      <c r="H101" s="28"/>
      <c r="I101" s="27"/>
      <c r="J101" s="28"/>
      <c r="K101" s="26"/>
      <c r="L101" s="0" t="str">
        <f aca="false">IF(AND(D101&lt;&gt;"",I101="Open"),COUNT(L$4:L100)+1,"")</f>
        <v/>
      </c>
    </row>
    <row r="102" customFormat="false" ht="15" hidden="false" customHeight="false" outlineLevel="0" collapsed="false">
      <c r="A102" s="53" t="s">
        <v>657</v>
      </c>
      <c r="B102" s="28"/>
      <c r="C102" s="27"/>
      <c r="D102" s="26"/>
      <c r="E102" s="26"/>
      <c r="F102" s="26"/>
      <c r="G102" s="27"/>
      <c r="H102" s="28"/>
      <c r="I102" s="27"/>
      <c r="J102" s="28"/>
      <c r="K102" s="26"/>
      <c r="L102" s="0" t="str">
        <f aca="false">IF(AND(D102&lt;&gt;"",I102="Open"),COUNT(L$4:L101)+1,"")</f>
        <v/>
      </c>
    </row>
    <row r="103" customFormat="false" ht="15" hidden="false" customHeight="false" outlineLevel="0" collapsed="false">
      <c r="A103" s="53" t="s">
        <v>658</v>
      </c>
      <c r="B103" s="28"/>
      <c r="C103" s="27"/>
      <c r="D103" s="26"/>
      <c r="E103" s="26"/>
      <c r="F103" s="26"/>
      <c r="G103" s="27"/>
      <c r="H103" s="28"/>
      <c r="I103" s="27"/>
      <c r="J103" s="28"/>
      <c r="K103" s="26"/>
      <c r="L103" s="0" t="str">
        <f aca="false">IF(AND(D103&lt;&gt;"",I103="Open"),COUNT(L$4:L102)+1,"")</f>
        <v/>
      </c>
    </row>
    <row r="104" customFormat="false" ht="15" hidden="false" customHeight="false" outlineLevel="0" collapsed="false">
      <c r="A104" s="53" t="s">
        <v>659</v>
      </c>
      <c r="B104" s="28"/>
      <c r="C104" s="27"/>
      <c r="D104" s="26"/>
      <c r="E104" s="26"/>
      <c r="F104" s="26"/>
      <c r="G104" s="27"/>
      <c r="H104" s="28"/>
      <c r="I104" s="27"/>
      <c r="J104" s="28"/>
      <c r="K104" s="26"/>
      <c r="L104" s="0" t="str">
        <f aca="false">IF(AND(D104&lt;&gt;"",I104="Open"),COUNT(L$4:L103)+1,"")</f>
        <v/>
      </c>
    </row>
    <row r="105" customFormat="false" ht="15" hidden="false" customHeight="false" outlineLevel="0" collapsed="false">
      <c r="A105" s="53" t="s">
        <v>660</v>
      </c>
      <c r="B105" s="28"/>
      <c r="C105" s="27"/>
      <c r="D105" s="26"/>
      <c r="E105" s="26"/>
      <c r="F105" s="26"/>
      <c r="G105" s="27"/>
      <c r="H105" s="28"/>
      <c r="I105" s="27"/>
      <c r="J105" s="28"/>
      <c r="K105" s="26"/>
      <c r="L105" s="0" t="str">
        <f aca="false">IF(AND(D105&lt;&gt;"",I105="Open"),COUNT(L$4:L104)+1,"")</f>
        <v/>
      </c>
    </row>
    <row r="106" customFormat="false" ht="15" hidden="false" customHeight="false" outlineLevel="0" collapsed="false">
      <c r="A106" s="53" t="s">
        <v>661</v>
      </c>
      <c r="B106" s="28"/>
      <c r="C106" s="27"/>
      <c r="D106" s="26"/>
      <c r="E106" s="26"/>
      <c r="F106" s="26"/>
      <c r="G106" s="27"/>
      <c r="H106" s="28"/>
      <c r="I106" s="27"/>
      <c r="J106" s="28"/>
      <c r="K106" s="26"/>
      <c r="L106" s="0" t="str">
        <f aca="false">IF(AND(D106&lt;&gt;"",I106="Open"),COUNT(L$4:L105)+1,"")</f>
        <v/>
      </c>
    </row>
    <row r="107" customFormat="false" ht="15" hidden="false" customHeight="false" outlineLevel="0" collapsed="false">
      <c r="A107" s="53" t="s">
        <v>662</v>
      </c>
      <c r="B107" s="28"/>
      <c r="C107" s="27"/>
      <c r="D107" s="26"/>
      <c r="E107" s="26"/>
      <c r="F107" s="26"/>
      <c r="G107" s="27"/>
      <c r="H107" s="28"/>
      <c r="I107" s="27"/>
      <c r="J107" s="28"/>
      <c r="K107" s="26"/>
      <c r="L107" s="0" t="str">
        <f aca="false">IF(AND(D107&lt;&gt;"",I107="Open"),COUNT(L$4:L106)+1,"")</f>
        <v/>
      </c>
    </row>
    <row r="108" customFormat="false" ht="15" hidden="false" customHeight="false" outlineLevel="0" collapsed="false">
      <c r="A108" s="53" t="s">
        <v>663</v>
      </c>
      <c r="B108" s="28"/>
      <c r="C108" s="27"/>
      <c r="D108" s="26"/>
      <c r="E108" s="26"/>
      <c r="F108" s="26"/>
      <c r="G108" s="27"/>
      <c r="H108" s="28"/>
      <c r="I108" s="27"/>
      <c r="J108" s="28"/>
      <c r="K108" s="26"/>
      <c r="L108" s="0" t="str">
        <f aca="false">IF(AND(D108&lt;&gt;"",I108="Open"),COUNT(L$4:L107)+1,"")</f>
        <v/>
      </c>
    </row>
    <row r="109" customFormat="false" ht="15" hidden="false" customHeight="false" outlineLevel="0" collapsed="false">
      <c r="A109" s="53" t="s">
        <v>664</v>
      </c>
      <c r="B109" s="28"/>
      <c r="C109" s="27"/>
      <c r="D109" s="26"/>
      <c r="E109" s="26"/>
      <c r="F109" s="26"/>
      <c r="G109" s="27"/>
      <c r="H109" s="28"/>
      <c r="I109" s="27"/>
      <c r="J109" s="28"/>
      <c r="K109" s="26"/>
      <c r="L109" s="0" t="str">
        <f aca="false">IF(AND(D109&lt;&gt;"",I109="Open"),COUNT(L$4:L108)+1,"")</f>
        <v/>
      </c>
    </row>
    <row r="110" customFormat="false" ht="15" hidden="false" customHeight="false" outlineLevel="0" collapsed="false">
      <c r="A110" s="53" t="s">
        <v>665</v>
      </c>
      <c r="B110" s="28"/>
      <c r="C110" s="27"/>
      <c r="D110" s="26"/>
      <c r="E110" s="26"/>
      <c r="F110" s="26"/>
      <c r="G110" s="27"/>
      <c r="H110" s="28"/>
      <c r="I110" s="27"/>
      <c r="J110" s="28"/>
      <c r="K110" s="26"/>
      <c r="L110" s="0" t="str">
        <f aca="false">IF(AND(D110&lt;&gt;"",I110="Open"),COUNT(L$4:L109)+1,"")</f>
        <v/>
      </c>
    </row>
    <row r="111" customFormat="false" ht="15" hidden="false" customHeight="false" outlineLevel="0" collapsed="false">
      <c r="A111" s="53" t="s">
        <v>666</v>
      </c>
      <c r="B111" s="28"/>
      <c r="C111" s="27"/>
      <c r="D111" s="26"/>
      <c r="E111" s="26"/>
      <c r="F111" s="26"/>
      <c r="G111" s="27"/>
      <c r="H111" s="28"/>
      <c r="I111" s="27"/>
      <c r="J111" s="28"/>
      <c r="K111" s="26"/>
      <c r="L111" s="0" t="str">
        <f aca="false">IF(AND(D111&lt;&gt;"",I111="Open"),COUNT(L$4:L110)+1,"")</f>
        <v/>
      </c>
    </row>
    <row r="112" customFormat="false" ht="15" hidden="false" customHeight="false" outlineLevel="0" collapsed="false">
      <c r="A112" s="53" t="s">
        <v>667</v>
      </c>
      <c r="B112" s="28"/>
      <c r="C112" s="27"/>
      <c r="D112" s="26"/>
      <c r="E112" s="26"/>
      <c r="F112" s="26"/>
      <c r="G112" s="27"/>
      <c r="H112" s="28"/>
      <c r="I112" s="27"/>
      <c r="J112" s="28"/>
      <c r="K112" s="26"/>
      <c r="L112" s="0" t="str">
        <f aca="false">IF(AND(D112&lt;&gt;"",I112="Open"),COUNT(L$4:L111)+1,"")</f>
        <v/>
      </c>
    </row>
    <row r="113" customFormat="false" ht="15" hidden="false" customHeight="false" outlineLevel="0" collapsed="false">
      <c r="A113" s="53" t="s">
        <v>668</v>
      </c>
      <c r="B113" s="28"/>
      <c r="C113" s="27"/>
      <c r="D113" s="26"/>
      <c r="E113" s="26"/>
      <c r="F113" s="26"/>
      <c r="G113" s="27"/>
      <c r="H113" s="28"/>
      <c r="I113" s="27"/>
      <c r="J113" s="28"/>
      <c r="K113" s="26"/>
      <c r="L113" s="0" t="str">
        <f aca="false">IF(AND(D113&lt;&gt;"",I113="Open"),COUNT(L$4:L112)+1,"")</f>
        <v/>
      </c>
    </row>
    <row r="114" customFormat="false" ht="15" hidden="false" customHeight="false" outlineLevel="0" collapsed="false">
      <c r="A114" s="53" t="s">
        <v>669</v>
      </c>
      <c r="B114" s="28"/>
      <c r="C114" s="27"/>
      <c r="D114" s="26"/>
      <c r="E114" s="26"/>
      <c r="F114" s="26"/>
      <c r="G114" s="27"/>
      <c r="H114" s="28"/>
      <c r="I114" s="27"/>
      <c r="J114" s="28"/>
      <c r="K114" s="26"/>
      <c r="L114" s="0" t="str">
        <f aca="false">IF(AND(D114&lt;&gt;"",I114="Open"),COUNT(L$4:L113)+1,"")</f>
        <v/>
      </c>
    </row>
    <row r="115" customFormat="false" ht="15" hidden="false" customHeight="false" outlineLevel="0" collapsed="false">
      <c r="A115" s="53" t="s">
        <v>670</v>
      </c>
      <c r="B115" s="28"/>
      <c r="C115" s="27"/>
      <c r="D115" s="26"/>
      <c r="E115" s="26"/>
      <c r="F115" s="26"/>
      <c r="G115" s="27"/>
      <c r="H115" s="28"/>
      <c r="I115" s="27"/>
      <c r="J115" s="28"/>
      <c r="K115" s="26"/>
      <c r="L115" s="0" t="str">
        <f aca="false">IF(AND(D115&lt;&gt;"",I115="Open"),COUNT(L$4:L114)+1,"")</f>
        <v/>
      </c>
    </row>
    <row r="116" customFormat="false" ht="15" hidden="false" customHeight="false" outlineLevel="0" collapsed="false">
      <c r="A116" s="53" t="s">
        <v>671</v>
      </c>
      <c r="B116" s="28"/>
      <c r="C116" s="27"/>
      <c r="D116" s="26"/>
      <c r="E116" s="26"/>
      <c r="F116" s="26"/>
      <c r="G116" s="27"/>
      <c r="H116" s="28"/>
      <c r="I116" s="27"/>
      <c r="J116" s="28"/>
      <c r="K116" s="26"/>
      <c r="L116" s="0" t="str">
        <f aca="false">IF(AND(D116&lt;&gt;"",I116="Open"),COUNT(L$4:L115)+1,"")</f>
        <v/>
      </c>
    </row>
    <row r="117" customFormat="false" ht="15" hidden="false" customHeight="false" outlineLevel="0" collapsed="false">
      <c r="A117" s="53" t="s">
        <v>672</v>
      </c>
      <c r="B117" s="28"/>
      <c r="C117" s="27"/>
      <c r="D117" s="26"/>
      <c r="E117" s="26"/>
      <c r="F117" s="26"/>
      <c r="G117" s="27"/>
      <c r="H117" s="28"/>
      <c r="I117" s="27"/>
      <c r="J117" s="28"/>
      <c r="K117" s="26"/>
      <c r="L117" s="0" t="str">
        <f aca="false">IF(AND(D117&lt;&gt;"",I117="Open"),COUNT(L$4:L116)+1,"")</f>
        <v/>
      </c>
    </row>
    <row r="118" customFormat="false" ht="15" hidden="false" customHeight="false" outlineLevel="0" collapsed="false">
      <c r="A118" s="53" t="s">
        <v>673</v>
      </c>
      <c r="B118" s="28"/>
      <c r="C118" s="27"/>
      <c r="D118" s="26"/>
      <c r="E118" s="26"/>
      <c r="F118" s="26"/>
      <c r="G118" s="27"/>
      <c r="H118" s="28"/>
      <c r="I118" s="27"/>
      <c r="J118" s="28"/>
      <c r="K118" s="26"/>
      <c r="L118" s="0" t="str">
        <f aca="false">IF(AND(D118&lt;&gt;"",I118="Open"),COUNT(L$4:L117)+1,"")</f>
        <v/>
      </c>
    </row>
    <row r="119" customFormat="false" ht="15" hidden="false" customHeight="false" outlineLevel="0" collapsed="false">
      <c r="A119" s="53" t="s">
        <v>674</v>
      </c>
      <c r="B119" s="28"/>
      <c r="C119" s="27"/>
      <c r="D119" s="26"/>
      <c r="E119" s="26"/>
      <c r="F119" s="26"/>
      <c r="G119" s="27"/>
      <c r="H119" s="28"/>
      <c r="I119" s="27"/>
      <c r="J119" s="28"/>
      <c r="K119" s="26"/>
      <c r="L119" s="0" t="str">
        <f aca="false">IF(AND(D119&lt;&gt;"",I119="Open"),COUNT(L$4:L118)+1,"")</f>
        <v/>
      </c>
    </row>
    <row r="120" customFormat="false" ht="15" hidden="false" customHeight="false" outlineLevel="0" collapsed="false">
      <c r="A120" s="53" t="s">
        <v>675</v>
      </c>
      <c r="B120" s="28"/>
      <c r="C120" s="27"/>
      <c r="D120" s="26"/>
      <c r="E120" s="26"/>
      <c r="F120" s="26"/>
      <c r="G120" s="27"/>
      <c r="H120" s="28"/>
      <c r="I120" s="27"/>
      <c r="J120" s="28"/>
      <c r="K120" s="26"/>
      <c r="L120" s="0" t="str">
        <f aca="false">IF(AND(D120&lt;&gt;"",I120="Open"),COUNT(L$4:L119)+1,"")</f>
        <v/>
      </c>
    </row>
    <row r="121" customFormat="false" ht="15" hidden="false" customHeight="false" outlineLevel="0" collapsed="false">
      <c r="A121" s="53" t="s">
        <v>676</v>
      </c>
      <c r="B121" s="28"/>
      <c r="C121" s="27"/>
      <c r="D121" s="26"/>
      <c r="E121" s="26"/>
      <c r="F121" s="26"/>
      <c r="G121" s="27"/>
      <c r="H121" s="28"/>
      <c r="I121" s="27"/>
      <c r="J121" s="28"/>
      <c r="K121" s="26"/>
      <c r="L121" s="0" t="str">
        <f aca="false">IF(AND(D121&lt;&gt;"",I121="Open"),COUNT(L$4:L120)+1,"")</f>
        <v/>
      </c>
    </row>
    <row r="122" customFormat="false" ht="15" hidden="false" customHeight="false" outlineLevel="0" collapsed="false">
      <c r="A122" s="53" t="s">
        <v>677</v>
      </c>
      <c r="B122" s="28"/>
      <c r="C122" s="27"/>
      <c r="D122" s="26"/>
      <c r="E122" s="26"/>
      <c r="F122" s="26"/>
      <c r="G122" s="27"/>
      <c r="H122" s="28"/>
      <c r="I122" s="27"/>
      <c r="J122" s="28"/>
      <c r="K122" s="26"/>
      <c r="L122" s="0" t="str">
        <f aca="false">IF(AND(D122&lt;&gt;"",I122="Open"),COUNT(L$4:L121)+1,"")</f>
        <v/>
      </c>
    </row>
    <row r="123" customFormat="false" ht="15" hidden="false" customHeight="false" outlineLevel="0" collapsed="false">
      <c r="A123" s="53" t="s">
        <v>678</v>
      </c>
      <c r="B123" s="28"/>
      <c r="C123" s="27"/>
      <c r="D123" s="26"/>
      <c r="E123" s="26"/>
      <c r="F123" s="26"/>
      <c r="G123" s="27"/>
      <c r="H123" s="28"/>
      <c r="I123" s="27"/>
      <c r="J123" s="28"/>
      <c r="K123" s="26"/>
      <c r="L123" s="0" t="str">
        <f aca="false">IF(AND(D123&lt;&gt;"",I123="Open"),COUNT(L$4:L122)+1,"")</f>
        <v/>
      </c>
    </row>
    <row r="124" customFormat="false" ht="15" hidden="false" customHeight="false" outlineLevel="0" collapsed="false">
      <c r="A124" s="53" t="s">
        <v>679</v>
      </c>
      <c r="B124" s="28"/>
      <c r="C124" s="27"/>
      <c r="D124" s="26"/>
      <c r="E124" s="26"/>
      <c r="F124" s="26"/>
      <c r="G124" s="27"/>
      <c r="H124" s="28"/>
      <c r="I124" s="27"/>
      <c r="J124" s="28"/>
      <c r="K124" s="26"/>
      <c r="L124" s="0" t="str">
        <f aca="false">IF(AND(D124&lt;&gt;"",I124="Open"),COUNT(L$4:L123)+1,"")</f>
        <v/>
      </c>
    </row>
    <row r="125" customFormat="false" ht="15" hidden="false" customHeight="false" outlineLevel="0" collapsed="false">
      <c r="A125" s="53" t="s">
        <v>680</v>
      </c>
      <c r="B125" s="28"/>
      <c r="C125" s="27"/>
      <c r="D125" s="26"/>
      <c r="E125" s="26"/>
      <c r="F125" s="26"/>
      <c r="G125" s="27"/>
      <c r="H125" s="28"/>
      <c r="I125" s="27"/>
      <c r="J125" s="28"/>
      <c r="K125" s="26"/>
      <c r="L125" s="0" t="str">
        <f aca="false">IF(AND(D125&lt;&gt;"",I125="Open"),COUNT(L$4:L124)+1,"")</f>
        <v/>
      </c>
    </row>
    <row r="126" customFormat="false" ht="15" hidden="false" customHeight="false" outlineLevel="0" collapsed="false">
      <c r="A126" s="53" t="s">
        <v>681</v>
      </c>
      <c r="B126" s="28"/>
      <c r="C126" s="27"/>
      <c r="D126" s="26"/>
      <c r="E126" s="26"/>
      <c r="F126" s="26"/>
      <c r="G126" s="27"/>
      <c r="H126" s="28"/>
      <c r="I126" s="27"/>
      <c r="J126" s="28"/>
      <c r="K126" s="26"/>
      <c r="L126" s="0" t="str">
        <f aca="false">IF(AND(D126&lt;&gt;"",I126="Open"),COUNT(L$4:L125)+1,"")</f>
        <v/>
      </c>
    </row>
    <row r="127" customFormat="false" ht="15" hidden="false" customHeight="false" outlineLevel="0" collapsed="false">
      <c r="A127" s="53" t="s">
        <v>682</v>
      </c>
      <c r="B127" s="28"/>
      <c r="C127" s="27"/>
      <c r="D127" s="26"/>
      <c r="E127" s="26"/>
      <c r="F127" s="26"/>
      <c r="G127" s="27"/>
      <c r="H127" s="28"/>
      <c r="I127" s="27"/>
      <c r="J127" s="28"/>
      <c r="K127" s="26"/>
      <c r="L127" s="0" t="str">
        <f aca="false">IF(AND(D127&lt;&gt;"",I127="Open"),COUNT(L$4:L126)+1,"")</f>
        <v/>
      </c>
    </row>
    <row r="128" customFormat="false" ht="15" hidden="false" customHeight="false" outlineLevel="0" collapsed="false">
      <c r="A128" s="53" t="s">
        <v>683</v>
      </c>
      <c r="B128" s="28"/>
      <c r="C128" s="27"/>
      <c r="D128" s="26"/>
      <c r="E128" s="26"/>
      <c r="F128" s="26"/>
      <c r="G128" s="27"/>
      <c r="H128" s="28"/>
      <c r="I128" s="27"/>
      <c r="J128" s="28"/>
      <c r="K128" s="26"/>
      <c r="L128" s="0" t="str">
        <f aca="false">IF(AND(D128&lt;&gt;"",I128="Open"),COUNT(L$4:L127)+1,"")</f>
        <v/>
      </c>
    </row>
    <row r="129" customFormat="false" ht="15" hidden="false" customHeight="false" outlineLevel="0" collapsed="false">
      <c r="A129" s="53" t="s">
        <v>684</v>
      </c>
      <c r="B129" s="28"/>
      <c r="C129" s="27"/>
      <c r="D129" s="26"/>
      <c r="E129" s="26"/>
      <c r="F129" s="26"/>
      <c r="G129" s="27"/>
      <c r="H129" s="28"/>
      <c r="I129" s="27"/>
      <c r="J129" s="28"/>
      <c r="K129" s="26"/>
      <c r="L129" s="0" t="str">
        <f aca="false">IF(AND(D129&lt;&gt;"",I129="Open"),COUNT(L$4:L128)+1,"")</f>
        <v/>
      </c>
    </row>
    <row r="130" customFormat="false" ht="15" hidden="false" customHeight="false" outlineLevel="0" collapsed="false">
      <c r="A130" s="53" t="s">
        <v>685</v>
      </c>
      <c r="B130" s="28"/>
      <c r="C130" s="27"/>
      <c r="D130" s="26"/>
      <c r="E130" s="26"/>
      <c r="F130" s="26"/>
      <c r="G130" s="27"/>
      <c r="H130" s="28"/>
      <c r="I130" s="27"/>
      <c r="J130" s="28"/>
      <c r="K130" s="26"/>
      <c r="L130" s="0" t="str">
        <f aca="false">IF(AND(D130&lt;&gt;"",I130="Open"),COUNT(L$4:L129)+1,"")</f>
        <v/>
      </c>
    </row>
    <row r="131" customFormat="false" ht="15" hidden="false" customHeight="false" outlineLevel="0" collapsed="false">
      <c r="A131" s="53" t="s">
        <v>686</v>
      </c>
      <c r="B131" s="28"/>
      <c r="C131" s="27"/>
      <c r="D131" s="26"/>
      <c r="E131" s="26"/>
      <c r="F131" s="26"/>
      <c r="G131" s="27"/>
      <c r="H131" s="28"/>
      <c r="I131" s="27"/>
      <c r="J131" s="28"/>
      <c r="K131" s="26"/>
      <c r="L131" s="0" t="str">
        <f aca="false">IF(AND(D131&lt;&gt;"",I131="Open"),COUNT(L$4:L130)+1,"")</f>
        <v/>
      </c>
    </row>
    <row r="132" customFormat="false" ht="15" hidden="false" customHeight="false" outlineLevel="0" collapsed="false">
      <c r="A132" s="53" t="s">
        <v>687</v>
      </c>
      <c r="B132" s="28"/>
      <c r="C132" s="27"/>
      <c r="D132" s="26"/>
      <c r="E132" s="26"/>
      <c r="F132" s="26"/>
      <c r="G132" s="27"/>
      <c r="H132" s="28"/>
      <c r="I132" s="27"/>
      <c r="J132" s="28"/>
      <c r="K132" s="26"/>
      <c r="L132" s="0" t="str">
        <f aca="false">IF(AND(D132&lt;&gt;"",I132="Open"),COUNT(L$4:L131)+1,"")</f>
        <v/>
      </c>
    </row>
    <row r="133" customFormat="false" ht="15" hidden="false" customHeight="false" outlineLevel="0" collapsed="false">
      <c r="A133" s="53" t="s">
        <v>688</v>
      </c>
      <c r="B133" s="28"/>
      <c r="C133" s="27"/>
      <c r="D133" s="26"/>
      <c r="E133" s="26"/>
      <c r="F133" s="26"/>
      <c r="G133" s="27"/>
      <c r="H133" s="28"/>
      <c r="I133" s="27"/>
      <c r="J133" s="28"/>
      <c r="K133" s="26"/>
      <c r="L133" s="0" t="str">
        <f aca="false">IF(AND(D133&lt;&gt;"",I133="Open"),COUNT(L$4:L132)+1,"")</f>
        <v/>
      </c>
    </row>
    <row r="134" customFormat="false" ht="15" hidden="false" customHeight="false" outlineLevel="0" collapsed="false">
      <c r="A134" s="53" t="s">
        <v>689</v>
      </c>
      <c r="B134" s="28"/>
      <c r="C134" s="27"/>
      <c r="D134" s="26"/>
      <c r="E134" s="26"/>
      <c r="F134" s="26"/>
      <c r="G134" s="27"/>
      <c r="H134" s="28"/>
      <c r="I134" s="27"/>
      <c r="J134" s="28"/>
      <c r="K134" s="26"/>
      <c r="L134" s="0" t="str">
        <f aca="false">IF(AND(D134&lt;&gt;"",I134="Open"),COUNT(L$4:L133)+1,"")</f>
        <v/>
      </c>
    </row>
    <row r="135" customFormat="false" ht="15" hidden="false" customHeight="false" outlineLevel="0" collapsed="false">
      <c r="A135" s="53" t="s">
        <v>690</v>
      </c>
      <c r="B135" s="28"/>
      <c r="C135" s="27"/>
      <c r="D135" s="26"/>
      <c r="E135" s="26"/>
      <c r="F135" s="26"/>
      <c r="G135" s="27"/>
      <c r="H135" s="28"/>
      <c r="I135" s="27"/>
      <c r="J135" s="28"/>
      <c r="K135" s="26"/>
      <c r="L135" s="0" t="str">
        <f aca="false">IF(AND(D135&lt;&gt;"",I135="Open"),COUNT(L$4:L134)+1,"")</f>
        <v/>
      </c>
    </row>
    <row r="136" customFormat="false" ht="15" hidden="false" customHeight="false" outlineLevel="0" collapsed="false">
      <c r="A136" s="53" t="s">
        <v>691</v>
      </c>
      <c r="B136" s="28"/>
      <c r="C136" s="27"/>
      <c r="D136" s="26"/>
      <c r="E136" s="26"/>
      <c r="F136" s="26"/>
      <c r="G136" s="27"/>
      <c r="H136" s="28"/>
      <c r="I136" s="27"/>
      <c r="J136" s="28"/>
      <c r="K136" s="26"/>
      <c r="L136" s="0" t="str">
        <f aca="false">IF(AND(D136&lt;&gt;"",I136="Open"),COUNT(L$4:L135)+1,"")</f>
        <v/>
      </c>
    </row>
    <row r="137" customFormat="false" ht="15" hidden="false" customHeight="false" outlineLevel="0" collapsed="false">
      <c r="A137" s="53" t="s">
        <v>692</v>
      </c>
      <c r="B137" s="28"/>
      <c r="C137" s="27"/>
      <c r="D137" s="26"/>
      <c r="E137" s="26"/>
      <c r="F137" s="26"/>
      <c r="G137" s="27"/>
      <c r="H137" s="28"/>
      <c r="I137" s="27"/>
      <c r="J137" s="28"/>
      <c r="K137" s="26"/>
      <c r="L137" s="0" t="str">
        <f aca="false">IF(AND(D137&lt;&gt;"",I137="Open"),COUNT(L$4:L136)+1,"")</f>
        <v/>
      </c>
    </row>
    <row r="138" customFormat="false" ht="15" hidden="false" customHeight="false" outlineLevel="0" collapsed="false">
      <c r="A138" s="53" t="s">
        <v>693</v>
      </c>
      <c r="B138" s="28"/>
      <c r="C138" s="27"/>
      <c r="D138" s="26"/>
      <c r="E138" s="26"/>
      <c r="F138" s="26"/>
      <c r="G138" s="27"/>
      <c r="H138" s="28"/>
      <c r="I138" s="27"/>
      <c r="J138" s="28"/>
      <c r="K138" s="26"/>
      <c r="L138" s="0" t="str">
        <f aca="false">IF(AND(D138&lt;&gt;"",I138="Open"),COUNT(L$4:L137)+1,"")</f>
        <v/>
      </c>
    </row>
    <row r="139" customFormat="false" ht="15" hidden="false" customHeight="false" outlineLevel="0" collapsed="false">
      <c r="A139" s="53" t="s">
        <v>694</v>
      </c>
      <c r="B139" s="28"/>
      <c r="C139" s="27"/>
      <c r="D139" s="26"/>
      <c r="E139" s="26"/>
      <c r="F139" s="26"/>
      <c r="G139" s="27"/>
      <c r="H139" s="28"/>
      <c r="I139" s="27"/>
      <c r="J139" s="28"/>
      <c r="K139" s="26"/>
      <c r="L139" s="0" t="str">
        <f aca="false">IF(AND(D139&lt;&gt;"",I139="Open"),COUNT(L$4:L138)+1,"")</f>
        <v/>
      </c>
    </row>
    <row r="140" customFormat="false" ht="15" hidden="false" customHeight="false" outlineLevel="0" collapsed="false">
      <c r="A140" s="53" t="s">
        <v>695</v>
      </c>
      <c r="B140" s="28"/>
      <c r="C140" s="27"/>
      <c r="D140" s="26"/>
      <c r="E140" s="26"/>
      <c r="F140" s="26"/>
      <c r="G140" s="27"/>
      <c r="H140" s="28"/>
      <c r="I140" s="27"/>
      <c r="J140" s="28"/>
      <c r="K140" s="26"/>
      <c r="L140" s="0" t="str">
        <f aca="false">IF(AND(D140&lt;&gt;"",I140="Open"),COUNT(L$4:L139)+1,"")</f>
        <v/>
      </c>
    </row>
    <row r="141" customFormat="false" ht="15" hidden="false" customHeight="false" outlineLevel="0" collapsed="false">
      <c r="A141" s="53" t="s">
        <v>696</v>
      </c>
      <c r="B141" s="28"/>
      <c r="C141" s="27"/>
      <c r="D141" s="26"/>
      <c r="E141" s="26"/>
      <c r="F141" s="26"/>
      <c r="G141" s="27"/>
      <c r="H141" s="28"/>
      <c r="I141" s="27"/>
      <c r="J141" s="28"/>
      <c r="K141" s="26"/>
      <c r="L141" s="0" t="str">
        <f aca="false">IF(AND(D141&lt;&gt;"",I141="Open"),COUNT(L$4:L140)+1,"")</f>
        <v/>
      </c>
    </row>
    <row r="142" customFormat="false" ht="15" hidden="false" customHeight="false" outlineLevel="0" collapsed="false">
      <c r="A142" s="53" t="s">
        <v>697</v>
      </c>
      <c r="B142" s="28"/>
      <c r="C142" s="27"/>
      <c r="D142" s="26"/>
      <c r="E142" s="26"/>
      <c r="F142" s="26"/>
      <c r="G142" s="27"/>
      <c r="H142" s="28"/>
      <c r="I142" s="27"/>
      <c r="J142" s="28"/>
      <c r="K142" s="26"/>
      <c r="L142" s="0" t="str">
        <f aca="false">IF(AND(D142&lt;&gt;"",I142="Open"),COUNT(L$4:L141)+1,"")</f>
        <v/>
      </c>
    </row>
    <row r="143" customFormat="false" ht="15" hidden="false" customHeight="false" outlineLevel="0" collapsed="false">
      <c r="A143" s="53" t="s">
        <v>698</v>
      </c>
      <c r="B143" s="28"/>
      <c r="C143" s="27"/>
      <c r="D143" s="26"/>
      <c r="E143" s="26"/>
      <c r="F143" s="26"/>
      <c r="G143" s="27"/>
      <c r="H143" s="28"/>
      <c r="I143" s="27"/>
      <c r="J143" s="28"/>
      <c r="K143" s="26"/>
      <c r="L143" s="0" t="str">
        <f aca="false">IF(AND(D143&lt;&gt;"",I143="Open"),COUNT(L$4:L142)+1,"")</f>
        <v/>
      </c>
    </row>
    <row r="144" customFormat="false" ht="15" hidden="false" customHeight="false" outlineLevel="0" collapsed="false">
      <c r="A144" s="53" t="s">
        <v>699</v>
      </c>
      <c r="B144" s="28"/>
      <c r="C144" s="27"/>
      <c r="D144" s="26"/>
      <c r="E144" s="26"/>
      <c r="F144" s="26"/>
      <c r="G144" s="27"/>
      <c r="H144" s="28"/>
      <c r="I144" s="27"/>
      <c r="J144" s="28"/>
      <c r="K144" s="26"/>
      <c r="L144" s="0" t="str">
        <f aca="false">IF(AND(D144&lt;&gt;"",I144="Open"),COUNT(L$4:L143)+1,"")</f>
        <v/>
      </c>
    </row>
    <row r="145" customFormat="false" ht="15" hidden="false" customHeight="false" outlineLevel="0" collapsed="false">
      <c r="A145" s="53" t="s">
        <v>700</v>
      </c>
      <c r="B145" s="28"/>
      <c r="C145" s="27"/>
      <c r="D145" s="26"/>
      <c r="E145" s="26"/>
      <c r="F145" s="26"/>
      <c r="G145" s="27"/>
      <c r="H145" s="28"/>
      <c r="I145" s="27"/>
      <c r="J145" s="28"/>
      <c r="K145" s="26"/>
      <c r="L145" s="0" t="str">
        <f aca="false">IF(AND(D145&lt;&gt;"",I145="Open"),COUNT(L$4:L144)+1,"")</f>
        <v/>
      </c>
    </row>
    <row r="146" customFormat="false" ht="15" hidden="false" customHeight="false" outlineLevel="0" collapsed="false">
      <c r="A146" s="53" t="s">
        <v>701</v>
      </c>
      <c r="B146" s="28"/>
      <c r="C146" s="27"/>
      <c r="D146" s="26"/>
      <c r="E146" s="26"/>
      <c r="F146" s="26"/>
      <c r="G146" s="27"/>
      <c r="H146" s="28"/>
      <c r="I146" s="27"/>
      <c r="J146" s="28"/>
      <c r="K146" s="26"/>
      <c r="L146" s="0" t="str">
        <f aca="false">IF(AND(D146&lt;&gt;"",I146="Open"),COUNT(L$4:L145)+1,"")</f>
        <v/>
      </c>
    </row>
    <row r="147" customFormat="false" ht="15" hidden="false" customHeight="false" outlineLevel="0" collapsed="false">
      <c r="A147" s="53" t="s">
        <v>702</v>
      </c>
      <c r="B147" s="28"/>
      <c r="C147" s="27"/>
      <c r="D147" s="26"/>
      <c r="E147" s="26"/>
      <c r="F147" s="26"/>
      <c r="G147" s="27"/>
      <c r="H147" s="28"/>
      <c r="I147" s="27"/>
      <c r="J147" s="28"/>
      <c r="K147" s="26"/>
      <c r="L147" s="0" t="str">
        <f aca="false">IF(AND(D147&lt;&gt;"",I147="Open"),COUNT(L$4:L146)+1,"")</f>
        <v/>
      </c>
    </row>
    <row r="148" customFormat="false" ht="15" hidden="false" customHeight="false" outlineLevel="0" collapsed="false">
      <c r="A148" s="53" t="s">
        <v>703</v>
      </c>
      <c r="B148" s="28"/>
      <c r="C148" s="27"/>
      <c r="D148" s="26"/>
      <c r="E148" s="26"/>
      <c r="F148" s="26"/>
      <c r="G148" s="27"/>
      <c r="H148" s="28"/>
      <c r="I148" s="27"/>
      <c r="J148" s="28"/>
      <c r="K148" s="26"/>
      <c r="L148" s="0" t="str">
        <f aca="false">IF(AND(D148&lt;&gt;"",I148="Open"),COUNT(L$4:L147)+1,"")</f>
        <v/>
      </c>
    </row>
    <row r="149" customFormat="false" ht="15" hidden="false" customHeight="false" outlineLevel="0" collapsed="false">
      <c r="A149" s="53" t="s">
        <v>704</v>
      </c>
      <c r="B149" s="28"/>
      <c r="C149" s="27"/>
      <c r="D149" s="26"/>
      <c r="E149" s="26"/>
      <c r="F149" s="26"/>
      <c r="G149" s="27"/>
      <c r="H149" s="28"/>
      <c r="I149" s="27"/>
      <c r="J149" s="28"/>
      <c r="K149" s="26"/>
      <c r="L149" s="0" t="str">
        <f aca="false">IF(AND(D149&lt;&gt;"",I149="Open"),COUNT(L$4:L148)+1,"")</f>
        <v/>
      </c>
    </row>
    <row r="150" customFormat="false" ht="15" hidden="false" customHeight="false" outlineLevel="0" collapsed="false">
      <c r="A150" s="53" t="s">
        <v>705</v>
      </c>
      <c r="B150" s="28"/>
      <c r="C150" s="27"/>
      <c r="D150" s="26"/>
      <c r="E150" s="26"/>
      <c r="F150" s="26"/>
      <c r="G150" s="27"/>
      <c r="H150" s="28"/>
      <c r="I150" s="27"/>
      <c r="J150" s="28"/>
      <c r="K150" s="26"/>
      <c r="L150" s="0" t="str">
        <f aca="false">IF(AND(D150&lt;&gt;"",I150="Open"),COUNT(L$4:L149)+1,"")</f>
        <v/>
      </c>
    </row>
    <row r="151" customFormat="false" ht="15" hidden="false" customHeight="false" outlineLevel="0" collapsed="false">
      <c r="A151" s="53" t="s">
        <v>706</v>
      </c>
      <c r="B151" s="28"/>
      <c r="C151" s="27"/>
      <c r="D151" s="26"/>
      <c r="E151" s="26"/>
      <c r="F151" s="26"/>
      <c r="G151" s="27"/>
      <c r="H151" s="28"/>
      <c r="I151" s="27"/>
      <c r="J151" s="28"/>
      <c r="K151" s="26"/>
      <c r="L151" s="0" t="str">
        <f aca="false">IF(AND(D151&lt;&gt;"",I151="Open"),COUNT(L$4:L150)+1,"")</f>
        <v/>
      </c>
    </row>
    <row r="152" customFormat="false" ht="15" hidden="false" customHeight="false" outlineLevel="0" collapsed="false">
      <c r="A152" s="53" t="s">
        <v>707</v>
      </c>
      <c r="B152" s="28"/>
      <c r="C152" s="27"/>
      <c r="D152" s="26"/>
      <c r="E152" s="26"/>
      <c r="F152" s="26"/>
      <c r="G152" s="27"/>
      <c r="H152" s="28"/>
      <c r="I152" s="27"/>
      <c r="J152" s="28"/>
      <c r="K152" s="26"/>
      <c r="L152" s="0" t="str">
        <f aca="false">IF(AND(D152&lt;&gt;"",I152="Open"),COUNT(L$4:L151)+1,"")</f>
        <v/>
      </c>
    </row>
    <row r="153" customFormat="false" ht="15" hidden="false" customHeight="false" outlineLevel="0" collapsed="false">
      <c r="A153" s="53" t="s">
        <v>708</v>
      </c>
      <c r="B153" s="28"/>
      <c r="C153" s="27"/>
      <c r="D153" s="26"/>
      <c r="E153" s="26"/>
      <c r="F153" s="26"/>
      <c r="G153" s="27"/>
      <c r="H153" s="28"/>
      <c r="I153" s="27"/>
      <c r="J153" s="28"/>
      <c r="K153" s="26"/>
      <c r="L153" s="0" t="str">
        <f aca="false">IF(AND(D153&lt;&gt;"",I153="Open"),COUNT(L$4:L152)+1,"")</f>
        <v/>
      </c>
    </row>
    <row r="154" customFormat="false" ht="15" hidden="false" customHeight="false" outlineLevel="0" collapsed="false">
      <c r="A154" s="53" t="s">
        <v>709</v>
      </c>
      <c r="B154" s="28"/>
      <c r="C154" s="27"/>
      <c r="D154" s="26"/>
      <c r="E154" s="26"/>
      <c r="F154" s="26"/>
      <c r="G154" s="27"/>
      <c r="H154" s="28"/>
      <c r="I154" s="27"/>
      <c r="J154" s="28"/>
      <c r="K154" s="26"/>
      <c r="L154" s="0" t="str">
        <f aca="false">IF(AND(D154&lt;&gt;"",I154="Open"),COUNT(L$4:L153)+1,"")</f>
        <v/>
      </c>
    </row>
    <row r="155" customFormat="false" ht="15" hidden="false" customHeight="false" outlineLevel="0" collapsed="false">
      <c r="A155" s="53" t="s">
        <v>710</v>
      </c>
      <c r="B155" s="28"/>
      <c r="C155" s="27"/>
      <c r="D155" s="26"/>
      <c r="E155" s="26"/>
      <c r="F155" s="26"/>
      <c r="G155" s="27"/>
      <c r="H155" s="28"/>
      <c r="I155" s="27"/>
      <c r="J155" s="28"/>
      <c r="K155" s="26"/>
      <c r="L155" s="0" t="str">
        <f aca="false">IF(AND(D155&lt;&gt;"",I155="Open"),COUNT(L$4:L154)+1,"")</f>
        <v/>
      </c>
    </row>
    <row r="156" customFormat="false" ht="15" hidden="false" customHeight="false" outlineLevel="0" collapsed="false">
      <c r="A156" s="53" t="s">
        <v>711</v>
      </c>
      <c r="B156" s="28"/>
      <c r="C156" s="27"/>
      <c r="D156" s="26"/>
      <c r="E156" s="26"/>
      <c r="F156" s="26"/>
      <c r="G156" s="27"/>
      <c r="H156" s="28"/>
      <c r="I156" s="27"/>
      <c r="J156" s="28"/>
      <c r="K156" s="26"/>
      <c r="L156" s="0" t="str">
        <f aca="false">IF(AND(D156&lt;&gt;"",I156="Open"),COUNT(L$4:L155)+1,"")</f>
        <v/>
      </c>
    </row>
    <row r="157" customFormat="false" ht="15" hidden="false" customHeight="false" outlineLevel="0" collapsed="false">
      <c r="A157" s="53" t="s">
        <v>712</v>
      </c>
      <c r="B157" s="28"/>
      <c r="C157" s="27"/>
      <c r="D157" s="26"/>
      <c r="E157" s="26"/>
      <c r="F157" s="26"/>
      <c r="G157" s="27"/>
      <c r="H157" s="28"/>
      <c r="I157" s="27"/>
      <c r="J157" s="28"/>
      <c r="K157" s="26"/>
      <c r="L157" s="0" t="str">
        <f aca="false">IF(AND(D157&lt;&gt;"",I157="Open"),COUNT(L$4:L156)+1,"")</f>
        <v/>
      </c>
    </row>
    <row r="158" customFormat="false" ht="15" hidden="false" customHeight="false" outlineLevel="0" collapsed="false">
      <c r="A158" s="53" t="s">
        <v>713</v>
      </c>
      <c r="B158" s="28"/>
      <c r="C158" s="27"/>
      <c r="D158" s="26"/>
      <c r="E158" s="26"/>
      <c r="F158" s="26"/>
      <c r="G158" s="27"/>
      <c r="H158" s="28"/>
      <c r="I158" s="27"/>
      <c r="J158" s="28"/>
      <c r="K158" s="26"/>
      <c r="L158" s="0" t="str">
        <f aca="false">IF(AND(D158&lt;&gt;"",I158="Open"),COUNT(L$4:L157)+1,"")</f>
        <v/>
      </c>
    </row>
    <row r="159" customFormat="false" ht="15" hidden="false" customHeight="false" outlineLevel="0" collapsed="false">
      <c r="A159" s="53" t="s">
        <v>714</v>
      </c>
      <c r="B159" s="28"/>
      <c r="C159" s="27"/>
      <c r="D159" s="26"/>
      <c r="E159" s="26"/>
      <c r="F159" s="26"/>
      <c r="G159" s="27"/>
      <c r="H159" s="28"/>
      <c r="I159" s="27"/>
      <c r="J159" s="28"/>
      <c r="K159" s="26"/>
      <c r="L159" s="0" t="str">
        <f aca="false">IF(AND(D159&lt;&gt;"",I159="Open"),COUNT(L$4:L158)+1,"")</f>
        <v/>
      </c>
    </row>
    <row r="160" customFormat="false" ht="15" hidden="false" customHeight="false" outlineLevel="0" collapsed="false">
      <c r="A160" s="53" t="s">
        <v>715</v>
      </c>
      <c r="B160" s="28"/>
      <c r="C160" s="27"/>
      <c r="D160" s="26"/>
      <c r="E160" s="26"/>
      <c r="F160" s="26"/>
      <c r="G160" s="27"/>
      <c r="H160" s="28"/>
      <c r="I160" s="27"/>
      <c r="J160" s="28"/>
      <c r="K160" s="26"/>
      <c r="L160" s="0" t="str">
        <f aca="false">IF(AND(D160&lt;&gt;"",I160="Open"),COUNT(L$4:L159)+1,"")</f>
        <v/>
      </c>
    </row>
    <row r="161" customFormat="false" ht="15" hidden="false" customHeight="false" outlineLevel="0" collapsed="false">
      <c r="A161" s="53" t="s">
        <v>716</v>
      </c>
      <c r="B161" s="28"/>
      <c r="C161" s="27"/>
      <c r="D161" s="26"/>
      <c r="E161" s="26"/>
      <c r="F161" s="26"/>
      <c r="G161" s="27"/>
      <c r="H161" s="28"/>
      <c r="I161" s="27"/>
      <c r="J161" s="28"/>
      <c r="K161" s="26"/>
      <c r="L161" s="0" t="str">
        <f aca="false">IF(AND(D161&lt;&gt;"",I161="Open"),COUNT(L$4:L160)+1,"")</f>
        <v/>
      </c>
    </row>
    <row r="162" customFormat="false" ht="15" hidden="false" customHeight="false" outlineLevel="0" collapsed="false">
      <c r="A162" s="53" t="s">
        <v>717</v>
      </c>
      <c r="B162" s="28"/>
      <c r="C162" s="27"/>
      <c r="D162" s="26"/>
      <c r="E162" s="26"/>
      <c r="F162" s="26"/>
      <c r="G162" s="27"/>
      <c r="H162" s="28"/>
      <c r="I162" s="27"/>
      <c r="J162" s="28"/>
      <c r="K162" s="26"/>
      <c r="L162" s="0" t="str">
        <f aca="false">IF(AND(D162&lt;&gt;"",I162="Open"),COUNT(L$4:L161)+1,"")</f>
        <v/>
      </c>
    </row>
    <row r="163" customFormat="false" ht="15" hidden="false" customHeight="false" outlineLevel="0" collapsed="false">
      <c r="A163" s="53" t="s">
        <v>718</v>
      </c>
      <c r="B163" s="28"/>
      <c r="C163" s="27"/>
      <c r="D163" s="26"/>
      <c r="E163" s="26"/>
      <c r="F163" s="26"/>
      <c r="G163" s="27"/>
      <c r="H163" s="28"/>
      <c r="I163" s="27"/>
      <c r="J163" s="28"/>
      <c r="K163" s="26"/>
      <c r="L163" s="0" t="str">
        <f aca="false">IF(AND(D163&lt;&gt;"",I163="Open"),COUNT(L$4:L162)+1,"")</f>
        <v/>
      </c>
    </row>
    <row r="164" customFormat="false" ht="15" hidden="false" customHeight="false" outlineLevel="0" collapsed="false">
      <c r="A164" s="53" t="s">
        <v>719</v>
      </c>
      <c r="B164" s="28"/>
      <c r="C164" s="27"/>
      <c r="D164" s="26"/>
      <c r="E164" s="26"/>
      <c r="F164" s="26"/>
      <c r="G164" s="27"/>
      <c r="H164" s="28"/>
      <c r="I164" s="27"/>
      <c r="J164" s="28"/>
      <c r="K164" s="26"/>
      <c r="L164" s="0" t="str">
        <f aca="false">IF(AND(D164&lt;&gt;"",I164="Open"),COUNT(L$4:L163)+1,"")</f>
        <v/>
      </c>
    </row>
    <row r="165" customFormat="false" ht="15" hidden="false" customHeight="false" outlineLevel="0" collapsed="false">
      <c r="A165" s="53" t="s">
        <v>720</v>
      </c>
      <c r="B165" s="28"/>
      <c r="C165" s="27"/>
      <c r="D165" s="26"/>
      <c r="E165" s="26"/>
      <c r="F165" s="26"/>
      <c r="G165" s="27"/>
      <c r="H165" s="28"/>
      <c r="I165" s="27"/>
      <c r="J165" s="28"/>
      <c r="K165" s="26"/>
      <c r="L165" s="0" t="str">
        <f aca="false">IF(AND(D165&lt;&gt;"",I165="Open"),COUNT(L$4:L164)+1,"")</f>
        <v/>
      </c>
    </row>
    <row r="166" customFormat="false" ht="15" hidden="false" customHeight="false" outlineLevel="0" collapsed="false">
      <c r="A166" s="53" t="s">
        <v>721</v>
      </c>
      <c r="B166" s="28"/>
      <c r="C166" s="27"/>
      <c r="D166" s="26"/>
      <c r="E166" s="26"/>
      <c r="F166" s="26"/>
      <c r="G166" s="27"/>
      <c r="H166" s="28"/>
      <c r="I166" s="27"/>
      <c r="J166" s="28"/>
      <c r="K166" s="26"/>
      <c r="L166" s="0" t="str">
        <f aca="false">IF(AND(D166&lt;&gt;"",I166="Open"),COUNT(L$4:L165)+1,"")</f>
        <v/>
      </c>
    </row>
    <row r="167" customFormat="false" ht="15" hidden="false" customHeight="false" outlineLevel="0" collapsed="false">
      <c r="A167" s="53" t="s">
        <v>722</v>
      </c>
      <c r="B167" s="28"/>
      <c r="C167" s="27"/>
      <c r="D167" s="26"/>
      <c r="E167" s="26"/>
      <c r="F167" s="26"/>
      <c r="G167" s="27"/>
      <c r="H167" s="28"/>
      <c r="I167" s="27"/>
      <c r="J167" s="28"/>
      <c r="K167" s="26"/>
      <c r="L167" s="0" t="str">
        <f aca="false">IF(AND(D167&lt;&gt;"",I167="Open"),COUNT(L$4:L166)+1,"")</f>
        <v/>
      </c>
    </row>
    <row r="168" customFormat="false" ht="15" hidden="false" customHeight="false" outlineLevel="0" collapsed="false">
      <c r="A168" s="53" t="s">
        <v>723</v>
      </c>
      <c r="B168" s="28"/>
      <c r="C168" s="27"/>
      <c r="D168" s="26"/>
      <c r="E168" s="26"/>
      <c r="F168" s="26"/>
      <c r="G168" s="27"/>
      <c r="H168" s="28"/>
      <c r="I168" s="27"/>
      <c r="J168" s="28"/>
      <c r="K168" s="26"/>
      <c r="L168" s="0" t="str">
        <f aca="false">IF(AND(D168&lt;&gt;"",I168="Open"),COUNT(L$4:L167)+1,"")</f>
        <v/>
      </c>
    </row>
    <row r="169" customFormat="false" ht="15" hidden="false" customHeight="false" outlineLevel="0" collapsed="false">
      <c r="A169" s="53" t="s">
        <v>724</v>
      </c>
      <c r="B169" s="28"/>
      <c r="C169" s="27"/>
      <c r="D169" s="26"/>
      <c r="E169" s="26"/>
      <c r="F169" s="26"/>
      <c r="G169" s="27"/>
      <c r="H169" s="28"/>
      <c r="I169" s="27"/>
      <c r="J169" s="28"/>
      <c r="K169" s="26"/>
      <c r="L169" s="0" t="str">
        <f aca="false">IF(AND(D169&lt;&gt;"",I169="Open"),COUNT(L$4:L168)+1,"")</f>
        <v/>
      </c>
    </row>
    <row r="170" customFormat="false" ht="15" hidden="false" customHeight="false" outlineLevel="0" collapsed="false">
      <c r="A170" s="53" t="s">
        <v>725</v>
      </c>
      <c r="B170" s="28"/>
      <c r="C170" s="27"/>
      <c r="D170" s="26"/>
      <c r="E170" s="26"/>
      <c r="F170" s="26"/>
      <c r="G170" s="27"/>
      <c r="H170" s="28"/>
      <c r="I170" s="27"/>
      <c r="J170" s="28"/>
      <c r="K170" s="26"/>
      <c r="L170" s="0" t="str">
        <f aca="false">IF(AND(D170&lt;&gt;"",I170="Open"),COUNT(L$4:L169)+1,"")</f>
        <v/>
      </c>
    </row>
    <row r="171" customFormat="false" ht="15" hidden="false" customHeight="false" outlineLevel="0" collapsed="false">
      <c r="A171" s="53" t="s">
        <v>726</v>
      </c>
      <c r="B171" s="28"/>
      <c r="C171" s="27"/>
      <c r="D171" s="26"/>
      <c r="E171" s="26"/>
      <c r="F171" s="26"/>
      <c r="G171" s="27"/>
      <c r="H171" s="28"/>
      <c r="I171" s="27"/>
      <c r="J171" s="28"/>
      <c r="K171" s="26"/>
      <c r="L171" s="0" t="str">
        <f aca="false">IF(AND(D171&lt;&gt;"",I171="Open"),COUNT(L$4:L170)+1,"")</f>
        <v/>
      </c>
    </row>
    <row r="172" customFormat="false" ht="15" hidden="false" customHeight="false" outlineLevel="0" collapsed="false">
      <c r="A172" s="53" t="s">
        <v>727</v>
      </c>
      <c r="B172" s="28"/>
      <c r="C172" s="27"/>
      <c r="D172" s="26"/>
      <c r="E172" s="26"/>
      <c r="F172" s="26"/>
      <c r="G172" s="27"/>
      <c r="H172" s="28"/>
      <c r="I172" s="27"/>
      <c r="J172" s="28"/>
      <c r="K172" s="26"/>
      <c r="L172" s="0" t="str">
        <f aca="false">IF(AND(D172&lt;&gt;"",I172="Open"),COUNT(L$4:L171)+1,"")</f>
        <v/>
      </c>
    </row>
    <row r="173" customFormat="false" ht="15" hidden="false" customHeight="false" outlineLevel="0" collapsed="false">
      <c r="A173" s="53" t="s">
        <v>728</v>
      </c>
      <c r="B173" s="28"/>
      <c r="C173" s="27"/>
      <c r="D173" s="26"/>
      <c r="E173" s="26"/>
      <c r="F173" s="26"/>
      <c r="G173" s="27"/>
      <c r="H173" s="28"/>
      <c r="I173" s="27"/>
      <c r="J173" s="28"/>
      <c r="K173" s="26"/>
      <c r="L173" s="0" t="str">
        <f aca="false">IF(AND(D173&lt;&gt;"",I173="Open"),COUNT(L$4:L172)+1,"")</f>
        <v/>
      </c>
    </row>
    <row r="174" customFormat="false" ht="15" hidden="false" customHeight="false" outlineLevel="0" collapsed="false">
      <c r="A174" s="53" t="s">
        <v>729</v>
      </c>
      <c r="B174" s="28"/>
      <c r="C174" s="27"/>
      <c r="D174" s="26"/>
      <c r="E174" s="26"/>
      <c r="F174" s="26"/>
      <c r="G174" s="27"/>
      <c r="H174" s="28"/>
      <c r="I174" s="27"/>
      <c r="J174" s="28"/>
      <c r="K174" s="26"/>
      <c r="L174" s="0" t="str">
        <f aca="false">IF(AND(D174&lt;&gt;"",I174="Open"),COUNT(L$4:L173)+1,"")</f>
        <v/>
      </c>
    </row>
    <row r="175" customFormat="false" ht="15" hidden="false" customHeight="false" outlineLevel="0" collapsed="false">
      <c r="A175" s="53" t="s">
        <v>730</v>
      </c>
      <c r="B175" s="28"/>
      <c r="C175" s="27"/>
      <c r="D175" s="26"/>
      <c r="E175" s="26"/>
      <c r="F175" s="26"/>
      <c r="G175" s="27"/>
      <c r="H175" s="28"/>
      <c r="I175" s="27"/>
      <c r="J175" s="28"/>
      <c r="K175" s="26"/>
      <c r="L175" s="0" t="str">
        <f aca="false">IF(AND(D175&lt;&gt;"",I175="Open"),COUNT(L$4:L174)+1,"")</f>
        <v/>
      </c>
    </row>
    <row r="176" customFormat="false" ht="15" hidden="false" customHeight="false" outlineLevel="0" collapsed="false">
      <c r="A176" s="53" t="s">
        <v>731</v>
      </c>
      <c r="B176" s="28"/>
      <c r="C176" s="27"/>
      <c r="D176" s="26"/>
      <c r="E176" s="26"/>
      <c r="F176" s="26"/>
      <c r="G176" s="27"/>
      <c r="H176" s="28"/>
      <c r="I176" s="27"/>
      <c r="J176" s="28"/>
      <c r="K176" s="26"/>
      <c r="L176" s="0" t="str">
        <f aca="false">IF(AND(D176&lt;&gt;"",I176="Open"),COUNT(L$4:L175)+1,"")</f>
        <v/>
      </c>
    </row>
    <row r="177" customFormat="false" ht="15" hidden="false" customHeight="false" outlineLevel="0" collapsed="false">
      <c r="A177" s="53" t="s">
        <v>732</v>
      </c>
      <c r="B177" s="28"/>
      <c r="C177" s="27"/>
      <c r="D177" s="26"/>
      <c r="E177" s="26"/>
      <c r="F177" s="26"/>
      <c r="G177" s="27"/>
      <c r="H177" s="28"/>
      <c r="I177" s="27"/>
      <c r="J177" s="28"/>
      <c r="K177" s="26"/>
      <c r="L177" s="0" t="str">
        <f aca="false">IF(AND(D177&lt;&gt;"",I177="Open"),COUNT(L$4:L176)+1,"")</f>
        <v/>
      </c>
    </row>
    <row r="178" customFormat="false" ht="15" hidden="false" customHeight="false" outlineLevel="0" collapsed="false">
      <c r="A178" s="53" t="s">
        <v>733</v>
      </c>
      <c r="B178" s="28"/>
      <c r="C178" s="27"/>
      <c r="D178" s="26"/>
      <c r="E178" s="26"/>
      <c r="F178" s="26"/>
      <c r="G178" s="27"/>
      <c r="H178" s="28"/>
      <c r="I178" s="27"/>
      <c r="J178" s="28"/>
      <c r="K178" s="26"/>
      <c r="L178" s="0" t="str">
        <f aca="false">IF(AND(D178&lt;&gt;"",I178="Open"),COUNT(L$4:L177)+1,"")</f>
        <v/>
      </c>
    </row>
    <row r="179" customFormat="false" ht="15" hidden="false" customHeight="false" outlineLevel="0" collapsed="false">
      <c r="A179" s="53" t="s">
        <v>734</v>
      </c>
      <c r="B179" s="28"/>
      <c r="C179" s="27"/>
      <c r="D179" s="26"/>
      <c r="E179" s="26"/>
      <c r="F179" s="26"/>
      <c r="G179" s="27"/>
      <c r="H179" s="28"/>
      <c r="I179" s="27"/>
      <c r="J179" s="28"/>
      <c r="K179" s="26"/>
      <c r="L179" s="0" t="str">
        <f aca="false">IF(AND(D179&lt;&gt;"",I179="Open"),COUNT(L$4:L178)+1,"")</f>
        <v/>
      </c>
    </row>
    <row r="180" customFormat="false" ht="15" hidden="false" customHeight="false" outlineLevel="0" collapsed="false">
      <c r="A180" s="53" t="s">
        <v>735</v>
      </c>
      <c r="B180" s="28"/>
      <c r="C180" s="27"/>
      <c r="D180" s="26"/>
      <c r="E180" s="26"/>
      <c r="F180" s="26"/>
      <c r="G180" s="27"/>
      <c r="H180" s="28"/>
      <c r="I180" s="27"/>
      <c r="J180" s="28"/>
      <c r="K180" s="26"/>
      <c r="L180" s="0" t="str">
        <f aca="false">IF(AND(D180&lt;&gt;"",I180="Open"),COUNT(L$4:L179)+1,"")</f>
        <v/>
      </c>
    </row>
    <row r="181" customFormat="false" ht="15" hidden="false" customHeight="false" outlineLevel="0" collapsed="false">
      <c r="A181" s="53" t="s">
        <v>736</v>
      </c>
      <c r="B181" s="28"/>
      <c r="C181" s="27"/>
      <c r="D181" s="26"/>
      <c r="E181" s="26"/>
      <c r="F181" s="26"/>
      <c r="G181" s="27"/>
      <c r="H181" s="28"/>
      <c r="I181" s="27"/>
      <c r="J181" s="28"/>
      <c r="K181" s="26"/>
      <c r="L181" s="0" t="str">
        <f aca="false">IF(AND(D181&lt;&gt;"",I181="Open"),COUNT(L$4:L180)+1,"")</f>
        <v/>
      </c>
    </row>
    <row r="182" customFormat="false" ht="15" hidden="false" customHeight="false" outlineLevel="0" collapsed="false">
      <c r="A182" s="53" t="s">
        <v>737</v>
      </c>
      <c r="B182" s="28"/>
      <c r="C182" s="27"/>
      <c r="D182" s="26"/>
      <c r="E182" s="26"/>
      <c r="F182" s="26"/>
      <c r="G182" s="27"/>
      <c r="H182" s="28"/>
      <c r="I182" s="27"/>
      <c r="J182" s="28"/>
      <c r="K182" s="26"/>
      <c r="L182" s="0" t="str">
        <f aca="false">IF(AND(D182&lt;&gt;"",I182="Open"),COUNT(L$4:L181)+1,"")</f>
        <v/>
      </c>
    </row>
    <row r="183" customFormat="false" ht="15" hidden="false" customHeight="false" outlineLevel="0" collapsed="false">
      <c r="A183" s="53" t="s">
        <v>738</v>
      </c>
      <c r="B183" s="28"/>
      <c r="C183" s="27"/>
      <c r="D183" s="26"/>
      <c r="E183" s="26"/>
      <c r="F183" s="26"/>
      <c r="G183" s="27"/>
      <c r="H183" s="28"/>
      <c r="I183" s="27"/>
      <c r="J183" s="28"/>
      <c r="K183" s="26"/>
      <c r="L183" s="0" t="str">
        <f aca="false">IF(AND(D183&lt;&gt;"",I183="Open"),COUNT(L$4:L182)+1,"")</f>
        <v/>
      </c>
    </row>
    <row r="184" customFormat="false" ht="15" hidden="false" customHeight="false" outlineLevel="0" collapsed="false">
      <c r="A184" s="53" t="s">
        <v>739</v>
      </c>
      <c r="B184" s="28"/>
      <c r="C184" s="27"/>
      <c r="D184" s="26"/>
      <c r="E184" s="26"/>
      <c r="F184" s="26"/>
      <c r="G184" s="27"/>
      <c r="H184" s="28"/>
      <c r="I184" s="27"/>
      <c r="J184" s="28"/>
      <c r="K184" s="26"/>
      <c r="L184" s="0" t="str">
        <f aca="false">IF(AND(D184&lt;&gt;"",I184="Open"),COUNT(L$4:L183)+1,"")</f>
        <v/>
      </c>
    </row>
    <row r="185" customFormat="false" ht="15" hidden="false" customHeight="false" outlineLevel="0" collapsed="false">
      <c r="A185" s="53" t="s">
        <v>740</v>
      </c>
      <c r="B185" s="28"/>
      <c r="C185" s="27"/>
      <c r="D185" s="26"/>
      <c r="E185" s="26"/>
      <c r="F185" s="26"/>
      <c r="G185" s="27"/>
      <c r="H185" s="28"/>
      <c r="I185" s="27"/>
      <c r="J185" s="28"/>
      <c r="K185" s="26"/>
      <c r="L185" s="0" t="str">
        <f aca="false">IF(AND(D185&lt;&gt;"",I185="Open"),COUNT(L$4:L184)+1,"")</f>
        <v/>
      </c>
    </row>
    <row r="186" customFormat="false" ht="15" hidden="false" customHeight="false" outlineLevel="0" collapsed="false">
      <c r="A186" s="53" t="s">
        <v>741</v>
      </c>
      <c r="B186" s="28"/>
      <c r="C186" s="27"/>
      <c r="D186" s="26"/>
      <c r="E186" s="26"/>
      <c r="F186" s="26"/>
      <c r="G186" s="27"/>
      <c r="H186" s="28"/>
      <c r="I186" s="27"/>
      <c r="J186" s="28"/>
      <c r="K186" s="26"/>
      <c r="L186" s="0" t="str">
        <f aca="false">IF(AND(D186&lt;&gt;"",I186="Open"),COUNT(L$4:L185)+1,"")</f>
        <v/>
      </c>
    </row>
    <row r="187" customFormat="false" ht="15" hidden="false" customHeight="false" outlineLevel="0" collapsed="false">
      <c r="A187" s="53" t="s">
        <v>742</v>
      </c>
      <c r="B187" s="28"/>
      <c r="C187" s="27"/>
      <c r="D187" s="26"/>
      <c r="E187" s="26"/>
      <c r="F187" s="26"/>
      <c r="G187" s="27"/>
      <c r="H187" s="28"/>
      <c r="I187" s="27"/>
      <c r="J187" s="28"/>
      <c r="K187" s="26"/>
      <c r="L187" s="0" t="str">
        <f aca="false">IF(AND(D187&lt;&gt;"",I187="Open"),COUNT(L$4:L186)+1,"")</f>
        <v/>
      </c>
    </row>
    <row r="188" customFormat="false" ht="15" hidden="false" customHeight="false" outlineLevel="0" collapsed="false">
      <c r="A188" s="53" t="s">
        <v>743</v>
      </c>
      <c r="B188" s="28"/>
      <c r="C188" s="27"/>
      <c r="D188" s="26"/>
      <c r="E188" s="26"/>
      <c r="F188" s="26"/>
      <c r="G188" s="27"/>
      <c r="H188" s="28"/>
      <c r="I188" s="27"/>
      <c r="J188" s="28"/>
      <c r="K188" s="26"/>
      <c r="L188" s="0" t="str">
        <f aca="false">IF(AND(D188&lt;&gt;"",I188="Open"),COUNT(L$4:L187)+1,"")</f>
        <v/>
      </c>
    </row>
    <row r="189" customFormat="false" ht="15" hidden="false" customHeight="false" outlineLevel="0" collapsed="false">
      <c r="A189" s="53" t="s">
        <v>744</v>
      </c>
      <c r="B189" s="28"/>
      <c r="C189" s="27"/>
      <c r="D189" s="26"/>
      <c r="E189" s="26"/>
      <c r="F189" s="26"/>
      <c r="G189" s="27"/>
      <c r="H189" s="28"/>
      <c r="I189" s="27"/>
      <c r="J189" s="28"/>
      <c r="K189" s="26"/>
      <c r="L189" s="0" t="str">
        <f aca="false">IF(AND(D189&lt;&gt;"",I189="Open"),COUNT(L$4:L188)+1,"")</f>
        <v/>
      </c>
    </row>
    <row r="190" customFormat="false" ht="15" hidden="false" customHeight="false" outlineLevel="0" collapsed="false">
      <c r="A190" s="53" t="s">
        <v>745</v>
      </c>
      <c r="B190" s="28"/>
      <c r="C190" s="27"/>
      <c r="D190" s="26"/>
      <c r="E190" s="26"/>
      <c r="F190" s="26"/>
      <c r="G190" s="27"/>
      <c r="H190" s="28"/>
      <c r="I190" s="27"/>
      <c r="J190" s="28"/>
      <c r="K190" s="26"/>
      <c r="L190" s="0" t="str">
        <f aca="false">IF(AND(D190&lt;&gt;"",I190="Open"),COUNT(L$4:L189)+1,"")</f>
        <v/>
      </c>
    </row>
    <row r="191" customFormat="false" ht="15" hidden="false" customHeight="false" outlineLevel="0" collapsed="false">
      <c r="A191" s="53" t="s">
        <v>746</v>
      </c>
      <c r="B191" s="28"/>
      <c r="C191" s="27"/>
      <c r="D191" s="26"/>
      <c r="E191" s="26"/>
      <c r="F191" s="26"/>
      <c r="G191" s="27"/>
      <c r="H191" s="28"/>
      <c r="I191" s="27"/>
      <c r="J191" s="28"/>
      <c r="K191" s="26"/>
      <c r="L191" s="0" t="str">
        <f aca="false">IF(AND(D191&lt;&gt;"",I191="Open"),COUNT(L$4:L190)+1,"")</f>
        <v/>
      </c>
    </row>
    <row r="192" customFormat="false" ht="15" hidden="false" customHeight="false" outlineLevel="0" collapsed="false">
      <c r="A192" s="53" t="s">
        <v>747</v>
      </c>
      <c r="B192" s="28"/>
      <c r="C192" s="27"/>
      <c r="D192" s="26"/>
      <c r="E192" s="26"/>
      <c r="F192" s="26"/>
      <c r="G192" s="27"/>
      <c r="H192" s="28"/>
      <c r="I192" s="27"/>
      <c r="J192" s="28"/>
      <c r="K192" s="26"/>
      <c r="L192" s="0" t="str">
        <f aca="false">IF(AND(D192&lt;&gt;"",I192="Open"),COUNT(L$4:L191)+1,"")</f>
        <v/>
      </c>
    </row>
    <row r="193" customFormat="false" ht="15" hidden="false" customHeight="false" outlineLevel="0" collapsed="false">
      <c r="A193" s="53" t="s">
        <v>748</v>
      </c>
      <c r="B193" s="28"/>
      <c r="C193" s="27"/>
      <c r="D193" s="26"/>
      <c r="E193" s="26"/>
      <c r="F193" s="26"/>
      <c r="G193" s="27"/>
      <c r="H193" s="28"/>
      <c r="I193" s="27"/>
      <c r="J193" s="28"/>
      <c r="K193" s="26"/>
      <c r="L193" s="0" t="str">
        <f aca="false">IF(AND(D193&lt;&gt;"",I193="Open"),COUNT(L$4:L192)+1,"")</f>
        <v/>
      </c>
    </row>
    <row r="194" customFormat="false" ht="15" hidden="false" customHeight="false" outlineLevel="0" collapsed="false">
      <c r="A194" s="53" t="s">
        <v>749</v>
      </c>
      <c r="B194" s="28"/>
      <c r="C194" s="27"/>
      <c r="D194" s="26"/>
      <c r="E194" s="26"/>
      <c r="F194" s="26"/>
      <c r="G194" s="27"/>
      <c r="H194" s="28"/>
      <c r="I194" s="27"/>
      <c r="J194" s="28"/>
      <c r="K194" s="26"/>
      <c r="L194" s="0" t="str">
        <f aca="false">IF(AND(D194&lt;&gt;"",I194="Open"),COUNT(L$4:L193)+1,"")</f>
        <v/>
      </c>
    </row>
    <row r="195" customFormat="false" ht="15" hidden="false" customHeight="false" outlineLevel="0" collapsed="false">
      <c r="A195" s="53" t="s">
        <v>750</v>
      </c>
      <c r="B195" s="28"/>
      <c r="C195" s="27"/>
      <c r="D195" s="26"/>
      <c r="E195" s="26"/>
      <c r="F195" s="26"/>
      <c r="G195" s="27"/>
      <c r="H195" s="28"/>
      <c r="I195" s="27"/>
      <c r="J195" s="28"/>
      <c r="K195" s="26"/>
      <c r="L195" s="0" t="str">
        <f aca="false">IF(AND(D195&lt;&gt;"",I195="Open"),COUNT(L$4:L194)+1,"")</f>
        <v/>
      </c>
    </row>
    <row r="196" customFormat="false" ht="15" hidden="false" customHeight="false" outlineLevel="0" collapsed="false">
      <c r="A196" s="53" t="s">
        <v>751</v>
      </c>
      <c r="B196" s="28"/>
      <c r="C196" s="27"/>
      <c r="D196" s="26"/>
      <c r="E196" s="26"/>
      <c r="F196" s="26"/>
      <c r="G196" s="27"/>
      <c r="H196" s="28"/>
      <c r="I196" s="27"/>
      <c r="J196" s="28"/>
      <c r="K196" s="26"/>
      <c r="L196" s="0" t="str">
        <f aca="false">IF(AND(D196&lt;&gt;"",I196="Open"),COUNT(L$4:L195)+1,"")</f>
        <v/>
      </c>
    </row>
    <row r="197" customFormat="false" ht="15" hidden="false" customHeight="false" outlineLevel="0" collapsed="false">
      <c r="A197" s="53" t="s">
        <v>752</v>
      </c>
      <c r="B197" s="28"/>
      <c r="C197" s="27"/>
      <c r="D197" s="26"/>
      <c r="E197" s="26"/>
      <c r="F197" s="26"/>
      <c r="G197" s="27"/>
      <c r="H197" s="28"/>
      <c r="I197" s="27"/>
      <c r="J197" s="28"/>
      <c r="K197" s="26"/>
      <c r="L197" s="0" t="str">
        <f aca="false">IF(AND(D197&lt;&gt;"",I197="Open"),COUNT(L$4:L196)+1,"")</f>
        <v/>
      </c>
    </row>
    <row r="198" customFormat="false" ht="15" hidden="false" customHeight="false" outlineLevel="0" collapsed="false">
      <c r="A198" s="53" t="s">
        <v>753</v>
      </c>
      <c r="B198" s="28"/>
      <c r="C198" s="27"/>
      <c r="D198" s="26"/>
      <c r="E198" s="26"/>
      <c r="F198" s="26"/>
      <c r="G198" s="27"/>
      <c r="H198" s="28"/>
      <c r="I198" s="27"/>
      <c r="J198" s="28"/>
      <c r="K198" s="26"/>
      <c r="L198" s="0" t="str">
        <f aca="false">IF(AND(D198&lt;&gt;"",I198="Open"),COUNT(L$4:L197)+1,"")</f>
        <v/>
      </c>
    </row>
    <row r="199" customFormat="false" ht="15" hidden="false" customHeight="false" outlineLevel="0" collapsed="false">
      <c r="A199" s="53" t="s">
        <v>754</v>
      </c>
      <c r="B199" s="28"/>
      <c r="C199" s="27"/>
      <c r="D199" s="26"/>
      <c r="E199" s="26"/>
      <c r="F199" s="26"/>
      <c r="G199" s="27"/>
      <c r="H199" s="28"/>
      <c r="I199" s="27"/>
      <c r="J199" s="28"/>
      <c r="K199" s="26"/>
      <c r="L199" s="0" t="str">
        <f aca="false">IF(AND(D199&lt;&gt;"",I199="Open"),COUNT(L$4:L198)+1,"")</f>
        <v/>
      </c>
    </row>
    <row r="200" customFormat="false" ht="15" hidden="false" customHeight="false" outlineLevel="0" collapsed="false">
      <c r="A200" s="53" t="s">
        <v>755</v>
      </c>
      <c r="B200" s="28"/>
      <c r="C200" s="27"/>
      <c r="D200" s="26"/>
      <c r="E200" s="26"/>
      <c r="F200" s="26"/>
      <c r="G200" s="27"/>
      <c r="H200" s="28"/>
      <c r="I200" s="27"/>
      <c r="J200" s="28"/>
      <c r="K200" s="26"/>
      <c r="L200" s="0" t="str">
        <f aca="false">IF(AND(D200&lt;&gt;"",I200="Open"),COUNT(L$4:L199)+1,"")</f>
        <v/>
      </c>
    </row>
    <row r="201" customFormat="false" ht="15" hidden="false" customHeight="false" outlineLevel="0" collapsed="false">
      <c r="A201" s="53" t="s">
        <v>756</v>
      </c>
      <c r="B201" s="28"/>
      <c r="C201" s="27"/>
      <c r="D201" s="26"/>
      <c r="E201" s="26"/>
      <c r="F201" s="26"/>
      <c r="G201" s="27"/>
      <c r="H201" s="28"/>
      <c r="I201" s="27"/>
      <c r="J201" s="28"/>
      <c r="K201" s="26"/>
      <c r="L201" s="0" t="str">
        <f aca="false">IF(AND(D201&lt;&gt;"",I201="Open"),COUNT(L$4:L200)+1,"")</f>
        <v/>
      </c>
    </row>
    <row r="202" customFormat="false" ht="15" hidden="false" customHeight="false" outlineLevel="0" collapsed="false">
      <c r="A202" s="53" t="s">
        <v>757</v>
      </c>
      <c r="B202" s="28"/>
      <c r="C202" s="27"/>
      <c r="D202" s="26"/>
      <c r="E202" s="26"/>
      <c r="F202" s="26"/>
      <c r="G202" s="27"/>
      <c r="H202" s="28"/>
      <c r="I202" s="27"/>
      <c r="J202" s="28"/>
      <c r="K202" s="26"/>
      <c r="L202" s="0" t="str">
        <f aca="false">IF(AND(D202&lt;&gt;"",I202="Open"),COUNT(L$4:L201)+1,"")</f>
        <v/>
      </c>
    </row>
    <row r="203" customFormat="false" ht="15" hidden="false" customHeight="false" outlineLevel="0" collapsed="false">
      <c r="A203" s="53" t="s">
        <v>758</v>
      </c>
      <c r="B203" s="28"/>
      <c r="C203" s="27"/>
      <c r="D203" s="26"/>
      <c r="E203" s="26"/>
      <c r="F203" s="26"/>
      <c r="G203" s="27"/>
      <c r="H203" s="28"/>
      <c r="I203" s="27"/>
      <c r="J203" s="28"/>
      <c r="K203" s="26"/>
      <c r="L203" s="0" t="str">
        <f aca="false">IF(AND(D203&lt;&gt;"",I203="Open"),COUNT(L$4:L202)+1,"")</f>
        <v/>
      </c>
    </row>
    <row r="204" customFormat="false" ht="15" hidden="false" customHeight="false" outlineLevel="0" collapsed="false">
      <c r="A204" s="53" t="s">
        <v>759</v>
      </c>
      <c r="B204" s="28"/>
      <c r="C204" s="27"/>
      <c r="D204" s="26"/>
      <c r="E204" s="26"/>
      <c r="F204" s="26"/>
      <c r="G204" s="27"/>
      <c r="H204" s="28"/>
      <c r="I204" s="27"/>
      <c r="J204" s="28"/>
      <c r="K204" s="26"/>
      <c r="L204" s="0" t="str">
        <f aca="false">IF(AND(D204&lt;&gt;"",I204="Open"),COUNT(L$4:L203)+1,"")</f>
        <v/>
      </c>
    </row>
  </sheetData>
  <autoFilter ref="A4:K204"/>
  <conditionalFormatting sqref="I5:I204">
    <cfRule type="cellIs" priority="2" operator="equal" aboveAverage="0" equalAverage="0" bottom="0" percent="0" rank="0" text="" dxfId="1">
      <formula>"Completed"</formula>
    </cfRule>
    <cfRule type="cellIs" priority="3" operator="equal" aboveAverage="0" equalAverage="0" bottom="0" percent="0" rank="0" text="" dxfId="1">
      <formula>"Remediated"</formula>
    </cfRule>
    <cfRule type="cellIs" priority="4" operator="equal" aboveAverage="0" equalAverage="0" bottom="0" percent="0" rank="0" text="" dxfId="1">
      <formula>"Closed"</formula>
    </cfRule>
    <cfRule type="cellIs" priority="5" operator="equal" aboveAverage="0" equalAverage="0" bottom="0" percent="0" rank="0" text="" dxfId="1">
      <formula>"Resolved"</formula>
    </cfRule>
    <cfRule type="cellIs" priority="6" operator="equal" aboveAverage="0" equalAverage="0" bottom="0" percent="0" rank="0" text="" dxfId="1">
      <formula>"Done"</formula>
    </cfRule>
    <cfRule type="cellIs" priority="7" operator="equal" aboveAverage="0" equalAverage="0" bottom="0" percent="0" rank="0" text="" dxfId="1">
      <formula>"On plan"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2">
      <formula>"Open"</formula>
    </cfRule>
    <cfRule type="cellIs" priority="10" operator="equal" aboveAverage="0" equalAverage="0" bottom="0" percent="0" rank="0" text="" dxfId="2">
      <formula>"Late start"</formula>
    </cfRule>
    <cfRule type="cellIs" priority="11" operator="equal" aboveAverage="0" equalAverage="0" bottom="0" percent="0" rank="0" text="" dxfId="2">
      <formula>"Changed"</formula>
    </cfRule>
    <cfRule type="cellIs" priority="12" operator="equal" aboveAverage="0" equalAverage="0" bottom="0" percent="0" rank="0" text="" dxfId="3">
      <formula>"Blocked"</formula>
    </cfRule>
    <cfRule type="cellIs" priority="13" operator="equal" aboveAverage="0" equalAverage="0" bottom="0" percent="0" rank="0" text="" dxfId="3">
      <formula>"Delayed"</formula>
    </cfRule>
    <cfRule type="cellIs" priority="14" operator="equal" aboveAverage="0" equalAverage="0" bottom="0" percent="0" rank="0" text="" dxfId="3">
      <formula>"Overdue"</formula>
    </cfRule>
    <cfRule type="cellIs" priority="15" operator="equal" aboveAverage="0" equalAverage="0" bottom="0" percent="0" rank="0" text="" dxfId="3">
      <formula>"Behind plan"</formula>
    </cfRule>
    <cfRule type="cellIs" priority="16" operator="equal" aboveAverage="0" equalAverage="0" bottom="0" percent="0" rank="0" text="" dxfId="3">
      <formula>"New"</formula>
    </cfRule>
    <cfRule type="cellIs" priority="17" operator="equal" aboveAverage="0" equalAverage="0" bottom="0" percent="0" rank="0" text="" dxfId="4">
      <formula>"Cancelled"</formula>
    </cfRule>
    <cfRule type="cellIs" priority="18" operator="equal" aboveAverage="0" equalAverage="0" bottom="0" percent="0" rank="0" text="" dxfId="4">
      <formula>"Risk Accepted"</formula>
    </cfRule>
  </conditionalFormatting>
  <dataValidations count="5">
    <dataValidation allowBlank="true" error="Enter a date, e.g. 20-Oct-2026" errorStyle="stop" operator="greaterThan" showDropDown="false" showErrorMessage="true" showInputMessage="false" sqref="B5:B204" type="date">
      <formula1>DATE(2020,1,1)</formula1>
      <formula2>0</formula2>
    </dataValidation>
    <dataValidation allowBlank="true" errorStyle="stop" operator="between" showDropDown="false" showErrorMessage="false" showInputMessage="false" sqref="C5:C204" type="list">
      <formula1>Lists!$I$4:$I$5</formula1>
      <formula2>0</formula2>
    </dataValidation>
    <dataValidation allowBlank="true" error="Enter a date, e.g. 20-Oct-2026" errorStyle="stop" operator="greaterThan" showDropDown="false" showErrorMessage="true" showInputMessage="false" sqref="H5:H204" type="date">
      <formula1>DATE(2020,1,1)</formula1>
      <formula2>0</formula2>
    </dataValidation>
    <dataValidation allowBlank="true" errorStyle="stop" operator="between" showDropDown="false" showErrorMessage="false" showInputMessage="false" sqref="I5:I204" type="list">
      <formula1>Lists!$J$4:$J$5</formula1>
      <formula2>0</formula2>
    </dataValidation>
    <dataValidation allowBlank="true" error="Enter a date, e.g. 20-Oct-2026" errorStyle="stop" operator="greaterThan" showDropDown="false" showErrorMessage="true" showInputMessage="false" sqref="J5:J204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16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30" t="s">
        <v>760</v>
      </c>
    </row>
    <row r="2" customFormat="false" ht="15" hidden="false" customHeight="false" outlineLevel="0" collapsed="false">
      <c r="A2" s="31" t="s">
        <v>761</v>
      </c>
    </row>
    <row r="3" customFormat="false" ht="15" hidden="false" customHeight="false" outlineLevel="0" collapsed="false">
      <c r="A3" s="32" t="s">
        <v>57</v>
      </c>
    </row>
    <row r="4" customFormat="false" ht="36" hidden="false" customHeight="true" outlineLevel="0" collapsed="false">
      <c r="A4" s="33" t="s">
        <v>30</v>
      </c>
      <c r="B4" s="33" t="s">
        <v>762</v>
      </c>
      <c r="C4" s="33" t="s">
        <v>51</v>
      </c>
      <c r="D4" s="33" t="s">
        <v>763</v>
      </c>
      <c r="E4" s="33" t="s">
        <v>764</v>
      </c>
      <c r="F4" s="33" t="s">
        <v>765</v>
      </c>
      <c r="G4" s="33" t="s">
        <v>766</v>
      </c>
      <c r="H4" s="33" t="s">
        <v>767</v>
      </c>
    </row>
    <row r="5" customFormat="false" ht="23.85" hidden="false" customHeight="false" outlineLevel="0" collapsed="false">
      <c r="A5" s="53" t="s">
        <v>768</v>
      </c>
      <c r="B5" s="35" t="n">
        <v>46310</v>
      </c>
      <c r="C5" s="36" t="s">
        <v>769</v>
      </c>
      <c r="D5" s="37" t="s">
        <v>770</v>
      </c>
      <c r="E5" s="37" t="s">
        <v>771</v>
      </c>
      <c r="F5" s="37" t="s">
        <v>772</v>
      </c>
      <c r="G5" s="36" t="s">
        <v>773</v>
      </c>
      <c r="H5" s="26"/>
    </row>
    <row r="6" customFormat="false" ht="15" hidden="false" customHeight="false" outlineLevel="0" collapsed="false">
      <c r="A6" s="53" t="s">
        <v>774</v>
      </c>
      <c r="B6" s="28"/>
      <c r="C6" s="27"/>
      <c r="D6" s="26"/>
      <c r="E6" s="26"/>
      <c r="F6" s="26"/>
      <c r="G6" s="27"/>
      <c r="H6" s="26"/>
    </row>
    <row r="7" customFormat="false" ht="15" hidden="false" customHeight="false" outlineLevel="0" collapsed="false">
      <c r="A7" s="53" t="s">
        <v>775</v>
      </c>
      <c r="B7" s="28"/>
      <c r="C7" s="27"/>
      <c r="D7" s="26"/>
      <c r="E7" s="26"/>
      <c r="F7" s="26"/>
      <c r="G7" s="27"/>
      <c r="H7" s="26"/>
    </row>
    <row r="8" customFormat="false" ht="15" hidden="false" customHeight="false" outlineLevel="0" collapsed="false">
      <c r="A8" s="53" t="s">
        <v>776</v>
      </c>
      <c r="B8" s="28"/>
      <c r="C8" s="27"/>
      <c r="D8" s="26"/>
      <c r="E8" s="26"/>
      <c r="F8" s="26"/>
      <c r="G8" s="27"/>
      <c r="H8" s="26"/>
    </row>
    <row r="9" customFormat="false" ht="15" hidden="false" customHeight="false" outlineLevel="0" collapsed="false">
      <c r="A9" s="53" t="s">
        <v>777</v>
      </c>
      <c r="B9" s="28"/>
      <c r="C9" s="27"/>
      <c r="D9" s="26"/>
      <c r="E9" s="26"/>
      <c r="F9" s="26"/>
      <c r="G9" s="27"/>
      <c r="H9" s="26"/>
    </row>
    <row r="10" customFormat="false" ht="15" hidden="false" customHeight="false" outlineLevel="0" collapsed="false">
      <c r="A10" s="53" t="s">
        <v>778</v>
      </c>
      <c r="B10" s="28"/>
      <c r="C10" s="27"/>
      <c r="D10" s="26"/>
      <c r="E10" s="26"/>
      <c r="F10" s="26"/>
      <c r="G10" s="27"/>
      <c r="H10" s="26"/>
    </row>
    <row r="11" customFormat="false" ht="15" hidden="false" customHeight="false" outlineLevel="0" collapsed="false">
      <c r="A11" s="53" t="s">
        <v>779</v>
      </c>
      <c r="B11" s="28"/>
      <c r="C11" s="27"/>
      <c r="D11" s="26"/>
      <c r="E11" s="26"/>
      <c r="F11" s="26"/>
      <c r="G11" s="27"/>
      <c r="H11" s="26"/>
    </row>
    <row r="12" customFormat="false" ht="15" hidden="false" customHeight="false" outlineLevel="0" collapsed="false">
      <c r="A12" s="53" t="s">
        <v>780</v>
      </c>
      <c r="B12" s="28"/>
      <c r="C12" s="27"/>
      <c r="D12" s="26"/>
      <c r="E12" s="26"/>
      <c r="F12" s="26"/>
      <c r="G12" s="27"/>
      <c r="H12" s="26"/>
    </row>
    <row r="13" customFormat="false" ht="15" hidden="false" customHeight="false" outlineLevel="0" collapsed="false">
      <c r="A13" s="53" t="s">
        <v>781</v>
      </c>
      <c r="B13" s="28"/>
      <c r="C13" s="27"/>
      <c r="D13" s="26"/>
      <c r="E13" s="26"/>
      <c r="F13" s="26"/>
      <c r="G13" s="27"/>
      <c r="H13" s="26"/>
    </row>
    <row r="14" customFormat="false" ht="15" hidden="false" customHeight="false" outlineLevel="0" collapsed="false">
      <c r="A14" s="53" t="s">
        <v>782</v>
      </c>
      <c r="B14" s="28"/>
      <c r="C14" s="27"/>
      <c r="D14" s="26"/>
      <c r="E14" s="26"/>
      <c r="F14" s="26"/>
      <c r="G14" s="27"/>
      <c r="H14" s="26"/>
    </row>
    <row r="15" customFormat="false" ht="15" hidden="false" customHeight="false" outlineLevel="0" collapsed="false">
      <c r="A15" s="53" t="s">
        <v>783</v>
      </c>
      <c r="B15" s="28"/>
      <c r="C15" s="27"/>
      <c r="D15" s="26"/>
      <c r="E15" s="26"/>
      <c r="F15" s="26"/>
      <c r="G15" s="27"/>
      <c r="H15" s="26"/>
    </row>
    <row r="16" customFormat="false" ht="15" hidden="false" customHeight="false" outlineLevel="0" collapsed="false">
      <c r="A16" s="53" t="s">
        <v>784</v>
      </c>
      <c r="B16" s="28"/>
      <c r="C16" s="27"/>
      <c r="D16" s="26"/>
      <c r="E16" s="26"/>
      <c r="F16" s="26"/>
      <c r="G16" s="27"/>
      <c r="H16" s="26"/>
    </row>
    <row r="17" customFormat="false" ht="15" hidden="false" customHeight="false" outlineLevel="0" collapsed="false">
      <c r="A17" s="53" t="s">
        <v>785</v>
      </c>
      <c r="B17" s="28"/>
      <c r="C17" s="27"/>
      <c r="D17" s="26"/>
      <c r="E17" s="26"/>
      <c r="F17" s="26"/>
      <c r="G17" s="27"/>
      <c r="H17" s="26"/>
    </row>
    <row r="18" customFormat="false" ht="15" hidden="false" customHeight="false" outlineLevel="0" collapsed="false">
      <c r="A18" s="53" t="s">
        <v>786</v>
      </c>
      <c r="B18" s="28"/>
      <c r="C18" s="27"/>
      <c r="D18" s="26"/>
      <c r="E18" s="26"/>
      <c r="F18" s="26"/>
      <c r="G18" s="27"/>
      <c r="H18" s="26"/>
    </row>
    <row r="19" customFormat="false" ht="15" hidden="false" customHeight="false" outlineLevel="0" collapsed="false">
      <c r="A19" s="53" t="s">
        <v>787</v>
      </c>
      <c r="B19" s="28"/>
      <c r="C19" s="27"/>
      <c r="D19" s="26"/>
      <c r="E19" s="26"/>
      <c r="F19" s="26"/>
      <c r="G19" s="27"/>
      <c r="H19" s="26"/>
    </row>
    <row r="20" customFormat="false" ht="15" hidden="false" customHeight="false" outlineLevel="0" collapsed="false">
      <c r="A20" s="53" t="s">
        <v>788</v>
      </c>
      <c r="B20" s="28"/>
      <c r="C20" s="27"/>
      <c r="D20" s="26"/>
      <c r="E20" s="26"/>
      <c r="F20" s="26"/>
      <c r="G20" s="27"/>
      <c r="H20" s="26"/>
    </row>
    <row r="21" customFormat="false" ht="15" hidden="false" customHeight="false" outlineLevel="0" collapsed="false">
      <c r="A21" s="53" t="s">
        <v>789</v>
      </c>
      <c r="B21" s="28"/>
      <c r="C21" s="27"/>
      <c r="D21" s="26"/>
      <c r="E21" s="26"/>
      <c r="F21" s="26"/>
      <c r="G21" s="27"/>
      <c r="H21" s="26"/>
    </row>
    <row r="22" customFormat="false" ht="15" hidden="false" customHeight="false" outlineLevel="0" collapsed="false">
      <c r="A22" s="53" t="s">
        <v>790</v>
      </c>
      <c r="B22" s="28"/>
      <c r="C22" s="27"/>
      <c r="D22" s="26"/>
      <c r="E22" s="26"/>
      <c r="F22" s="26"/>
      <c r="G22" s="27"/>
      <c r="H22" s="26"/>
    </row>
    <row r="23" customFormat="false" ht="15" hidden="false" customHeight="false" outlineLevel="0" collapsed="false">
      <c r="A23" s="53" t="s">
        <v>791</v>
      </c>
      <c r="B23" s="28"/>
      <c r="C23" s="27"/>
      <c r="D23" s="26"/>
      <c r="E23" s="26"/>
      <c r="F23" s="26"/>
      <c r="G23" s="27"/>
      <c r="H23" s="26"/>
    </row>
    <row r="24" customFormat="false" ht="15" hidden="false" customHeight="false" outlineLevel="0" collapsed="false">
      <c r="A24" s="53" t="s">
        <v>792</v>
      </c>
      <c r="B24" s="28"/>
      <c r="C24" s="27"/>
      <c r="D24" s="26"/>
      <c r="E24" s="26"/>
      <c r="F24" s="26"/>
      <c r="G24" s="27"/>
      <c r="H24" s="26"/>
    </row>
    <row r="25" customFormat="false" ht="15" hidden="false" customHeight="false" outlineLevel="0" collapsed="false">
      <c r="A25" s="53" t="s">
        <v>793</v>
      </c>
      <c r="B25" s="28"/>
      <c r="C25" s="27"/>
      <c r="D25" s="26"/>
      <c r="E25" s="26"/>
      <c r="F25" s="26"/>
      <c r="G25" s="27"/>
      <c r="H25" s="26"/>
    </row>
    <row r="26" customFormat="false" ht="15" hidden="false" customHeight="false" outlineLevel="0" collapsed="false">
      <c r="A26" s="53" t="s">
        <v>794</v>
      </c>
      <c r="B26" s="28"/>
      <c r="C26" s="27"/>
      <c r="D26" s="26"/>
      <c r="E26" s="26"/>
      <c r="F26" s="26"/>
      <c r="G26" s="27"/>
      <c r="H26" s="26"/>
    </row>
    <row r="27" customFormat="false" ht="15" hidden="false" customHeight="false" outlineLevel="0" collapsed="false">
      <c r="A27" s="53" t="s">
        <v>795</v>
      </c>
      <c r="B27" s="28"/>
      <c r="C27" s="27"/>
      <c r="D27" s="26"/>
      <c r="E27" s="26"/>
      <c r="F27" s="26"/>
      <c r="G27" s="27"/>
      <c r="H27" s="26"/>
    </row>
    <row r="28" customFormat="false" ht="15" hidden="false" customHeight="false" outlineLevel="0" collapsed="false">
      <c r="A28" s="53" t="s">
        <v>796</v>
      </c>
      <c r="B28" s="28"/>
      <c r="C28" s="27"/>
      <c r="D28" s="26"/>
      <c r="E28" s="26"/>
      <c r="F28" s="26"/>
      <c r="G28" s="27"/>
      <c r="H28" s="26"/>
    </row>
    <row r="29" customFormat="false" ht="15" hidden="false" customHeight="false" outlineLevel="0" collapsed="false">
      <c r="A29" s="53" t="s">
        <v>797</v>
      </c>
      <c r="B29" s="28"/>
      <c r="C29" s="27"/>
      <c r="D29" s="26"/>
      <c r="E29" s="26"/>
      <c r="F29" s="26"/>
      <c r="G29" s="27"/>
      <c r="H29" s="26"/>
    </row>
    <row r="30" customFormat="false" ht="15" hidden="false" customHeight="false" outlineLevel="0" collapsed="false">
      <c r="A30" s="53" t="s">
        <v>798</v>
      </c>
      <c r="B30" s="28"/>
      <c r="C30" s="27"/>
      <c r="D30" s="26"/>
      <c r="E30" s="26"/>
      <c r="F30" s="26"/>
      <c r="G30" s="27"/>
      <c r="H30" s="26"/>
    </row>
    <row r="31" customFormat="false" ht="15" hidden="false" customHeight="false" outlineLevel="0" collapsed="false">
      <c r="A31" s="53" t="s">
        <v>799</v>
      </c>
      <c r="B31" s="28"/>
      <c r="C31" s="27"/>
      <c r="D31" s="26"/>
      <c r="E31" s="26"/>
      <c r="F31" s="26"/>
      <c r="G31" s="27"/>
      <c r="H31" s="26"/>
    </row>
    <row r="32" customFormat="false" ht="15" hidden="false" customHeight="false" outlineLevel="0" collapsed="false">
      <c r="A32" s="53" t="s">
        <v>800</v>
      </c>
      <c r="B32" s="28"/>
      <c r="C32" s="27"/>
      <c r="D32" s="26"/>
      <c r="E32" s="26"/>
      <c r="F32" s="26"/>
      <c r="G32" s="27"/>
      <c r="H32" s="26"/>
    </row>
    <row r="33" customFormat="false" ht="15" hidden="false" customHeight="false" outlineLevel="0" collapsed="false">
      <c r="A33" s="53" t="s">
        <v>801</v>
      </c>
      <c r="B33" s="28"/>
      <c r="C33" s="27"/>
      <c r="D33" s="26"/>
      <c r="E33" s="26"/>
      <c r="F33" s="26"/>
      <c r="G33" s="27"/>
      <c r="H33" s="26"/>
    </row>
    <row r="34" customFormat="false" ht="15" hidden="false" customHeight="false" outlineLevel="0" collapsed="false">
      <c r="A34" s="53" t="s">
        <v>802</v>
      </c>
      <c r="B34" s="28"/>
      <c r="C34" s="27"/>
      <c r="D34" s="26"/>
      <c r="E34" s="26"/>
      <c r="F34" s="26"/>
      <c r="G34" s="27"/>
      <c r="H34" s="26"/>
    </row>
    <row r="35" customFormat="false" ht="15" hidden="false" customHeight="false" outlineLevel="0" collapsed="false">
      <c r="A35" s="53" t="s">
        <v>803</v>
      </c>
      <c r="B35" s="28"/>
      <c r="C35" s="27"/>
      <c r="D35" s="26"/>
      <c r="E35" s="26"/>
      <c r="F35" s="26"/>
      <c r="G35" s="27"/>
      <c r="H35" s="26"/>
    </row>
    <row r="36" customFormat="false" ht="15" hidden="false" customHeight="false" outlineLevel="0" collapsed="false">
      <c r="A36" s="53" t="s">
        <v>804</v>
      </c>
      <c r="B36" s="28"/>
      <c r="C36" s="27"/>
      <c r="D36" s="26"/>
      <c r="E36" s="26"/>
      <c r="F36" s="26"/>
      <c r="G36" s="27"/>
      <c r="H36" s="26"/>
    </row>
    <row r="37" customFormat="false" ht="15" hidden="false" customHeight="false" outlineLevel="0" collapsed="false">
      <c r="A37" s="53" t="s">
        <v>805</v>
      </c>
      <c r="B37" s="28"/>
      <c r="C37" s="27"/>
      <c r="D37" s="26"/>
      <c r="E37" s="26"/>
      <c r="F37" s="26"/>
      <c r="G37" s="27"/>
      <c r="H37" s="26"/>
    </row>
    <row r="38" customFormat="false" ht="15" hidden="false" customHeight="false" outlineLevel="0" collapsed="false">
      <c r="A38" s="53" t="s">
        <v>806</v>
      </c>
      <c r="B38" s="28"/>
      <c r="C38" s="27"/>
      <c r="D38" s="26"/>
      <c r="E38" s="26"/>
      <c r="F38" s="26"/>
      <c r="G38" s="27"/>
      <c r="H38" s="26"/>
    </row>
    <row r="39" customFormat="false" ht="15" hidden="false" customHeight="false" outlineLevel="0" collapsed="false">
      <c r="A39" s="53" t="s">
        <v>807</v>
      </c>
      <c r="B39" s="28"/>
      <c r="C39" s="27"/>
      <c r="D39" s="26"/>
      <c r="E39" s="26"/>
      <c r="F39" s="26"/>
      <c r="G39" s="27"/>
      <c r="H39" s="26"/>
    </row>
    <row r="40" customFormat="false" ht="15" hidden="false" customHeight="false" outlineLevel="0" collapsed="false">
      <c r="A40" s="53" t="s">
        <v>808</v>
      </c>
      <c r="B40" s="28"/>
      <c r="C40" s="27"/>
      <c r="D40" s="26"/>
      <c r="E40" s="26"/>
      <c r="F40" s="26"/>
      <c r="G40" s="27"/>
      <c r="H40" s="26"/>
    </row>
    <row r="41" customFormat="false" ht="15" hidden="false" customHeight="false" outlineLevel="0" collapsed="false">
      <c r="A41" s="53" t="s">
        <v>809</v>
      </c>
      <c r="B41" s="28"/>
      <c r="C41" s="27"/>
      <c r="D41" s="26"/>
      <c r="E41" s="26"/>
      <c r="F41" s="26"/>
      <c r="G41" s="27"/>
      <c r="H41" s="26"/>
    </row>
    <row r="42" customFormat="false" ht="15" hidden="false" customHeight="false" outlineLevel="0" collapsed="false">
      <c r="A42" s="53" t="s">
        <v>810</v>
      </c>
      <c r="B42" s="28"/>
      <c r="C42" s="27"/>
      <c r="D42" s="26"/>
      <c r="E42" s="26"/>
      <c r="F42" s="26"/>
      <c r="G42" s="27"/>
      <c r="H42" s="26"/>
    </row>
    <row r="43" customFormat="false" ht="15" hidden="false" customHeight="false" outlineLevel="0" collapsed="false">
      <c r="A43" s="53" t="s">
        <v>811</v>
      </c>
      <c r="B43" s="28"/>
      <c r="C43" s="27"/>
      <c r="D43" s="26"/>
      <c r="E43" s="26"/>
      <c r="F43" s="26"/>
      <c r="G43" s="27"/>
      <c r="H43" s="26"/>
    </row>
    <row r="44" customFormat="false" ht="15" hidden="false" customHeight="false" outlineLevel="0" collapsed="false">
      <c r="A44" s="53" t="s">
        <v>812</v>
      </c>
      <c r="B44" s="28"/>
      <c r="C44" s="27"/>
      <c r="D44" s="26"/>
      <c r="E44" s="26"/>
      <c r="F44" s="26"/>
      <c r="G44" s="27"/>
      <c r="H44" s="26"/>
    </row>
    <row r="45" customFormat="false" ht="15" hidden="false" customHeight="false" outlineLevel="0" collapsed="false">
      <c r="A45" s="53" t="s">
        <v>813</v>
      </c>
      <c r="B45" s="28"/>
      <c r="C45" s="27"/>
      <c r="D45" s="26"/>
      <c r="E45" s="26"/>
      <c r="F45" s="26"/>
      <c r="G45" s="27"/>
      <c r="H45" s="26"/>
    </row>
    <row r="46" customFormat="false" ht="15" hidden="false" customHeight="false" outlineLevel="0" collapsed="false">
      <c r="A46" s="53" t="s">
        <v>814</v>
      </c>
      <c r="B46" s="28"/>
      <c r="C46" s="27"/>
      <c r="D46" s="26"/>
      <c r="E46" s="26"/>
      <c r="F46" s="26"/>
      <c r="G46" s="27"/>
      <c r="H46" s="26"/>
    </row>
    <row r="47" customFormat="false" ht="15" hidden="false" customHeight="false" outlineLevel="0" collapsed="false">
      <c r="A47" s="53" t="s">
        <v>815</v>
      </c>
      <c r="B47" s="28"/>
      <c r="C47" s="27"/>
      <c r="D47" s="26"/>
      <c r="E47" s="26"/>
      <c r="F47" s="26"/>
      <c r="G47" s="27"/>
      <c r="H47" s="26"/>
    </row>
    <row r="48" customFormat="false" ht="15" hidden="false" customHeight="false" outlineLevel="0" collapsed="false">
      <c r="A48" s="53" t="s">
        <v>816</v>
      </c>
      <c r="B48" s="28"/>
      <c r="C48" s="27"/>
      <c r="D48" s="26"/>
      <c r="E48" s="26"/>
      <c r="F48" s="26"/>
      <c r="G48" s="27"/>
      <c r="H48" s="26"/>
    </row>
    <row r="49" customFormat="false" ht="15" hidden="false" customHeight="false" outlineLevel="0" collapsed="false">
      <c r="A49" s="53" t="s">
        <v>817</v>
      </c>
      <c r="B49" s="28"/>
      <c r="C49" s="27"/>
      <c r="D49" s="26"/>
      <c r="E49" s="26"/>
      <c r="F49" s="26"/>
      <c r="G49" s="27"/>
      <c r="H49" s="26"/>
    </row>
    <row r="50" customFormat="false" ht="15" hidden="false" customHeight="false" outlineLevel="0" collapsed="false">
      <c r="A50" s="53" t="s">
        <v>818</v>
      </c>
      <c r="B50" s="28"/>
      <c r="C50" s="27"/>
      <c r="D50" s="26"/>
      <c r="E50" s="26"/>
      <c r="F50" s="26"/>
      <c r="G50" s="27"/>
      <c r="H50" s="26"/>
    </row>
    <row r="51" customFormat="false" ht="15" hidden="false" customHeight="false" outlineLevel="0" collapsed="false">
      <c r="A51" s="53" t="s">
        <v>819</v>
      </c>
      <c r="B51" s="28"/>
      <c r="C51" s="27"/>
      <c r="D51" s="26"/>
      <c r="E51" s="26"/>
      <c r="F51" s="26"/>
      <c r="G51" s="27"/>
      <c r="H51" s="26"/>
    </row>
    <row r="52" customFormat="false" ht="15" hidden="false" customHeight="false" outlineLevel="0" collapsed="false">
      <c r="A52" s="53" t="s">
        <v>820</v>
      </c>
      <c r="B52" s="28"/>
      <c r="C52" s="27"/>
      <c r="D52" s="26"/>
      <c r="E52" s="26"/>
      <c r="F52" s="26"/>
      <c r="G52" s="27"/>
      <c r="H52" s="26"/>
    </row>
    <row r="53" customFormat="false" ht="15" hidden="false" customHeight="false" outlineLevel="0" collapsed="false">
      <c r="A53" s="53" t="s">
        <v>821</v>
      </c>
      <c r="B53" s="28"/>
      <c r="C53" s="27"/>
      <c r="D53" s="26"/>
      <c r="E53" s="26"/>
      <c r="F53" s="26"/>
      <c r="G53" s="27"/>
      <c r="H53" s="26"/>
    </row>
    <row r="54" customFormat="false" ht="15" hidden="false" customHeight="false" outlineLevel="0" collapsed="false">
      <c r="A54" s="53" t="s">
        <v>822</v>
      </c>
      <c r="B54" s="28"/>
      <c r="C54" s="27"/>
      <c r="D54" s="26"/>
      <c r="E54" s="26"/>
      <c r="F54" s="26"/>
      <c r="G54" s="27"/>
      <c r="H54" s="26"/>
    </row>
    <row r="55" customFormat="false" ht="15" hidden="false" customHeight="false" outlineLevel="0" collapsed="false">
      <c r="A55" s="53" t="s">
        <v>823</v>
      </c>
      <c r="B55" s="28"/>
      <c r="C55" s="27"/>
      <c r="D55" s="26"/>
      <c r="E55" s="26"/>
      <c r="F55" s="26"/>
      <c r="G55" s="27"/>
      <c r="H55" s="26"/>
    </row>
    <row r="56" customFormat="false" ht="15" hidden="false" customHeight="false" outlineLevel="0" collapsed="false">
      <c r="A56" s="53" t="s">
        <v>824</v>
      </c>
      <c r="B56" s="28"/>
      <c r="C56" s="27"/>
      <c r="D56" s="26"/>
      <c r="E56" s="26"/>
      <c r="F56" s="26"/>
      <c r="G56" s="27"/>
      <c r="H56" s="26"/>
    </row>
    <row r="57" customFormat="false" ht="15" hidden="false" customHeight="false" outlineLevel="0" collapsed="false">
      <c r="A57" s="53" t="s">
        <v>825</v>
      </c>
      <c r="B57" s="28"/>
      <c r="C57" s="27"/>
      <c r="D57" s="26"/>
      <c r="E57" s="26"/>
      <c r="F57" s="26"/>
      <c r="G57" s="27"/>
      <c r="H57" s="26"/>
    </row>
    <row r="58" customFormat="false" ht="15" hidden="false" customHeight="false" outlineLevel="0" collapsed="false">
      <c r="A58" s="53" t="s">
        <v>826</v>
      </c>
      <c r="B58" s="28"/>
      <c r="C58" s="27"/>
      <c r="D58" s="26"/>
      <c r="E58" s="26"/>
      <c r="F58" s="26"/>
      <c r="G58" s="27"/>
      <c r="H58" s="26"/>
    </row>
    <row r="59" customFormat="false" ht="15" hidden="false" customHeight="false" outlineLevel="0" collapsed="false">
      <c r="A59" s="53" t="s">
        <v>827</v>
      </c>
      <c r="B59" s="28"/>
      <c r="C59" s="27"/>
      <c r="D59" s="26"/>
      <c r="E59" s="26"/>
      <c r="F59" s="26"/>
      <c r="G59" s="27"/>
      <c r="H59" s="26"/>
    </row>
    <row r="60" customFormat="false" ht="15" hidden="false" customHeight="false" outlineLevel="0" collapsed="false">
      <c r="A60" s="53" t="s">
        <v>828</v>
      </c>
      <c r="B60" s="28"/>
      <c r="C60" s="27"/>
      <c r="D60" s="26"/>
      <c r="E60" s="26"/>
      <c r="F60" s="26"/>
      <c r="G60" s="27"/>
      <c r="H60" s="26"/>
    </row>
    <row r="61" customFormat="false" ht="15" hidden="false" customHeight="false" outlineLevel="0" collapsed="false">
      <c r="A61" s="53" t="s">
        <v>829</v>
      </c>
      <c r="B61" s="28"/>
      <c r="C61" s="27"/>
      <c r="D61" s="26"/>
      <c r="E61" s="26"/>
      <c r="F61" s="26"/>
      <c r="G61" s="27"/>
      <c r="H61" s="26"/>
    </row>
    <row r="62" customFormat="false" ht="15" hidden="false" customHeight="false" outlineLevel="0" collapsed="false">
      <c r="A62" s="53" t="s">
        <v>830</v>
      </c>
      <c r="B62" s="28"/>
      <c r="C62" s="27"/>
      <c r="D62" s="26"/>
      <c r="E62" s="26"/>
      <c r="F62" s="26"/>
      <c r="G62" s="27"/>
      <c r="H62" s="26"/>
    </row>
    <row r="63" customFormat="false" ht="15" hidden="false" customHeight="false" outlineLevel="0" collapsed="false">
      <c r="A63" s="53" t="s">
        <v>831</v>
      </c>
      <c r="B63" s="28"/>
      <c r="C63" s="27"/>
      <c r="D63" s="26"/>
      <c r="E63" s="26"/>
      <c r="F63" s="26"/>
      <c r="G63" s="27"/>
      <c r="H63" s="26"/>
    </row>
    <row r="64" customFormat="false" ht="15" hidden="false" customHeight="false" outlineLevel="0" collapsed="false">
      <c r="A64" s="53" t="s">
        <v>832</v>
      </c>
      <c r="B64" s="28"/>
      <c r="C64" s="27"/>
      <c r="D64" s="26"/>
      <c r="E64" s="26"/>
      <c r="F64" s="26"/>
      <c r="G64" s="27"/>
      <c r="H64" s="26"/>
    </row>
    <row r="65" customFormat="false" ht="15" hidden="false" customHeight="false" outlineLevel="0" collapsed="false">
      <c r="A65" s="53" t="s">
        <v>833</v>
      </c>
      <c r="B65" s="28"/>
      <c r="C65" s="27"/>
      <c r="D65" s="26"/>
      <c r="E65" s="26"/>
      <c r="F65" s="26"/>
      <c r="G65" s="27"/>
      <c r="H65" s="26"/>
    </row>
    <row r="66" customFormat="false" ht="15" hidden="false" customHeight="false" outlineLevel="0" collapsed="false">
      <c r="A66" s="53" t="s">
        <v>834</v>
      </c>
      <c r="B66" s="28"/>
      <c r="C66" s="27"/>
      <c r="D66" s="26"/>
      <c r="E66" s="26"/>
      <c r="F66" s="26"/>
      <c r="G66" s="27"/>
      <c r="H66" s="26"/>
    </row>
    <row r="67" customFormat="false" ht="15" hidden="false" customHeight="false" outlineLevel="0" collapsed="false">
      <c r="A67" s="53" t="s">
        <v>835</v>
      </c>
      <c r="B67" s="28"/>
      <c r="C67" s="27"/>
      <c r="D67" s="26"/>
      <c r="E67" s="26"/>
      <c r="F67" s="26"/>
      <c r="G67" s="27"/>
      <c r="H67" s="26"/>
    </row>
    <row r="68" customFormat="false" ht="15" hidden="false" customHeight="false" outlineLevel="0" collapsed="false">
      <c r="A68" s="53" t="s">
        <v>836</v>
      </c>
      <c r="B68" s="28"/>
      <c r="C68" s="27"/>
      <c r="D68" s="26"/>
      <c r="E68" s="26"/>
      <c r="F68" s="26"/>
      <c r="G68" s="27"/>
      <c r="H68" s="26"/>
    </row>
    <row r="69" customFormat="false" ht="15" hidden="false" customHeight="false" outlineLevel="0" collapsed="false">
      <c r="A69" s="53" t="s">
        <v>837</v>
      </c>
      <c r="B69" s="28"/>
      <c r="C69" s="27"/>
      <c r="D69" s="26"/>
      <c r="E69" s="26"/>
      <c r="F69" s="26"/>
      <c r="G69" s="27"/>
      <c r="H69" s="26"/>
    </row>
    <row r="70" customFormat="false" ht="15" hidden="false" customHeight="false" outlineLevel="0" collapsed="false">
      <c r="A70" s="53" t="s">
        <v>838</v>
      </c>
      <c r="B70" s="28"/>
      <c r="C70" s="27"/>
      <c r="D70" s="26"/>
      <c r="E70" s="26"/>
      <c r="F70" s="26"/>
      <c r="G70" s="27"/>
      <c r="H70" s="26"/>
    </row>
    <row r="71" customFormat="false" ht="15" hidden="false" customHeight="false" outlineLevel="0" collapsed="false">
      <c r="A71" s="53" t="s">
        <v>839</v>
      </c>
      <c r="B71" s="28"/>
      <c r="C71" s="27"/>
      <c r="D71" s="26"/>
      <c r="E71" s="26"/>
      <c r="F71" s="26"/>
      <c r="G71" s="27"/>
      <c r="H71" s="26"/>
    </row>
    <row r="72" customFormat="false" ht="15" hidden="false" customHeight="false" outlineLevel="0" collapsed="false">
      <c r="A72" s="53" t="s">
        <v>840</v>
      </c>
      <c r="B72" s="28"/>
      <c r="C72" s="27"/>
      <c r="D72" s="26"/>
      <c r="E72" s="26"/>
      <c r="F72" s="26"/>
      <c r="G72" s="27"/>
      <c r="H72" s="26"/>
    </row>
    <row r="73" customFormat="false" ht="15" hidden="false" customHeight="false" outlineLevel="0" collapsed="false">
      <c r="A73" s="53" t="s">
        <v>841</v>
      </c>
      <c r="B73" s="28"/>
      <c r="C73" s="27"/>
      <c r="D73" s="26"/>
      <c r="E73" s="26"/>
      <c r="F73" s="26"/>
      <c r="G73" s="27"/>
      <c r="H73" s="26"/>
    </row>
    <row r="74" customFormat="false" ht="15" hidden="false" customHeight="false" outlineLevel="0" collapsed="false">
      <c r="A74" s="53" t="s">
        <v>842</v>
      </c>
      <c r="B74" s="28"/>
      <c r="C74" s="27"/>
      <c r="D74" s="26"/>
      <c r="E74" s="26"/>
      <c r="F74" s="26"/>
      <c r="G74" s="27"/>
      <c r="H74" s="26"/>
    </row>
    <row r="75" customFormat="false" ht="15" hidden="false" customHeight="false" outlineLevel="0" collapsed="false">
      <c r="A75" s="53" t="s">
        <v>843</v>
      </c>
      <c r="B75" s="28"/>
      <c r="C75" s="27"/>
      <c r="D75" s="26"/>
      <c r="E75" s="26"/>
      <c r="F75" s="26"/>
      <c r="G75" s="27"/>
      <c r="H75" s="26"/>
    </row>
    <row r="76" customFormat="false" ht="15" hidden="false" customHeight="false" outlineLevel="0" collapsed="false">
      <c r="A76" s="53" t="s">
        <v>844</v>
      </c>
      <c r="B76" s="28"/>
      <c r="C76" s="27"/>
      <c r="D76" s="26"/>
      <c r="E76" s="26"/>
      <c r="F76" s="26"/>
      <c r="G76" s="27"/>
      <c r="H76" s="26"/>
    </row>
    <row r="77" customFormat="false" ht="15" hidden="false" customHeight="false" outlineLevel="0" collapsed="false">
      <c r="A77" s="53" t="s">
        <v>845</v>
      </c>
      <c r="B77" s="28"/>
      <c r="C77" s="27"/>
      <c r="D77" s="26"/>
      <c r="E77" s="26"/>
      <c r="F77" s="26"/>
      <c r="G77" s="27"/>
      <c r="H77" s="26"/>
    </row>
    <row r="78" customFormat="false" ht="15" hidden="false" customHeight="false" outlineLevel="0" collapsed="false">
      <c r="A78" s="53" t="s">
        <v>846</v>
      </c>
      <c r="B78" s="28"/>
      <c r="C78" s="27"/>
      <c r="D78" s="26"/>
      <c r="E78" s="26"/>
      <c r="F78" s="26"/>
      <c r="G78" s="27"/>
      <c r="H78" s="26"/>
    </row>
    <row r="79" customFormat="false" ht="15" hidden="false" customHeight="false" outlineLevel="0" collapsed="false">
      <c r="A79" s="53" t="s">
        <v>847</v>
      </c>
      <c r="B79" s="28"/>
      <c r="C79" s="27"/>
      <c r="D79" s="26"/>
      <c r="E79" s="26"/>
      <c r="F79" s="26"/>
      <c r="G79" s="27"/>
      <c r="H79" s="26"/>
    </row>
    <row r="80" customFormat="false" ht="15" hidden="false" customHeight="false" outlineLevel="0" collapsed="false">
      <c r="A80" s="53" t="s">
        <v>848</v>
      </c>
      <c r="B80" s="28"/>
      <c r="C80" s="27"/>
      <c r="D80" s="26"/>
      <c r="E80" s="26"/>
      <c r="F80" s="26"/>
      <c r="G80" s="27"/>
      <c r="H80" s="26"/>
    </row>
    <row r="81" customFormat="false" ht="15" hidden="false" customHeight="false" outlineLevel="0" collapsed="false">
      <c r="A81" s="53" t="s">
        <v>849</v>
      </c>
      <c r="B81" s="28"/>
      <c r="C81" s="27"/>
      <c r="D81" s="26"/>
      <c r="E81" s="26"/>
      <c r="F81" s="26"/>
      <c r="G81" s="27"/>
      <c r="H81" s="26"/>
    </row>
    <row r="82" customFormat="false" ht="15" hidden="false" customHeight="false" outlineLevel="0" collapsed="false">
      <c r="A82" s="53" t="s">
        <v>850</v>
      </c>
      <c r="B82" s="28"/>
      <c r="C82" s="27"/>
      <c r="D82" s="26"/>
      <c r="E82" s="26"/>
      <c r="F82" s="26"/>
      <c r="G82" s="27"/>
      <c r="H82" s="26"/>
    </row>
    <row r="83" customFormat="false" ht="15" hidden="false" customHeight="false" outlineLevel="0" collapsed="false">
      <c r="A83" s="53" t="s">
        <v>851</v>
      </c>
      <c r="B83" s="28"/>
      <c r="C83" s="27"/>
      <c r="D83" s="26"/>
      <c r="E83" s="26"/>
      <c r="F83" s="26"/>
      <c r="G83" s="27"/>
      <c r="H83" s="26"/>
    </row>
    <row r="84" customFormat="false" ht="15" hidden="false" customHeight="false" outlineLevel="0" collapsed="false">
      <c r="A84" s="53" t="s">
        <v>852</v>
      </c>
      <c r="B84" s="28"/>
      <c r="C84" s="27"/>
      <c r="D84" s="26"/>
      <c r="E84" s="26"/>
      <c r="F84" s="26"/>
      <c r="G84" s="27"/>
      <c r="H84" s="26"/>
    </row>
    <row r="85" customFormat="false" ht="15" hidden="false" customHeight="false" outlineLevel="0" collapsed="false">
      <c r="A85" s="53" t="s">
        <v>853</v>
      </c>
      <c r="B85" s="28"/>
      <c r="C85" s="27"/>
      <c r="D85" s="26"/>
      <c r="E85" s="26"/>
      <c r="F85" s="26"/>
      <c r="G85" s="27"/>
      <c r="H85" s="26"/>
    </row>
    <row r="86" customFormat="false" ht="15" hidden="false" customHeight="false" outlineLevel="0" collapsed="false">
      <c r="A86" s="53" t="s">
        <v>854</v>
      </c>
      <c r="B86" s="28"/>
      <c r="C86" s="27"/>
      <c r="D86" s="26"/>
      <c r="E86" s="26"/>
      <c r="F86" s="26"/>
      <c r="G86" s="27"/>
      <c r="H86" s="26"/>
    </row>
    <row r="87" customFormat="false" ht="15" hidden="false" customHeight="false" outlineLevel="0" collapsed="false">
      <c r="A87" s="53" t="s">
        <v>855</v>
      </c>
      <c r="B87" s="28"/>
      <c r="C87" s="27"/>
      <c r="D87" s="26"/>
      <c r="E87" s="26"/>
      <c r="F87" s="26"/>
      <c r="G87" s="27"/>
      <c r="H87" s="26"/>
    </row>
    <row r="88" customFormat="false" ht="15" hidden="false" customHeight="false" outlineLevel="0" collapsed="false">
      <c r="A88" s="53" t="s">
        <v>856</v>
      </c>
      <c r="B88" s="28"/>
      <c r="C88" s="27"/>
      <c r="D88" s="26"/>
      <c r="E88" s="26"/>
      <c r="F88" s="26"/>
      <c r="G88" s="27"/>
      <c r="H88" s="26"/>
    </row>
    <row r="89" customFormat="false" ht="15" hidden="false" customHeight="false" outlineLevel="0" collapsed="false">
      <c r="A89" s="53" t="s">
        <v>857</v>
      </c>
      <c r="B89" s="28"/>
      <c r="C89" s="27"/>
      <c r="D89" s="26"/>
      <c r="E89" s="26"/>
      <c r="F89" s="26"/>
      <c r="G89" s="27"/>
      <c r="H89" s="26"/>
    </row>
    <row r="90" customFormat="false" ht="15" hidden="false" customHeight="false" outlineLevel="0" collapsed="false">
      <c r="A90" s="53" t="s">
        <v>858</v>
      </c>
      <c r="B90" s="28"/>
      <c r="C90" s="27"/>
      <c r="D90" s="26"/>
      <c r="E90" s="26"/>
      <c r="F90" s="26"/>
      <c r="G90" s="27"/>
      <c r="H90" s="26"/>
    </row>
    <row r="91" customFormat="false" ht="15" hidden="false" customHeight="false" outlineLevel="0" collapsed="false">
      <c r="A91" s="53" t="s">
        <v>859</v>
      </c>
      <c r="B91" s="28"/>
      <c r="C91" s="27"/>
      <c r="D91" s="26"/>
      <c r="E91" s="26"/>
      <c r="F91" s="26"/>
      <c r="G91" s="27"/>
      <c r="H91" s="26"/>
    </row>
    <row r="92" customFormat="false" ht="15" hidden="false" customHeight="false" outlineLevel="0" collapsed="false">
      <c r="A92" s="53" t="s">
        <v>860</v>
      </c>
      <c r="B92" s="28"/>
      <c r="C92" s="27"/>
      <c r="D92" s="26"/>
      <c r="E92" s="26"/>
      <c r="F92" s="26"/>
      <c r="G92" s="27"/>
      <c r="H92" s="26"/>
    </row>
    <row r="93" customFormat="false" ht="15" hidden="false" customHeight="false" outlineLevel="0" collapsed="false">
      <c r="A93" s="53" t="s">
        <v>861</v>
      </c>
      <c r="B93" s="28"/>
      <c r="C93" s="27"/>
      <c r="D93" s="26"/>
      <c r="E93" s="26"/>
      <c r="F93" s="26"/>
      <c r="G93" s="27"/>
      <c r="H93" s="26"/>
    </row>
    <row r="94" customFormat="false" ht="15" hidden="false" customHeight="false" outlineLevel="0" collapsed="false">
      <c r="A94" s="53" t="s">
        <v>862</v>
      </c>
      <c r="B94" s="28"/>
      <c r="C94" s="27"/>
      <c r="D94" s="26"/>
      <c r="E94" s="26"/>
      <c r="F94" s="26"/>
      <c r="G94" s="27"/>
      <c r="H94" s="26"/>
    </row>
    <row r="95" customFormat="false" ht="15" hidden="false" customHeight="false" outlineLevel="0" collapsed="false">
      <c r="A95" s="53" t="s">
        <v>863</v>
      </c>
      <c r="B95" s="28"/>
      <c r="C95" s="27"/>
      <c r="D95" s="26"/>
      <c r="E95" s="26"/>
      <c r="F95" s="26"/>
      <c r="G95" s="27"/>
      <c r="H95" s="26"/>
    </row>
    <row r="96" customFormat="false" ht="15" hidden="false" customHeight="false" outlineLevel="0" collapsed="false">
      <c r="A96" s="53" t="s">
        <v>864</v>
      </c>
      <c r="B96" s="28"/>
      <c r="C96" s="27"/>
      <c r="D96" s="26"/>
      <c r="E96" s="26"/>
      <c r="F96" s="26"/>
      <c r="G96" s="27"/>
      <c r="H96" s="26"/>
    </row>
    <row r="97" customFormat="false" ht="15" hidden="false" customHeight="false" outlineLevel="0" collapsed="false">
      <c r="A97" s="53" t="s">
        <v>865</v>
      </c>
      <c r="B97" s="28"/>
      <c r="C97" s="27"/>
      <c r="D97" s="26"/>
      <c r="E97" s="26"/>
      <c r="F97" s="26"/>
      <c r="G97" s="27"/>
      <c r="H97" s="26"/>
    </row>
    <row r="98" customFormat="false" ht="15" hidden="false" customHeight="false" outlineLevel="0" collapsed="false">
      <c r="A98" s="53" t="s">
        <v>866</v>
      </c>
      <c r="B98" s="28"/>
      <c r="C98" s="27"/>
      <c r="D98" s="26"/>
      <c r="E98" s="26"/>
      <c r="F98" s="26"/>
      <c r="G98" s="27"/>
      <c r="H98" s="26"/>
    </row>
    <row r="99" customFormat="false" ht="15" hidden="false" customHeight="false" outlineLevel="0" collapsed="false">
      <c r="A99" s="53" t="s">
        <v>867</v>
      </c>
      <c r="B99" s="28"/>
      <c r="C99" s="27"/>
      <c r="D99" s="26"/>
      <c r="E99" s="26"/>
      <c r="F99" s="26"/>
      <c r="G99" s="27"/>
      <c r="H99" s="26"/>
    </row>
    <row r="100" customFormat="false" ht="15" hidden="false" customHeight="false" outlineLevel="0" collapsed="false">
      <c r="A100" s="53" t="s">
        <v>868</v>
      </c>
      <c r="B100" s="28"/>
      <c r="C100" s="27"/>
      <c r="D100" s="26"/>
      <c r="E100" s="26"/>
      <c r="F100" s="26"/>
      <c r="G100" s="27"/>
      <c r="H100" s="26"/>
    </row>
    <row r="101" customFormat="false" ht="15" hidden="false" customHeight="false" outlineLevel="0" collapsed="false">
      <c r="A101" s="53" t="s">
        <v>869</v>
      </c>
      <c r="B101" s="28"/>
      <c r="C101" s="27"/>
      <c r="D101" s="26"/>
      <c r="E101" s="26"/>
      <c r="F101" s="26"/>
      <c r="G101" s="27"/>
      <c r="H101" s="26"/>
    </row>
    <row r="102" customFormat="false" ht="15" hidden="false" customHeight="false" outlineLevel="0" collapsed="false">
      <c r="A102" s="53" t="s">
        <v>870</v>
      </c>
      <c r="B102" s="28"/>
      <c r="C102" s="27"/>
      <c r="D102" s="26"/>
      <c r="E102" s="26"/>
      <c r="F102" s="26"/>
      <c r="G102" s="27"/>
      <c r="H102" s="26"/>
    </row>
    <row r="103" customFormat="false" ht="15" hidden="false" customHeight="false" outlineLevel="0" collapsed="false">
      <c r="A103" s="53" t="s">
        <v>871</v>
      </c>
      <c r="B103" s="28"/>
      <c r="C103" s="27"/>
      <c r="D103" s="26"/>
      <c r="E103" s="26"/>
      <c r="F103" s="26"/>
      <c r="G103" s="27"/>
      <c r="H103" s="26"/>
    </row>
    <row r="104" customFormat="false" ht="15" hidden="false" customHeight="false" outlineLevel="0" collapsed="false">
      <c r="A104" s="53" t="s">
        <v>872</v>
      </c>
      <c r="B104" s="28"/>
      <c r="C104" s="27"/>
      <c r="D104" s="26"/>
      <c r="E104" s="26"/>
      <c r="F104" s="26"/>
      <c r="G104" s="27"/>
      <c r="H104" s="26"/>
    </row>
    <row r="105" customFormat="false" ht="15" hidden="false" customHeight="false" outlineLevel="0" collapsed="false">
      <c r="A105" s="53" t="s">
        <v>873</v>
      </c>
      <c r="B105" s="28"/>
      <c r="C105" s="27"/>
      <c r="D105" s="26"/>
      <c r="E105" s="26"/>
      <c r="F105" s="26"/>
      <c r="G105" s="27"/>
      <c r="H105" s="26"/>
    </row>
    <row r="106" customFormat="false" ht="15" hidden="false" customHeight="false" outlineLevel="0" collapsed="false">
      <c r="A106" s="53" t="s">
        <v>874</v>
      </c>
      <c r="B106" s="28"/>
      <c r="C106" s="27"/>
      <c r="D106" s="26"/>
      <c r="E106" s="26"/>
      <c r="F106" s="26"/>
      <c r="G106" s="27"/>
      <c r="H106" s="26"/>
    </row>
    <row r="107" customFormat="false" ht="15" hidden="false" customHeight="false" outlineLevel="0" collapsed="false">
      <c r="A107" s="53" t="s">
        <v>875</v>
      </c>
      <c r="B107" s="28"/>
      <c r="C107" s="27"/>
      <c r="D107" s="26"/>
      <c r="E107" s="26"/>
      <c r="F107" s="26"/>
      <c r="G107" s="27"/>
      <c r="H107" s="26"/>
    </row>
    <row r="108" customFormat="false" ht="15" hidden="false" customHeight="false" outlineLevel="0" collapsed="false">
      <c r="A108" s="53" t="s">
        <v>876</v>
      </c>
      <c r="B108" s="28"/>
      <c r="C108" s="27"/>
      <c r="D108" s="26"/>
      <c r="E108" s="26"/>
      <c r="F108" s="26"/>
      <c r="G108" s="27"/>
      <c r="H108" s="26"/>
    </row>
    <row r="109" customFormat="false" ht="15" hidden="false" customHeight="false" outlineLevel="0" collapsed="false">
      <c r="A109" s="53" t="s">
        <v>877</v>
      </c>
      <c r="B109" s="28"/>
      <c r="C109" s="27"/>
      <c r="D109" s="26"/>
      <c r="E109" s="26"/>
      <c r="F109" s="26"/>
      <c r="G109" s="27"/>
      <c r="H109" s="26"/>
    </row>
    <row r="110" customFormat="false" ht="15" hidden="false" customHeight="false" outlineLevel="0" collapsed="false">
      <c r="A110" s="53" t="s">
        <v>878</v>
      </c>
      <c r="B110" s="28"/>
      <c r="C110" s="27"/>
      <c r="D110" s="26"/>
      <c r="E110" s="26"/>
      <c r="F110" s="26"/>
      <c r="G110" s="27"/>
      <c r="H110" s="26"/>
    </row>
    <row r="111" customFormat="false" ht="15" hidden="false" customHeight="false" outlineLevel="0" collapsed="false">
      <c r="A111" s="53" t="s">
        <v>879</v>
      </c>
      <c r="B111" s="28"/>
      <c r="C111" s="27"/>
      <c r="D111" s="26"/>
      <c r="E111" s="26"/>
      <c r="F111" s="26"/>
      <c r="G111" s="27"/>
      <c r="H111" s="26"/>
    </row>
    <row r="112" customFormat="false" ht="15" hidden="false" customHeight="false" outlineLevel="0" collapsed="false">
      <c r="A112" s="53" t="s">
        <v>880</v>
      </c>
      <c r="B112" s="28"/>
      <c r="C112" s="27"/>
      <c r="D112" s="26"/>
      <c r="E112" s="26"/>
      <c r="F112" s="26"/>
      <c r="G112" s="27"/>
      <c r="H112" s="26"/>
    </row>
    <row r="113" customFormat="false" ht="15" hidden="false" customHeight="false" outlineLevel="0" collapsed="false">
      <c r="A113" s="53" t="s">
        <v>881</v>
      </c>
      <c r="B113" s="28"/>
      <c r="C113" s="27"/>
      <c r="D113" s="26"/>
      <c r="E113" s="26"/>
      <c r="F113" s="26"/>
      <c r="G113" s="27"/>
      <c r="H113" s="26"/>
    </row>
    <row r="114" customFormat="false" ht="15" hidden="false" customHeight="false" outlineLevel="0" collapsed="false">
      <c r="A114" s="53" t="s">
        <v>882</v>
      </c>
      <c r="B114" s="28"/>
      <c r="C114" s="27"/>
      <c r="D114" s="26"/>
      <c r="E114" s="26"/>
      <c r="F114" s="26"/>
      <c r="G114" s="27"/>
      <c r="H114" s="26"/>
    </row>
    <row r="115" customFormat="false" ht="15" hidden="false" customHeight="false" outlineLevel="0" collapsed="false">
      <c r="A115" s="53" t="s">
        <v>883</v>
      </c>
      <c r="B115" s="28"/>
      <c r="C115" s="27"/>
      <c r="D115" s="26"/>
      <c r="E115" s="26"/>
      <c r="F115" s="26"/>
      <c r="G115" s="27"/>
      <c r="H115" s="26"/>
    </row>
    <row r="116" customFormat="false" ht="15" hidden="false" customHeight="false" outlineLevel="0" collapsed="false">
      <c r="A116" s="53" t="s">
        <v>884</v>
      </c>
      <c r="B116" s="28"/>
      <c r="C116" s="27"/>
      <c r="D116" s="26"/>
      <c r="E116" s="26"/>
      <c r="F116" s="26"/>
      <c r="G116" s="27"/>
      <c r="H116" s="26"/>
    </row>
    <row r="117" customFormat="false" ht="15" hidden="false" customHeight="false" outlineLevel="0" collapsed="false">
      <c r="A117" s="53" t="s">
        <v>885</v>
      </c>
      <c r="B117" s="28"/>
      <c r="C117" s="27"/>
      <c r="D117" s="26"/>
      <c r="E117" s="26"/>
      <c r="F117" s="26"/>
      <c r="G117" s="27"/>
      <c r="H117" s="26"/>
    </row>
    <row r="118" customFormat="false" ht="15" hidden="false" customHeight="false" outlineLevel="0" collapsed="false">
      <c r="A118" s="53" t="s">
        <v>886</v>
      </c>
      <c r="B118" s="28"/>
      <c r="C118" s="27"/>
      <c r="D118" s="26"/>
      <c r="E118" s="26"/>
      <c r="F118" s="26"/>
      <c r="G118" s="27"/>
      <c r="H118" s="26"/>
    </row>
    <row r="119" customFormat="false" ht="15" hidden="false" customHeight="false" outlineLevel="0" collapsed="false">
      <c r="A119" s="53" t="s">
        <v>887</v>
      </c>
      <c r="B119" s="28"/>
      <c r="C119" s="27"/>
      <c r="D119" s="26"/>
      <c r="E119" s="26"/>
      <c r="F119" s="26"/>
      <c r="G119" s="27"/>
      <c r="H119" s="26"/>
    </row>
    <row r="120" customFormat="false" ht="15" hidden="false" customHeight="false" outlineLevel="0" collapsed="false">
      <c r="A120" s="53" t="s">
        <v>888</v>
      </c>
      <c r="B120" s="28"/>
      <c r="C120" s="27"/>
      <c r="D120" s="26"/>
      <c r="E120" s="26"/>
      <c r="F120" s="26"/>
      <c r="G120" s="27"/>
      <c r="H120" s="26"/>
    </row>
    <row r="121" customFormat="false" ht="15" hidden="false" customHeight="false" outlineLevel="0" collapsed="false">
      <c r="A121" s="53" t="s">
        <v>889</v>
      </c>
      <c r="B121" s="28"/>
      <c r="C121" s="27"/>
      <c r="D121" s="26"/>
      <c r="E121" s="26"/>
      <c r="F121" s="26"/>
      <c r="G121" s="27"/>
      <c r="H121" s="26"/>
    </row>
    <row r="122" customFormat="false" ht="15" hidden="false" customHeight="false" outlineLevel="0" collapsed="false">
      <c r="A122" s="53" t="s">
        <v>890</v>
      </c>
      <c r="B122" s="28"/>
      <c r="C122" s="27"/>
      <c r="D122" s="26"/>
      <c r="E122" s="26"/>
      <c r="F122" s="26"/>
      <c r="G122" s="27"/>
      <c r="H122" s="26"/>
    </row>
    <row r="123" customFormat="false" ht="15" hidden="false" customHeight="false" outlineLevel="0" collapsed="false">
      <c r="A123" s="53" t="s">
        <v>891</v>
      </c>
      <c r="B123" s="28"/>
      <c r="C123" s="27"/>
      <c r="D123" s="26"/>
      <c r="E123" s="26"/>
      <c r="F123" s="26"/>
      <c r="G123" s="27"/>
      <c r="H123" s="26"/>
    </row>
    <row r="124" customFormat="false" ht="15" hidden="false" customHeight="false" outlineLevel="0" collapsed="false">
      <c r="A124" s="53" t="s">
        <v>892</v>
      </c>
      <c r="B124" s="28"/>
      <c r="C124" s="27"/>
      <c r="D124" s="26"/>
      <c r="E124" s="26"/>
      <c r="F124" s="26"/>
      <c r="G124" s="27"/>
      <c r="H124" s="26"/>
    </row>
    <row r="125" customFormat="false" ht="15" hidden="false" customHeight="false" outlineLevel="0" collapsed="false">
      <c r="A125" s="53" t="s">
        <v>893</v>
      </c>
      <c r="B125" s="28"/>
      <c r="C125" s="27"/>
      <c r="D125" s="26"/>
      <c r="E125" s="26"/>
      <c r="F125" s="26"/>
      <c r="G125" s="27"/>
      <c r="H125" s="26"/>
    </row>
    <row r="126" customFormat="false" ht="15" hidden="false" customHeight="false" outlineLevel="0" collapsed="false">
      <c r="A126" s="53" t="s">
        <v>894</v>
      </c>
      <c r="B126" s="28"/>
      <c r="C126" s="27"/>
      <c r="D126" s="26"/>
      <c r="E126" s="26"/>
      <c r="F126" s="26"/>
      <c r="G126" s="27"/>
      <c r="H126" s="26"/>
    </row>
    <row r="127" customFormat="false" ht="15" hidden="false" customHeight="false" outlineLevel="0" collapsed="false">
      <c r="A127" s="53" t="s">
        <v>895</v>
      </c>
      <c r="B127" s="28"/>
      <c r="C127" s="27"/>
      <c r="D127" s="26"/>
      <c r="E127" s="26"/>
      <c r="F127" s="26"/>
      <c r="G127" s="27"/>
      <c r="H127" s="26"/>
    </row>
    <row r="128" customFormat="false" ht="15" hidden="false" customHeight="false" outlineLevel="0" collapsed="false">
      <c r="A128" s="53" t="s">
        <v>896</v>
      </c>
      <c r="B128" s="28"/>
      <c r="C128" s="27"/>
      <c r="D128" s="26"/>
      <c r="E128" s="26"/>
      <c r="F128" s="26"/>
      <c r="G128" s="27"/>
      <c r="H128" s="26"/>
    </row>
    <row r="129" customFormat="false" ht="15" hidden="false" customHeight="false" outlineLevel="0" collapsed="false">
      <c r="A129" s="53" t="s">
        <v>897</v>
      </c>
      <c r="B129" s="28"/>
      <c r="C129" s="27"/>
      <c r="D129" s="26"/>
      <c r="E129" s="26"/>
      <c r="F129" s="26"/>
      <c r="G129" s="27"/>
      <c r="H129" s="26"/>
    </row>
    <row r="130" customFormat="false" ht="15" hidden="false" customHeight="false" outlineLevel="0" collapsed="false">
      <c r="A130" s="53" t="s">
        <v>898</v>
      </c>
      <c r="B130" s="28"/>
      <c r="C130" s="27"/>
      <c r="D130" s="26"/>
      <c r="E130" s="26"/>
      <c r="F130" s="26"/>
      <c r="G130" s="27"/>
      <c r="H130" s="26"/>
    </row>
    <row r="131" customFormat="false" ht="15" hidden="false" customHeight="false" outlineLevel="0" collapsed="false">
      <c r="A131" s="53" t="s">
        <v>899</v>
      </c>
      <c r="B131" s="28"/>
      <c r="C131" s="27"/>
      <c r="D131" s="26"/>
      <c r="E131" s="26"/>
      <c r="F131" s="26"/>
      <c r="G131" s="27"/>
      <c r="H131" s="26"/>
    </row>
    <row r="132" customFormat="false" ht="15" hidden="false" customHeight="false" outlineLevel="0" collapsed="false">
      <c r="A132" s="53" t="s">
        <v>900</v>
      </c>
      <c r="B132" s="28"/>
      <c r="C132" s="27"/>
      <c r="D132" s="26"/>
      <c r="E132" s="26"/>
      <c r="F132" s="26"/>
      <c r="G132" s="27"/>
      <c r="H132" s="26"/>
    </row>
    <row r="133" customFormat="false" ht="15" hidden="false" customHeight="false" outlineLevel="0" collapsed="false">
      <c r="A133" s="53" t="s">
        <v>901</v>
      </c>
      <c r="B133" s="28"/>
      <c r="C133" s="27"/>
      <c r="D133" s="26"/>
      <c r="E133" s="26"/>
      <c r="F133" s="26"/>
      <c r="G133" s="27"/>
      <c r="H133" s="26"/>
    </row>
    <row r="134" customFormat="false" ht="15" hidden="false" customHeight="false" outlineLevel="0" collapsed="false">
      <c r="A134" s="53" t="s">
        <v>902</v>
      </c>
      <c r="B134" s="28"/>
      <c r="C134" s="27"/>
      <c r="D134" s="26"/>
      <c r="E134" s="26"/>
      <c r="F134" s="26"/>
      <c r="G134" s="27"/>
      <c r="H134" s="26"/>
    </row>
    <row r="135" customFormat="false" ht="15" hidden="false" customHeight="false" outlineLevel="0" collapsed="false">
      <c r="A135" s="53" t="s">
        <v>903</v>
      </c>
      <c r="B135" s="28"/>
      <c r="C135" s="27"/>
      <c r="D135" s="26"/>
      <c r="E135" s="26"/>
      <c r="F135" s="26"/>
      <c r="G135" s="27"/>
      <c r="H135" s="26"/>
    </row>
    <row r="136" customFormat="false" ht="15" hidden="false" customHeight="false" outlineLevel="0" collapsed="false">
      <c r="A136" s="53" t="s">
        <v>904</v>
      </c>
      <c r="B136" s="28"/>
      <c r="C136" s="27"/>
      <c r="D136" s="26"/>
      <c r="E136" s="26"/>
      <c r="F136" s="26"/>
      <c r="G136" s="27"/>
      <c r="H136" s="26"/>
    </row>
    <row r="137" customFormat="false" ht="15" hidden="false" customHeight="false" outlineLevel="0" collapsed="false">
      <c r="A137" s="53" t="s">
        <v>905</v>
      </c>
      <c r="B137" s="28"/>
      <c r="C137" s="27"/>
      <c r="D137" s="26"/>
      <c r="E137" s="26"/>
      <c r="F137" s="26"/>
      <c r="G137" s="27"/>
      <c r="H137" s="26"/>
    </row>
    <row r="138" customFormat="false" ht="15" hidden="false" customHeight="false" outlineLevel="0" collapsed="false">
      <c r="A138" s="53" t="s">
        <v>906</v>
      </c>
      <c r="B138" s="28"/>
      <c r="C138" s="27"/>
      <c r="D138" s="26"/>
      <c r="E138" s="26"/>
      <c r="F138" s="26"/>
      <c r="G138" s="27"/>
      <c r="H138" s="26"/>
    </row>
    <row r="139" customFormat="false" ht="15" hidden="false" customHeight="false" outlineLevel="0" collapsed="false">
      <c r="A139" s="53" t="s">
        <v>907</v>
      </c>
      <c r="B139" s="28"/>
      <c r="C139" s="27"/>
      <c r="D139" s="26"/>
      <c r="E139" s="26"/>
      <c r="F139" s="26"/>
      <c r="G139" s="27"/>
      <c r="H139" s="26"/>
    </row>
    <row r="140" customFormat="false" ht="15" hidden="false" customHeight="false" outlineLevel="0" collapsed="false">
      <c r="A140" s="53" t="s">
        <v>908</v>
      </c>
      <c r="B140" s="28"/>
      <c r="C140" s="27"/>
      <c r="D140" s="26"/>
      <c r="E140" s="26"/>
      <c r="F140" s="26"/>
      <c r="G140" s="27"/>
      <c r="H140" s="26"/>
    </row>
    <row r="141" customFormat="false" ht="15" hidden="false" customHeight="false" outlineLevel="0" collapsed="false">
      <c r="A141" s="53" t="s">
        <v>909</v>
      </c>
      <c r="B141" s="28"/>
      <c r="C141" s="27"/>
      <c r="D141" s="26"/>
      <c r="E141" s="26"/>
      <c r="F141" s="26"/>
      <c r="G141" s="27"/>
      <c r="H141" s="26"/>
    </row>
    <row r="142" customFormat="false" ht="15" hidden="false" customHeight="false" outlineLevel="0" collapsed="false">
      <c r="A142" s="53" t="s">
        <v>910</v>
      </c>
      <c r="B142" s="28"/>
      <c r="C142" s="27"/>
      <c r="D142" s="26"/>
      <c r="E142" s="26"/>
      <c r="F142" s="26"/>
      <c r="G142" s="27"/>
      <c r="H142" s="26"/>
    </row>
    <row r="143" customFormat="false" ht="15" hidden="false" customHeight="false" outlineLevel="0" collapsed="false">
      <c r="A143" s="53" t="s">
        <v>911</v>
      </c>
      <c r="B143" s="28"/>
      <c r="C143" s="27"/>
      <c r="D143" s="26"/>
      <c r="E143" s="26"/>
      <c r="F143" s="26"/>
      <c r="G143" s="27"/>
      <c r="H143" s="26"/>
    </row>
    <row r="144" customFormat="false" ht="15" hidden="false" customHeight="false" outlineLevel="0" collapsed="false">
      <c r="A144" s="53" t="s">
        <v>912</v>
      </c>
      <c r="B144" s="28"/>
      <c r="C144" s="27"/>
      <c r="D144" s="26"/>
      <c r="E144" s="26"/>
      <c r="F144" s="26"/>
      <c r="G144" s="27"/>
      <c r="H144" s="26"/>
    </row>
    <row r="145" customFormat="false" ht="15" hidden="false" customHeight="false" outlineLevel="0" collapsed="false">
      <c r="A145" s="53" t="s">
        <v>913</v>
      </c>
      <c r="B145" s="28"/>
      <c r="C145" s="27"/>
      <c r="D145" s="26"/>
      <c r="E145" s="26"/>
      <c r="F145" s="26"/>
      <c r="G145" s="27"/>
      <c r="H145" s="26"/>
    </row>
    <row r="146" customFormat="false" ht="15" hidden="false" customHeight="false" outlineLevel="0" collapsed="false">
      <c r="A146" s="53" t="s">
        <v>914</v>
      </c>
      <c r="B146" s="28"/>
      <c r="C146" s="27"/>
      <c r="D146" s="26"/>
      <c r="E146" s="26"/>
      <c r="F146" s="26"/>
      <c r="G146" s="27"/>
      <c r="H146" s="26"/>
    </row>
    <row r="147" customFormat="false" ht="15" hidden="false" customHeight="false" outlineLevel="0" collapsed="false">
      <c r="A147" s="53" t="s">
        <v>915</v>
      </c>
      <c r="B147" s="28"/>
      <c r="C147" s="27"/>
      <c r="D147" s="26"/>
      <c r="E147" s="26"/>
      <c r="F147" s="26"/>
      <c r="G147" s="27"/>
      <c r="H147" s="26"/>
    </row>
    <row r="148" customFormat="false" ht="15" hidden="false" customHeight="false" outlineLevel="0" collapsed="false">
      <c r="A148" s="53" t="s">
        <v>916</v>
      </c>
      <c r="B148" s="28"/>
      <c r="C148" s="27"/>
      <c r="D148" s="26"/>
      <c r="E148" s="26"/>
      <c r="F148" s="26"/>
      <c r="G148" s="27"/>
      <c r="H148" s="26"/>
    </row>
    <row r="149" customFormat="false" ht="15" hidden="false" customHeight="false" outlineLevel="0" collapsed="false">
      <c r="A149" s="53" t="s">
        <v>917</v>
      </c>
      <c r="B149" s="28"/>
      <c r="C149" s="27"/>
      <c r="D149" s="26"/>
      <c r="E149" s="26"/>
      <c r="F149" s="26"/>
      <c r="G149" s="27"/>
      <c r="H149" s="26"/>
    </row>
    <row r="150" customFormat="false" ht="15" hidden="false" customHeight="false" outlineLevel="0" collapsed="false">
      <c r="A150" s="53" t="s">
        <v>918</v>
      </c>
      <c r="B150" s="28"/>
      <c r="C150" s="27"/>
      <c r="D150" s="26"/>
      <c r="E150" s="26"/>
      <c r="F150" s="26"/>
      <c r="G150" s="27"/>
      <c r="H150" s="26"/>
    </row>
    <row r="151" customFormat="false" ht="15" hidden="false" customHeight="false" outlineLevel="0" collapsed="false">
      <c r="A151" s="53" t="s">
        <v>919</v>
      </c>
      <c r="B151" s="28"/>
      <c r="C151" s="27"/>
      <c r="D151" s="26"/>
      <c r="E151" s="26"/>
      <c r="F151" s="26"/>
      <c r="G151" s="27"/>
      <c r="H151" s="26"/>
    </row>
    <row r="152" customFormat="false" ht="15" hidden="false" customHeight="false" outlineLevel="0" collapsed="false">
      <c r="A152" s="53" t="s">
        <v>920</v>
      </c>
      <c r="B152" s="28"/>
      <c r="C152" s="27"/>
      <c r="D152" s="26"/>
      <c r="E152" s="26"/>
      <c r="F152" s="26"/>
      <c r="G152" s="27"/>
      <c r="H152" s="26"/>
    </row>
    <row r="153" customFormat="false" ht="15" hidden="false" customHeight="false" outlineLevel="0" collapsed="false">
      <c r="A153" s="53" t="s">
        <v>921</v>
      </c>
      <c r="B153" s="28"/>
      <c r="C153" s="27"/>
      <c r="D153" s="26"/>
      <c r="E153" s="26"/>
      <c r="F153" s="26"/>
      <c r="G153" s="27"/>
      <c r="H153" s="26"/>
    </row>
    <row r="154" customFormat="false" ht="15" hidden="false" customHeight="false" outlineLevel="0" collapsed="false">
      <c r="A154" s="53" t="s">
        <v>922</v>
      </c>
      <c r="B154" s="28"/>
      <c r="C154" s="27"/>
      <c r="D154" s="26"/>
      <c r="E154" s="26"/>
      <c r="F154" s="26"/>
      <c r="G154" s="27"/>
      <c r="H154" s="26"/>
    </row>
    <row r="155" customFormat="false" ht="15" hidden="false" customHeight="false" outlineLevel="0" collapsed="false">
      <c r="A155" s="53" t="s">
        <v>923</v>
      </c>
      <c r="B155" s="28"/>
      <c r="C155" s="27"/>
      <c r="D155" s="26"/>
      <c r="E155" s="26"/>
      <c r="F155" s="26"/>
      <c r="G155" s="27"/>
      <c r="H155" s="26"/>
    </row>
    <row r="156" customFormat="false" ht="15" hidden="false" customHeight="false" outlineLevel="0" collapsed="false">
      <c r="A156" s="53" t="s">
        <v>924</v>
      </c>
      <c r="B156" s="28"/>
      <c r="C156" s="27"/>
      <c r="D156" s="26"/>
      <c r="E156" s="26"/>
      <c r="F156" s="26"/>
      <c r="G156" s="27"/>
      <c r="H156" s="26"/>
    </row>
    <row r="157" customFormat="false" ht="15" hidden="false" customHeight="false" outlineLevel="0" collapsed="false">
      <c r="A157" s="53" t="s">
        <v>925</v>
      </c>
      <c r="B157" s="28"/>
      <c r="C157" s="27"/>
      <c r="D157" s="26"/>
      <c r="E157" s="26"/>
      <c r="F157" s="26"/>
      <c r="G157" s="27"/>
      <c r="H157" s="26"/>
    </row>
    <row r="158" customFormat="false" ht="15" hidden="false" customHeight="false" outlineLevel="0" collapsed="false">
      <c r="A158" s="53" t="s">
        <v>926</v>
      </c>
      <c r="B158" s="28"/>
      <c r="C158" s="27"/>
      <c r="D158" s="26"/>
      <c r="E158" s="26"/>
      <c r="F158" s="26"/>
      <c r="G158" s="27"/>
      <c r="H158" s="26"/>
    </row>
    <row r="159" customFormat="false" ht="15" hidden="false" customHeight="false" outlineLevel="0" collapsed="false">
      <c r="A159" s="53" t="s">
        <v>927</v>
      </c>
      <c r="B159" s="28"/>
      <c r="C159" s="27"/>
      <c r="D159" s="26"/>
      <c r="E159" s="26"/>
      <c r="F159" s="26"/>
      <c r="G159" s="27"/>
      <c r="H159" s="26"/>
    </row>
    <row r="160" customFormat="false" ht="15" hidden="false" customHeight="false" outlineLevel="0" collapsed="false">
      <c r="A160" s="53" t="s">
        <v>928</v>
      </c>
      <c r="B160" s="28"/>
      <c r="C160" s="27"/>
      <c r="D160" s="26"/>
      <c r="E160" s="26"/>
      <c r="F160" s="26"/>
      <c r="G160" s="27"/>
      <c r="H160" s="26"/>
    </row>
    <row r="161" customFormat="false" ht="15" hidden="false" customHeight="false" outlineLevel="0" collapsed="false">
      <c r="A161" s="53" t="s">
        <v>929</v>
      </c>
      <c r="B161" s="28"/>
      <c r="C161" s="27"/>
      <c r="D161" s="26"/>
      <c r="E161" s="26"/>
      <c r="F161" s="26"/>
      <c r="G161" s="27"/>
      <c r="H161" s="26"/>
    </row>
    <row r="162" customFormat="false" ht="15" hidden="false" customHeight="false" outlineLevel="0" collapsed="false">
      <c r="A162" s="53" t="s">
        <v>930</v>
      </c>
      <c r="B162" s="28"/>
      <c r="C162" s="27"/>
      <c r="D162" s="26"/>
      <c r="E162" s="26"/>
      <c r="F162" s="26"/>
      <c r="G162" s="27"/>
      <c r="H162" s="26"/>
    </row>
    <row r="163" customFormat="false" ht="15" hidden="false" customHeight="false" outlineLevel="0" collapsed="false">
      <c r="A163" s="53" t="s">
        <v>931</v>
      </c>
      <c r="B163" s="28"/>
      <c r="C163" s="27"/>
      <c r="D163" s="26"/>
      <c r="E163" s="26"/>
      <c r="F163" s="26"/>
      <c r="G163" s="27"/>
      <c r="H163" s="26"/>
    </row>
    <row r="164" customFormat="false" ht="15" hidden="false" customHeight="false" outlineLevel="0" collapsed="false">
      <c r="A164" s="53" t="s">
        <v>932</v>
      </c>
      <c r="B164" s="28"/>
      <c r="C164" s="27"/>
      <c r="D164" s="26"/>
      <c r="E164" s="26"/>
      <c r="F164" s="26"/>
      <c r="G164" s="27"/>
      <c r="H164" s="26"/>
    </row>
    <row r="165" customFormat="false" ht="15" hidden="false" customHeight="false" outlineLevel="0" collapsed="false">
      <c r="A165" s="53" t="s">
        <v>933</v>
      </c>
      <c r="B165" s="28"/>
      <c r="C165" s="27"/>
      <c r="D165" s="26"/>
      <c r="E165" s="26"/>
      <c r="F165" s="26"/>
      <c r="G165" s="27"/>
      <c r="H165" s="26"/>
    </row>
    <row r="166" customFormat="false" ht="15" hidden="false" customHeight="false" outlineLevel="0" collapsed="false">
      <c r="A166" s="53" t="s">
        <v>934</v>
      </c>
      <c r="B166" s="28"/>
      <c r="C166" s="27"/>
      <c r="D166" s="26"/>
      <c r="E166" s="26"/>
      <c r="F166" s="26"/>
      <c r="G166" s="27"/>
      <c r="H166" s="26"/>
    </row>
    <row r="167" customFormat="false" ht="15" hidden="false" customHeight="false" outlineLevel="0" collapsed="false">
      <c r="A167" s="53" t="s">
        <v>935</v>
      </c>
      <c r="B167" s="28"/>
      <c r="C167" s="27"/>
      <c r="D167" s="26"/>
      <c r="E167" s="26"/>
      <c r="F167" s="26"/>
      <c r="G167" s="27"/>
      <c r="H167" s="26"/>
    </row>
    <row r="168" customFormat="false" ht="15" hidden="false" customHeight="false" outlineLevel="0" collapsed="false">
      <c r="A168" s="53" t="s">
        <v>936</v>
      </c>
      <c r="B168" s="28"/>
      <c r="C168" s="27"/>
      <c r="D168" s="26"/>
      <c r="E168" s="26"/>
      <c r="F168" s="26"/>
      <c r="G168" s="27"/>
      <c r="H168" s="26"/>
    </row>
    <row r="169" customFormat="false" ht="15" hidden="false" customHeight="false" outlineLevel="0" collapsed="false">
      <c r="A169" s="53" t="s">
        <v>937</v>
      </c>
      <c r="B169" s="28"/>
      <c r="C169" s="27"/>
      <c r="D169" s="26"/>
      <c r="E169" s="26"/>
      <c r="F169" s="26"/>
      <c r="G169" s="27"/>
      <c r="H169" s="26"/>
    </row>
    <row r="170" customFormat="false" ht="15" hidden="false" customHeight="false" outlineLevel="0" collapsed="false">
      <c r="A170" s="53" t="s">
        <v>938</v>
      </c>
      <c r="B170" s="28"/>
      <c r="C170" s="27"/>
      <c r="D170" s="26"/>
      <c r="E170" s="26"/>
      <c r="F170" s="26"/>
      <c r="G170" s="27"/>
      <c r="H170" s="26"/>
    </row>
    <row r="171" customFormat="false" ht="15" hidden="false" customHeight="false" outlineLevel="0" collapsed="false">
      <c r="A171" s="53" t="s">
        <v>939</v>
      </c>
      <c r="B171" s="28"/>
      <c r="C171" s="27"/>
      <c r="D171" s="26"/>
      <c r="E171" s="26"/>
      <c r="F171" s="26"/>
      <c r="G171" s="27"/>
      <c r="H171" s="26"/>
    </row>
    <row r="172" customFormat="false" ht="15" hidden="false" customHeight="false" outlineLevel="0" collapsed="false">
      <c r="A172" s="53" t="s">
        <v>940</v>
      </c>
      <c r="B172" s="28"/>
      <c r="C172" s="27"/>
      <c r="D172" s="26"/>
      <c r="E172" s="26"/>
      <c r="F172" s="26"/>
      <c r="G172" s="27"/>
      <c r="H172" s="26"/>
    </row>
    <row r="173" customFormat="false" ht="15" hidden="false" customHeight="false" outlineLevel="0" collapsed="false">
      <c r="A173" s="53" t="s">
        <v>941</v>
      </c>
      <c r="B173" s="28"/>
      <c r="C173" s="27"/>
      <c r="D173" s="26"/>
      <c r="E173" s="26"/>
      <c r="F173" s="26"/>
      <c r="G173" s="27"/>
      <c r="H173" s="26"/>
    </row>
    <row r="174" customFormat="false" ht="15" hidden="false" customHeight="false" outlineLevel="0" collapsed="false">
      <c r="A174" s="53" t="s">
        <v>942</v>
      </c>
      <c r="B174" s="28"/>
      <c r="C174" s="27"/>
      <c r="D174" s="26"/>
      <c r="E174" s="26"/>
      <c r="F174" s="26"/>
      <c r="G174" s="27"/>
      <c r="H174" s="26"/>
    </row>
    <row r="175" customFormat="false" ht="15" hidden="false" customHeight="false" outlineLevel="0" collapsed="false">
      <c r="A175" s="53" t="s">
        <v>943</v>
      </c>
      <c r="B175" s="28"/>
      <c r="C175" s="27"/>
      <c r="D175" s="26"/>
      <c r="E175" s="26"/>
      <c r="F175" s="26"/>
      <c r="G175" s="27"/>
      <c r="H175" s="26"/>
    </row>
    <row r="176" customFormat="false" ht="15" hidden="false" customHeight="false" outlineLevel="0" collapsed="false">
      <c r="A176" s="53" t="s">
        <v>944</v>
      </c>
      <c r="B176" s="28"/>
      <c r="C176" s="27"/>
      <c r="D176" s="26"/>
      <c r="E176" s="26"/>
      <c r="F176" s="26"/>
      <c r="G176" s="27"/>
      <c r="H176" s="26"/>
    </row>
    <row r="177" customFormat="false" ht="15" hidden="false" customHeight="false" outlineLevel="0" collapsed="false">
      <c r="A177" s="53" t="s">
        <v>945</v>
      </c>
      <c r="B177" s="28"/>
      <c r="C177" s="27"/>
      <c r="D177" s="26"/>
      <c r="E177" s="26"/>
      <c r="F177" s="26"/>
      <c r="G177" s="27"/>
      <c r="H177" s="26"/>
    </row>
    <row r="178" customFormat="false" ht="15" hidden="false" customHeight="false" outlineLevel="0" collapsed="false">
      <c r="A178" s="53" t="s">
        <v>946</v>
      </c>
      <c r="B178" s="28"/>
      <c r="C178" s="27"/>
      <c r="D178" s="26"/>
      <c r="E178" s="26"/>
      <c r="F178" s="26"/>
      <c r="G178" s="27"/>
      <c r="H178" s="26"/>
    </row>
    <row r="179" customFormat="false" ht="15" hidden="false" customHeight="false" outlineLevel="0" collapsed="false">
      <c r="A179" s="53" t="s">
        <v>947</v>
      </c>
      <c r="B179" s="28"/>
      <c r="C179" s="27"/>
      <c r="D179" s="26"/>
      <c r="E179" s="26"/>
      <c r="F179" s="26"/>
      <c r="G179" s="27"/>
      <c r="H179" s="26"/>
    </row>
    <row r="180" customFormat="false" ht="15" hidden="false" customHeight="false" outlineLevel="0" collapsed="false">
      <c r="A180" s="53" t="s">
        <v>948</v>
      </c>
      <c r="B180" s="28"/>
      <c r="C180" s="27"/>
      <c r="D180" s="26"/>
      <c r="E180" s="26"/>
      <c r="F180" s="26"/>
      <c r="G180" s="27"/>
      <c r="H180" s="26"/>
    </row>
    <row r="181" customFormat="false" ht="15" hidden="false" customHeight="false" outlineLevel="0" collapsed="false">
      <c r="A181" s="53" t="s">
        <v>949</v>
      </c>
      <c r="B181" s="28"/>
      <c r="C181" s="27"/>
      <c r="D181" s="26"/>
      <c r="E181" s="26"/>
      <c r="F181" s="26"/>
      <c r="G181" s="27"/>
      <c r="H181" s="26"/>
    </row>
    <row r="182" customFormat="false" ht="15" hidden="false" customHeight="false" outlineLevel="0" collapsed="false">
      <c r="A182" s="53" t="s">
        <v>950</v>
      </c>
      <c r="B182" s="28"/>
      <c r="C182" s="27"/>
      <c r="D182" s="26"/>
      <c r="E182" s="26"/>
      <c r="F182" s="26"/>
      <c r="G182" s="27"/>
      <c r="H182" s="26"/>
    </row>
    <row r="183" customFormat="false" ht="15" hidden="false" customHeight="false" outlineLevel="0" collapsed="false">
      <c r="A183" s="53" t="s">
        <v>951</v>
      </c>
      <c r="B183" s="28"/>
      <c r="C183" s="27"/>
      <c r="D183" s="26"/>
      <c r="E183" s="26"/>
      <c r="F183" s="26"/>
      <c r="G183" s="27"/>
      <c r="H183" s="26"/>
    </row>
    <row r="184" customFormat="false" ht="15" hidden="false" customHeight="false" outlineLevel="0" collapsed="false">
      <c r="A184" s="53" t="s">
        <v>952</v>
      </c>
      <c r="B184" s="28"/>
      <c r="C184" s="27"/>
      <c r="D184" s="26"/>
      <c r="E184" s="26"/>
      <c r="F184" s="26"/>
      <c r="G184" s="27"/>
      <c r="H184" s="26"/>
    </row>
    <row r="185" customFormat="false" ht="15" hidden="false" customHeight="false" outlineLevel="0" collapsed="false">
      <c r="A185" s="53" t="s">
        <v>953</v>
      </c>
      <c r="B185" s="28"/>
      <c r="C185" s="27"/>
      <c r="D185" s="26"/>
      <c r="E185" s="26"/>
      <c r="F185" s="26"/>
      <c r="G185" s="27"/>
      <c r="H185" s="26"/>
    </row>
    <row r="186" customFormat="false" ht="15" hidden="false" customHeight="false" outlineLevel="0" collapsed="false">
      <c r="A186" s="53" t="s">
        <v>954</v>
      </c>
      <c r="B186" s="28"/>
      <c r="C186" s="27"/>
      <c r="D186" s="26"/>
      <c r="E186" s="26"/>
      <c r="F186" s="26"/>
      <c r="G186" s="27"/>
      <c r="H186" s="26"/>
    </row>
    <row r="187" customFormat="false" ht="15" hidden="false" customHeight="false" outlineLevel="0" collapsed="false">
      <c r="A187" s="53" t="s">
        <v>955</v>
      </c>
      <c r="B187" s="28"/>
      <c r="C187" s="27"/>
      <c r="D187" s="26"/>
      <c r="E187" s="26"/>
      <c r="F187" s="26"/>
      <c r="G187" s="27"/>
      <c r="H187" s="26"/>
    </row>
    <row r="188" customFormat="false" ht="15" hidden="false" customHeight="false" outlineLevel="0" collapsed="false">
      <c r="A188" s="53" t="s">
        <v>956</v>
      </c>
      <c r="B188" s="28"/>
      <c r="C188" s="27"/>
      <c r="D188" s="26"/>
      <c r="E188" s="26"/>
      <c r="F188" s="26"/>
      <c r="G188" s="27"/>
      <c r="H188" s="26"/>
    </row>
    <row r="189" customFormat="false" ht="15" hidden="false" customHeight="false" outlineLevel="0" collapsed="false">
      <c r="A189" s="53" t="s">
        <v>957</v>
      </c>
      <c r="B189" s="28"/>
      <c r="C189" s="27"/>
      <c r="D189" s="26"/>
      <c r="E189" s="26"/>
      <c r="F189" s="26"/>
      <c r="G189" s="27"/>
      <c r="H189" s="26"/>
    </row>
    <row r="190" customFormat="false" ht="15" hidden="false" customHeight="false" outlineLevel="0" collapsed="false">
      <c r="A190" s="53" t="s">
        <v>958</v>
      </c>
      <c r="B190" s="28"/>
      <c r="C190" s="27"/>
      <c r="D190" s="26"/>
      <c r="E190" s="26"/>
      <c r="F190" s="26"/>
      <c r="G190" s="27"/>
      <c r="H190" s="26"/>
    </row>
    <row r="191" customFormat="false" ht="15" hidden="false" customHeight="false" outlineLevel="0" collapsed="false">
      <c r="A191" s="53" t="s">
        <v>959</v>
      </c>
      <c r="B191" s="28"/>
      <c r="C191" s="27"/>
      <c r="D191" s="26"/>
      <c r="E191" s="26"/>
      <c r="F191" s="26"/>
      <c r="G191" s="27"/>
      <c r="H191" s="26"/>
    </row>
    <row r="192" customFormat="false" ht="15" hidden="false" customHeight="false" outlineLevel="0" collapsed="false">
      <c r="A192" s="53" t="s">
        <v>960</v>
      </c>
      <c r="B192" s="28"/>
      <c r="C192" s="27"/>
      <c r="D192" s="26"/>
      <c r="E192" s="26"/>
      <c r="F192" s="26"/>
      <c r="G192" s="27"/>
      <c r="H192" s="26"/>
    </row>
    <row r="193" customFormat="false" ht="15" hidden="false" customHeight="false" outlineLevel="0" collapsed="false">
      <c r="A193" s="53" t="s">
        <v>961</v>
      </c>
      <c r="B193" s="28"/>
      <c r="C193" s="27"/>
      <c r="D193" s="26"/>
      <c r="E193" s="26"/>
      <c r="F193" s="26"/>
      <c r="G193" s="27"/>
      <c r="H193" s="26"/>
    </row>
    <row r="194" customFormat="false" ht="15" hidden="false" customHeight="false" outlineLevel="0" collapsed="false">
      <c r="A194" s="53" t="s">
        <v>962</v>
      </c>
      <c r="B194" s="28"/>
      <c r="C194" s="27"/>
      <c r="D194" s="26"/>
      <c r="E194" s="26"/>
      <c r="F194" s="26"/>
      <c r="G194" s="27"/>
      <c r="H194" s="26"/>
    </row>
    <row r="195" customFormat="false" ht="15" hidden="false" customHeight="false" outlineLevel="0" collapsed="false">
      <c r="A195" s="53" t="s">
        <v>963</v>
      </c>
      <c r="B195" s="28"/>
      <c r="C195" s="27"/>
      <c r="D195" s="26"/>
      <c r="E195" s="26"/>
      <c r="F195" s="26"/>
      <c r="G195" s="27"/>
      <c r="H195" s="26"/>
    </row>
    <row r="196" customFormat="false" ht="15" hidden="false" customHeight="false" outlineLevel="0" collapsed="false">
      <c r="A196" s="53" t="s">
        <v>964</v>
      </c>
      <c r="B196" s="28"/>
      <c r="C196" s="27"/>
      <c r="D196" s="26"/>
      <c r="E196" s="26"/>
      <c r="F196" s="26"/>
      <c r="G196" s="27"/>
      <c r="H196" s="26"/>
    </row>
    <row r="197" customFormat="false" ht="15" hidden="false" customHeight="false" outlineLevel="0" collapsed="false">
      <c r="A197" s="53" t="s">
        <v>965</v>
      </c>
      <c r="B197" s="28"/>
      <c r="C197" s="27"/>
      <c r="D197" s="26"/>
      <c r="E197" s="26"/>
      <c r="F197" s="26"/>
      <c r="G197" s="27"/>
      <c r="H197" s="26"/>
    </row>
    <row r="198" customFormat="false" ht="15" hidden="false" customHeight="false" outlineLevel="0" collapsed="false">
      <c r="A198" s="53" t="s">
        <v>966</v>
      </c>
      <c r="B198" s="28"/>
      <c r="C198" s="27"/>
      <c r="D198" s="26"/>
      <c r="E198" s="26"/>
      <c r="F198" s="26"/>
      <c r="G198" s="27"/>
      <c r="H198" s="26"/>
    </row>
    <row r="199" customFormat="false" ht="15" hidden="false" customHeight="false" outlineLevel="0" collapsed="false">
      <c r="A199" s="53" t="s">
        <v>967</v>
      </c>
      <c r="B199" s="28"/>
      <c r="C199" s="27"/>
      <c r="D199" s="26"/>
      <c r="E199" s="26"/>
      <c r="F199" s="26"/>
      <c r="G199" s="27"/>
      <c r="H199" s="26"/>
    </row>
    <row r="200" customFormat="false" ht="15" hidden="false" customHeight="false" outlineLevel="0" collapsed="false">
      <c r="A200" s="53" t="s">
        <v>968</v>
      </c>
      <c r="B200" s="28"/>
      <c r="C200" s="27"/>
      <c r="D200" s="26"/>
      <c r="E200" s="26"/>
      <c r="F200" s="26"/>
      <c r="G200" s="27"/>
      <c r="H200" s="26"/>
    </row>
    <row r="201" customFormat="false" ht="15" hidden="false" customHeight="false" outlineLevel="0" collapsed="false">
      <c r="A201" s="53" t="s">
        <v>969</v>
      </c>
      <c r="B201" s="28"/>
      <c r="C201" s="27"/>
      <c r="D201" s="26"/>
      <c r="E201" s="26"/>
      <c r="F201" s="26"/>
      <c r="G201" s="27"/>
      <c r="H201" s="26"/>
    </row>
    <row r="202" customFormat="false" ht="15" hidden="false" customHeight="false" outlineLevel="0" collapsed="false">
      <c r="A202" s="53" t="s">
        <v>970</v>
      </c>
      <c r="B202" s="28"/>
      <c r="C202" s="27"/>
      <c r="D202" s="26"/>
      <c r="E202" s="26"/>
      <c r="F202" s="26"/>
      <c r="G202" s="27"/>
      <c r="H202" s="26"/>
    </row>
    <row r="203" customFormat="false" ht="15" hidden="false" customHeight="false" outlineLevel="0" collapsed="false">
      <c r="A203" s="53" t="s">
        <v>971</v>
      </c>
      <c r="B203" s="28"/>
      <c r="C203" s="27"/>
      <c r="D203" s="26"/>
      <c r="E203" s="26"/>
      <c r="F203" s="26"/>
      <c r="G203" s="27"/>
      <c r="H203" s="26"/>
    </row>
    <row r="204" customFormat="false" ht="15" hidden="false" customHeight="false" outlineLevel="0" collapsed="false">
      <c r="A204" s="53" t="s">
        <v>972</v>
      </c>
      <c r="B204" s="28"/>
      <c r="C204" s="27"/>
      <c r="D204" s="26"/>
      <c r="E204" s="26"/>
      <c r="F204" s="26"/>
      <c r="G204" s="27"/>
      <c r="H204" s="26"/>
    </row>
  </sheetData>
  <autoFilter ref="A4:H204"/>
  <dataValidations count="2">
    <dataValidation allowBlank="true" error="Enter a date, e.g. 20-Oct-2026" errorStyle="stop" operator="greaterThan" showDropDown="false" showErrorMessage="true" showInputMessage="false" sqref="B5:B204" type="date">
      <formula1>DATE(2020,1,1)</formula1>
      <formula2>0</formula2>
    </dataValidation>
    <dataValidation allowBlank="true" errorStyle="stop" operator="between" showDropDown="false" showErrorMessage="false" showInputMessage="false" sqref="C5:C204" type="list">
      <formula1>Lists!$K$4:$K$6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30" t="s">
        <v>973</v>
      </c>
    </row>
    <row r="3" customFormat="false" ht="15" hidden="false" customHeight="false" outlineLevel="0" collapsed="false">
      <c r="A3" s="55" t="s">
        <v>974</v>
      </c>
      <c r="B3" s="56"/>
    </row>
    <row r="4" customFormat="false" ht="23.85" hidden="false" customHeight="false" outlineLevel="0" collapsed="false">
      <c r="A4" s="25" t="s">
        <v>975</v>
      </c>
      <c r="B4" s="26" t="s">
        <v>976</v>
      </c>
    </row>
    <row r="5" customFormat="false" ht="15" hidden="false" customHeight="false" outlineLevel="0" collapsed="false">
      <c r="A5" s="25" t="s">
        <v>977</v>
      </c>
      <c r="B5" s="26" t="s">
        <v>978</v>
      </c>
    </row>
    <row r="6" customFormat="false" ht="15" hidden="false" customHeight="false" outlineLevel="0" collapsed="false">
      <c r="A6" s="25" t="s">
        <v>979</v>
      </c>
      <c r="B6" s="26" t="s">
        <v>980</v>
      </c>
    </row>
    <row r="7" customFormat="false" ht="23.85" hidden="false" customHeight="false" outlineLevel="0" collapsed="false">
      <c r="A7" s="25" t="s">
        <v>981</v>
      </c>
      <c r="B7" s="26" t="s">
        <v>982</v>
      </c>
    </row>
    <row r="8" customFormat="false" ht="15" hidden="false" customHeight="false" outlineLevel="0" collapsed="false">
      <c r="A8" s="25" t="s">
        <v>983</v>
      </c>
      <c r="B8" s="26" t="s">
        <v>984</v>
      </c>
    </row>
    <row r="9" customFormat="false" ht="23.85" hidden="false" customHeight="false" outlineLevel="0" collapsed="false">
      <c r="A9" s="25" t="s">
        <v>985</v>
      </c>
      <c r="B9" s="26" t="s">
        <v>986</v>
      </c>
    </row>
    <row r="10" customFormat="false" ht="15" hidden="false" customHeight="false" outlineLevel="0" collapsed="false">
      <c r="A10" s="55" t="s">
        <v>987</v>
      </c>
      <c r="B10" s="56"/>
    </row>
    <row r="11" customFormat="false" ht="15" hidden="false" customHeight="false" outlineLevel="0" collapsed="false">
      <c r="A11" s="25" t="s">
        <v>988</v>
      </c>
      <c r="B11" s="26" t="s">
        <v>989</v>
      </c>
    </row>
    <row r="12" customFormat="false" ht="15" hidden="false" customHeight="false" outlineLevel="0" collapsed="false">
      <c r="A12" s="25" t="s">
        <v>990</v>
      </c>
      <c r="B12" s="26" t="s">
        <v>991</v>
      </c>
    </row>
    <row r="13" customFormat="false" ht="15" hidden="false" customHeight="false" outlineLevel="0" collapsed="false">
      <c r="A13" s="25" t="s">
        <v>327</v>
      </c>
      <c r="B13" s="26" t="s">
        <v>992</v>
      </c>
    </row>
    <row r="14" customFormat="false" ht="15" hidden="false" customHeight="false" outlineLevel="0" collapsed="false">
      <c r="A14" s="25" t="s">
        <v>993</v>
      </c>
      <c r="B14" s="26" t="s">
        <v>994</v>
      </c>
    </row>
    <row r="15" customFormat="false" ht="15" hidden="false" customHeight="false" outlineLevel="0" collapsed="false">
      <c r="A15" s="25" t="s">
        <v>995</v>
      </c>
      <c r="B15" s="26" t="s">
        <v>996</v>
      </c>
    </row>
    <row r="16" customFormat="false" ht="15" hidden="false" customHeight="false" outlineLevel="0" collapsed="false">
      <c r="A16" s="25" t="s">
        <v>997</v>
      </c>
      <c r="B16" s="26" t="s">
        <v>998</v>
      </c>
    </row>
    <row r="17" customFormat="false" ht="15" hidden="false" customHeight="false" outlineLevel="0" collapsed="false">
      <c r="A17" s="55" t="s">
        <v>999</v>
      </c>
      <c r="B17" s="56"/>
    </row>
    <row r="18" customFormat="false" ht="15" hidden="false" customHeight="false" outlineLevel="0" collapsed="false">
      <c r="A18" s="25" t="s">
        <v>1000</v>
      </c>
      <c r="B18" s="26" t="s">
        <v>1001</v>
      </c>
    </row>
    <row r="19" customFormat="false" ht="15" hidden="false" customHeight="false" outlineLevel="0" collapsed="false">
      <c r="A19" s="25" t="s">
        <v>1002</v>
      </c>
      <c r="B19" s="26" t="s">
        <v>1003</v>
      </c>
    </row>
    <row r="20" customFormat="false" ht="15" hidden="false" customHeight="false" outlineLevel="0" collapsed="false">
      <c r="A20" s="25" t="s">
        <v>1004</v>
      </c>
      <c r="B20" s="26" t="s">
        <v>1005</v>
      </c>
    </row>
    <row r="21" customFormat="false" ht="15" hidden="false" customHeight="false" outlineLevel="0" collapsed="false">
      <c r="A21" s="55" t="s">
        <v>1006</v>
      </c>
      <c r="B21" s="56"/>
    </row>
    <row r="22" customFormat="false" ht="15" hidden="false" customHeight="false" outlineLevel="0" collapsed="false">
      <c r="A22" s="25" t="s">
        <v>1007</v>
      </c>
      <c r="B22" s="26" t="s">
        <v>1008</v>
      </c>
    </row>
    <row r="23" customFormat="false" ht="15" hidden="false" customHeight="false" outlineLevel="0" collapsed="false">
      <c r="A23" s="25" t="s">
        <v>1009</v>
      </c>
      <c r="B23" s="26" t="s">
        <v>1010</v>
      </c>
    </row>
    <row r="24" customFormat="false" ht="15" hidden="false" customHeight="false" outlineLevel="0" collapsed="false">
      <c r="A24" s="25" t="s">
        <v>1011</v>
      </c>
      <c r="B24" s="26" t="s">
        <v>1012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6"/>
  </cols>
  <sheetData>
    <row r="1" customFormat="false" ht="15" hidden="false" customHeight="false" outlineLevel="0" collapsed="false">
      <c r="A1" s="49" t="s">
        <v>1013</v>
      </c>
    </row>
    <row r="3" customFormat="false" ht="15" hidden="false" customHeight="false" outlineLevel="0" collapsed="false">
      <c r="A3" s="55" t="s">
        <v>14</v>
      </c>
      <c r="B3" s="55" t="s">
        <v>102</v>
      </c>
      <c r="C3" s="55" t="s">
        <v>1014</v>
      </c>
      <c r="D3" s="55" t="s">
        <v>1015</v>
      </c>
      <c r="E3" s="55" t="s">
        <v>1016</v>
      </c>
      <c r="F3" s="55" t="s">
        <v>21</v>
      </c>
      <c r="G3" s="55" t="s">
        <v>39</v>
      </c>
      <c r="H3" s="55" t="s">
        <v>1017</v>
      </c>
      <c r="I3" s="55" t="s">
        <v>1018</v>
      </c>
      <c r="J3" s="55" t="s">
        <v>1019</v>
      </c>
      <c r="K3" s="55" t="s">
        <v>1020</v>
      </c>
      <c r="L3" s="55" t="s">
        <v>1021</v>
      </c>
    </row>
    <row r="4" customFormat="false" ht="15" hidden="false" customHeight="false" outlineLevel="0" collapsed="false">
      <c r="A4" s="57" t="s">
        <v>80</v>
      </c>
      <c r="B4" s="57" t="s">
        <v>89</v>
      </c>
      <c r="C4" s="57" t="s">
        <v>95</v>
      </c>
      <c r="D4" s="57" t="s">
        <v>84</v>
      </c>
      <c r="E4" s="57" t="s">
        <v>84</v>
      </c>
      <c r="F4" s="57" t="s">
        <v>1022</v>
      </c>
      <c r="G4" s="57" t="s">
        <v>1023</v>
      </c>
      <c r="H4" s="57" t="s">
        <v>343</v>
      </c>
      <c r="I4" s="57" t="s">
        <v>1024</v>
      </c>
      <c r="J4" s="57" t="s">
        <v>343</v>
      </c>
      <c r="K4" s="57" t="s">
        <v>769</v>
      </c>
      <c r="L4" s="57" t="s">
        <v>124</v>
      </c>
    </row>
    <row r="5" customFormat="false" ht="15" hidden="false" customHeight="false" outlineLevel="0" collapsed="false">
      <c r="A5" s="57" t="s">
        <v>83</v>
      </c>
      <c r="B5" s="57" t="s">
        <v>90</v>
      </c>
      <c r="C5" s="57" t="s">
        <v>96</v>
      </c>
      <c r="D5" s="57" t="s">
        <v>81</v>
      </c>
      <c r="E5" s="57" t="s">
        <v>81</v>
      </c>
      <c r="F5" s="57" t="s">
        <v>62</v>
      </c>
      <c r="G5" s="57" t="s">
        <v>342</v>
      </c>
      <c r="H5" s="57" t="s">
        <v>81</v>
      </c>
      <c r="I5" s="57" t="s">
        <v>556</v>
      </c>
      <c r="J5" s="57" t="s">
        <v>1025</v>
      </c>
      <c r="K5" s="57" t="s">
        <v>1026</v>
      </c>
      <c r="L5" s="57" t="s">
        <v>120</v>
      </c>
    </row>
    <row r="6" customFormat="false" ht="15" hidden="false" customHeight="false" outlineLevel="0" collapsed="false">
      <c r="A6" s="57" t="s">
        <v>86</v>
      </c>
      <c r="B6" s="57" t="s">
        <v>91</v>
      </c>
      <c r="C6" s="57" t="s">
        <v>97</v>
      </c>
      <c r="D6" s="57" t="s">
        <v>127</v>
      </c>
      <c r="E6" s="57" t="s">
        <v>1027</v>
      </c>
      <c r="F6" s="57" t="s">
        <v>1028</v>
      </c>
      <c r="G6" s="57" t="s">
        <v>1029</v>
      </c>
      <c r="H6" s="57" t="s">
        <v>1030</v>
      </c>
      <c r="K6" s="57" t="s">
        <v>1031</v>
      </c>
    </row>
    <row r="7" customFormat="false" ht="15" hidden="false" customHeight="false" outlineLevel="0" collapsed="false">
      <c r="B7" s="57" t="s">
        <v>92</v>
      </c>
      <c r="C7" s="57" t="s">
        <v>98</v>
      </c>
      <c r="D7" s="57" t="s">
        <v>75</v>
      </c>
      <c r="E7" s="57" t="s">
        <v>75</v>
      </c>
      <c r="G7" s="57" t="s">
        <v>1032</v>
      </c>
      <c r="H7" s="57" t="s">
        <v>1033</v>
      </c>
    </row>
    <row r="8" customFormat="false" ht="15" hidden="false" customHeight="false" outlineLevel="0" collapsed="false">
      <c r="B8" s="57" t="s">
        <v>1034</v>
      </c>
      <c r="C8" s="57" t="s">
        <v>1035</v>
      </c>
      <c r="D8" s="57" t="s">
        <v>1036</v>
      </c>
      <c r="H8" s="57" t="s">
        <v>1037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2026-10-20T14:02:12Z</dcterms:created>
  <dc:creator>openpyxl</dc:creator>
  <dc:description/>
  <dc:language>en-US</dc:language>
  <cp:lastModifiedBy/>
  <dcterms:modified xsi:type="dcterms:W3CDTF">2026-10-20T14:02:14Z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