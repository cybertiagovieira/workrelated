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uide" sheetId="1" state="visible" r:id="rId3"/>
    <sheet name="Dashboard" sheetId="2" state="visible" r:id="rId4"/>
    <sheet name="Mission Charter" sheetId="3" state="visible" r:id="rId5"/>
    <sheet name="Goals &amp; KPIs" sheetId="4" state="visible" r:id="rId6"/>
    <sheet name="Meetings" sheetId="5" state="visible" r:id="rId7"/>
    <sheet name="Emails" sheetId="6" state="visible" r:id="rId8"/>
    <sheet name="Tasks" sheetId="7" state="visible" r:id="rId9"/>
    <sheet name="Developments" sheetId="8" state="visible" r:id="rId10"/>
    <sheet name="EASM Findings" sheetId="9" state="visible" r:id="rId11"/>
    <sheet name="Stakeholders" sheetId="10" state="visible" r:id="rId12"/>
    <sheet name="Lists" sheetId="11" state="visible" r:id="rId13"/>
  </sheets>
  <definedNames>
    <definedName function="false" hidden="false" localSheetId="7" name="_xlnm.Print_Titles" vbProcedure="false">Developments!$4:$4</definedName>
    <definedName function="false" hidden="true" localSheetId="7" name="_xlnm._FilterDatabase" vbProcedure="false">Developments!$A$4:$R$304</definedName>
    <definedName function="false" hidden="false" localSheetId="8" name="_xlnm.Print_Titles" vbProcedure="false">'EASM Findings'!$4:$4</definedName>
    <definedName function="false" hidden="true" localSheetId="8" name="_xlnm._FilterDatabase" vbProcedure="false">'EASM Findings'!$A$4:$AA$304</definedName>
    <definedName function="false" hidden="false" localSheetId="5" name="_xlnm.Print_Titles" vbProcedure="false">Emails!$4:$4</definedName>
    <definedName function="false" hidden="true" localSheetId="5" name="_xlnm._FilterDatabase" vbProcedure="false">Emails!$A$4:$U$304</definedName>
    <definedName function="false" hidden="false" localSheetId="3" name="_xlnm.Print_Titles" vbProcedure="false">'Goals &amp; KPIs'!$4:$4</definedName>
    <definedName function="false" hidden="true" localSheetId="3" name="_xlnm._FilterDatabase" vbProcedure="false">'Goals &amp; KPIs'!$A$4:$Q$304</definedName>
    <definedName function="false" hidden="false" localSheetId="4" name="_xlnm.Print_Titles" vbProcedure="false">Meetings!$4:$4</definedName>
    <definedName function="false" hidden="true" localSheetId="4" name="_xlnm._FilterDatabase" vbProcedure="false">Meetings!$A$4:$W$304</definedName>
    <definedName function="false" hidden="false" localSheetId="9" name="_xlnm.Print_Titles" vbProcedure="false">Stakeholders!$4:$4</definedName>
    <definedName function="false" hidden="true" localSheetId="9" name="_xlnm._FilterDatabase" vbProcedure="false">Stakeholders!$A$4:$N$304</definedName>
    <definedName function="false" hidden="false" localSheetId="6" name="_xlnm.Print_Titles" vbProcedure="false">Tasks!$4:$4</definedName>
    <definedName function="false" hidden="true" localSheetId="6" name="_xlnm._FilterDatabase" vbProcedure="false">Tasks!$A$4:$T$304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4" authorId="0">
      <text>
        <r>
          <rPr>
            <sz val="10"/>
            <rFont val="Arial"/>
            <family val="2"/>
          </rPr>
          <t xml:space="preserve">(Current − Baseline) / (Target − Baseline), capped 0–100%. Works for both 'higher is better' and 'lower is better' KPIs.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4" authorId="0">
      <text>
        <r>
          <rPr>
            <sz val="10"/>
            <rFont val="Arial"/>
            <family val="2"/>
          </rPr>
          <t xml:space="preserve">Premises or evidence from 1LoD that were challenged in the meeting.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'No' = shadow / unmanaged asset. Drives the Dashboard 'unknown asset' ratio.</t>
        </r>
      </text>
    </comment>
    <comment ref="S4" authorId="0">
      <text>
        <r>
          <rPr>
            <sz val="10"/>
            <rFont val="Arial"/>
            <family val="2"/>
          </rPr>
          <t xml:space="preserve">Looked up from the Severity → SLA table on the Lists tab (default values; align to your standard).</t>
        </r>
      </text>
    </comment>
  </commentList>
</comments>
</file>

<file path=xl/sharedStrings.xml><?xml version="1.0" encoding="utf-8"?>
<sst xmlns="http://schemas.openxmlformats.org/spreadsheetml/2006/main" count="2717" uniqueCount="2567">
  <si>
    <t xml:space="preserve">EASM Mission Tracker — Guide</t>
  </si>
  <si>
    <t xml:space="preserve">Cyber Risk Intelligence (2LoD) — tracking meetings, communications, tasks, goals, developments and EASM findings in one workbook.</t>
  </si>
  <si>
    <t xml:space="preserve">LEGEND</t>
  </si>
  <si>
    <t xml:space="preserve">Pale-yellow cell, blue text</t>
  </si>
  <si>
    <t xml:space="preserve">Your input. Type, paste or pick from the dropdown.</t>
  </si>
  <si>
    <t xml:space="preserve">Grey cell, black text</t>
  </si>
  <si>
    <t xml:space="preserve">Automatic formula (IDs, flags, days open, SLA, progress). Do not overwrite.</t>
  </si>
  <si>
    <t xml:space="preserve">Bright-yellow cell</t>
  </si>
  <si>
    <t xml:space="preserve">Key assumption (Severity → SLA table on Lists). Review and align to the bank's standard.</t>
  </si>
  <si>
    <t xml:space="preserve">Red / amber / green</t>
  </si>
  <si>
    <t xml:space="preserve">Conditional formatting: overdue, SLA breach, RAF breach, status and severity.</t>
  </si>
  <si>
    <t xml:space="preserve">Example row</t>
  </si>
  <si>
    <t xml:space="preserve">Row 5 of every log tab is an illustrative example (italic). Overwrite or delete its contents before go-live.</t>
  </si>
  <si>
    <t xml:space="preserve">TABS</t>
  </si>
  <si>
    <t xml:space="preserve">Dashboard</t>
  </si>
  <si>
    <t xml:space="preserve">Automatic KPIs and charts: overdue items, SLA breaches, open Critical/High exposures, unknown-asset ratio, RAF breaches.</t>
  </si>
  <si>
    <t xml:space="preserve">Mission Charter</t>
  </si>
  <si>
    <t xml:space="preserve">Scope, objectives, drivers, governance and the 6-phase plan with schedule variance.</t>
  </si>
  <si>
    <t xml:space="preserve">Goals &amp; KPIs (GOL-)</t>
  </si>
  <si>
    <t xml:space="preserve">Objectives and key results with baseline / target / current and automatic progress.</t>
  </si>
  <si>
    <t xml:space="preserve">Meetings (MTG-)</t>
  </si>
  <si>
    <t xml:space="preserve">Every meeting: attendees, decisions, 2LoD challenge, 1LoD position, actions and follow-up flag.</t>
  </si>
  <si>
    <t xml:space="preserve">Emails (EML-)</t>
  </si>
  <si>
    <t xml:space="preserve">Material emails: requests, evidence, escalations; response due date and overdue flag.</t>
  </si>
  <si>
    <t xml:space="preserve">Tasks (TSK-)</t>
  </si>
  <si>
    <t xml:space="preserve">All actions with source, owner, priority, due date, % complete and overdue flag.</t>
  </si>
  <si>
    <t xml:space="preserve">Developments (DEV-)</t>
  </si>
  <si>
    <t xml:space="preserve">Milestones, decisions, scope changes, escalations, risk acceptances — facts, inferences and uncertainties kept separate.</t>
  </si>
  <si>
    <t xml:space="preserve">EASM Findings (FND-)</t>
  </si>
  <si>
    <t xml:space="preserve">Exposure register: technical vector → operational vulnerability → systemic/concentration risk → financial/regulatory impact → RAF alignment, with remediation SLA tracking.</t>
  </si>
  <si>
    <t xml:space="preserve">Stakeholders (STK-)</t>
  </si>
  <si>
    <t xml:space="preserve">RACI, stance, influence and days since last contact (amber after 30 days).</t>
  </si>
  <si>
    <t xml:space="preserve">Lists</t>
  </si>
  <si>
    <t xml:space="preserve">All dropdown values and the Severity → SLA table. Extend lists within the shaded block (15 slots each).</t>
  </si>
  <si>
    <t xml:space="preserve">WORKING RULES</t>
  </si>
  <si>
    <t xml:space="preserve">Cross-referencing</t>
  </si>
  <si>
    <t xml:space="preserve">Use IDs to link records, e.g. a task's 'Source Ref ID' = MTG-004; a finding's 'Linked Task ID' = TSK-012. Separate multiple IDs with ';'.</t>
  </si>
  <si>
    <t xml:space="preserve">IDs</t>
  </si>
  <si>
    <t xml:space="preserve">IDs are pre-numbered (300 rows per tab) and stay fixed when you sort or filter.</t>
  </si>
  <si>
    <t xml:space="preserve">Dates</t>
  </si>
  <si>
    <t xml:space="preserve">Enter as dates (e.g. 19-Oct-2026). Flags compare against TODAY(), so they update each time the file opens.</t>
  </si>
  <si>
    <t xml:space="preserve">Closing items</t>
  </si>
  <si>
    <t xml:space="preserve">Tasks: set Status = Completed + Completion Date. Findings: set Status + Closure Date; 'Risk Accepted' requires a Risk Acceptance Ref.</t>
  </si>
  <si>
    <t xml:space="preserve">Filtering</t>
  </si>
  <si>
    <t xml:space="preserve">Every log has filters on the header row and frozen ID/Date columns.</t>
  </si>
  <si>
    <t xml:space="preserve">EASM Mission Dashboard</t>
  </si>
  <si>
    <t xml:space="preserve">As of</t>
  </si>
  <si>
    <t xml:space="preserve">All figures calculate automatically from the log tabs. Do not type here.</t>
  </si>
  <si>
    <t xml:space="preserve">Mission Timeline</t>
  </si>
  <si>
    <t xml:space="preserve">Tasks by Status</t>
  </si>
  <si>
    <t xml:space="preserve">Count</t>
  </si>
  <si>
    <t xml:space="preserve">Days elapsed</t>
  </si>
  <si>
    <t xml:space="preserve">Not Started</t>
  </si>
  <si>
    <t xml:space="preserve">Days remaining</t>
  </si>
  <si>
    <t xml:space="preserve">In Progress</t>
  </si>
  <si>
    <t xml:space="preserve">% of timeline elapsed</t>
  </si>
  <si>
    <t xml:space="preserve">Blocked</t>
  </si>
  <si>
    <t xml:space="preserve">On Hold</t>
  </si>
  <si>
    <t xml:space="preserve">Meetings</t>
  </si>
  <si>
    <t xml:space="preserve">Completed</t>
  </si>
  <si>
    <t xml:space="preserve">Meetings logged</t>
  </si>
  <si>
    <t xml:space="preserve">Cancelled</t>
  </si>
  <si>
    <t xml:space="preserve">Meetings in last 30 days</t>
  </si>
  <si>
    <t xml:space="preserve">Overdue follow-ups</t>
  </si>
  <si>
    <t xml:space="preserve">Findings by Severity</t>
  </si>
  <si>
    <t xml:space="preserve">Open</t>
  </si>
  <si>
    <t xml:space="preserve">Critical</t>
  </si>
  <si>
    <t xml:space="preserve">Emails &amp; Communications</t>
  </si>
  <si>
    <t xml:space="preserve">High</t>
  </si>
  <si>
    <t xml:space="preserve">Emails logged</t>
  </si>
  <si>
    <t xml:space="preserve">Medium</t>
  </si>
  <si>
    <t xml:space="preserve">Awaiting response</t>
  </si>
  <si>
    <t xml:space="preserve">Low</t>
  </si>
  <si>
    <t xml:space="preserve">Overdue responses</t>
  </si>
  <si>
    <t xml:space="preserve">Informational</t>
  </si>
  <si>
    <t xml:space="preserve">Average days to respond</t>
  </si>
  <si>
    <t xml:space="preserve">Escalations</t>
  </si>
  <si>
    <t xml:space="preserve">Findings by Status</t>
  </si>
  <si>
    <t xml:space="preserve">New</t>
  </si>
  <si>
    <t xml:space="preserve">Tasks</t>
  </si>
  <si>
    <t xml:space="preserve">Validating</t>
  </si>
  <si>
    <t xml:space="preserve">Tasks logged</t>
  </si>
  <si>
    <t xml:space="preserve">Confirmed</t>
  </si>
  <si>
    <t xml:space="preserve">Open tasks</t>
  </si>
  <si>
    <t xml:space="preserve">Remediation In Progress</t>
  </si>
  <si>
    <t xml:space="preserve">Overdue tasks</t>
  </si>
  <si>
    <t xml:space="preserve">Remediated</t>
  </si>
  <si>
    <t xml:space="preserve">Due within 7 days</t>
  </si>
  <si>
    <t xml:space="preserve">Risk Accepted</t>
  </si>
  <si>
    <t xml:space="preserve">Blocked tasks</t>
  </si>
  <si>
    <t xml:space="preserve">False Positive</t>
  </si>
  <si>
    <t xml:space="preserve">Completion rate (excl. cancelled)</t>
  </si>
  <si>
    <t xml:space="preserve">Goals by Status</t>
  </si>
  <si>
    <t xml:space="preserve">Goals &amp; KPIs</t>
  </si>
  <si>
    <t xml:space="preserve">On Track</t>
  </si>
  <si>
    <t xml:space="preserve">Goals defined</t>
  </si>
  <si>
    <t xml:space="preserve">At Risk</t>
  </si>
  <si>
    <t xml:space="preserve">Average progress to target</t>
  </si>
  <si>
    <t xml:space="preserve">Off Track</t>
  </si>
  <si>
    <t xml:space="preserve">Goals At Risk / Off Track</t>
  </si>
  <si>
    <t xml:space="preserve">Achieved</t>
  </si>
  <si>
    <t xml:space="preserve">Goals achieved</t>
  </si>
  <si>
    <t xml:space="preserve">Deferred</t>
  </si>
  <si>
    <t xml:space="preserve">EASM Findings</t>
  </si>
  <si>
    <t xml:space="preserve">Meetings by Type</t>
  </si>
  <si>
    <t xml:space="preserve">Findings logged</t>
  </si>
  <si>
    <t xml:space="preserve">Kick-off</t>
  </si>
  <si>
    <t xml:space="preserve">Open findings</t>
  </si>
  <si>
    <t xml:space="preserve">Steering Committee</t>
  </si>
  <si>
    <t xml:space="preserve">Open Critical / High</t>
  </si>
  <si>
    <t xml:space="preserve">Working Session</t>
  </si>
  <si>
    <t xml:space="preserve">Open &amp; actively exploited (KEV/TI)</t>
  </si>
  <si>
    <t xml:space="preserve">1LoD Challenge Session</t>
  </si>
  <si>
    <t xml:space="preserve">SLA breaches (open)</t>
  </si>
  <si>
    <t xml:space="preserve">Stakeholder Interview</t>
  </si>
  <si>
    <t xml:space="preserve">Assets not in inventory (shadow IT)</t>
  </si>
  <si>
    <t xml:space="preserve">Vendor / Tooling</t>
  </si>
  <si>
    <t xml:space="preserve">Unknown-asset ratio</t>
  </si>
  <si>
    <t xml:space="preserve">Risk Committee / Forum</t>
  </si>
  <si>
    <t xml:space="preserve">Risk acceptances</t>
  </si>
  <si>
    <t xml:space="preserve">Ad-hoc</t>
  </si>
  <si>
    <t xml:space="preserve">Average days open (all findings)</t>
  </si>
  <si>
    <t xml:space="preserve">Open Tasks by Priority</t>
  </si>
  <si>
    <t xml:space="preserve">Developments &amp; RAF</t>
  </si>
  <si>
    <t xml:space="preserve">Developments logged</t>
  </si>
  <si>
    <t xml:space="preserve">Developments in last 30 days</t>
  </si>
  <si>
    <t xml:space="preserve">Items for committee reporting</t>
  </si>
  <si>
    <t xml:space="preserve">RAF breaches (findings + developments)</t>
  </si>
  <si>
    <t xml:space="preserve">EASM Mission Charter</t>
  </si>
  <si>
    <t xml:space="preserve">Fill once at mission start; update when scope, timeline or governance changes.</t>
  </si>
  <si>
    <t xml:space="preserve">Mission name</t>
  </si>
  <si>
    <t xml:space="preserve">External Attack Surface Management (EASM) – 2LoD Assessment</t>
  </si>
  <si>
    <t xml:space="preserve">Mission reference</t>
  </si>
  <si>
    <t xml:space="preserve">Mission sponsor</t>
  </si>
  <si>
    <t xml:space="preserve">Mission lead (2LoD CRI)</t>
  </si>
  <si>
    <t xml:space="preserve">Start date</t>
  </si>
  <si>
    <t xml:space="preserve">Planned end date</t>
  </si>
  <si>
    <t xml:space="preserve">Mission objective</t>
  </si>
  <si>
    <t xml:space="preserve">In scope (entities, domains, IP ranges, cloud tenants)</t>
  </si>
  <si>
    <t xml:space="preserve">Out of scope</t>
  </si>
  <si>
    <t xml:space="preserve">Regulatory / supervisory drivers</t>
  </si>
  <si>
    <t xml:space="preserve">e.g. DORA ICT asset identification, supervisory expectations, internal audit points</t>
  </si>
  <si>
    <t xml:space="preserve">RAF metrics / KRIs linked</t>
  </si>
  <si>
    <t xml:space="preserve">EASM tooling &amp; data sources</t>
  </si>
  <si>
    <t xml:space="preserve">1LoD counterparts</t>
  </si>
  <si>
    <t xml:space="preserve">Governance forum &amp; reporting cadence</t>
  </si>
  <si>
    <t xml:space="preserve">Key assumptions</t>
  </si>
  <si>
    <t xml:space="preserve">Constraints / limitations</t>
  </si>
  <si>
    <t xml:space="preserve">Success criteria</t>
  </si>
  <si>
    <t xml:space="preserve">Phase Plan</t>
  </si>
  <si>
    <t xml:space="preserve">Phase</t>
  </si>
  <si>
    <t xml:space="preserve">Description</t>
  </si>
  <si>
    <t xml:space="preserve">Planned Start</t>
  </si>
  <si>
    <t xml:space="preserve">Planned End</t>
  </si>
  <si>
    <t xml:space="preserve">Actual End</t>
  </si>
  <si>
    <t xml:space="preserve">Status</t>
  </si>
  <si>
    <t xml:space="preserve">Variance (days)</t>
  </si>
  <si>
    <t xml:space="preserve">1. Scoping &amp; Baseline</t>
  </si>
  <si>
    <t xml:space="preserve">Confirm entities, seeds (domains, ASNs, IP ranges, cloud tenants) and tooling</t>
  </si>
  <si>
    <t xml:space="preserve">2. Discovery &amp; Attribution</t>
  </si>
  <si>
    <t xml:space="preserve">Run discovery; attribute assets to owners and legal entities; reconcile vs CMDB</t>
  </si>
  <si>
    <t xml:space="preserve">3. Exposure Assessment</t>
  </si>
  <si>
    <t xml:space="preserve">Identify exposed services, vulnerabilities, misconfigurations, leaked credentials</t>
  </si>
  <si>
    <t xml:space="preserve">4. Risk Translation &amp; 1LoD Challenge</t>
  </si>
  <si>
    <t xml:space="preserve">Translate exposures into operational, systemic, financial and RAF impact; challenge 1LoD premises</t>
  </si>
  <si>
    <t xml:space="preserve">5. Remediation Oversight</t>
  </si>
  <si>
    <t xml:space="preserve">Track remediation against SLAs; review risk acceptances</t>
  </si>
  <si>
    <t xml:space="preserve">6. Reporting &amp; Closure</t>
  </si>
  <si>
    <t xml:space="preserve">Committee reporting, lessons learned, transition to BAU monitoring</t>
  </si>
  <si>
    <t xml:space="preserve">Mission objectives and measurable key results, with automatic progress and RAF linkage.</t>
  </si>
  <si>
    <t xml:space="preserve">Pale-yellow cells = your input  |  Grey cells = automatic (do not overwrite)  |  Row 5 is an illustrative example — overwrite or delete it.</t>
  </si>
  <si>
    <t xml:space="preserve">Goal ID</t>
  </si>
  <si>
    <t xml:space="preserve">Goal / Objective</t>
  </si>
  <si>
    <t xml:space="preserve">Workstream</t>
  </si>
  <si>
    <t xml:space="preserve">Key Result / KPI</t>
  </si>
  <si>
    <t xml:space="preserve">Metric Definition</t>
  </si>
  <si>
    <t xml:space="preserve">Unit</t>
  </si>
  <si>
    <t xml:space="preserve">Baseline</t>
  </si>
  <si>
    <t xml:space="preserve">Target</t>
  </si>
  <si>
    <t xml:space="preserve">Current Value</t>
  </si>
  <si>
    <t xml:space="preserve">Progress to Target</t>
  </si>
  <si>
    <t xml:space="preserve">Owner</t>
  </si>
  <si>
    <t xml:space="preserve">Target Date</t>
  </si>
  <si>
    <t xml:space="preserve">Days to Target</t>
  </si>
  <si>
    <t xml:space="preserve">RAF Linkage (KRI / Limit)</t>
  </si>
  <si>
    <t xml:space="preserve">Last Updated</t>
  </si>
  <si>
    <t xml:space="preserve">Commentary</t>
  </si>
  <si>
    <t xml:space="preserve">GOL-001</t>
  </si>
  <si>
    <t xml:space="preserve">Establish a complete, attributed inventory of internet-facing assets</t>
  </si>
  <si>
    <t xml:space="preserve">Attribution &amp; Ownership</t>
  </si>
  <si>
    <t xml:space="preserve">% of discovered internet-facing assets attributed to an accountable owner</t>
  </si>
  <si>
    <t xml:space="preserve">Attributed assets ÷ total discovered assets (EASM platform, monthly snapshot)</t>
  </si>
  <si>
    <t xml:space="preserve">%</t>
  </si>
  <si>
    <t xml:space="preserve">Me (2LoD CRI)</t>
  </si>
  <si>
    <t xml:space="preserve">Cyber RAF – ICT asset management KRI</t>
  </si>
  <si>
    <t xml:space="preserve">Uplift dependent on CMDB reconciliation (TSK-001)</t>
  </si>
  <si>
    <t xml:space="preserve">GOL-002</t>
  </si>
  <si>
    <t xml:space="preserve">GOL-003</t>
  </si>
  <si>
    <t xml:space="preserve">GOL-004</t>
  </si>
  <si>
    <t xml:space="preserve">GOL-005</t>
  </si>
  <si>
    <t xml:space="preserve">GOL-006</t>
  </si>
  <si>
    <t xml:space="preserve">GOL-007</t>
  </si>
  <si>
    <t xml:space="preserve">GOL-008</t>
  </si>
  <si>
    <t xml:space="preserve">GOL-009</t>
  </si>
  <si>
    <t xml:space="preserve">GOL-010</t>
  </si>
  <si>
    <t xml:space="preserve">GOL-011</t>
  </si>
  <si>
    <t xml:space="preserve">GOL-012</t>
  </si>
  <si>
    <t xml:space="preserve">GOL-013</t>
  </si>
  <si>
    <t xml:space="preserve">GOL-014</t>
  </si>
  <si>
    <t xml:space="preserve">GOL-015</t>
  </si>
  <si>
    <t xml:space="preserve">GOL-016</t>
  </si>
  <si>
    <t xml:space="preserve">GOL-017</t>
  </si>
  <si>
    <t xml:space="preserve">GOL-018</t>
  </si>
  <si>
    <t xml:space="preserve">GOL-019</t>
  </si>
  <si>
    <t xml:space="preserve">GOL-020</t>
  </si>
  <si>
    <t xml:space="preserve">GOL-021</t>
  </si>
  <si>
    <t xml:space="preserve">GOL-022</t>
  </si>
  <si>
    <t xml:space="preserve">GOL-023</t>
  </si>
  <si>
    <t xml:space="preserve">GOL-024</t>
  </si>
  <si>
    <t xml:space="preserve">GOL-025</t>
  </si>
  <si>
    <t xml:space="preserve">GOL-026</t>
  </si>
  <si>
    <t xml:space="preserve">GOL-027</t>
  </si>
  <si>
    <t xml:space="preserve">GOL-028</t>
  </si>
  <si>
    <t xml:space="preserve">GOL-029</t>
  </si>
  <si>
    <t xml:space="preserve">GOL-030</t>
  </si>
  <si>
    <t xml:space="preserve">GOL-031</t>
  </si>
  <si>
    <t xml:space="preserve">GOL-032</t>
  </si>
  <si>
    <t xml:space="preserve">GOL-033</t>
  </si>
  <si>
    <t xml:space="preserve">GOL-034</t>
  </si>
  <si>
    <t xml:space="preserve">GOL-035</t>
  </si>
  <si>
    <t xml:space="preserve">GOL-036</t>
  </si>
  <si>
    <t xml:space="preserve">GOL-037</t>
  </si>
  <si>
    <t xml:space="preserve">GOL-038</t>
  </si>
  <si>
    <t xml:space="preserve">GOL-039</t>
  </si>
  <si>
    <t xml:space="preserve">GOL-040</t>
  </si>
  <si>
    <t xml:space="preserve">GOL-041</t>
  </si>
  <si>
    <t xml:space="preserve">GOL-042</t>
  </si>
  <si>
    <t xml:space="preserve">GOL-043</t>
  </si>
  <si>
    <t xml:space="preserve">GOL-044</t>
  </si>
  <si>
    <t xml:space="preserve">GOL-045</t>
  </si>
  <si>
    <t xml:space="preserve">GOL-046</t>
  </si>
  <si>
    <t xml:space="preserve">GOL-047</t>
  </si>
  <si>
    <t xml:space="preserve">GOL-048</t>
  </si>
  <si>
    <t xml:space="preserve">GOL-049</t>
  </si>
  <si>
    <t xml:space="preserve">GOL-050</t>
  </si>
  <si>
    <t xml:space="preserve">GOL-051</t>
  </si>
  <si>
    <t xml:space="preserve">GOL-052</t>
  </si>
  <si>
    <t xml:space="preserve">GOL-053</t>
  </si>
  <si>
    <t xml:space="preserve">GOL-054</t>
  </si>
  <si>
    <t xml:space="preserve">GOL-055</t>
  </si>
  <si>
    <t xml:space="preserve">GOL-056</t>
  </si>
  <si>
    <t xml:space="preserve">GOL-057</t>
  </si>
  <si>
    <t xml:space="preserve">GOL-058</t>
  </si>
  <si>
    <t xml:space="preserve">GOL-059</t>
  </si>
  <si>
    <t xml:space="preserve">GOL-060</t>
  </si>
  <si>
    <t xml:space="preserve">GOL-061</t>
  </si>
  <si>
    <t xml:space="preserve">GOL-062</t>
  </si>
  <si>
    <t xml:space="preserve">GOL-063</t>
  </si>
  <si>
    <t xml:space="preserve">GOL-064</t>
  </si>
  <si>
    <t xml:space="preserve">GOL-065</t>
  </si>
  <si>
    <t xml:space="preserve">GOL-066</t>
  </si>
  <si>
    <t xml:space="preserve">GOL-067</t>
  </si>
  <si>
    <t xml:space="preserve">GOL-068</t>
  </si>
  <si>
    <t xml:space="preserve">GOL-069</t>
  </si>
  <si>
    <t xml:space="preserve">GOL-070</t>
  </si>
  <si>
    <t xml:space="preserve">GOL-071</t>
  </si>
  <si>
    <t xml:space="preserve">GOL-072</t>
  </si>
  <si>
    <t xml:space="preserve">GOL-073</t>
  </si>
  <si>
    <t xml:space="preserve">GOL-074</t>
  </si>
  <si>
    <t xml:space="preserve">GOL-075</t>
  </si>
  <si>
    <t xml:space="preserve">GOL-076</t>
  </si>
  <si>
    <t xml:space="preserve">GOL-077</t>
  </si>
  <si>
    <t xml:space="preserve">GOL-078</t>
  </si>
  <si>
    <t xml:space="preserve">GOL-079</t>
  </si>
  <si>
    <t xml:space="preserve">GOL-080</t>
  </si>
  <si>
    <t xml:space="preserve">GOL-081</t>
  </si>
  <si>
    <t xml:space="preserve">GOL-082</t>
  </si>
  <si>
    <t xml:space="preserve">GOL-083</t>
  </si>
  <si>
    <t xml:space="preserve">GOL-084</t>
  </si>
  <si>
    <t xml:space="preserve">GOL-085</t>
  </si>
  <si>
    <t xml:space="preserve">GOL-086</t>
  </si>
  <si>
    <t xml:space="preserve">GOL-087</t>
  </si>
  <si>
    <t xml:space="preserve">GOL-088</t>
  </si>
  <si>
    <t xml:space="preserve">GOL-089</t>
  </si>
  <si>
    <t xml:space="preserve">GOL-090</t>
  </si>
  <si>
    <t xml:space="preserve">GOL-091</t>
  </si>
  <si>
    <t xml:space="preserve">GOL-092</t>
  </si>
  <si>
    <t xml:space="preserve">GOL-093</t>
  </si>
  <si>
    <t xml:space="preserve">GOL-094</t>
  </si>
  <si>
    <t xml:space="preserve">GOL-095</t>
  </si>
  <si>
    <t xml:space="preserve">GOL-096</t>
  </si>
  <si>
    <t xml:space="preserve">GOL-097</t>
  </si>
  <si>
    <t xml:space="preserve">GOL-098</t>
  </si>
  <si>
    <t xml:space="preserve">GOL-099</t>
  </si>
  <si>
    <t xml:space="preserve">GOL-100</t>
  </si>
  <si>
    <t xml:space="preserve">GOL-101</t>
  </si>
  <si>
    <t xml:space="preserve">GOL-102</t>
  </si>
  <si>
    <t xml:space="preserve">GOL-103</t>
  </si>
  <si>
    <t xml:space="preserve">GOL-104</t>
  </si>
  <si>
    <t xml:space="preserve">GOL-105</t>
  </si>
  <si>
    <t xml:space="preserve">GOL-106</t>
  </si>
  <si>
    <t xml:space="preserve">GOL-107</t>
  </si>
  <si>
    <t xml:space="preserve">GOL-108</t>
  </si>
  <si>
    <t xml:space="preserve">GOL-109</t>
  </si>
  <si>
    <t xml:space="preserve">GOL-110</t>
  </si>
  <si>
    <t xml:space="preserve">GOL-111</t>
  </si>
  <si>
    <t xml:space="preserve">GOL-112</t>
  </si>
  <si>
    <t xml:space="preserve">GOL-113</t>
  </si>
  <si>
    <t xml:space="preserve">GOL-114</t>
  </si>
  <si>
    <t xml:space="preserve">GOL-115</t>
  </si>
  <si>
    <t xml:space="preserve">GOL-116</t>
  </si>
  <si>
    <t xml:space="preserve">GOL-117</t>
  </si>
  <si>
    <t xml:space="preserve">GOL-118</t>
  </si>
  <si>
    <t xml:space="preserve">GOL-119</t>
  </si>
  <si>
    <t xml:space="preserve">GOL-120</t>
  </si>
  <si>
    <t xml:space="preserve">GOL-121</t>
  </si>
  <si>
    <t xml:space="preserve">GOL-122</t>
  </si>
  <si>
    <t xml:space="preserve">GOL-123</t>
  </si>
  <si>
    <t xml:space="preserve">GOL-124</t>
  </si>
  <si>
    <t xml:space="preserve">GOL-125</t>
  </si>
  <si>
    <t xml:space="preserve">GOL-126</t>
  </si>
  <si>
    <t xml:space="preserve">GOL-127</t>
  </si>
  <si>
    <t xml:space="preserve">GOL-128</t>
  </si>
  <si>
    <t xml:space="preserve">GOL-129</t>
  </si>
  <si>
    <t xml:space="preserve">GOL-130</t>
  </si>
  <si>
    <t xml:space="preserve">GOL-131</t>
  </si>
  <si>
    <t xml:space="preserve">GOL-132</t>
  </si>
  <si>
    <t xml:space="preserve">GOL-133</t>
  </si>
  <si>
    <t xml:space="preserve">GOL-134</t>
  </si>
  <si>
    <t xml:space="preserve">GOL-135</t>
  </si>
  <si>
    <t xml:space="preserve">GOL-136</t>
  </si>
  <si>
    <t xml:space="preserve">GOL-137</t>
  </si>
  <si>
    <t xml:space="preserve">GOL-138</t>
  </si>
  <si>
    <t xml:space="preserve">GOL-139</t>
  </si>
  <si>
    <t xml:space="preserve">GOL-140</t>
  </si>
  <si>
    <t xml:space="preserve">GOL-141</t>
  </si>
  <si>
    <t xml:space="preserve">GOL-142</t>
  </si>
  <si>
    <t xml:space="preserve">GOL-143</t>
  </si>
  <si>
    <t xml:space="preserve">GOL-144</t>
  </si>
  <si>
    <t xml:space="preserve">GOL-145</t>
  </si>
  <si>
    <t xml:space="preserve">GOL-146</t>
  </si>
  <si>
    <t xml:space="preserve">GOL-147</t>
  </si>
  <si>
    <t xml:space="preserve">GOL-148</t>
  </si>
  <si>
    <t xml:space="preserve">GOL-149</t>
  </si>
  <si>
    <t xml:space="preserve">GOL-150</t>
  </si>
  <si>
    <t xml:space="preserve">GOL-151</t>
  </si>
  <si>
    <t xml:space="preserve">GOL-152</t>
  </si>
  <si>
    <t xml:space="preserve">GOL-153</t>
  </si>
  <si>
    <t xml:space="preserve">GOL-154</t>
  </si>
  <si>
    <t xml:space="preserve">GOL-155</t>
  </si>
  <si>
    <t xml:space="preserve">GOL-156</t>
  </si>
  <si>
    <t xml:space="preserve">GOL-157</t>
  </si>
  <si>
    <t xml:space="preserve">GOL-158</t>
  </si>
  <si>
    <t xml:space="preserve">GOL-159</t>
  </si>
  <si>
    <t xml:space="preserve">GOL-160</t>
  </si>
  <si>
    <t xml:space="preserve">GOL-161</t>
  </si>
  <si>
    <t xml:space="preserve">GOL-162</t>
  </si>
  <si>
    <t xml:space="preserve">GOL-163</t>
  </si>
  <si>
    <t xml:space="preserve">GOL-164</t>
  </si>
  <si>
    <t xml:space="preserve">GOL-165</t>
  </si>
  <si>
    <t xml:space="preserve">GOL-166</t>
  </si>
  <si>
    <t xml:space="preserve">GOL-167</t>
  </si>
  <si>
    <t xml:space="preserve">GOL-168</t>
  </si>
  <si>
    <t xml:space="preserve">GOL-169</t>
  </si>
  <si>
    <t xml:space="preserve">GOL-170</t>
  </si>
  <si>
    <t xml:space="preserve">GOL-171</t>
  </si>
  <si>
    <t xml:space="preserve">GOL-172</t>
  </si>
  <si>
    <t xml:space="preserve">GOL-173</t>
  </si>
  <si>
    <t xml:space="preserve">GOL-174</t>
  </si>
  <si>
    <t xml:space="preserve">GOL-175</t>
  </si>
  <si>
    <t xml:space="preserve">GOL-176</t>
  </si>
  <si>
    <t xml:space="preserve">GOL-177</t>
  </si>
  <si>
    <t xml:space="preserve">GOL-178</t>
  </si>
  <si>
    <t xml:space="preserve">GOL-179</t>
  </si>
  <si>
    <t xml:space="preserve">GOL-180</t>
  </si>
  <si>
    <t xml:space="preserve">GOL-181</t>
  </si>
  <si>
    <t xml:space="preserve">GOL-182</t>
  </si>
  <si>
    <t xml:space="preserve">GOL-183</t>
  </si>
  <si>
    <t xml:space="preserve">GOL-184</t>
  </si>
  <si>
    <t xml:space="preserve">GOL-185</t>
  </si>
  <si>
    <t xml:space="preserve">GOL-186</t>
  </si>
  <si>
    <t xml:space="preserve">GOL-187</t>
  </si>
  <si>
    <t xml:space="preserve">GOL-188</t>
  </si>
  <si>
    <t xml:space="preserve">GOL-189</t>
  </si>
  <si>
    <t xml:space="preserve">GOL-190</t>
  </si>
  <si>
    <t xml:space="preserve">GOL-191</t>
  </si>
  <si>
    <t xml:space="preserve">GOL-192</t>
  </si>
  <si>
    <t xml:space="preserve">GOL-193</t>
  </si>
  <si>
    <t xml:space="preserve">GOL-194</t>
  </si>
  <si>
    <t xml:space="preserve">GOL-195</t>
  </si>
  <si>
    <t xml:space="preserve">GOL-196</t>
  </si>
  <si>
    <t xml:space="preserve">GOL-197</t>
  </si>
  <si>
    <t xml:space="preserve">GOL-198</t>
  </si>
  <si>
    <t xml:space="preserve">GOL-199</t>
  </si>
  <si>
    <t xml:space="preserve">GOL-200</t>
  </si>
  <si>
    <t xml:space="preserve">GOL-201</t>
  </si>
  <si>
    <t xml:space="preserve">GOL-202</t>
  </si>
  <si>
    <t xml:space="preserve">GOL-203</t>
  </si>
  <si>
    <t xml:space="preserve">GOL-204</t>
  </si>
  <si>
    <t xml:space="preserve">GOL-205</t>
  </si>
  <si>
    <t xml:space="preserve">GOL-206</t>
  </si>
  <si>
    <t xml:space="preserve">GOL-207</t>
  </si>
  <si>
    <t xml:space="preserve">GOL-208</t>
  </si>
  <si>
    <t xml:space="preserve">GOL-209</t>
  </si>
  <si>
    <t xml:space="preserve">GOL-210</t>
  </si>
  <si>
    <t xml:space="preserve">GOL-211</t>
  </si>
  <si>
    <t xml:space="preserve">GOL-212</t>
  </si>
  <si>
    <t xml:space="preserve">GOL-213</t>
  </si>
  <si>
    <t xml:space="preserve">GOL-214</t>
  </si>
  <si>
    <t xml:space="preserve">GOL-215</t>
  </si>
  <si>
    <t xml:space="preserve">GOL-216</t>
  </si>
  <si>
    <t xml:space="preserve">GOL-217</t>
  </si>
  <si>
    <t xml:space="preserve">GOL-218</t>
  </si>
  <si>
    <t xml:space="preserve">GOL-219</t>
  </si>
  <si>
    <t xml:space="preserve">GOL-220</t>
  </si>
  <si>
    <t xml:space="preserve">GOL-221</t>
  </si>
  <si>
    <t xml:space="preserve">GOL-222</t>
  </si>
  <si>
    <t xml:space="preserve">GOL-223</t>
  </si>
  <si>
    <t xml:space="preserve">GOL-224</t>
  </si>
  <si>
    <t xml:space="preserve">GOL-225</t>
  </si>
  <si>
    <t xml:space="preserve">GOL-226</t>
  </si>
  <si>
    <t xml:space="preserve">GOL-227</t>
  </si>
  <si>
    <t xml:space="preserve">GOL-228</t>
  </si>
  <si>
    <t xml:space="preserve">GOL-229</t>
  </si>
  <si>
    <t xml:space="preserve">GOL-230</t>
  </si>
  <si>
    <t xml:space="preserve">GOL-231</t>
  </si>
  <si>
    <t xml:space="preserve">GOL-232</t>
  </si>
  <si>
    <t xml:space="preserve">GOL-233</t>
  </si>
  <si>
    <t xml:space="preserve">GOL-234</t>
  </si>
  <si>
    <t xml:space="preserve">GOL-235</t>
  </si>
  <si>
    <t xml:space="preserve">GOL-236</t>
  </si>
  <si>
    <t xml:space="preserve">GOL-237</t>
  </si>
  <si>
    <t xml:space="preserve">GOL-238</t>
  </si>
  <si>
    <t xml:space="preserve">GOL-239</t>
  </si>
  <si>
    <t xml:space="preserve">GOL-240</t>
  </si>
  <si>
    <t xml:space="preserve">GOL-241</t>
  </si>
  <si>
    <t xml:space="preserve">GOL-242</t>
  </si>
  <si>
    <t xml:space="preserve">GOL-243</t>
  </si>
  <si>
    <t xml:space="preserve">GOL-244</t>
  </si>
  <si>
    <t xml:space="preserve">GOL-245</t>
  </si>
  <si>
    <t xml:space="preserve">GOL-246</t>
  </si>
  <si>
    <t xml:space="preserve">GOL-247</t>
  </si>
  <si>
    <t xml:space="preserve">GOL-248</t>
  </si>
  <si>
    <t xml:space="preserve">GOL-249</t>
  </si>
  <si>
    <t xml:space="preserve">GOL-250</t>
  </si>
  <si>
    <t xml:space="preserve">GOL-251</t>
  </si>
  <si>
    <t xml:space="preserve">GOL-252</t>
  </si>
  <si>
    <t xml:space="preserve">GOL-253</t>
  </si>
  <si>
    <t xml:space="preserve">GOL-254</t>
  </si>
  <si>
    <t xml:space="preserve">GOL-255</t>
  </si>
  <si>
    <t xml:space="preserve">GOL-256</t>
  </si>
  <si>
    <t xml:space="preserve">GOL-257</t>
  </si>
  <si>
    <t xml:space="preserve">GOL-258</t>
  </si>
  <si>
    <t xml:space="preserve">GOL-259</t>
  </si>
  <si>
    <t xml:space="preserve">GOL-260</t>
  </si>
  <si>
    <t xml:space="preserve">GOL-261</t>
  </si>
  <si>
    <t xml:space="preserve">GOL-262</t>
  </si>
  <si>
    <t xml:space="preserve">GOL-263</t>
  </si>
  <si>
    <t xml:space="preserve">GOL-264</t>
  </si>
  <si>
    <t xml:space="preserve">GOL-265</t>
  </si>
  <si>
    <t xml:space="preserve">GOL-266</t>
  </si>
  <si>
    <t xml:space="preserve">GOL-267</t>
  </si>
  <si>
    <t xml:space="preserve">GOL-268</t>
  </si>
  <si>
    <t xml:space="preserve">GOL-269</t>
  </si>
  <si>
    <t xml:space="preserve">GOL-270</t>
  </si>
  <si>
    <t xml:space="preserve">GOL-271</t>
  </si>
  <si>
    <t xml:space="preserve">GOL-272</t>
  </si>
  <si>
    <t xml:space="preserve">GOL-273</t>
  </si>
  <si>
    <t xml:space="preserve">GOL-274</t>
  </si>
  <si>
    <t xml:space="preserve">GOL-275</t>
  </si>
  <si>
    <t xml:space="preserve">GOL-276</t>
  </si>
  <si>
    <t xml:space="preserve">GOL-277</t>
  </si>
  <si>
    <t xml:space="preserve">GOL-278</t>
  </si>
  <si>
    <t xml:space="preserve">GOL-279</t>
  </si>
  <si>
    <t xml:space="preserve">GOL-280</t>
  </si>
  <si>
    <t xml:space="preserve">GOL-281</t>
  </si>
  <si>
    <t xml:space="preserve">GOL-282</t>
  </si>
  <si>
    <t xml:space="preserve">GOL-283</t>
  </si>
  <si>
    <t xml:space="preserve">GOL-284</t>
  </si>
  <si>
    <t xml:space="preserve">GOL-285</t>
  </si>
  <si>
    <t xml:space="preserve">GOL-286</t>
  </si>
  <si>
    <t xml:space="preserve">GOL-287</t>
  </si>
  <si>
    <t xml:space="preserve">GOL-288</t>
  </si>
  <si>
    <t xml:space="preserve">GOL-289</t>
  </si>
  <si>
    <t xml:space="preserve">GOL-290</t>
  </si>
  <si>
    <t xml:space="preserve">GOL-291</t>
  </si>
  <si>
    <t xml:space="preserve">GOL-292</t>
  </si>
  <si>
    <t xml:space="preserve">GOL-293</t>
  </si>
  <si>
    <t xml:space="preserve">GOL-294</t>
  </si>
  <si>
    <t xml:space="preserve">GOL-295</t>
  </si>
  <si>
    <t xml:space="preserve">GOL-296</t>
  </si>
  <si>
    <t xml:space="preserve">GOL-297</t>
  </si>
  <si>
    <t xml:space="preserve">GOL-298</t>
  </si>
  <si>
    <t xml:space="preserve">GOL-299</t>
  </si>
  <si>
    <t xml:space="preserve">GOL-300</t>
  </si>
  <si>
    <t xml:space="preserve">Meetings Log</t>
  </si>
  <si>
    <t xml:space="preserve">Every meeting held under the EASM mission: participants, decisions, 2LoD challenge and follow-ups.</t>
  </si>
  <si>
    <t xml:space="preserve">Meeting ID</t>
  </si>
  <si>
    <t xml:space="preserve">Date</t>
  </si>
  <si>
    <t xml:space="preserve">Start Time</t>
  </si>
  <si>
    <t xml:space="preserve">Duration (min)</t>
  </si>
  <si>
    <t xml:space="preserve">Meeting Type</t>
  </si>
  <si>
    <t xml:space="preserve">Title / Subject</t>
  </si>
  <si>
    <t xml:space="preserve">Organiser</t>
  </si>
  <si>
    <t xml:space="preserve">Attendees (name – function)</t>
  </si>
  <si>
    <t xml:space="preserve">LoD Represented</t>
  </si>
  <si>
    <t xml:space="preserve">Agenda / Purpose</t>
  </si>
  <si>
    <t xml:space="preserve">Key Discussion Points</t>
  </si>
  <si>
    <t xml:space="preserve">Decisions Taken</t>
  </si>
  <si>
    <t xml:space="preserve">2LoD Challenge Raised</t>
  </si>
  <si>
    <t xml:space="preserve">1LoD Position / Response</t>
  </si>
  <si>
    <t xml:space="preserve">Actions Generated (Task IDs)</t>
  </si>
  <si>
    <t xml:space="preserve">Follow-up Required?</t>
  </si>
  <si>
    <t xml:space="preserve">Follow-up Date</t>
  </si>
  <si>
    <t xml:space="preserve">Follow-up Completed?</t>
  </si>
  <si>
    <t xml:space="preserve">Follow-up Flag</t>
  </si>
  <si>
    <t xml:space="preserve">Minutes / Recording Link</t>
  </si>
  <si>
    <t xml:space="preserve">Classification</t>
  </si>
  <si>
    <t xml:space="preserve">Notes</t>
  </si>
  <si>
    <t xml:space="preserve">MTG-001</t>
  </si>
  <si>
    <t xml:space="preserve">Asset Discovery</t>
  </si>
  <si>
    <t xml:space="preserve">EASM baseline – scope validation with Group Infrastructure</t>
  </si>
  <si>
    <t xml:space="preserve">Head of Network Security; CISO Office; Group Architecture</t>
  </si>
  <si>
    <t xml:space="preserve">Multiple</t>
  </si>
  <si>
    <t xml:space="preserve">Validate in-scope legal entities, IP ranges and root domains for EASM baseline</t>
  </si>
  <si>
    <t xml:space="preserve">EASM platform shows ~18% of discovered hosts not mapped in CMDB; 3 recently acquired entities not onboarded</t>
  </si>
  <si>
    <t xml:space="preserve">Scope extended to domains of 3 acquired entities</t>
  </si>
  <si>
    <t xml:space="preserve">1LoD claim of 95% inventory completeness not evidenced; reconciliation requested</t>
  </si>
  <si>
    <t xml:space="preserve">1LoD to provide CMDB extract of internet-facing assets</t>
  </si>
  <si>
    <t xml:space="preserve">TSK-001</t>
  </si>
  <si>
    <t xml:space="preserve">Yes</t>
  </si>
  <si>
    <t xml:space="preserve">No</t>
  </si>
  <si>
    <t xml:space="preserve">SharePoint/EASM/Minutes/MTG-001</t>
  </si>
  <si>
    <t xml:space="preserve">Confidential</t>
  </si>
  <si>
    <t xml:space="preserve">MTG-002</t>
  </si>
  <si>
    <t xml:space="preserve">MTG-003</t>
  </si>
  <si>
    <t xml:space="preserve">MTG-004</t>
  </si>
  <si>
    <t xml:space="preserve">MTG-005</t>
  </si>
  <si>
    <t xml:space="preserve">MTG-006</t>
  </si>
  <si>
    <t xml:space="preserve">MTG-007</t>
  </si>
  <si>
    <t xml:space="preserve">MTG-008</t>
  </si>
  <si>
    <t xml:space="preserve">MTG-009</t>
  </si>
  <si>
    <t xml:space="preserve">MTG-010</t>
  </si>
  <si>
    <t xml:space="preserve">MTG-011</t>
  </si>
  <si>
    <t xml:space="preserve">MTG-012</t>
  </si>
  <si>
    <t xml:space="preserve">MTG-013</t>
  </si>
  <si>
    <t xml:space="preserve">MTG-014</t>
  </si>
  <si>
    <t xml:space="preserve">MTG-015</t>
  </si>
  <si>
    <t xml:space="preserve">MTG-016</t>
  </si>
  <si>
    <t xml:space="preserve">MTG-017</t>
  </si>
  <si>
    <t xml:space="preserve">MTG-018</t>
  </si>
  <si>
    <t xml:space="preserve">MTG-019</t>
  </si>
  <si>
    <t xml:space="preserve">MTG-020</t>
  </si>
  <si>
    <t xml:space="preserve">MTG-021</t>
  </si>
  <si>
    <t xml:space="preserve">MTG-022</t>
  </si>
  <si>
    <t xml:space="preserve">MTG-023</t>
  </si>
  <si>
    <t xml:space="preserve">MTG-024</t>
  </si>
  <si>
    <t xml:space="preserve">MTG-025</t>
  </si>
  <si>
    <t xml:space="preserve">MTG-026</t>
  </si>
  <si>
    <t xml:space="preserve">MTG-027</t>
  </si>
  <si>
    <t xml:space="preserve">MTG-028</t>
  </si>
  <si>
    <t xml:space="preserve">MTG-029</t>
  </si>
  <si>
    <t xml:space="preserve">MTG-030</t>
  </si>
  <si>
    <t xml:space="preserve">MTG-031</t>
  </si>
  <si>
    <t xml:space="preserve">MTG-032</t>
  </si>
  <si>
    <t xml:space="preserve">MTG-033</t>
  </si>
  <si>
    <t xml:space="preserve">MTG-034</t>
  </si>
  <si>
    <t xml:space="preserve">MTG-035</t>
  </si>
  <si>
    <t xml:space="preserve">MTG-036</t>
  </si>
  <si>
    <t xml:space="preserve">MTG-037</t>
  </si>
  <si>
    <t xml:space="preserve">MTG-038</t>
  </si>
  <si>
    <t xml:space="preserve">MTG-039</t>
  </si>
  <si>
    <t xml:space="preserve">MTG-040</t>
  </si>
  <si>
    <t xml:space="preserve">MTG-041</t>
  </si>
  <si>
    <t xml:space="preserve">MTG-042</t>
  </si>
  <si>
    <t xml:space="preserve">MTG-043</t>
  </si>
  <si>
    <t xml:space="preserve">MTG-044</t>
  </si>
  <si>
    <t xml:space="preserve">MTG-045</t>
  </si>
  <si>
    <t xml:space="preserve">MTG-046</t>
  </si>
  <si>
    <t xml:space="preserve">MTG-047</t>
  </si>
  <si>
    <t xml:space="preserve">MTG-048</t>
  </si>
  <si>
    <t xml:space="preserve">MTG-049</t>
  </si>
  <si>
    <t xml:space="preserve">MTG-050</t>
  </si>
  <si>
    <t xml:space="preserve">MTG-051</t>
  </si>
  <si>
    <t xml:space="preserve">MTG-052</t>
  </si>
  <si>
    <t xml:space="preserve">MTG-053</t>
  </si>
  <si>
    <t xml:space="preserve">MTG-054</t>
  </si>
  <si>
    <t xml:space="preserve">MTG-055</t>
  </si>
  <si>
    <t xml:space="preserve">MTG-056</t>
  </si>
  <si>
    <t xml:space="preserve">MTG-057</t>
  </si>
  <si>
    <t xml:space="preserve">MTG-058</t>
  </si>
  <si>
    <t xml:space="preserve">MTG-059</t>
  </si>
  <si>
    <t xml:space="preserve">MTG-060</t>
  </si>
  <si>
    <t xml:space="preserve">MTG-061</t>
  </si>
  <si>
    <t xml:space="preserve">MTG-062</t>
  </si>
  <si>
    <t xml:space="preserve">MTG-063</t>
  </si>
  <si>
    <t xml:space="preserve">MTG-064</t>
  </si>
  <si>
    <t xml:space="preserve">MTG-065</t>
  </si>
  <si>
    <t xml:space="preserve">MTG-066</t>
  </si>
  <si>
    <t xml:space="preserve">MTG-067</t>
  </si>
  <si>
    <t xml:space="preserve">MTG-068</t>
  </si>
  <si>
    <t xml:space="preserve">MTG-069</t>
  </si>
  <si>
    <t xml:space="preserve">MTG-070</t>
  </si>
  <si>
    <t xml:space="preserve">MTG-071</t>
  </si>
  <si>
    <t xml:space="preserve">MTG-072</t>
  </si>
  <si>
    <t xml:space="preserve">MTG-073</t>
  </si>
  <si>
    <t xml:space="preserve">MTG-074</t>
  </si>
  <si>
    <t xml:space="preserve">MTG-075</t>
  </si>
  <si>
    <t xml:space="preserve">MTG-076</t>
  </si>
  <si>
    <t xml:space="preserve">MTG-077</t>
  </si>
  <si>
    <t xml:space="preserve">MTG-078</t>
  </si>
  <si>
    <t xml:space="preserve">MTG-079</t>
  </si>
  <si>
    <t xml:space="preserve">MTG-080</t>
  </si>
  <si>
    <t xml:space="preserve">MTG-081</t>
  </si>
  <si>
    <t xml:space="preserve">MTG-082</t>
  </si>
  <si>
    <t xml:space="preserve">MTG-083</t>
  </si>
  <si>
    <t xml:space="preserve">MTG-084</t>
  </si>
  <si>
    <t xml:space="preserve">MTG-085</t>
  </si>
  <si>
    <t xml:space="preserve">MTG-086</t>
  </si>
  <si>
    <t xml:space="preserve">MTG-087</t>
  </si>
  <si>
    <t xml:space="preserve">MTG-088</t>
  </si>
  <si>
    <t xml:space="preserve">MTG-089</t>
  </si>
  <si>
    <t xml:space="preserve">MTG-090</t>
  </si>
  <si>
    <t xml:space="preserve">MTG-091</t>
  </si>
  <si>
    <t xml:space="preserve">MTG-092</t>
  </si>
  <si>
    <t xml:space="preserve">MTG-093</t>
  </si>
  <si>
    <t xml:space="preserve">MTG-094</t>
  </si>
  <si>
    <t xml:space="preserve">MTG-095</t>
  </si>
  <si>
    <t xml:space="preserve">MTG-096</t>
  </si>
  <si>
    <t xml:space="preserve">MTG-097</t>
  </si>
  <si>
    <t xml:space="preserve">MTG-098</t>
  </si>
  <si>
    <t xml:space="preserve">MTG-099</t>
  </si>
  <si>
    <t xml:space="preserve">MTG-100</t>
  </si>
  <si>
    <t xml:space="preserve">MTG-101</t>
  </si>
  <si>
    <t xml:space="preserve">MTG-102</t>
  </si>
  <si>
    <t xml:space="preserve">MTG-103</t>
  </si>
  <si>
    <t xml:space="preserve">MTG-104</t>
  </si>
  <si>
    <t xml:space="preserve">MTG-105</t>
  </si>
  <si>
    <t xml:space="preserve">MTG-106</t>
  </si>
  <si>
    <t xml:space="preserve">MTG-107</t>
  </si>
  <si>
    <t xml:space="preserve">MTG-108</t>
  </si>
  <si>
    <t xml:space="preserve">MTG-109</t>
  </si>
  <si>
    <t xml:space="preserve">MTG-110</t>
  </si>
  <si>
    <t xml:space="preserve">MTG-111</t>
  </si>
  <si>
    <t xml:space="preserve">MTG-112</t>
  </si>
  <si>
    <t xml:space="preserve">MTG-113</t>
  </si>
  <si>
    <t xml:space="preserve">MTG-114</t>
  </si>
  <si>
    <t xml:space="preserve">MTG-115</t>
  </si>
  <si>
    <t xml:space="preserve">MTG-116</t>
  </si>
  <si>
    <t xml:space="preserve">MTG-117</t>
  </si>
  <si>
    <t xml:space="preserve">MTG-118</t>
  </si>
  <si>
    <t xml:space="preserve">MTG-119</t>
  </si>
  <si>
    <t xml:space="preserve">MTG-120</t>
  </si>
  <si>
    <t xml:space="preserve">MTG-121</t>
  </si>
  <si>
    <t xml:space="preserve">MTG-122</t>
  </si>
  <si>
    <t xml:space="preserve">MTG-123</t>
  </si>
  <si>
    <t xml:space="preserve">MTG-124</t>
  </si>
  <si>
    <t xml:space="preserve">MTG-125</t>
  </si>
  <si>
    <t xml:space="preserve">MTG-126</t>
  </si>
  <si>
    <t xml:space="preserve">MTG-127</t>
  </si>
  <si>
    <t xml:space="preserve">MTG-128</t>
  </si>
  <si>
    <t xml:space="preserve">MTG-129</t>
  </si>
  <si>
    <t xml:space="preserve">MTG-130</t>
  </si>
  <si>
    <t xml:space="preserve">MTG-131</t>
  </si>
  <si>
    <t xml:space="preserve">MTG-132</t>
  </si>
  <si>
    <t xml:space="preserve">MTG-133</t>
  </si>
  <si>
    <t xml:space="preserve">MTG-134</t>
  </si>
  <si>
    <t xml:space="preserve">MTG-135</t>
  </si>
  <si>
    <t xml:space="preserve">MTG-136</t>
  </si>
  <si>
    <t xml:space="preserve">MTG-137</t>
  </si>
  <si>
    <t xml:space="preserve">MTG-138</t>
  </si>
  <si>
    <t xml:space="preserve">MTG-139</t>
  </si>
  <si>
    <t xml:space="preserve">MTG-140</t>
  </si>
  <si>
    <t xml:space="preserve">MTG-141</t>
  </si>
  <si>
    <t xml:space="preserve">MTG-142</t>
  </si>
  <si>
    <t xml:space="preserve">MTG-143</t>
  </si>
  <si>
    <t xml:space="preserve">MTG-144</t>
  </si>
  <si>
    <t xml:space="preserve">MTG-145</t>
  </si>
  <si>
    <t xml:space="preserve">MTG-146</t>
  </si>
  <si>
    <t xml:space="preserve">MTG-147</t>
  </si>
  <si>
    <t xml:space="preserve">MTG-148</t>
  </si>
  <si>
    <t xml:space="preserve">MTG-149</t>
  </si>
  <si>
    <t xml:space="preserve">MTG-150</t>
  </si>
  <si>
    <t xml:space="preserve">MTG-151</t>
  </si>
  <si>
    <t xml:space="preserve">MTG-152</t>
  </si>
  <si>
    <t xml:space="preserve">MTG-153</t>
  </si>
  <si>
    <t xml:space="preserve">MTG-154</t>
  </si>
  <si>
    <t xml:space="preserve">MTG-155</t>
  </si>
  <si>
    <t xml:space="preserve">MTG-156</t>
  </si>
  <si>
    <t xml:space="preserve">MTG-157</t>
  </si>
  <si>
    <t xml:space="preserve">MTG-158</t>
  </si>
  <si>
    <t xml:space="preserve">MTG-159</t>
  </si>
  <si>
    <t xml:space="preserve">MTG-160</t>
  </si>
  <si>
    <t xml:space="preserve">MTG-161</t>
  </si>
  <si>
    <t xml:space="preserve">MTG-162</t>
  </si>
  <si>
    <t xml:space="preserve">MTG-163</t>
  </si>
  <si>
    <t xml:space="preserve">MTG-164</t>
  </si>
  <si>
    <t xml:space="preserve">MTG-165</t>
  </si>
  <si>
    <t xml:space="preserve">MTG-166</t>
  </si>
  <si>
    <t xml:space="preserve">MTG-167</t>
  </si>
  <si>
    <t xml:space="preserve">MTG-168</t>
  </si>
  <si>
    <t xml:space="preserve">MTG-169</t>
  </si>
  <si>
    <t xml:space="preserve">MTG-170</t>
  </si>
  <si>
    <t xml:space="preserve">MTG-171</t>
  </si>
  <si>
    <t xml:space="preserve">MTG-172</t>
  </si>
  <si>
    <t xml:space="preserve">MTG-173</t>
  </si>
  <si>
    <t xml:space="preserve">MTG-174</t>
  </si>
  <si>
    <t xml:space="preserve">MTG-175</t>
  </si>
  <si>
    <t xml:space="preserve">MTG-176</t>
  </si>
  <si>
    <t xml:space="preserve">MTG-177</t>
  </si>
  <si>
    <t xml:space="preserve">MTG-178</t>
  </si>
  <si>
    <t xml:space="preserve">MTG-179</t>
  </si>
  <si>
    <t xml:space="preserve">MTG-180</t>
  </si>
  <si>
    <t xml:space="preserve">MTG-181</t>
  </si>
  <si>
    <t xml:space="preserve">MTG-182</t>
  </si>
  <si>
    <t xml:space="preserve">MTG-183</t>
  </si>
  <si>
    <t xml:space="preserve">MTG-184</t>
  </si>
  <si>
    <t xml:space="preserve">MTG-185</t>
  </si>
  <si>
    <t xml:space="preserve">MTG-186</t>
  </si>
  <si>
    <t xml:space="preserve">MTG-187</t>
  </si>
  <si>
    <t xml:space="preserve">MTG-188</t>
  </si>
  <si>
    <t xml:space="preserve">MTG-189</t>
  </si>
  <si>
    <t xml:space="preserve">MTG-190</t>
  </si>
  <si>
    <t xml:space="preserve">MTG-191</t>
  </si>
  <si>
    <t xml:space="preserve">MTG-192</t>
  </si>
  <si>
    <t xml:space="preserve">MTG-193</t>
  </si>
  <si>
    <t xml:space="preserve">MTG-194</t>
  </si>
  <si>
    <t xml:space="preserve">MTG-195</t>
  </si>
  <si>
    <t xml:space="preserve">MTG-196</t>
  </si>
  <si>
    <t xml:space="preserve">MTG-197</t>
  </si>
  <si>
    <t xml:space="preserve">MTG-198</t>
  </si>
  <si>
    <t xml:space="preserve">MTG-199</t>
  </si>
  <si>
    <t xml:space="preserve">MTG-200</t>
  </si>
  <si>
    <t xml:space="preserve">MTG-201</t>
  </si>
  <si>
    <t xml:space="preserve">MTG-202</t>
  </si>
  <si>
    <t xml:space="preserve">MTG-203</t>
  </si>
  <si>
    <t xml:space="preserve">MTG-204</t>
  </si>
  <si>
    <t xml:space="preserve">MTG-205</t>
  </si>
  <si>
    <t xml:space="preserve">MTG-206</t>
  </si>
  <si>
    <t xml:space="preserve">MTG-207</t>
  </si>
  <si>
    <t xml:space="preserve">MTG-208</t>
  </si>
  <si>
    <t xml:space="preserve">MTG-209</t>
  </si>
  <si>
    <t xml:space="preserve">MTG-210</t>
  </si>
  <si>
    <t xml:space="preserve">MTG-211</t>
  </si>
  <si>
    <t xml:space="preserve">MTG-212</t>
  </si>
  <si>
    <t xml:space="preserve">MTG-213</t>
  </si>
  <si>
    <t xml:space="preserve">MTG-214</t>
  </si>
  <si>
    <t xml:space="preserve">MTG-215</t>
  </si>
  <si>
    <t xml:space="preserve">MTG-216</t>
  </si>
  <si>
    <t xml:space="preserve">MTG-217</t>
  </si>
  <si>
    <t xml:space="preserve">MTG-218</t>
  </si>
  <si>
    <t xml:space="preserve">MTG-219</t>
  </si>
  <si>
    <t xml:space="preserve">MTG-220</t>
  </si>
  <si>
    <t xml:space="preserve">MTG-221</t>
  </si>
  <si>
    <t xml:space="preserve">MTG-222</t>
  </si>
  <si>
    <t xml:space="preserve">MTG-223</t>
  </si>
  <si>
    <t xml:space="preserve">MTG-224</t>
  </si>
  <si>
    <t xml:space="preserve">MTG-225</t>
  </si>
  <si>
    <t xml:space="preserve">MTG-226</t>
  </si>
  <si>
    <t xml:space="preserve">MTG-227</t>
  </si>
  <si>
    <t xml:space="preserve">MTG-228</t>
  </si>
  <si>
    <t xml:space="preserve">MTG-229</t>
  </si>
  <si>
    <t xml:space="preserve">MTG-230</t>
  </si>
  <si>
    <t xml:space="preserve">MTG-231</t>
  </si>
  <si>
    <t xml:space="preserve">MTG-232</t>
  </si>
  <si>
    <t xml:space="preserve">MTG-233</t>
  </si>
  <si>
    <t xml:space="preserve">MTG-234</t>
  </si>
  <si>
    <t xml:space="preserve">MTG-235</t>
  </si>
  <si>
    <t xml:space="preserve">MTG-236</t>
  </si>
  <si>
    <t xml:space="preserve">MTG-237</t>
  </si>
  <si>
    <t xml:space="preserve">MTG-238</t>
  </si>
  <si>
    <t xml:space="preserve">MTG-239</t>
  </si>
  <si>
    <t xml:space="preserve">MTG-240</t>
  </si>
  <si>
    <t xml:space="preserve">MTG-241</t>
  </si>
  <si>
    <t xml:space="preserve">MTG-242</t>
  </si>
  <si>
    <t xml:space="preserve">MTG-243</t>
  </si>
  <si>
    <t xml:space="preserve">MTG-244</t>
  </si>
  <si>
    <t xml:space="preserve">MTG-245</t>
  </si>
  <si>
    <t xml:space="preserve">MTG-246</t>
  </si>
  <si>
    <t xml:space="preserve">MTG-247</t>
  </si>
  <si>
    <t xml:space="preserve">MTG-248</t>
  </si>
  <si>
    <t xml:space="preserve">MTG-249</t>
  </si>
  <si>
    <t xml:space="preserve">MTG-250</t>
  </si>
  <si>
    <t xml:space="preserve">MTG-251</t>
  </si>
  <si>
    <t xml:space="preserve">MTG-252</t>
  </si>
  <si>
    <t xml:space="preserve">MTG-253</t>
  </si>
  <si>
    <t xml:space="preserve">MTG-254</t>
  </si>
  <si>
    <t xml:space="preserve">MTG-255</t>
  </si>
  <si>
    <t xml:space="preserve">MTG-256</t>
  </si>
  <si>
    <t xml:space="preserve">MTG-257</t>
  </si>
  <si>
    <t xml:space="preserve">MTG-258</t>
  </si>
  <si>
    <t xml:space="preserve">MTG-259</t>
  </si>
  <si>
    <t xml:space="preserve">MTG-260</t>
  </si>
  <si>
    <t xml:space="preserve">MTG-261</t>
  </si>
  <si>
    <t xml:space="preserve">MTG-262</t>
  </si>
  <si>
    <t xml:space="preserve">MTG-263</t>
  </si>
  <si>
    <t xml:space="preserve">MTG-264</t>
  </si>
  <si>
    <t xml:space="preserve">MTG-265</t>
  </si>
  <si>
    <t xml:space="preserve">MTG-266</t>
  </si>
  <si>
    <t xml:space="preserve">MTG-267</t>
  </si>
  <si>
    <t xml:space="preserve">MTG-268</t>
  </si>
  <si>
    <t xml:space="preserve">MTG-269</t>
  </si>
  <si>
    <t xml:space="preserve">MTG-270</t>
  </si>
  <si>
    <t xml:space="preserve">MTG-271</t>
  </si>
  <si>
    <t xml:space="preserve">MTG-272</t>
  </si>
  <si>
    <t xml:space="preserve">MTG-273</t>
  </si>
  <si>
    <t xml:space="preserve">MTG-274</t>
  </si>
  <si>
    <t xml:space="preserve">MTG-275</t>
  </si>
  <si>
    <t xml:space="preserve">MTG-276</t>
  </si>
  <si>
    <t xml:space="preserve">MTG-277</t>
  </si>
  <si>
    <t xml:space="preserve">MTG-278</t>
  </si>
  <si>
    <t xml:space="preserve">MTG-279</t>
  </si>
  <si>
    <t xml:space="preserve">MTG-280</t>
  </si>
  <si>
    <t xml:space="preserve">MTG-281</t>
  </si>
  <si>
    <t xml:space="preserve">MTG-282</t>
  </si>
  <si>
    <t xml:space="preserve">MTG-283</t>
  </si>
  <si>
    <t xml:space="preserve">MTG-284</t>
  </si>
  <si>
    <t xml:space="preserve">MTG-285</t>
  </si>
  <si>
    <t xml:space="preserve">MTG-286</t>
  </si>
  <si>
    <t xml:space="preserve">MTG-287</t>
  </si>
  <si>
    <t xml:space="preserve">MTG-288</t>
  </si>
  <si>
    <t xml:space="preserve">MTG-289</t>
  </si>
  <si>
    <t xml:space="preserve">MTG-290</t>
  </si>
  <si>
    <t xml:space="preserve">MTG-291</t>
  </si>
  <si>
    <t xml:space="preserve">MTG-292</t>
  </si>
  <si>
    <t xml:space="preserve">MTG-293</t>
  </si>
  <si>
    <t xml:space="preserve">MTG-294</t>
  </si>
  <si>
    <t xml:space="preserve">MTG-295</t>
  </si>
  <si>
    <t xml:space="preserve">MTG-296</t>
  </si>
  <si>
    <t xml:space="preserve">MTG-297</t>
  </si>
  <si>
    <t xml:space="preserve">MTG-298</t>
  </si>
  <si>
    <t xml:space="preserve">MTG-299</t>
  </si>
  <si>
    <t xml:space="preserve">MTG-300</t>
  </si>
  <si>
    <t xml:space="preserve">Email &amp; Communications Log</t>
  </si>
  <si>
    <t xml:space="preserve">Material emails sent/received: requests, evidence, escalations and response SLAs.</t>
  </si>
  <si>
    <t xml:space="preserve">Email ID</t>
  </si>
  <si>
    <t xml:space="preserve">Date Sent / Received</t>
  </si>
  <si>
    <t xml:space="preserve">Direction</t>
  </si>
  <si>
    <t xml:space="preserve">From</t>
  </si>
  <si>
    <t xml:space="preserve">To / Cc</t>
  </si>
  <si>
    <t xml:space="preserve">Counterparty LoD</t>
  </si>
  <si>
    <t xml:space="preserve">Subject</t>
  </si>
  <si>
    <t xml:space="preserve">Category</t>
  </si>
  <si>
    <t xml:space="preserve">Summary</t>
  </si>
  <si>
    <t xml:space="preserve">Request / Ask</t>
  </si>
  <si>
    <t xml:space="preserve">Attachments / Evidence</t>
  </si>
  <si>
    <t xml:space="preserve">Response Required?</t>
  </si>
  <si>
    <t xml:space="preserve">Response Due</t>
  </si>
  <si>
    <t xml:space="preserve">Response Status</t>
  </si>
  <si>
    <t xml:space="preserve">Date Responded</t>
  </si>
  <si>
    <t xml:space="preserve">Days to Respond</t>
  </si>
  <si>
    <t xml:space="preserve">Response Flag</t>
  </si>
  <si>
    <t xml:space="preserve">Linked IDs (MTG/TSK/FND)</t>
  </si>
  <si>
    <t xml:space="preserve">Mail Reference / Link</t>
  </si>
  <si>
    <t xml:space="preserve">EML-001</t>
  </si>
  <si>
    <t xml:space="preserve">Outbound</t>
  </si>
  <si>
    <t xml:space="preserve">Head of Network Security; cc CISO Office</t>
  </si>
  <si>
    <t xml:space="preserve">1LoD</t>
  </si>
  <si>
    <t xml:space="preserve">RFI – CMDB extract of internet-facing assets</t>
  </si>
  <si>
    <t xml:space="preserve">Request for Information</t>
  </si>
  <si>
    <t xml:space="preserve">Formal request following MTG-001 for the CMDB extract to reconcile against EASM discovery output</t>
  </si>
  <si>
    <t xml:space="preserve">Full extract incl. owner, legal entity, hosting and last patch date</t>
  </si>
  <si>
    <t xml:space="preserve">None</t>
  </si>
  <si>
    <t xml:space="preserve">Awaiting Response</t>
  </si>
  <si>
    <t xml:space="preserve">MTG-001; TSK-001</t>
  </si>
  <si>
    <t xml:space="preserve">Outlook – EASM folder</t>
  </si>
  <si>
    <t xml:space="preserve">EML-002</t>
  </si>
  <si>
    <t xml:space="preserve">EML-003</t>
  </si>
  <si>
    <t xml:space="preserve">EML-004</t>
  </si>
  <si>
    <t xml:space="preserve">EML-005</t>
  </si>
  <si>
    <t xml:space="preserve">EML-006</t>
  </si>
  <si>
    <t xml:space="preserve">EML-007</t>
  </si>
  <si>
    <t xml:space="preserve">EML-008</t>
  </si>
  <si>
    <t xml:space="preserve">EML-009</t>
  </si>
  <si>
    <t xml:space="preserve">EML-010</t>
  </si>
  <si>
    <t xml:space="preserve">EML-011</t>
  </si>
  <si>
    <t xml:space="preserve">EML-012</t>
  </si>
  <si>
    <t xml:space="preserve">EML-013</t>
  </si>
  <si>
    <t xml:space="preserve">EML-014</t>
  </si>
  <si>
    <t xml:space="preserve">EML-015</t>
  </si>
  <si>
    <t xml:space="preserve">EML-016</t>
  </si>
  <si>
    <t xml:space="preserve">EML-017</t>
  </si>
  <si>
    <t xml:space="preserve">EML-018</t>
  </si>
  <si>
    <t xml:space="preserve">EML-019</t>
  </si>
  <si>
    <t xml:space="preserve">EML-020</t>
  </si>
  <si>
    <t xml:space="preserve">EML-021</t>
  </si>
  <si>
    <t xml:space="preserve">EML-022</t>
  </si>
  <si>
    <t xml:space="preserve">EML-023</t>
  </si>
  <si>
    <t xml:space="preserve">EML-024</t>
  </si>
  <si>
    <t xml:space="preserve">EML-025</t>
  </si>
  <si>
    <t xml:space="preserve">EML-026</t>
  </si>
  <si>
    <t xml:space="preserve">EML-027</t>
  </si>
  <si>
    <t xml:space="preserve">EML-028</t>
  </si>
  <si>
    <t xml:space="preserve">EML-029</t>
  </si>
  <si>
    <t xml:space="preserve">EML-030</t>
  </si>
  <si>
    <t xml:space="preserve">EML-031</t>
  </si>
  <si>
    <t xml:space="preserve">EML-032</t>
  </si>
  <si>
    <t xml:space="preserve">EML-033</t>
  </si>
  <si>
    <t xml:space="preserve">EML-034</t>
  </si>
  <si>
    <t xml:space="preserve">EML-035</t>
  </si>
  <si>
    <t xml:space="preserve">EML-036</t>
  </si>
  <si>
    <t xml:space="preserve">EML-037</t>
  </si>
  <si>
    <t xml:space="preserve">EML-038</t>
  </si>
  <si>
    <t xml:space="preserve">EML-039</t>
  </si>
  <si>
    <t xml:space="preserve">EML-040</t>
  </si>
  <si>
    <t xml:space="preserve">EML-041</t>
  </si>
  <si>
    <t xml:space="preserve">EML-042</t>
  </si>
  <si>
    <t xml:space="preserve">EML-043</t>
  </si>
  <si>
    <t xml:space="preserve">EML-044</t>
  </si>
  <si>
    <t xml:space="preserve">EML-045</t>
  </si>
  <si>
    <t xml:space="preserve">EML-046</t>
  </si>
  <si>
    <t xml:space="preserve">EML-047</t>
  </si>
  <si>
    <t xml:space="preserve">EML-048</t>
  </si>
  <si>
    <t xml:space="preserve">EML-049</t>
  </si>
  <si>
    <t xml:space="preserve">EML-050</t>
  </si>
  <si>
    <t xml:space="preserve">EML-051</t>
  </si>
  <si>
    <t xml:space="preserve">EML-052</t>
  </si>
  <si>
    <t xml:space="preserve">EML-053</t>
  </si>
  <si>
    <t xml:space="preserve">EML-054</t>
  </si>
  <si>
    <t xml:space="preserve">EML-055</t>
  </si>
  <si>
    <t xml:space="preserve">EML-056</t>
  </si>
  <si>
    <t xml:space="preserve">EML-057</t>
  </si>
  <si>
    <t xml:space="preserve">EML-058</t>
  </si>
  <si>
    <t xml:space="preserve">EML-059</t>
  </si>
  <si>
    <t xml:space="preserve">EML-060</t>
  </si>
  <si>
    <t xml:space="preserve">EML-061</t>
  </si>
  <si>
    <t xml:space="preserve">EML-062</t>
  </si>
  <si>
    <t xml:space="preserve">EML-063</t>
  </si>
  <si>
    <t xml:space="preserve">EML-064</t>
  </si>
  <si>
    <t xml:space="preserve">EML-065</t>
  </si>
  <si>
    <t xml:space="preserve">EML-066</t>
  </si>
  <si>
    <t xml:space="preserve">EML-067</t>
  </si>
  <si>
    <t xml:space="preserve">EML-068</t>
  </si>
  <si>
    <t xml:space="preserve">EML-069</t>
  </si>
  <si>
    <t xml:space="preserve">EML-070</t>
  </si>
  <si>
    <t xml:space="preserve">EML-071</t>
  </si>
  <si>
    <t xml:space="preserve">EML-072</t>
  </si>
  <si>
    <t xml:space="preserve">EML-073</t>
  </si>
  <si>
    <t xml:space="preserve">EML-074</t>
  </si>
  <si>
    <t xml:space="preserve">EML-075</t>
  </si>
  <si>
    <t xml:space="preserve">EML-076</t>
  </si>
  <si>
    <t xml:space="preserve">EML-077</t>
  </si>
  <si>
    <t xml:space="preserve">EML-078</t>
  </si>
  <si>
    <t xml:space="preserve">EML-079</t>
  </si>
  <si>
    <t xml:space="preserve">EML-080</t>
  </si>
  <si>
    <t xml:space="preserve">EML-081</t>
  </si>
  <si>
    <t xml:space="preserve">EML-082</t>
  </si>
  <si>
    <t xml:space="preserve">EML-083</t>
  </si>
  <si>
    <t xml:space="preserve">EML-084</t>
  </si>
  <si>
    <t xml:space="preserve">EML-085</t>
  </si>
  <si>
    <t xml:space="preserve">EML-086</t>
  </si>
  <si>
    <t xml:space="preserve">EML-087</t>
  </si>
  <si>
    <t xml:space="preserve">EML-088</t>
  </si>
  <si>
    <t xml:space="preserve">EML-089</t>
  </si>
  <si>
    <t xml:space="preserve">EML-090</t>
  </si>
  <si>
    <t xml:space="preserve">EML-091</t>
  </si>
  <si>
    <t xml:space="preserve">EML-092</t>
  </si>
  <si>
    <t xml:space="preserve">EML-093</t>
  </si>
  <si>
    <t xml:space="preserve">EML-094</t>
  </si>
  <si>
    <t xml:space="preserve">EML-095</t>
  </si>
  <si>
    <t xml:space="preserve">EML-096</t>
  </si>
  <si>
    <t xml:space="preserve">EML-097</t>
  </si>
  <si>
    <t xml:space="preserve">EML-098</t>
  </si>
  <si>
    <t xml:space="preserve">EML-099</t>
  </si>
  <si>
    <t xml:space="preserve">EML-100</t>
  </si>
  <si>
    <t xml:space="preserve">EML-101</t>
  </si>
  <si>
    <t xml:space="preserve">EML-102</t>
  </si>
  <si>
    <t xml:space="preserve">EML-103</t>
  </si>
  <si>
    <t xml:space="preserve">EML-104</t>
  </si>
  <si>
    <t xml:space="preserve">EML-105</t>
  </si>
  <si>
    <t xml:space="preserve">EML-106</t>
  </si>
  <si>
    <t xml:space="preserve">EML-107</t>
  </si>
  <si>
    <t xml:space="preserve">EML-108</t>
  </si>
  <si>
    <t xml:space="preserve">EML-109</t>
  </si>
  <si>
    <t xml:space="preserve">EML-110</t>
  </si>
  <si>
    <t xml:space="preserve">EML-111</t>
  </si>
  <si>
    <t xml:space="preserve">EML-112</t>
  </si>
  <si>
    <t xml:space="preserve">EML-113</t>
  </si>
  <si>
    <t xml:space="preserve">EML-114</t>
  </si>
  <si>
    <t xml:space="preserve">EML-115</t>
  </si>
  <si>
    <t xml:space="preserve">EML-116</t>
  </si>
  <si>
    <t xml:space="preserve">EML-117</t>
  </si>
  <si>
    <t xml:space="preserve">EML-118</t>
  </si>
  <si>
    <t xml:space="preserve">EML-119</t>
  </si>
  <si>
    <t xml:space="preserve">EML-120</t>
  </si>
  <si>
    <t xml:space="preserve">EML-121</t>
  </si>
  <si>
    <t xml:space="preserve">EML-122</t>
  </si>
  <si>
    <t xml:space="preserve">EML-123</t>
  </si>
  <si>
    <t xml:space="preserve">EML-124</t>
  </si>
  <si>
    <t xml:space="preserve">EML-125</t>
  </si>
  <si>
    <t xml:space="preserve">EML-126</t>
  </si>
  <si>
    <t xml:space="preserve">EML-127</t>
  </si>
  <si>
    <t xml:space="preserve">EML-128</t>
  </si>
  <si>
    <t xml:space="preserve">EML-129</t>
  </si>
  <si>
    <t xml:space="preserve">EML-130</t>
  </si>
  <si>
    <t xml:space="preserve">EML-131</t>
  </si>
  <si>
    <t xml:space="preserve">EML-132</t>
  </si>
  <si>
    <t xml:space="preserve">EML-133</t>
  </si>
  <si>
    <t xml:space="preserve">EML-134</t>
  </si>
  <si>
    <t xml:space="preserve">EML-135</t>
  </si>
  <si>
    <t xml:space="preserve">EML-136</t>
  </si>
  <si>
    <t xml:space="preserve">EML-137</t>
  </si>
  <si>
    <t xml:space="preserve">EML-138</t>
  </si>
  <si>
    <t xml:space="preserve">EML-139</t>
  </si>
  <si>
    <t xml:space="preserve">EML-140</t>
  </si>
  <si>
    <t xml:space="preserve">EML-141</t>
  </si>
  <si>
    <t xml:space="preserve">EML-142</t>
  </si>
  <si>
    <t xml:space="preserve">EML-143</t>
  </si>
  <si>
    <t xml:space="preserve">EML-144</t>
  </si>
  <si>
    <t xml:space="preserve">EML-145</t>
  </si>
  <si>
    <t xml:space="preserve">EML-146</t>
  </si>
  <si>
    <t xml:space="preserve">EML-147</t>
  </si>
  <si>
    <t xml:space="preserve">EML-148</t>
  </si>
  <si>
    <t xml:space="preserve">EML-149</t>
  </si>
  <si>
    <t xml:space="preserve">EML-150</t>
  </si>
  <si>
    <t xml:space="preserve">EML-151</t>
  </si>
  <si>
    <t xml:space="preserve">EML-152</t>
  </si>
  <si>
    <t xml:space="preserve">EML-153</t>
  </si>
  <si>
    <t xml:space="preserve">EML-154</t>
  </si>
  <si>
    <t xml:space="preserve">EML-155</t>
  </si>
  <si>
    <t xml:space="preserve">EML-156</t>
  </si>
  <si>
    <t xml:space="preserve">EML-157</t>
  </si>
  <si>
    <t xml:space="preserve">EML-158</t>
  </si>
  <si>
    <t xml:space="preserve">EML-159</t>
  </si>
  <si>
    <t xml:space="preserve">EML-160</t>
  </si>
  <si>
    <t xml:space="preserve">EML-161</t>
  </si>
  <si>
    <t xml:space="preserve">EML-162</t>
  </si>
  <si>
    <t xml:space="preserve">EML-163</t>
  </si>
  <si>
    <t xml:space="preserve">EML-164</t>
  </si>
  <si>
    <t xml:space="preserve">EML-165</t>
  </si>
  <si>
    <t xml:space="preserve">EML-166</t>
  </si>
  <si>
    <t xml:space="preserve">EML-167</t>
  </si>
  <si>
    <t xml:space="preserve">EML-168</t>
  </si>
  <si>
    <t xml:space="preserve">EML-169</t>
  </si>
  <si>
    <t xml:space="preserve">EML-170</t>
  </si>
  <si>
    <t xml:space="preserve">EML-171</t>
  </si>
  <si>
    <t xml:space="preserve">EML-172</t>
  </si>
  <si>
    <t xml:space="preserve">EML-173</t>
  </si>
  <si>
    <t xml:space="preserve">EML-174</t>
  </si>
  <si>
    <t xml:space="preserve">EML-175</t>
  </si>
  <si>
    <t xml:space="preserve">EML-176</t>
  </si>
  <si>
    <t xml:space="preserve">EML-177</t>
  </si>
  <si>
    <t xml:space="preserve">EML-178</t>
  </si>
  <si>
    <t xml:space="preserve">EML-179</t>
  </si>
  <si>
    <t xml:space="preserve">EML-180</t>
  </si>
  <si>
    <t xml:space="preserve">EML-181</t>
  </si>
  <si>
    <t xml:space="preserve">EML-182</t>
  </si>
  <si>
    <t xml:space="preserve">EML-183</t>
  </si>
  <si>
    <t xml:space="preserve">EML-184</t>
  </si>
  <si>
    <t xml:space="preserve">EML-185</t>
  </si>
  <si>
    <t xml:space="preserve">EML-186</t>
  </si>
  <si>
    <t xml:space="preserve">EML-187</t>
  </si>
  <si>
    <t xml:space="preserve">EML-188</t>
  </si>
  <si>
    <t xml:space="preserve">EML-189</t>
  </si>
  <si>
    <t xml:space="preserve">EML-190</t>
  </si>
  <si>
    <t xml:space="preserve">EML-191</t>
  </si>
  <si>
    <t xml:space="preserve">EML-192</t>
  </si>
  <si>
    <t xml:space="preserve">EML-193</t>
  </si>
  <si>
    <t xml:space="preserve">EML-194</t>
  </si>
  <si>
    <t xml:space="preserve">EML-195</t>
  </si>
  <si>
    <t xml:space="preserve">EML-196</t>
  </si>
  <si>
    <t xml:space="preserve">EML-197</t>
  </si>
  <si>
    <t xml:space="preserve">EML-198</t>
  </si>
  <si>
    <t xml:space="preserve">EML-199</t>
  </si>
  <si>
    <t xml:space="preserve">EML-200</t>
  </si>
  <si>
    <t xml:space="preserve">EML-201</t>
  </si>
  <si>
    <t xml:space="preserve">EML-202</t>
  </si>
  <si>
    <t xml:space="preserve">EML-203</t>
  </si>
  <si>
    <t xml:space="preserve">EML-204</t>
  </si>
  <si>
    <t xml:space="preserve">EML-205</t>
  </si>
  <si>
    <t xml:space="preserve">EML-206</t>
  </si>
  <si>
    <t xml:space="preserve">EML-207</t>
  </si>
  <si>
    <t xml:space="preserve">EML-208</t>
  </si>
  <si>
    <t xml:space="preserve">EML-209</t>
  </si>
  <si>
    <t xml:space="preserve">EML-210</t>
  </si>
  <si>
    <t xml:space="preserve">EML-211</t>
  </si>
  <si>
    <t xml:space="preserve">EML-212</t>
  </si>
  <si>
    <t xml:space="preserve">EML-213</t>
  </si>
  <si>
    <t xml:space="preserve">EML-214</t>
  </si>
  <si>
    <t xml:space="preserve">EML-215</t>
  </si>
  <si>
    <t xml:space="preserve">EML-216</t>
  </si>
  <si>
    <t xml:space="preserve">EML-217</t>
  </si>
  <si>
    <t xml:space="preserve">EML-218</t>
  </si>
  <si>
    <t xml:space="preserve">EML-219</t>
  </si>
  <si>
    <t xml:space="preserve">EML-220</t>
  </si>
  <si>
    <t xml:space="preserve">EML-221</t>
  </si>
  <si>
    <t xml:space="preserve">EML-222</t>
  </si>
  <si>
    <t xml:space="preserve">EML-223</t>
  </si>
  <si>
    <t xml:space="preserve">EML-224</t>
  </si>
  <si>
    <t xml:space="preserve">EML-225</t>
  </si>
  <si>
    <t xml:space="preserve">EML-226</t>
  </si>
  <si>
    <t xml:space="preserve">EML-227</t>
  </si>
  <si>
    <t xml:space="preserve">EML-228</t>
  </si>
  <si>
    <t xml:space="preserve">EML-229</t>
  </si>
  <si>
    <t xml:space="preserve">EML-230</t>
  </si>
  <si>
    <t xml:space="preserve">EML-231</t>
  </si>
  <si>
    <t xml:space="preserve">EML-232</t>
  </si>
  <si>
    <t xml:space="preserve">EML-233</t>
  </si>
  <si>
    <t xml:space="preserve">EML-234</t>
  </si>
  <si>
    <t xml:space="preserve">EML-235</t>
  </si>
  <si>
    <t xml:space="preserve">EML-236</t>
  </si>
  <si>
    <t xml:space="preserve">EML-237</t>
  </si>
  <si>
    <t xml:space="preserve">EML-238</t>
  </si>
  <si>
    <t xml:space="preserve">EML-239</t>
  </si>
  <si>
    <t xml:space="preserve">EML-240</t>
  </si>
  <si>
    <t xml:space="preserve">EML-241</t>
  </si>
  <si>
    <t xml:space="preserve">EML-242</t>
  </si>
  <si>
    <t xml:space="preserve">EML-243</t>
  </si>
  <si>
    <t xml:space="preserve">EML-244</t>
  </si>
  <si>
    <t xml:space="preserve">EML-245</t>
  </si>
  <si>
    <t xml:space="preserve">EML-246</t>
  </si>
  <si>
    <t xml:space="preserve">EML-247</t>
  </si>
  <si>
    <t xml:space="preserve">EML-248</t>
  </si>
  <si>
    <t xml:space="preserve">EML-249</t>
  </si>
  <si>
    <t xml:space="preserve">EML-250</t>
  </si>
  <si>
    <t xml:space="preserve">EML-251</t>
  </si>
  <si>
    <t xml:space="preserve">EML-252</t>
  </si>
  <si>
    <t xml:space="preserve">EML-253</t>
  </si>
  <si>
    <t xml:space="preserve">EML-254</t>
  </si>
  <si>
    <t xml:space="preserve">EML-255</t>
  </si>
  <si>
    <t xml:space="preserve">EML-256</t>
  </si>
  <si>
    <t xml:space="preserve">EML-257</t>
  </si>
  <si>
    <t xml:space="preserve">EML-258</t>
  </si>
  <si>
    <t xml:space="preserve">EML-259</t>
  </si>
  <si>
    <t xml:space="preserve">EML-260</t>
  </si>
  <si>
    <t xml:space="preserve">EML-261</t>
  </si>
  <si>
    <t xml:space="preserve">EML-262</t>
  </si>
  <si>
    <t xml:space="preserve">EML-263</t>
  </si>
  <si>
    <t xml:space="preserve">EML-264</t>
  </si>
  <si>
    <t xml:space="preserve">EML-265</t>
  </si>
  <si>
    <t xml:space="preserve">EML-266</t>
  </si>
  <si>
    <t xml:space="preserve">EML-267</t>
  </si>
  <si>
    <t xml:space="preserve">EML-268</t>
  </si>
  <si>
    <t xml:space="preserve">EML-269</t>
  </si>
  <si>
    <t xml:space="preserve">EML-270</t>
  </si>
  <si>
    <t xml:space="preserve">EML-271</t>
  </si>
  <si>
    <t xml:space="preserve">EML-272</t>
  </si>
  <si>
    <t xml:space="preserve">EML-273</t>
  </si>
  <si>
    <t xml:space="preserve">EML-274</t>
  </si>
  <si>
    <t xml:space="preserve">EML-275</t>
  </si>
  <si>
    <t xml:space="preserve">EML-276</t>
  </si>
  <si>
    <t xml:space="preserve">EML-277</t>
  </si>
  <si>
    <t xml:space="preserve">EML-278</t>
  </si>
  <si>
    <t xml:space="preserve">EML-279</t>
  </si>
  <si>
    <t xml:space="preserve">EML-280</t>
  </si>
  <si>
    <t xml:space="preserve">EML-281</t>
  </si>
  <si>
    <t xml:space="preserve">EML-282</t>
  </si>
  <si>
    <t xml:space="preserve">EML-283</t>
  </si>
  <si>
    <t xml:space="preserve">EML-284</t>
  </si>
  <si>
    <t xml:space="preserve">EML-285</t>
  </si>
  <si>
    <t xml:space="preserve">EML-286</t>
  </si>
  <si>
    <t xml:space="preserve">EML-287</t>
  </si>
  <si>
    <t xml:space="preserve">EML-288</t>
  </si>
  <si>
    <t xml:space="preserve">EML-289</t>
  </si>
  <si>
    <t xml:space="preserve">EML-290</t>
  </si>
  <si>
    <t xml:space="preserve">EML-291</t>
  </si>
  <si>
    <t xml:space="preserve">EML-292</t>
  </si>
  <si>
    <t xml:space="preserve">EML-293</t>
  </si>
  <si>
    <t xml:space="preserve">EML-294</t>
  </si>
  <si>
    <t xml:space="preserve">EML-295</t>
  </si>
  <si>
    <t xml:space="preserve">EML-296</t>
  </si>
  <si>
    <t xml:space="preserve">EML-297</t>
  </si>
  <si>
    <t xml:space="preserve">EML-298</t>
  </si>
  <si>
    <t xml:space="preserve">EML-299</t>
  </si>
  <si>
    <t xml:space="preserve">EML-300</t>
  </si>
  <si>
    <t xml:space="preserve">Task &amp; Action Tracker</t>
  </si>
  <si>
    <t xml:space="preserve">All actions arising from meetings, emails, findings and goals — ownership, due dates and closure evidence.</t>
  </si>
  <si>
    <t xml:space="preserve">Task ID</t>
  </si>
  <si>
    <t xml:space="preserve">Date Raised</t>
  </si>
  <si>
    <t xml:space="preserve">Source</t>
  </si>
  <si>
    <t xml:space="preserve">Source Ref ID</t>
  </si>
  <si>
    <t xml:space="preserve">Task Description</t>
  </si>
  <si>
    <t xml:space="preserve">Linked Goal ID</t>
  </si>
  <si>
    <t xml:space="preserve">Owner LoD</t>
  </si>
  <si>
    <t xml:space="preserve">Priority</t>
  </si>
  <si>
    <t xml:space="preserve">Start Date</t>
  </si>
  <si>
    <t xml:space="preserve">Due Date</t>
  </si>
  <si>
    <t xml:space="preserve">Completion Date</t>
  </si>
  <si>
    <t xml:space="preserve">% Complete</t>
  </si>
  <si>
    <t xml:space="preserve">Dependencies / Blockers</t>
  </si>
  <si>
    <t xml:space="preserve">Evidence of Closure</t>
  </si>
  <si>
    <t xml:space="preserve">Days Open</t>
  </si>
  <si>
    <t xml:space="preserve">Due Flag</t>
  </si>
  <si>
    <t xml:space="preserve">Meeting</t>
  </si>
  <si>
    <t xml:space="preserve">Reconcile EASM-discovered assets against CMDB extract; quantify unattributed / unknown assets by legal entity</t>
  </si>
  <si>
    <t xml:space="preserve">2LoD</t>
  </si>
  <si>
    <t xml:space="preserve">CMDB extract pending (EML-001)</t>
  </si>
  <si>
    <t xml:space="preserve">TSK-002</t>
  </si>
  <si>
    <t xml:space="preserve">TSK-003</t>
  </si>
  <si>
    <t xml:space="preserve">TSK-004</t>
  </si>
  <si>
    <t xml:space="preserve">TSK-005</t>
  </si>
  <si>
    <t xml:space="preserve">TSK-006</t>
  </si>
  <si>
    <t xml:space="preserve">TSK-007</t>
  </si>
  <si>
    <t xml:space="preserve">TSK-008</t>
  </si>
  <si>
    <t xml:space="preserve">TSK-009</t>
  </si>
  <si>
    <t xml:space="preserve">TSK-010</t>
  </si>
  <si>
    <t xml:space="preserve">TSK-011</t>
  </si>
  <si>
    <t xml:space="preserve">TSK-012</t>
  </si>
  <si>
    <t xml:space="preserve">TSK-013</t>
  </si>
  <si>
    <t xml:space="preserve">TSK-014</t>
  </si>
  <si>
    <t xml:space="preserve">TSK-015</t>
  </si>
  <si>
    <t xml:space="preserve">TSK-016</t>
  </si>
  <si>
    <t xml:space="preserve">TSK-017</t>
  </si>
  <si>
    <t xml:space="preserve">TSK-018</t>
  </si>
  <si>
    <t xml:space="preserve">TSK-019</t>
  </si>
  <si>
    <t xml:space="preserve">TSK-020</t>
  </si>
  <si>
    <t xml:space="preserve">TSK-021</t>
  </si>
  <si>
    <t xml:space="preserve">TSK-022</t>
  </si>
  <si>
    <t xml:space="preserve">TSK-023</t>
  </si>
  <si>
    <t xml:space="preserve">TSK-024</t>
  </si>
  <si>
    <t xml:space="preserve">TSK-025</t>
  </si>
  <si>
    <t xml:space="preserve">TSK-026</t>
  </si>
  <si>
    <t xml:space="preserve">TSK-027</t>
  </si>
  <si>
    <t xml:space="preserve">TSK-028</t>
  </si>
  <si>
    <t xml:space="preserve">TSK-029</t>
  </si>
  <si>
    <t xml:space="preserve">TSK-030</t>
  </si>
  <si>
    <t xml:space="preserve">TSK-031</t>
  </si>
  <si>
    <t xml:space="preserve">TSK-032</t>
  </si>
  <si>
    <t xml:space="preserve">TSK-033</t>
  </si>
  <si>
    <t xml:space="preserve">TSK-034</t>
  </si>
  <si>
    <t xml:space="preserve">TSK-035</t>
  </si>
  <si>
    <t xml:space="preserve">TSK-036</t>
  </si>
  <si>
    <t xml:space="preserve">TSK-037</t>
  </si>
  <si>
    <t xml:space="preserve">TSK-038</t>
  </si>
  <si>
    <t xml:space="preserve">TSK-039</t>
  </si>
  <si>
    <t xml:space="preserve">TSK-040</t>
  </si>
  <si>
    <t xml:space="preserve">TSK-041</t>
  </si>
  <si>
    <t xml:space="preserve">TSK-042</t>
  </si>
  <si>
    <t xml:space="preserve">TSK-043</t>
  </si>
  <si>
    <t xml:space="preserve">TSK-044</t>
  </si>
  <si>
    <t xml:space="preserve">TSK-045</t>
  </si>
  <si>
    <t xml:space="preserve">TSK-046</t>
  </si>
  <si>
    <t xml:space="preserve">TSK-047</t>
  </si>
  <si>
    <t xml:space="preserve">TSK-048</t>
  </si>
  <si>
    <t xml:space="preserve">TSK-049</t>
  </si>
  <si>
    <t xml:space="preserve">TSK-050</t>
  </si>
  <si>
    <t xml:space="preserve">TSK-051</t>
  </si>
  <si>
    <t xml:space="preserve">TSK-052</t>
  </si>
  <si>
    <t xml:space="preserve">TSK-053</t>
  </si>
  <si>
    <t xml:space="preserve">TSK-054</t>
  </si>
  <si>
    <t xml:space="preserve">TSK-055</t>
  </si>
  <si>
    <t xml:space="preserve">TSK-056</t>
  </si>
  <si>
    <t xml:space="preserve">TSK-057</t>
  </si>
  <si>
    <t xml:space="preserve">TSK-058</t>
  </si>
  <si>
    <t xml:space="preserve">TSK-059</t>
  </si>
  <si>
    <t xml:space="preserve">TSK-060</t>
  </si>
  <si>
    <t xml:space="preserve">TSK-061</t>
  </si>
  <si>
    <t xml:space="preserve">TSK-062</t>
  </si>
  <si>
    <t xml:space="preserve">TSK-063</t>
  </si>
  <si>
    <t xml:space="preserve">TSK-064</t>
  </si>
  <si>
    <t xml:space="preserve">TSK-065</t>
  </si>
  <si>
    <t xml:space="preserve">TSK-066</t>
  </si>
  <si>
    <t xml:space="preserve">TSK-067</t>
  </si>
  <si>
    <t xml:space="preserve">TSK-068</t>
  </si>
  <si>
    <t xml:space="preserve">TSK-069</t>
  </si>
  <si>
    <t xml:space="preserve">TSK-070</t>
  </si>
  <si>
    <t xml:space="preserve">TSK-071</t>
  </si>
  <si>
    <t xml:space="preserve">TSK-072</t>
  </si>
  <si>
    <t xml:space="preserve">TSK-073</t>
  </si>
  <si>
    <t xml:space="preserve">TSK-074</t>
  </si>
  <si>
    <t xml:space="preserve">TSK-075</t>
  </si>
  <si>
    <t xml:space="preserve">TSK-076</t>
  </si>
  <si>
    <t xml:space="preserve">TSK-077</t>
  </si>
  <si>
    <t xml:space="preserve">TSK-078</t>
  </si>
  <si>
    <t xml:space="preserve">TSK-079</t>
  </si>
  <si>
    <t xml:space="preserve">TSK-080</t>
  </si>
  <si>
    <t xml:space="preserve">TSK-081</t>
  </si>
  <si>
    <t xml:space="preserve">TSK-082</t>
  </si>
  <si>
    <t xml:space="preserve">TSK-083</t>
  </si>
  <si>
    <t xml:space="preserve">TSK-084</t>
  </si>
  <si>
    <t xml:space="preserve">TSK-085</t>
  </si>
  <si>
    <t xml:space="preserve">TSK-086</t>
  </si>
  <si>
    <t xml:space="preserve">TSK-087</t>
  </si>
  <si>
    <t xml:space="preserve">TSK-088</t>
  </si>
  <si>
    <t xml:space="preserve">TSK-089</t>
  </si>
  <si>
    <t xml:space="preserve">TSK-090</t>
  </si>
  <si>
    <t xml:space="preserve">TSK-091</t>
  </si>
  <si>
    <t xml:space="preserve">TSK-092</t>
  </si>
  <si>
    <t xml:space="preserve">TSK-093</t>
  </si>
  <si>
    <t xml:space="preserve">TSK-094</t>
  </si>
  <si>
    <t xml:space="preserve">TSK-095</t>
  </si>
  <si>
    <t xml:space="preserve">TSK-096</t>
  </si>
  <si>
    <t xml:space="preserve">TSK-097</t>
  </si>
  <si>
    <t xml:space="preserve">TSK-098</t>
  </si>
  <si>
    <t xml:space="preserve">TSK-099</t>
  </si>
  <si>
    <t xml:space="preserve">TSK-100</t>
  </si>
  <si>
    <t xml:space="preserve">TSK-101</t>
  </si>
  <si>
    <t xml:space="preserve">TSK-102</t>
  </si>
  <si>
    <t xml:space="preserve">TSK-103</t>
  </si>
  <si>
    <t xml:space="preserve">TSK-104</t>
  </si>
  <si>
    <t xml:space="preserve">TSK-105</t>
  </si>
  <si>
    <t xml:space="preserve">TSK-106</t>
  </si>
  <si>
    <t xml:space="preserve">TSK-107</t>
  </si>
  <si>
    <t xml:space="preserve">TSK-108</t>
  </si>
  <si>
    <t xml:space="preserve">TSK-109</t>
  </si>
  <si>
    <t xml:space="preserve">TSK-110</t>
  </si>
  <si>
    <t xml:space="preserve">TSK-111</t>
  </si>
  <si>
    <t xml:space="preserve">TSK-112</t>
  </si>
  <si>
    <t xml:space="preserve">TSK-113</t>
  </si>
  <si>
    <t xml:space="preserve">TSK-114</t>
  </si>
  <si>
    <t xml:space="preserve">TSK-115</t>
  </si>
  <si>
    <t xml:space="preserve">TSK-116</t>
  </si>
  <si>
    <t xml:space="preserve">TSK-117</t>
  </si>
  <si>
    <t xml:space="preserve">TSK-118</t>
  </si>
  <si>
    <t xml:space="preserve">TSK-119</t>
  </si>
  <si>
    <t xml:space="preserve">TSK-120</t>
  </si>
  <si>
    <t xml:space="preserve">TSK-121</t>
  </si>
  <si>
    <t xml:space="preserve">TSK-122</t>
  </si>
  <si>
    <t xml:space="preserve">TSK-123</t>
  </si>
  <si>
    <t xml:space="preserve">TSK-124</t>
  </si>
  <si>
    <t xml:space="preserve">TSK-125</t>
  </si>
  <si>
    <t xml:space="preserve">TSK-126</t>
  </si>
  <si>
    <t xml:space="preserve">TSK-127</t>
  </si>
  <si>
    <t xml:space="preserve">TSK-128</t>
  </si>
  <si>
    <t xml:space="preserve">TSK-129</t>
  </si>
  <si>
    <t xml:space="preserve">TSK-130</t>
  </si>
  <si>
    <t xml:space="preserve">TSK-131</t>
  </si>
  <si>
    <t xml:space="preserve">TSK-132</t>
  </si>
  <si>
    <t xml:space="preserve">TSK-133</t>
  </si>
  <si>
    <t xml:space="preserve">TSK-134</t>
  </si>
  <si>
    <t xml:space="preserve">TSK-135</t>
  </si>
  <si>
    <t xml:space="preserve">TSK-136</t>
  </si>
  <si>
    <t xml:space="preserve">TSK-137</t>
  </si>
  <si>
    <t xml:space="preserve">TSK-138</t>
  </si>
  <si>
    <t xml:space="preserve">TSK-139</t>
  </si>
  <si>
    <t xml:space="preserve">TSK-140</t>
  </si>
  <si>
    <t xml:space="preserve">TSK-141</t>
  </si>
  <si>
    <t xml:space="preserve">TSK-142</t>
  </si>
  <si>
    <t xml:space="preserve">TSK-143</t>
  </si>
  <si>
    <t xml:space="preserve">TSK-144</t>
  </si>
  <si>
    <t xml:space="preserve">TSK-145</t>
  </si>
  <si>
    <t xml:space="preserve">TSK-146</t>
  </si>
  <si>
    <t xml:space="preserve">TSK-147</t>
  </si>
  <si>
    <t xml:space="preserve">TSK-148</t>
  </si>
  <si>
    <t xml:space="preserve">TSK-149</t>
  </si>
  <si>
    <t xml:space="preserve">TSK-150</t>
  </si>
  <si>
    <t xml:space="preserve">TSK-151</t>
  </si>
  <si>
    <t xml:space="preserve">TSK-152</t>
  </si>
  <si>
    <t xml:space="preserve">TSK-153</t>
  </si>
  <si>
    <t xml:space="preserve">TSK-154</t>
  </si>
  <si>
    <t xml:space="preserve">TSK-155</t>
  </si>
  <si>
    <t xml:space="preserve">TSK-156</t>
  </si>
  <si>
    <t xml:space="preserve">TSK-157</t>
  </si>
  <si>
    <t xml:space="preserve">TSK-158</t>
  </si>
  <si>
    <t xml:space="preserve">TSK-159</t>
  </si>
  <si>
    <t xml:space="preserve">TSK-160</t>
  </si>
  <si>
    <t xml:space="preserve">TSK-161</t>
  </si>
  <si>
    <t xml:space="preserve">TSK-162</t>
  </si>
  <si>
    <t xml:space="preserve">TSK-163</t>
  </si>
  <si>
    <t xml:space="preserve">TSK-164</t>
  </si>
  <si>
    <t xml:space="preserve">TSK-165</t>
  </si>
  <si>
    <t xml:space="preserve">TSK-166</t>
  </si>
  <si>
    <t xml:space="preserve">TSK-167</t>
  </si>
  <si>
    <t xml:space="preserve">TSK-168</t>
  </si>
  <si>
    <t xml:space="preserve">TSK-169</t>
  </si>
  <si>
    <t xml:space="preserve">TSK-170</t>
  </si>
  <si>
    <t xml:space="preserve">TSK-171</t>
  </si>
  <si>
    <t xml:space="preserve">TSK-172</t>
  </si>
  <si>
    <t xml:space="preserve">TSK-173</t>
  </si>
  <si>
    <t xml:space="preserve">TSK-174</t>
  </si>
  <si>
    <t xml:space="preserve">TSK-175</t>
  </si>
  <si>
    <t xml:space="preserve">TSK-176</t>
  </si>
  <si>
    <t xml:space="preserve">TSK-177</t>
  </si>
  <si>
    <t xml:space="preserve">TSK-178</t>
  </si>
  <si>
    <t xml:space="preserve">TSK-179</t>
  </si>
  <si>
    <t xml:space="preserve">TSK-180</t>
  </si>
  <si>
    <t xml:space="preserve">TSK-181</t>
  </si>
  <si>
    <t xml:space="preserve">TSK-182</t>
  </si>
  <si>
    <t xml:space="preserve">TSK-183</t>
  </si>
  <si>
    <t xml:space="preserve">TSK-184</t>
  </si>
  <si>
    <t xml:space="preserve">TSK-185</t>
  </si>
  <si>
    <t xml:space="preserve">TSK-186</t>
  </si>
  <si>
    <t xml:space="preserve">TSK-187</t>
  </si>
  <si>
    <t xml:space="preserve">TSK-188</t>
  </si>
  <si>
    <t xml:space="preserve">TSK-189</t>
  </si>
  <si>
    <t xml:space="preserve">TSK-190</t>
  </si>
  <si>
    <t xml:space="preserve">TSK-191</t>
  </si>
  <si>
    <t xml:space="preserve">TSK-192</t>
  </si>
  <si>
    <t xml:space="preserve">TSK-193</t>
  </si>
  <si>
    <t xml:space="preserve">TSK-194</t>
  </si>
  <si>
    <t xml:space="preserve">TSK-195</t>
  </si>
  <si>
    <t xml:space="preserve">TSK-196</t>
  </si>
  <si>
    <t xml:space="preserve">TSK-197</t>
  </si>
  <si>
    <t xml:space="preserve">TSK-198</t>
  </si>
  <si>
    <t xml:space="preserve">TSK-199</t>
  </si>
  <si>
    <t xml:space="preserve">TSK-200</t>
  </si>
  <si>
    <t xml:space="preserve">TSK-201</t>
  </si>
  <si>
    <t xml:space="preserve">TSK-202</t>
  </si>
  <si>
    <t xml:space="preserve">TSK-203</t>
  </si>
  <si>
    <t xml:space="preserve">TSK-204</t>
  </si>
  <si>
    <t xml:space="preserve">TSK-205</t>
  </si>
  <si>
    <t xml:space="preserve">TSK-206</t>
  </si>
  <si>
    <t xml:space="preserve">TSK-207</t>
  </si>
  <si>
    <t xml:space="preserve">TSK-208</t>
  </si>
  <si>
    <t xml:space="preserve">TSK-209</t>
  </si>
  <si>
    <t xml:space="preserve">TSK-210</t>
  </si>
  <si>
    <t xml:space="preserve">TSK-211</t>
  </si>
  <si>
    <t xml:space="preserve">TSK-212</t>
  </si>
  <si>
    <t xml:space="preserve">TSK-213</t>
  </si>
  <si>
    <t xml:space="preserve">TSK-214</t>
  </si>
  <si>
    <t xml:space="preserve">TSK-215</t>
  </si>
  <si>
    <t xml:space="preserve">TSK-216</t>
  </si>
  <si>
    <t xml:space="preserve">TSK-217</t>
  </si>
  <si>
    <t xml:space="preserve">TSK-218</t>
  </si>
  <si>
    <t xml:space="preserve">TSK-219</t>
  </si>
  <si>
    <t xml:space="preserve">TSK-220</t>
  </si>
  <si>
    <t xml:space="preserve">TSK-221</t>
  </si>
  <si>
    <t xml:space="preserve">TSK-222</t>
  </si>
  <si>
    <t xml:space="preserve">TSK-223</t>
  </si>
  <si>
    <t xml:space="preserve">TSK-224</t>
  </si>
  <si>
    <t xml:space="preserve">TSK-225</t>
  </si>
  <si>
    <t xml:space="preserve">TSK-226</t>
  </si>
  <si>
    <t xml:space="preserve">TSK-227</t>
  </si>
  <si>
    <t xml:space="preserve">TSK-228</t>
  </si>
  <si>
    <t xml:space="preserve">TSK-229</t>
  </si>
  <si>
    <t xml:space="preserve">TSK-230</t>
  </si>
  <si>
    <t xml:space="preserve">TSK-231</t>
  </si>
  <si>
    <t xml:space="preserve">TSK-232</t>
  </si>
  <si>
    <t xml:space="preserve">TSK-233</t>
  </si>
  <si>
    <t xml:space="preserve">TSK-234</t>
  </si>
  <si>
    <t xml:space="preserve">TSK-235</t>
  </si>
  <si>
    <t xml:space="preserve">TSK-236</t>
  </si>
  <si>
    <t xml:space="preserve">TSK-237</t>
  </si>
  <si>
    <t xml:space="preserve">TSK-238</t>
  </si>
  <si>
    <t xml:space="preserve">TSK-239</t>
  </si>
  <si>
    <t xml:space="preserve">TSK-240</t>
  </si>
  <si>
    <t xml:space="preserve">TSK-241</t>
  </si>
  <si>
    <t xml:space="preserve">TSK-242</t>
  </si>
  <si>
    <t xml:space="preserve">TSK-243</t>
  </si>
  <si>
    <t xml:space="preserve">TSK-244</t>
  </si>
  <si>
    <t xml:space="preserve">TSK-245</t>
  </si>
  <si>
    <t xml:space="preserve">TSK-246</t>
  </si>
  <si>
    <t xml:space="preserve">TSK-247</t>
  </si>
  <si>
    <t xml:space="preserve">TSK-248</t>
  </si>
  <si>
    <t xml:space="preserve">TSK-249</t>
  </si>
  <si>
    <t xml:space="preserve">TSK-250</t>
  </si>
  <si>
    <t xml:space="preserve">TSK-251</t>
  </si>
  <si>
    <t xml:space="preserve">TSK-252</t>
  </si>
  <si>
    <t xml:space="preserve">TSK-253</t>
  </si>
  <si>
    <t xml:space="preserve">TSK-254</t>
  </si>
  <si>
    <t xml:space="preserve">TSK-255</t>
  </si>
  <si>
    <t xml:space="preserve">TSK-256</t>
  </si>
  <si>
    <t xml:space="preserve">TSK-257</t>
  </si>
  <si>
    <t xml:space="preserve">TSK-258</t>
  </si>
  <si>
    <t xml:space="preserve">TSK-259</t>
  </si>
  <si>
    <t xml:space="preserve">TSK-260</t>
  </si>
  <si>
    <t xml:space="preserve">TSK-261</t>
  </si>
  <si>
    <t xml:space="preserve">TSK-262</t>
  </si>
  <si>
    <t xml:space="preserve">TSK-263</t>
  </si>
  <si>
    <t xml:space="preserve">TSK-264</t>
  </si>
  <si>
    <t xml:space="preserve">TSK-265</t>
  </si>
  <si>
    <t xml:space="preserve">TSK-266</t>
  </si>
  <si>
    <t xml:space="preserve">TSK-267</t>
  </si>
  <si>
    <t xml:space="preserve">TSK-268</t>
  </si>
  <si>
    <t xml:space="preserve">TSK-269</t>
  </si>
  <si>
    <t xml:space="preserve">TSK-270</t>
  </si>
  <si>
    <t xml:space="preserve">TSK-271</t>
  </si>
  <si>
    <t xml:space="preserve">TSK-272</t>
  </si>
  <si>
    <t xml:space="preserve">TSK-273</t>
  </si>
  <si>
    <t xml:space="preserve">TSK-274</t>
  </si>
  <si>
    <t xml:space="preserve">TSK-275</t>
  </si>
  <si>
    <t xml:space="preserve">TSK-276</t>
  </si>
  <si>
    <t xml:space="preserve">TSK-277</t>
  </si>
  <si>
    <t xml:space="preserve">TSK-278</t>
  </si>
  <si>
    <t xml:space="preserve">TSK-279</t>
  </si>
  <si>
    <t xml:space="preserve">TSK-280</t>
  </si>
  <si>
    <t xml:space="preserve">TSK-281</t>
  </si>
  <si>
    <t xml:space="preserve">TSK-282</t>
  </si>
  <si>
    <t xml:space="preserve">TSK-283</t>
  </si>
  <si>
    <t xml:space="preserve">TSK-284</t>
  </si>
  <si>
    <t xml:space="preserve">TSK-285</t>
  </si>
  <si>
    <t xml:space="preserve">TSK-286</t>
  </si>
  <si>
    <t xml:space="preserve">TSK-287</t>
  </si>
  <si>
    <t xml:space="preserve">TSK-288</t>
  </si>
  <si>
    <t xml:space="preserve">TSK-289</t>
  </si>
  <si>
    <t xml:space="preserve">TSK-290</t>
  </si>
  <si>
    <t xml:space="preserve">TSK-291</t>
  </si>
  <si>
    <t xml:space="preserve">TSK-292</t>
  </si>
  <si>
    <t xml:space="preserve">TSK-293</t>
  </si>
  <si>
    <t xml:space="preserve">TSK-294</t>
  </si>
  <si>
    <t xml:space="preserve">TSK-295</t>
  </si>
  <si>
    <t xml:space="preserve">TSK-296</t>
  </si>
  <si>
    <t xml:space="preserve">TSK-297</t>
  </si>
  <si>
    <t xml:space="preserve">TSK-298</t>
  </si>
  <si>
    <t xml:space="preserve">TSK-299</t>
  </si>
  <si>
    <t xml:space="preserve">TSK-300</t>
  </si>
  <si>
    <t xml:space="preserve">Developments &amp; Decisions Log</t>
  </si>
  <si>
    <t xml:space="preserve">Milestones, decisions, scope changes, escalations and risk acceptances — separating facts, inferences and uncertainties.</t>
  </si>
  <si>
    <t xml:space="preserve">Development ID</t>
  </si>
  <si>
    <t xml:space="preserve">Development Type</t>
  </si>
  <si>
    <t xml:space="preserve">Title</t>
  </si>
  <si>
    <t xml:space="preserve">Description (Facts)</t>
  </si>
  <si>
    <t xml:space="preserve">Inference / Assessment</t>
  </si>
  <si>
    <t xml:space="preserve">Key Uncertainties</t>
  </si>
  <si>
    <t xml:space="preserve">Source / Trigger</t>
  </si>
  <si>
    <t xml:space="preserve">Impact Level</t>
  </si>
  <si>
    <t xml:space="preserve">Primary Risk Dimension</t>
  </si>
  <si>
    <t xml:space="preserve">RAF Alignment</t>
  </si>
  <si>
    <t xml:space="preserve">Decision Maker / Approver</t>
  </si>
  <si>
    <t xml:space="preserve">Escalated To</t>
  </si>
  <si>
    <t xml:space="preserve">Linked IDs</t>
  </si>
  <si>
    <t xml:space="preserve">Committee Reporting?</t>
  </si>
  <si>
    <t xml:space="preserve">Reported In (Forum / Date)</t>
  </si>
  <si>
    <t xml:space="preserve">DEV-001</t>
  </si>
  <si>
    <t xml:space="preserve">Scope Change</t>
  </si>
  <si>
    <t xml:space="preserve">Scoping &amp; Governance</t>
  </si>
  <si>
    <t xml:space="preserve">EASM scope extended to 3 acquired entities</t>
  </si>
  <si>
    <t xml:space="preserve">Root domains and IP ranges of 3 entities acquired in 2025–26 were outside the original EASM baseline</t>
  </si>
  <si>
    <t xml:space="preserve">Acquired estates likely run legacy remote-access stacks outside Group patch governance – elevated concentration of unmanaged exposure</t>
  </si>
  <si>
    <t xml:space="preserve">Completeness of acquired-entity domain list; contractual hosting arrangements</t>
  </si>
  <si>
    <t xml:space="preserve">Systemic / Concentration</t>
  </si>
  <si>
    <t xml:space="preserve">Not Assessed</t>
  </si>
  <si>
    <t xml:space="preserve">Mission Sponsor</t>
  </si>
  <si>
    <t xml:space="preserve">—</t>
  </si>
  <si>
    <t xml:space="preserve">Cyber Risk Forum – Nov 2026</t>
  </si>
  <si>
    <t xml:space="preserve">DEV-002</t>
  </si>
  <si>
    <t xml:space="preserve">DEV-003</t>
  </si>
  <si>
    <t xml:space="preserve">DEV-004</t>
  </si>
  <si>
    <t xml:space="preserve">DEV-005</t>
  </si>
  <si>
    <t xml:space="preserve">DEV-006</t>
  </si>
  <si>
    <t xml:space="preserve">DEV-007</t>
  </si>
  <si>
    <t xml:space="preserve">DEV-008</t>
  </si>
  <si>
    <t xml:space="preserve">DEV-009</t>
  </si>
  <si>
    <t xml:space="preserve">DEV-010</t>
  </si>
  <si>
    <t xml:space="preserve">DEV-011</t>
  </si>
  <si>
    <t xml:space="preserve">DEV-012</t>
  </si>
  <si>
    <t xml:space="preserve">DEV-013</t>
  </si>
  <si>
    <t xml:space="preserve">DEV-014</t>
  </si>
  <si>
    <t xml:space="preserve">DEV-015</t>
  </si>
  <si>
    <t xml:space="preserve">DEV-016</t>
  </si>
  <si>
    <t xml:space="preserve">DEV-017</t>
  </si>
  <si>
    <t xml:space="preserve">DEV-018</t>
  </si>
  <si>
    <t xml:space="preserve">DEV-019</t>
  </si>
  <si>
    <t xml:space="preserve">DEV-020</t>
  </si>
  <si>
    <t xml:space="preserve">DEV-021</t>
  </si>
  <si>
    <t xml:space="preserve">DEV-022</t>
  </si>
  <si>
    <t xml:space="preserve">DEV-023</t>
  </si>
  <si>
    <t xml:space="preserve">DEV-024</t>
  </si>
  <si>
    <t xml:space="preserve">DEV-025</t>
  </si>
  <si>
    <t xml:space="preserve">DEV-026</t>
  </si>
  <si>
    <t xml:space="preserve">DEV-027</t>
  </si>
  <si>
    <t xml:space="preserve">DEV-028</t>
  </si>
  <si>
    <t xml:space="preserve">DEV-029</t>
  </si>
  <si>
    <t xml:space="preserve">DEV-030</t>
  </si>
  <si>
    <t xml:space="preserve">DEV-031</t>
  </si>
  <si>
    <t xml:space="preserve">DEV-032</t>
  </si>
  <si>
    <t xml:space="preserve">DEV-033</t>
  </si>
  <si>
    <t xml:space="preserve">DEV-034</t>
  </si>
  <si>
    <t xml:space="preserve">DEV-035</t>
  </si>
  <si>
    <t xml:space="preserve">DEV-036</t>
  </si>
  <si>
    <t xml:space="preserve">DEV-037</t>
  </si>
  <si>
    <t xml:space="preserve">DEV-038</t>
  </si>
  <si>
    <t xml:space="preserve">DEV-039</t>
  </si>
  <si>
    <t xml:space="preserve">DEV-040</t>
  </si>
  <si>
    <t xml:space="preserve">DEV-041</t>
  </si>
  <si>
    <t xml:space="preserve">DEV-042</t>
  </si>
  <si>
    <t xml:space="preserve">DEV-043</t>
  </si>
  <si>
    <t xml:space="preserve">DEV-044</t>
  </si>
  <si>
    <t xml:space="preserve">DEV-045</t>
  </si>
  <si>
    <t xml:space="preserve">DEV-046</t>
  </si>
  <si>
    <t xml:space="preserve">DEV-047</t>
  </si>
  <si>
    <t xml:space="preserve">DEV-048</t>
  </si>
  <si>
    <t xml:space="preserve">DEV-049</t>
  </si>
  <si>
    <t xml:space="preserve">DEV-050</t>
  </si>
  <si>
    <t xml:space="preserve">DEV-051</t>
  </si>
  <si>
    <t xml:space="preserve">DEV-052</t>
  </si>
  <si>
    <t xml:space="preserve">DEV-053</t>
  </si>
  <si>
    <t xml:space="preserve">DEV-054</t>
  </si>
  <si>
    <t xml:space="preserve">DEV-055</t>
  </si>
  <si>
    <t xml:space="preserve">DEV-056</t>
  </si>
  <si>
    <t xml:space="preserve">DEV-057</t>
  </si>
  <si>
    <t xml:space="preserve">DEV-058</t>
  </si>
  <si>
    <t xml:space="preserve">DEV-059</t>
  </si>
  <si>
    <t xml:space="preserve">DEV-060</t>
  </si>
  <si>
    <t xml:space="preserve">DEV-061</t>
  </si>
  <si>
    <t xml:space="preserve">DEV-062</t>
  </si>
  <si>
    <t xml:space="preserve">DEV-063</t>
  </si>
  <si>
    <t xml:space="preserve">DEV-064</t>
  </si>
  <si>
    <t xml:space="preserve">DEV-065</t>
  </si>
  <si>
    <t xml:space="preserve">DEV-066</t>
  </si>
  <si>
    <t xml:space="preserve">DEV-067</t>
  </si>
  <si>
    <t xml:space="preserve">DEV-068</t>
  </si>
  <si>
    <t xml:space="preserve">DEV-069</t>
  </si>
  <si>
    <t xml:space="preserve">DEV-070</t>
  </si>
  <si>
    <t xml:space="preserve">DEV-071</t>
  </si>
  <si>
    <t xml:space="preserve">DEV-072</t>
  </si>
  <si>
    <t xml:space="preserve">DEV-073</t>
  </si>
  <si>
    <t xml:space="preserve">DEV-074</t>
  </si>
  <si>
    <t xml:space="preserve">DEV-075</t>
  </si>
  <si>
    <t xml:space="preserve">DEV-076</t>
  </si>
  <si>
    <t xml:space="preserve">DEV-077</t>
  </si>
  <si>
    <t xml:space="preserve">DEV-078</t>
  </si>
  <si>
    <t xml:space="preserve">DEV-079</t>
  </si>
  <si>
    <t xml:space="preserve">DEV-080</t>
  </si>
  <si>
    <t xml:space="preserve">DEV-081</t>
  </si>
  <si>
    <t xml:space="preserve">DEV-082</t>
  </si>
  <si>
    <t xml:space="preserve">DEV-083</t>
  </si>
  <si>
    <t xml:space="preserve">DEV-084</t>
  </si>
  <si>
    <t xml:space="preserve">DEV-085</t>
  </si>
  <si>
    <t xml:space="preserve">DEV-086</t>
  </si>
  <si>
    <t xml:space="preserve">DEV-087</t>
  </si>
  <si>
    <t xml:space="preserve">DEV-088</t>
  </si>
  <si>
    <t xml:space="preserve">DEV-089</t>
  </si>
  <si>
    <t xml:space="preserve">DEV-090</t>
  </si>
  <si>
    <t xml:space="preserve">DEV-091</t>
  </si>
  <si>
    <t xml:space="preserve">DEV-092</t>
  </si>
  <si>
    <t xml:space="preserve">DEV-093</t>
  </si>
  <si>
    <t xml:space="preserve">DEV-094</t>
  </si>
  <si>
    <t xml:space="preserve">DEV-095</t>
  </si>
  <si>
    <t xml:space="preserve">DEV-096</t>
  </si>
  <si>
    <t xml:space="preserve">DEV-097</t>
  </si>
  <si>
    <t xml:space="preserve">DEV-098</t>
  </si>
  <si>
    <t xml:space="preserve">DEV-099</t>
  </si>
  <si>
    <t xml:space="preserve">DEV-100</t>
  </si>
  <si>
    <t xml:space="preserve">DEV-101</t>
  </si>
  <si>
    <t xml:space="preserve">DEV-102</t>
  </si>
  <si>
    <t xml:space="preserve">DEV-103</t>
  </si>
  <si>
    <t xml:space="preserve">DEV-104</t>
  </si>
  <si>
    <t xml:space="preserve">DEV-105</t>
  </si>
  <si>
    <t xml:space="preserve">DEV-106</t>
  </si>
  <si>
    <t xml:space="preserve">DEV-107</t>
  </si>
  <si>
    <t xml:space="preserve">DEV-108</t>
  </si>
  <si>
    <t xml:space="preserve">DEV-109</t>
  </si>
  <si>
    <t xml:space="preserve">DEV-110</t>
  </si>
  <si>
    <t xml:space="preserve">DEV-111</t>
  </si>
  <si>
    <t xml:space="preserve">DEV-112</t>
  </si>
  <si>
    <t xml:space="preserve">DEV-113</t>
  </si>
  <si>
    <t xml:space="preserve">DEV-114</t>
  </si>
  <si>
    <t xml:space="preserve">DEV-115</t>
  </si>
  <si>
    <t xml:space="preserve">DEV-116</t>
  </si>
  <si>
    <t xml:space="preserve">DEV-117</t>
  </si>
  <si>
    <t xml:space="preserve">DEV-118</t>
  </si>
  <si>
    <t xml:space="preserve">DEV-119</t>
  </si>
  <si>
    <t xml:space="preserve">DEV-120</t>
  </si>
  <si>
    <t xml:space="preserve">DEV-121</t>
  </si>
  <si>
    <t xml:space="preserve">DEV-122</t>
  </si>
  <si>
    <t xml:space="preserve">DEV-123</t>
  </si>
  <si>
    <t xml:space="preserve">DEV-124</t>
  </si>
  <si>
    <t xml:space="preserve">DEV-125</t>
  </si>
  <si>
    <t xml:space="preserve">DEV-126</t>
  </si>
  <si>
    <t xml:space="preserve">DEV-127</t>
  </si>
  <si>
    <t xml:space="preserve">DEV-128</t>
  </si>
  <si>
    <t xml:space="preserve">DEV-129</t>
  </si>
  <si>
    <t xml:space="preserve">DEV-130</t>
  </si>
  <si>
    <t xml:space="preserve">DEV-131</t>
  </si>
  <si>
    <t xml:space="preserve">DEV-132</t>
  </si>
  <si>
    <t xml:space="preserve">DEV-133</t>
  </si>
  <si>
    <t xml:space="preserve">DEV-134</t>
  </si>
  <si>
    <t xml:space="preserve">DEV-135</t>
  </si>
  <si>
    <t xml:space="preserve">DEV-136</t>
  </si>
  <si>
    <t xml:space="preserve">DEV-137</t>
  </si>
  <si>
    <t xml:space="preserve">DEV-138</t>
  </si>
  <si>
    <t xml:space="preserve">DEV-139</t>
  </si>
  <si>
    <t xml:space="preserve">DEV-140</t>
  </si>
  <si>
    <t xml:space="preserve">DEV-141</t>
  </si>
  <si>
    <t xml:space="preserve">DEV-142</t>
  </si>
  <si>
    <t xml:space="preserve">DEV-143</t>
  </si>
  <si>
    <t xml:space="preserve">DEV-144</t>
  </si>
  <si>
    <t xml:space="preserve">DEV-145</t>
  </si>
  <si>
    <t xml:space="preserve">DEV-146</t>
  </si>
  <si>
    <t xml:space="preserve">DEV-147</t>
  </si>
  <si>
    <t xml:space="preserve">DEV-148</t>
  </si>
  <si>
    <t xml:space="preserve">DEV-149</t>
  </si>
  <si>
    <t xml:space="preserve">DEV-150</t>
  </si>
  <si>
    <t xml:space="preserve">DEV-151</t>
  </si>
  <si>
    <t xml:space="preserve">DEV-152</t>
  </si>
  <si>
    <t xml:space="preserve">DEV-153</t>
  </si>
  <si>
    <t xml:space="preserve">DEV-154</t>
  </si>
  <si>
    <t xml:space="preserve">DEV-155</t>
  </si>
  <si>
    <t xml:space="preserve">DEV-156</t>
  </si>
  <si>
    <t xml:space="preserve">DEV-157</t>
  </si>
  <si>
    <t xml:space="preserve">DEV-158</t>
  </si>
  <si>
    <t xml:space="preserve">DEV-159</t>
  </si>
  <si>
    <t xml:space="preserve">DEV-160</t>
  </si>
  <si>
    <t xml:space="preserve">DEV-161</t>
  </si>
  <si>
    <t xml:space="preserve">DEV-162</t>
  </si>
  <si>
    <t xml:space="preserve">DEV-163</t>
  </si>
  <si>
    <t xml:space="preserve">DEV-164</t>
  </si>
  <si>
    <t xml:space="preserve">DEV-165</t>
  </si>
  <si>
    <t xml:space="preserve">DEV-166</t>
  </si>
  <si>
    <t xml:space="preserve">DEV-167</t>
  </si>
  <si>
    <t xml:space="preserve">DEV-168</t>
  </si>
  <si>
    <t xml:space="preserve">DEV-169</t>
  </si>
  <si>
    <t xml:space="preserve">DEV-170</t>
  </si>
  <si>
    <t xml:space="preserve">DEV-171</t>
  </si>
  <si>
    <t xml:space="preserve">DEV-172</t>
  </si>
  <si>
    <t xml:space="preserve">DEV-173</t>
  </si>
  <si>
    <t xml:space="preserve">DEV-174</t>
  </si>
  <si>
    <t xml:space="preserve">DEV-175</t>
  </si>
  <si>
    <t xml:space="preserve">DEV-176</t>
  </si>
  <si>
    <t xml:space="preserve">DEV-177</t>
  </si>
  <si>
    <t xml:space="preserve">DEV-178</t>
  </si>
  <si>
    <t xml:space="preserve">DEV-179</t>
  </si>
  <si>
    <t xml:space="preserve">DEV-180</t>
  </si>
  <si>
    <t xml:space="preserve">DEV-181</t>
  </si>
  <si>
    <t xml:space="preserve">DEV-182</t>
  </si>
  <si>
    <t xml:space="preserve">DEV-183</t>
  </si>
  <si>
    <t xml:space="preserve">DEV-184</t>
  </si>
  <si>
    <t xml:space="preserve">DEV-185</t>
  </si>
  <si>
    <t xml:space="preserve">DEV-186</t>
  </si>
  <si>
    <t xml:space="preserve">DEV-187</t>
  </si>
  <si>
    <t xml:space="preserve">DEV-188</t>
  </si>
  <si>
    <t xml:space="preserve">DEV-189</t>
  </si>
  <si>
    <t xml:space="preserve">DEV-190</t>
  </si>
  <si>
    <t xml:space="preserve">DEV-191</t>
  </si>
  <si>
    <t xml:space="preserve">DEV-192</t>
  </si>
  <si>
    <t xml:space="preserve">DEV-193</t>
  </si>
  <si>
    <t xml:space="preserve">DEV-194</t>
  </si>
  <si>
    <t xml:space="preserve">DEV-195</t>
  </si>
  <si>
    <t xml:space="preserve">DEV-196</t>
  </si>
  <si>
    <t xml:space="preserve">DEV-197</t>
  </si>
  <si>
    <t xml:space="preserve">DEV-198</t>
  </si>
  <si>
    <t xml:space="preserve">DEV-199</t>
  </si>
  <si>
    <t xml:space="preserve">DEV-200</t>
  </si>
  <si>
    <t xml:space="preserve">DEV-201</t>
  </si>
  <si>
    <t xml:space="preserve">DEV-202</t>
  </si>
  <si>
    <t xml:space="preserve">DEV-203</t>
  </si>
  <si>
    <t xml:space="preserve">DEV-204</t>
  </si>
  <si>
    <t xml:space="preserve">DEV-205</t>
  </si>
  <si>
    <t xml:space="preserve">DEV-206</t>
  </si>
  <si>
    <t xml:space="preserve">DEV-207</t>
  </si>
  <si>
    <t xml:space="preserve">DEV-208</t>
  </si>
  <si>
    <t xml:space="preserve">DEV-209</t>
  </si>
  <si>
    <t xml:space="preserve">DEV-210</t>
  </si>
  <si>
    <t xml:space="preserve">DEV-211</t>
  </si>
  <si>
    <t xml:space="preserve">DEV-212</t>
  </si>
  <si>
    <t xml:space="preserve">DEV-213</t>
  </si>
  <si>
    <t xml:space="preserve">DEV-214</t>
  </si>
  <si>
    <t xml:space="preserve">DEV-215</t>
  </si>
  <si>
    <t xml:space="preserve">DEV-216</t>
  </si>
  <si>
    <t xml:space="preserve">DEV-217</t>
  </si>
  <si>
    <t xml:space="preserve">DEV-218</t>
  </si>
  <si>
    <t xml:space="preserve">DEV-219</t>
  </si>
  <si>
    <t xml:space="preserve">DEV-220</t>
  </si>
  <si>
    <t xml:space="preserve">DEV-221</t>
  </si>
  <si>
    <t xml:space="preserve">DEV-222</t>
  </si>
  <si>
    <t xml:space="preserve">DEV-223</t>
  </si>
  <si>
    <t xml:space="preserve">DEV-224</t>
  </si>
  <si>
    <t xml:space="preserve">DEV-225</t>
  </si>
  <si>
    <t xml:space="preserve">DEV-226</t>
  </si>
  <si>
    <t xml:space="preserve">DEV-227</t>
  </si>
  <si>
    <t xml:space="preserve">DEV-228</t>
  </si>
  <si>
    <t xml:space="preserve">DEV-229</t>
  </si>
  <si>
    <t xml:space="preserve">DEV-230</t>
  </si>
  <si>
    <t xml:space="preserve">DEV-231</t>
  </si>
  <si>
    <t xml:space="preserve">DEV-232</t>
  </si>
  <si>
    <t xml:space="preserve">DEV-233</t>
  </si>
  <si>
    <t xml:space="preserve">DEV-234</t>
  </si>
  <si>
    <t xml:space="preserve">DEV-235</t>
  </si>
  <si>
    <t xml:space="preserve">DEV-236</t>
  </si>
  <si>
    <t xml:space="preserve">DEV-237</t>
  </si>
  <si>
    <t xml:space="preserve">DEV-238</t>
  </si>
  <si>
    <t xml:space="preserve">DEV-239</t>
  </si>
  <si>
    <t xml:space="preserve">DEV-240</t>
  </si>
  <si>
    <t xml:space="preserve">DEV-241</t>
  </si>
  <si>
    <t xml:space="preserve">DEV-242</t>
  </si>
  <si>
    <t xml:space="preserve">DEV-243</t>
  </si>
  <si>
    <t xml:space="preserve">DEV-244</t>
  </si>
  <si>
    <t xml:space="preserve">DEV-245</t>
  </si>
  <si>
    <t xml:space="preserve">DEV-246</t>
  </si>
  <si>
    <t xml:space="preserve">DEV-247</t>
  </si>
  <si>
    <t xml:space="preserve">DEV-248</t>
  </si>
  <si>
    <t xml:space="preserve">DEV-249</t>
  </si>
  <si>
    <t xml:space="preserve">DEV-250</t>
  </si>
  <si>
    <t xml:space="preserve">DEV-251</t>
  </si>
  <si>
    <t xml:space="preserve">DEV-252</t>
  </si>
  <si>
    <t xml:space="preserve">DEV-253</t>
  </si>
  <si>
    <t xml:space="preserve">DEV-254</t>
  </si>
  <si>
    <t xml:space="preserve">DEV-255</t>
  </si>
  <si>
    <t xml:space="preserve">DEV-256</t>
  </si>
  <si>
    <t xml:space="preserve">DEV-257</t>
  </si>
  <si>
    <t xml:space="preserve">DEV-258</t>
  </si>
  <si>
    <t xml:space="preserve">DEV-259</t>
  </si>
  <si>
    <t xml:space="preserve">DEV-260</t>
  </si>
  <si>
    <t xml:space="preserve">DEV-261</t>
  </si>
  <si>
    <t xml:space="preserve">DEV-262</t>
  </si>
  <si>
    <t xml:space="preserve">DEV-263</t>
  </si>
  <si>
    <t xml:space="preserve">DEV-264</t>
  </si>
  <si>
    <t xml:space="preserve">DEV-265</t>
  </si>
  <si>
    <t xml:space="preserve">DEV-266</t>
  </si>
  <si>
    <t xml:space="preserve">DEV-267</t>
  </si>
  <si>
    <t xml:space="preserve">DEV-268</t>
  </si>
  <si>
    <t xml:space="preserve">DEV-269</t>
  </si>
  <si>
    <t xml:space="preserve">DEV-270</t>
  </si>
  <si>
    <t xml:space="preserve">DEV-271</t>
  </si>
  <si>
    <t xml:space="preserve">DEV-272</t>
  </si>
  <si>
    <t xml:space="preserve">DEV-273</t>
  </si>
  <si>
    <t xml:space="preserve">DEV-274</t>
  </si>
  <si>
    <t xml:space="preserve">DEV-275</t>
  </si>
  <si>
    <t xml:space="preserve">DEV-276</t>
  </si>
  <si>
    <t xml:space="preserve">DEV-277</t>
  </si>
  <si>
    <t xml:space="preserve">DEV-278</t>
  </si>
  <si>
    <t xml:space="preserve">DEV-279</t>
  </si>
  <si>
    <t xml:space="preserve">DEV-280</t>
  </si>
  <si>
    <t xml:space="preserve">DEV-281</t>
  </si>
  <si>
    <t xml:space="preserve">DEV-282</t>
  </si>
  <si>
    <t xml:space="preserve">DEV-283</t>
  </si>
  <si>
    <t xml:space="preserve">DEV-284</t>
  </si>
  <si>
    <t xml:space="preserve">DEV-285</t>
  </si>
  <si>
    <t xml:space="preserve">DEV-286</t>
  </si>
  <si>
    <t xml:space="preserve">DEV-287</t>
  </si>
  <si>
    <t xml:space="preserve">DEV-288</t>
  </si>
  <si>
    <t xml:space="preserve">DEV-289</t>
  </si>
  <si>
    <t xml:space="preserve">DEV-290</t>
  </si>
  <si>
    <t xml:space="preserve">DEV-291</t>
  </si>
  <si>
    <t xml:space="preserve">DEV-292</t>
  </si>
  <si>
    <t xml:space="preserve">DEV-293</t>
  </si>
  <si>
    <t xml:space="preserve">DEV-294</t>
  </si>
  <si>
    <t xml:space="preserve">DEV-295</t>
  </si>
  <si>
    <t xml:space="preserve">DEV-296</t>
  </si>
  <si>
    <t xml:space="preserve">DEV-297</t>
  </si>
  <si>
    <t xml:space="preserve">DEV-298</t>
  </si>
  <si>
    <t xml:space="preserve">DEV-299</t>
  </si>
  <si>
    <t xml:space="preserve">DEV-300</t>
  </si>
  <si>
    <t xml:space="preserve">EASM Findings Register</t>
  </si>
  <si>
    <t xml:space="preserve">External attack surface exposures, translated from technical vector to operational, systemic and RAF impact, with remediation SLA tracking.</t>
  </si>
  <si>
    <t xml:space="preserve">Finding ID</t>
  </si>
  <si>
    <t xml:space="preserve">Date Discovered</t>
  </si>
  <si>
    <t xml:space="preserve">Discovery Source</t>
  </si>
  <si>
    <t xml:space="preserve">Asset Type</t>
  </si>
  <si>
    <t xml:space="preserve">Asset Identifier (domain / IP / URL)</t>
  </si>
  <si>
    <t xml:space="preserve">Attribution Confidence</t>
  </si>
  <si>
    <t xml:space="preserve">Business Unit / Legal Entity</t>
  </si>
  <si>
    <t xml:space="preserve">Asset Owner (1LoD)</t>
  </si>
  <si>
    <t xml:space="preserve">In Asset Inventory?</t>
  </si>
  <si>
    <t xml:space="preserve">Exposure (Technical Vector)</t>
  </si>
  <si>
    <t xml:space="preserve">CVE / Weakness Ref</t>
  </si>
  <si>
    <t xml:space="preserve">Severity</t>
  </si>
  <si>
    <t xml:space="preserve">Actively Exploited? (KEV / TI)</t>
  </si>
  <si>
    <t xml:space="preserve">Operational Vulnerability (2LoD View)</t>
  </si>
  <si>
    <t xml:space="preserve">Systemic / Concentration Risk</t>
  </si>
  <si>
    <t xml:space="preserve">Financial / Regulatory Impact</t>
  </si>
  <si>
    <t xml:space="preserve">Remediation Owner</t>
  </si>
  <si>
    <t xml:space="preserve">SLA (days)</t>
  </si>
  <si>
    <t xml:space="preserve">Remediation Target Date</t>
  </si>
  <si>
    <t xml:space="preserve">Remediation / Closure Date</t>
  </si>
  <si>
    <t xml:space="preserve">SLA Flag</t>
  </si>
  <si>
    <t xml:space="preserve">Linked Task ID</t>
  </si>
  <si>
    <t xml:space="preserve">Risk Acceptance Ref</t>
  </si>
  <si>
    <t xml:space="preserve">FND-001</t>
  </si>
  <si>
    <t xml:space="preserve">EASM Platform</t>
  </si>
  <si>
    <t xml:space="preserve">Subdomain</t>
  </si>
  <si>
    <t xml:space="preserve">legacy-vpn.acquired-entity.example</t>
  </si>
  <si>
    <t xml:space="preserve">Retail Banking – Acquired Entity B</t>
  </si>
  <si>
    <t xml:space="preserve">TBC</t>
  </si>
  <si>
    <t xml:space="preserve">Legacy SSL VPN appliance exposed to internet with outdated firmware</t>
  </si>
  <si>
    <t xml:space="preserve">To be confirmed</t>
  </si>
  <si>
    <t xml:space="preserve">Unknown</t>
  </si>
  <si>
    <t xml:space="preserve">Unmanaged remote-access entry point outside Group patch governance</t>
  </si>
  <si>
    <t xml:space="preserve">Same VPN vendor used across several entities – single-vendor concentration in remote access</t>
  </si>
  <si>
    <t xml:space="preserve">Potential major ICT incident classification and supervisory notification if exploited</t>
  </si>
  <si>
    <t xml:space="preserve">Network Security (1LoD)</t>
  </si>
  <si>
    <t xml:space="preserve">FND-002</t>
  </si>
  <si>
    <t xml:space="preserve">FND-003</t>
  </si>
  <si>
    <t xml:space="preserve">FND-004</t>
  </si>
  <si>
    <t xml:space="preserve">FND-005</t>
  </si>
  <si>
    <t xml:space="preserve">FND-006</t>
  </si>
  <si>
    <t xml:space="preserve">FND-007</t>
  </si>
  <si>
    <t xml:space="preserve">FND-008</t>
  </si>
  <si>
    <t xml:space="preserve">FND-009</t>
  </si>
  <si>
    <t xml:space="preserve">FND-010</t>
  </si>
  <si>
    <t xml:space="preserve">FND-011</t>
  </si>
  <si>
    <t xml:space="preserve">FND-012</t>
  </si>
  <si>
    <t xml:space="preserve">FND-013</t>
  </si>
  <si>
    <t xml:space="preserve">FND-014</t>
  </si>
  <si>
    <t xml:space="preserve">FND-015</t>
  </si>
  <si>
    <t xml:space="preserve">FND-016</t>
  </si>
  <si>
    <t xml:space="preserve">FND-017</t>
  </si>
  <si>
    <t xml:space="preserve">FND-018</t>
  </si>
  <si>
    <t xml:space="preserve">FND-019</t>
  </si>
  <si>
    <t xml:space="preserve">FND-020</t>
  </si>
  <si>
    <t xml:space="preserve">FND-021</t>
  </si>
  <si>
    <t xml:space="preserve">FND-022</t>
  </si>
  <si>
    <t xml:space="preserve">FND-023</t>
  </si>
  <si>
    <t xml:space="preserve">FND-024</t>
  </si>
  <si>
    <t xml:space="preserve">FND-025</t>
  </si>
  <si>
    <t xml:space="preserve">FND-026</t>
  </si>
  <si>
    <t xml:space="preserve">FND-027</t>
  </si>
  <si>
    <t xml:space="preserve">FND-028</t>
  </si>
  <si>
    <t xml:space="preserve">FND-029</t>
  </si>
  <si>
    <t xml:space="preserve">FND-030</t>
  </si>
  <si>
    <t xml:space="preserve">FND-031</t>
  </si>
  <si>
    <t xml:space="preserve">FND-032</t>
  </si>
  <si>
    <t xml:space="preserve">FND-033</t>
  </si>
  <si>
    <t xml:space="preserve">FND-034</t>
  </si>
  <si>
    <t xml:space="preserve">FND-035</t>
  </si>
  <si>
    <t xml:space="preserve">FND-036</t>
  </si>
  <si>
    <t xml:space="preserve">FND-037</t>
  </si>
  <si>
    <t xml:space="preserve">FND-038</t>
  </si>
  <si>
    <t xml:space="preserve">FND-039</t>
  </si>
  <si>
    <t xml:space="preserve">FND-040</t>
  </si>
  <si>
    <t xml:space="preserve">FND-041</t>
  </si>
  <si>
    <t xml:space="preserve">FND-042</t>
  </si>
  <si>
    <t xml:space="preserve">FND-043</t>
  </si>
  <si>
    <t xml:space="preserve">FND-044</t>
  </si>
  <si>
    <t xml:space="preserve">FND-045</t>
  </si>
  <si>
    <t xml:space="preserve">FND-046</t>
  </si>
  <si>
    <t xml:space="preserve">FND-047</t>
  </si>
  <si>
    <t xml:space="preserve">FND-048</t>
  </si>
  <si>
    <t xml:space="preserve">FND-049</t>
  </si>
  <si>
    <t xml:space="preserve">FND-050</t>
  </si>
  <si>
    <t xml:space="preserve">FND-051</t>
  </si>
  <si>
    <t xml:space="preserve">FND-052</t>
  </si>
  <si>
    <t xml:space="preserve">FND-053</t>
  </si>
  <si>
    <t xml:space="preserve">FND-054</t>
  </si>
  <si>
    <t xml:space="preserve">FND-055</t>
  </si>
  <si>
    <t xml:space="preserve">FND-056</t>
  </si>
  <si>
    <t xml:space="preserve">FND-057</t>
  </si>
  <si>
    <t xml:space="preserve">FND-058</t>
  </si>
  <si>
    <t xml:space="preserve">FND-059</t>
  </si>
  <si>
    <t xml:space="preserve">FND-060</t>
  </si>
  <si>
    <t xml:space="preserve">FND-061</t>
  </si>
  <si>
    <t xml:space="preserve">FND-062</t>
  </si>
  <si>
    <t xml:space="preserve">FND-063</t>
  </si>
  <si>
    <t xml:space="preserve">FND-064</t>
  </si>
  <si>
    <t xml:space="preserve">FND-065</t>
  </si>
  <si>
    <t xml:space="preserve">FND-066</t>
  </si>
  <si>
    <t xml:space="preserve">FND-067</t>
  </si>
  <si>
    <t xml:space="preserve">FND-068</t>
  </si>
  <si>
    <t xml:space="preserve">FND-069</t>
  </si>
  <si>
    <t xml:space="preserve">FND-070</t>
  </si>
  <si>
    <t xml:space="preserve">FND-071</t>
  </si>
  <si>
    <t xml:space="preserve">FND-072</t>
  </si>
  <si>
    <t xml:space="preserve">FND-073</t>
  </si>
  <si>
    <t xml:space="preserve">FND-074</t>
  </si>
  <si>
    <t xml:space="preserve">FND-075</t>
  </si>
  <si>
    <t xml:space="preserve">FND-076</t>
  </si>
  <si>
    <t xml:space="preserve">FND-077</t>
  </si>
  <si>
    <t xml:space="preserve">FND-078</t>
  </si>
  <si>
    <t xml:space="preserve">FND-079</t>
  </si>
  <si>
    <t xml:space="preserve">FND-080</t>
  </si>
  <si>
    <t xml:space="preserve">FND-081</t>
  </si>
  <si>
    <t xml:space="preserve">FND-082</t>
  </si>
  <si>
    <t xml:space="preserve">FND-083</t>
  </si>
  <si>
    <t xml:space="preserve">FND-084</t>
  </si>
  <si>
    <t xml:space="preserve">FND-085</t>
  </si>
  <si>
    <t xml:space="preserve">FND-086</t>
  </si>
  <si>
    <t xml:space="preserve">FND-087</t>
  </si>
  <si>
    <t xml:space="preserve">FND-088</t>
  </si>
  <si>
    <t xml:space="preserve">FND-089</t>
  </si>
  <si>
    <t xml:space="preserve">FND-090</t>
  </si>
  <si>
    <t xml:space="preserve">FND-091</t>
  </si>
  <si>
    <t xml:space="preserve">FND-092</t>
  </si>
  <si>
    <t xml:space="preserve">FND-093</t>
  </si>
  <si>
    <t xml:space="preserve">FND-094</t>
  </si>
  <si>
    <t xml:space="preserve">FND-095</t>
  </si>
  <si>
    <t xml:space="preserve">FND-096</t>
  </si>
  <si>
    <t xml:space="preserve">FND-097</t>
  </si>
  <si>
    <t xml:space="preserve">FND-098</t>
  </si>
  <si>
    <t xml:space="preserve">FND-099</t>
  </si>
  <si>
    <t xml:space="preserve">FND-100</t>
  </si>
  <si>
    <t xml:space="preserve">FND-101</t>
  </si>
  <si>
    <t xml:space="preserve">FND-102</t>
  </si>
  <si>
    <t xml:space="preserve">FND-103</t>
  </si>
  <si>
    <t xml:space="preserve">FND-104</t>
  </si>
  <si>
    <t xml:space="preserve">FND-105</t>
  </si>
  <si>
    <t xml:space="preserve">FND-106</t>
  </si>
  <si>
    <t xml:space="preserve">FND-107</t>
  </si>
  <si>
    <t xml:space="preserve">FND-108</t>
  </si>
  <si>
    <t xml:space="preserve">FND-109</t>
  </si>
  <si>
    <t xml:space="preserve">FND-110</t>
  </si>
  <si>
    <t xml:space="preserve">FND-111</t>
  </si>
  <si>
    <t xml:space="preserve">FND-112</t>
  </si>
  <si>
    <t xml:space="preserve">FND-113</t>
  </si>
  <si>
    <t xml:space="preserve">FND-114</t>
  </si>
  <si>
    <t xml:space="preserve">FND-115</t>
  </si>
  <si>
    <t xml:space="preserve">FND-116</t>
  </si>
  <si>
    <t xml:space="preserve">FND-117</t>
  </si>
  <si>
    <t xml:space="preserve">FND-118</t>
  </si>
  <si>
    <t xml:space="preserve">FND-119</t>
  </si>
  <si>
    <t xml:space="preserve">FND-120</t>
  </si>
  <si>
    <t xml:space="preserve">FND-121</t>
  </si>
  <si>
    <t xml:space="preserve">FND-122</t>
  </si>
  <si>
    <t xml:space="preserve">FND-123</t>
  </si>
  <si>
    <t xml:space="preserve">FND-124</t>
  </si>
  <si>
    <t xml:space="preserve">FND-125</t>
  </si>
  <si>
    <t xml:space="preserve">FND-126</t>
  </si>
  <si>
    <t xml:space="preserve">FND-127</t>
  </si>
  <si>
    <t xml:space="preserve">FND-128</t>
  </si>
  <si>
    <t xml:space="preserve">FND-129</t>
  </si>
  <si>
    <t xml:space="preserve">FND-130</t>
  </si>
  <si>
    <t xml:space="preserve">FND-131</t>
  </si>
  <si>
    <t xml:space="preserve">FND-132</t>
  </si>
  <si>
    <t xml:space="preserve">FND-133</t>
  </si>
  <si>
    <t xml:space="preserve">FND-134</t>
  </si>
  <si>
    <t xml:space="preserve">FND-135</t>
  </si>
  <si>
    <t xml:space="preserve">FND-136</t>
  </si>
  <si>
    <t xml:space="preserve">FND-137</t>
  </si>
  <si>
    <t xml:space="preserve">FND-138</t>
  </si>
  <si>
    <t xml:space="preserve">FND-139</t>
  </si>
  <si>
    <t xml:space="preserve">FND-140</t>
  </si>
  <si>
    <t xml:space="preserve">FND-141</t>
  </si>
  <si>
    <t xml:space="preserve">FND-142</t>
  </si>
  <si>
    <t xml:space="preserve">FND-143</t>
  </si>
  <si>
    <t xml:space="preserve">FND-144</t>
  </si>
  <si>
    <t xml:space="preserve">FND-145</t>
  </si>
  <si>
    <t xml:space="preserve">FND-146</t>
  </si>
  <si>
    <t xml:space="preserve">FND-147</t>
  </si>
  <si>
    <t xml:space="preserve">FND-148</t>
  </si>
  <si>
    <t xml:space="preserve">FND-149</t>
  </si>
  <si>
    <t xml:space="preserve">FND-150</t>
  </si>
  <si>
    <t xml:space="preserve">FND-151</t>
  </si>
  <si>
    <t xml:space="preserve">FND-152</t>
  </si>
  <si>
    <t xml:space="preserve">FND-153</t>
  </si>
  <si>
    <t xml:space="preserve">FND-154</t>
  </si>
  <si>
    <t xml:space="preserve">FND-155</t>
  </si>
  <si>
    <t xml:space="preserve">FND-156</t>
  </si>
  <si>
    <t xml:space="preserve">FND-157</t>
  </si>
  <si>
    <t xml:space="preserve">FND-158</t>
  </si>
  <si>
    <t xml:space="preserve">FND-159</t>
  </si>
  <si>
    <t xml:space="preserve">FND-160</t>
  </si>
  <si>
    <t xml:space="preserve">FND-161</t>
  </si>
  <si>
    <t xml:space="preserve">FND-162</t>
  </si>
  <si>
    <t xml:space="preserve">FND-163</t>
  </si>
  <si>
    <t xml:space="preserve">FND-164</t>
  </si>
  <si>
    <t xml:space="preserve">FND-165</t>
  </si>
  <si>
    <t xml:space="preserve">FND-166</t>
  </si>
  <si>
    <t xml:space="preserve">FND-167</t>
  </si>
  <si>
    <t xml:space="preserve">FND-168</t>
  </si>
  <si>
    <t xml:space="preserve">FND-169</t>
  </si>
  <si>
    <t xml:space="preserve">FND-170</t>
  </si>
  <si>
    <t xml:space="preserve">FND-171</t>
  </si>
  <si>
    <t xml:space="preserve">FND-172</t>
  </si>
  <si>
    <t xml:space="preserve">FND-173</t>
  </si>
  <si>
    <t xml:space="preserve">FND-174</t>
  </si>
  <si>
    <t xml:space="preserve">FND-175</t>
  </si>
  <si>
    <t xml:space="preserve">FND-176</t>
  </si>
  <si>
    <t xml:space="preserve">FND-177</t>
  </si>
  <si>
    <t xml:space="preserve">FND-178</t>
  </si>
  <si>
    <t xml:space="preserve">FND-179</t>
  </si>
  <si>
    <t xml:space="preserve">FND-180</t>
  </si>
  <si>
    <t xml:space="preserve">FND-181</t>
  </si>
  <si>
    <t xml:space="preserve">FND-182</t>
  </si>
  <si>
    <t xml:space="preserve">FND-183</t>
  </si>
  <si>
    <t xml:space="preserve">FND-184</t>
  </si>
  <si>
    <t xml:space="preserve">FND-185</t>
  </si>
  <si>
    <t xml:space="preserve">FND-186</t>
  </si>
  <si>
    <t xml:space="preserve">FND-187</t>
  </si>
  <si>
    <t xml:space="preserve">FND-188</t>
  </si>
  <si>
    <t xml:space="preserve">FND-189</t>
  </si>
  <si>
    <t xml:space="preserve">FND-190</t>
  </si>
  <si>
    <t xml:space="preserve">FND-191</t>
  </si>
  <si>
    <t xml:space="preserve">FND-192</t>
  </si>
  <si>
    <t xml:space="preserve">FND-193</t>
  </si>
  <si>
    <t xml:space="preserve">FND-194</t>
  </si>
  <si>
    <t xml:space="preserve">FND-195</t>
  </si>
  <si>
    <t xml:space="preserve">FND-196</t>
  </si>
  <si>
    <t xml:space="preserve">FND-197</t>
  </si>
  <si>
    <t xml:space="preserve">FND-198</t>
  </si>
  <si>
    <t xml:space="preserve">FND-199</t>
  </si>
  <si>
    <t xml:space="preserve">FND-200</t>
  </si>
  <si>
    <t xml:space="preserve">FND-201</t>
  </si>
  <si>
    <t xml:space="preserve">FND-202</t>
  </si>
  <si>
    <t xml:space="preserve">FND-203</t>
  </si>
  <si>
    <t xml:space="preserve">FND-204</t>
  </si>
  <si>
    <t xml:space="preserve">FND-205</t>
  </si>
  <si>
    <t xml:space="preserve">FND-206</t>
  </si>
  <si>
    <t xml:space="preserve">FND-207</t>
  </si>
  <si>
    <t xml:space="preserve">FND-208</t>
  </si>
  <si>
    <t xml:space="preserve">FND-209</t>
  </si>
  <si>
    <t xml:space="preserve">FND-210</t>
  </si>
  <si>
    <t xml:space="preserve">FND-211</t>
  </si>
  <si>
    <t xml:space="preserve">FND-212</t>
  </si>
  <si>
    <t xml:space="preserve">FND-213</t>
  </si>
  <si>
    <t xml:space="preserve">FND-214</t>
  </si>
  <si>
    <t xml:space="preserve">FND-215</t>
  </si>
  <si>
    <t xml:space="preserve">FND-216</t>
  </si>
  <si>
    <t xml:space="preserve">FND-217</t>
  </si>
  <si>
    <t xml:space="preserve">FND-218</t>
  </si>
  <si>
    <t xml:space="preserve">FND-219</t>
  </si>
  <si>
    <t xml:space="preserve">FND-220</t>
  </si>
  <si>
    <t xml:space="preserve">FND-221</t>
  </si>
  <si>
    <t xml:space="preserve">FND-222</t>
  </si>
  <si>
    <t xml:space="preserve">FND-223</t>
  </si>
  <si>
    <t xml:space="preserve">FND-224</t>
  </si>
  <si>
    <t xml:space="preserve">FND-225</t>
  </si>
  <si>
    <t xml:space="preserve">FND-226</t>
  </si>
  <si>
    <t xml:space="preserve">FND-227</t>
  </si>
  <si>
    <t xml:space="preserve">FND-228</t>
  </si>
  <si>
    <t xml:space="preserve">FND-229</t>
  </si>
  <si>
    <t xml:space="preserve">FND-230</t>
  </si>
  <si>
    <t xml:space="preserve">FND-231</t>
  </si>
  <si>
    <t xml:space="preserve">FND-232</t>
  </si>
  <si>
    <t xml:space="preserve">FND-233</t>
  </si>
  <si>
    <t xml:space="preserve">FND-234</t>
  </si>
  <si>
    <t xml:space="preserve">FND-235</t>
  </si>
  <si>
    <t xml:space="preserve">FND-236</t>
  </si>
  <si>
    <t xml:space="preserve">FND-237</t>
  </si>
  <si>
    <t xml:space="preserve">FND-238</t>
  </si>
  <si>
    <t xml:space="preserve">FND-239</t>
  </si>
  <si>
    <t xml:space="preserve">FND-240</t>
  </si>
  <si>
    <t xml:space="preserve">FND-241</t>
  </si>
  <si>
    <t xml:space="preserve">FND-242</t>
  </si>
  <si>
    <t xml:space="preserve">FND-243</t>
  </si>
  <si>
    <t xml:space="preserve">FND-244</t>
  </si>
  <si>
    <t xml:space="preserve">FND-245</t>
  </si>
  <si>
    <t xml:space="preserve">FND-246</t>
  </si>
  <si>
    <t xml:space="preserve">FND-247</t>
  </si>
  <si>
    <t xml:space="preserve">FND-248</t>
  </si>
  <si>
    <t xml:space="preserve">FND-249</t>
  </si>
  <si>
    <t xml:space="preserve">FND-250</t>
  </si>
  <si>
    <t xml:space="preserve">FND-251</t>
  </si>
  <si>
    <t xml:space="preserve">FND-252</t>
  </si>
  <si>
    <t xml:space="preserve">FND-253</t>
  </si>
  <si>
    <t xml:space="preserve">FND-254</t>
  </si>
  <si>
    <t xml:space="preserve">FND-255</t>
  </si>
  <si>
    <t xml:space="preserve">FND-256</t>
  </si>
  <si>
    <t xml:space="preserve">FND-257</t>
  </si>
  <si>
    <t xml:space="preserve">FND-258</t>
  </si>
  <si>
    <t xml:space="preserve">FND-259</t>
  </si>
  <si>
    <t xml:space="preserve">FND-260</t>
  </si>
  <si>
    <t xml:space="preserve">FND-261</t>
  </si>
  <si>
    <t xml:space="preserve">FND-262</t>
  </si>
  <si>
    <t xml:space="preserve">FND-263</t>
  </si>
  <si>
    <t xml:space="preserve">FND-264</t>
  </si>
  <si>
    <t xml:space="preserve">FND-265</t>
  </si>
  <si>
    <t xml:space="preserve">FND-266</t>
  </si>
  <si>
    <t xml:space="preserve">FND-267</t>
  </si>
  <si>
    <t xml:space="preserve">FND-268</t>
  </si>
  <si>
    <t xml:space="preserve">FND-269</t>
  </si>
  <si>
    <t xml:space="preserve">FND-270</t>
  </si>
  <si>
    <t xml:space="preserve">FND-271</t>
  </si>
  <si>
    <t xml:space="preserve">FND-272</t>
  </si>
  <si>
    <t xml:space="preserve">FND-273</t>
  </si>
  <si>
    <t xml:space="preserve">FND-274</t>
  </si>
  <si>
    <t xml:space="preserve">FND-275</t>
  </si>
  <si>
    <t xml:space="preserve">FND-276</t>
  </si>
  <si>
    <t xml:space="preserve">FND-277</t>
  </si>
  <si>
    <t xml:space="preserve">FND-278</t>
  </si>
  <si>
    <t xml:space="preserve">FND-279</t>
  </si>
  <si>
    <t xml:space="preserve">FND-280</t>
  </si>
  <si>
    <t xml:space="preserve">FND-281</t>
  </si>
  <si>
    <t xml:space="preserve">FND-282</t>
  </si>
  <si>
    <t xml:space="preserve">FND-283</t>
  </si>
  <si>
    <t xml:space="preserve">FND-284</t>
  </si>
  <si>
    <t xml:space="preserve">FND-285</t>
  </si>
  <si>
    <t xml:space="preserve">FND-286</t>
  </si>
  <si>
    <t xml:space="preserve">FND-287</t>
  </si>
  <si>
    <t xml:space="preserve">FND-288</t>
  </si>
  <si>
    <t xml:space="preserve">FND-289</t>
  </si>
  <si>
    <t xml:space="preserve">FND-290</t>
  </si>
  <si>
    <t xml:space="preserve">FND-291</t>
  </si>
  <si>
    <t xml:space="preserve">FND-292</t>
  </si>
  <si>
    <t xml:space="preserve">FND-293</t>
  </si>
  <si>
    <t xml:space="preserve">FND-294</t>
  </si>
  <si>
    <t xml:space="preserve">FND-295</t>
  </si>
  <si>
    <t xml:space="preserve">FND-296</t>
  </si>
  <si>
    <t xml:space="preserve">FND-297</t>
  </si>
  <si>
    <t xml:space="preserve">FND-298</t>
  </si>
  <si>
    <t xml:space="preserve">FND-299</t>
  </si>
  <si>
    <t xml:space="preserve">FND-300</t>
  </si>
  <si>
    <t xml:space="preserve">Stakeholder Register</t>
  </si>
  <si>
    <t xml:space="preserve">Who matters to the mission, their role, stance and contact cadence.</t>
  </si>
  <si>
    <t xml:space="preserve">Stakeholder ID</t>
  </si>
  <si>
    <t xml:space="preserve">Name</t>
  </si>
  <si>
    <t xml:space="preserve">Role / Title</t>
  </si>
  <si>
    <t xml:space="preserve">Function / Team</t>
  </si>
  <si>
    <t xml:space="preserve">LoD</t>
  </si>
  <si>
    <t xml:space="preserve">Legal Entity / Region</t>
  </si>
  <si>
    <t xml:space="preserve">Email</t>
  </si>
  <si>
    <t xml:space="preserve">Role in Mission (RACI)</t>
  </si>
  <si>
    <t xml:space="preserve">Influence</t>
  </si>
  <si>
    <t xml:space="preserve">Stance</t>
  </si>
  <si>
    <t xml:space="preserve">Preferred Channel</t>
  </si>
  <si>
    <t xml:space="preserve">Last Contact</t>
  </si>
  <si>
    <t xml:space="preserve">Days Since Contact</t>
  </si>
  <si>
    <t xml:space="preserve">STK-001</t>
  </si>
  <si>
    <t xml:space="preserve">[Name]</t>
  </si>
  <si>
    <t xml:space="preserve">Head of Network Security</t>
  </si>
  <si>
    <t xml:space="preserve">Group Infrastructure</t>
  </si>
  <si>
    <t xml:space="preserve">Group / EU</t>
  </si>
  <si>
    <t xml:space="preserve">name@bank.example</t>
  </si>
  <si>
    <t xml:space="preserve">Responsible</t>
  </si>
  <si>
    <t xml:space="preserve">Neutral</t>
  </si>
  <si>
    <t xml:space="preserve">Owns remediation of perimeter assets; contests inventory gap</t>
  </si>
  <si>
    <t xml:space="preserve">STK-002</t>
  </si>
  <si>
    <t xml:space="preserve">STK-003</t>
  </si>
  <si>
    <t xml:space="preserve">STK-004</t>
  </si>
  <si>
    <t xml:space="preserve">STK-005</t>
  </si>
  <si>
    <t xml:space="preserve">STK-006</t>
  </si>
  <si>
    <t xml:space="preserve">STK-007</t>
  </si>
  <si>
    <t xml:space="preserve">STK-008</t>
  </si>
  <si>
    <t xml:space="preserve">STK-009</t>
  </si>
  <si>
    <t xml:space="preserve">STK-010</t>
  </si>
  <si>
    <t xml:space="preserve">STK-011</t>
  </si>
  <si>
    <t xml:space="preserve">STK-012</t>
  </si>
  <si>
    <t xml:space="preserve">STK-013</t>
  </si>
  <si>
    <t xml:space="preserve">STK-014</t>
  </si>
  <si>
    <t xml:space="preserve">STK-015</t>
  </si>
  <si>
    <t xml:space="preserve">STK-016</t>
  </si>
  <si>
    <t xml:space="preserve">STK-017</t>
  </si>
  <si>
    <t xml:space="preserve">STK-018</t>
  </si>
  <si>
    <t xml:space="preserve">STK-019</t>
  </si>
  <si>
    <t xml:space="preserve">STK-020</t>
  </si>
  <si>
    <t xml:space="preserve">STK-021</t>
  </si>
  <si>
    <t xml:space="preserve">STK-022</t>
  </si>
  <si>
    <t xml:space="preserve">STK-023</t>
  </si>
  <si>
    <t xml:space="preserve">STK-024</t>
  </si>
  <si>
    <t xml:space="preserve">STK-025</t>
  </si>
  <si>
    <t xml:space="preserve">STK-026</t>
  </si>
  <si>
    <t xml:space="preserve">STK-027</t>
  </si>
  <si>
    <t xml:space="preserve">STK-028</t>
  </si>
  <si>
    <t xml:space="preserve">STK-029</t>
  </si>
  <si>
    <t xml:space="preserve">STK-030</t>
  </si>
  <si>
    <t xml:space="preserve">STK-031</t>
  </si>
  <si>
    <t xml:space="preserve">STK-032</t>
  </si>
  <si>
    <t xml:space="preserve">STK-033</t>
  </si>
  <si>
    <t xml:space="preserve">STK-034</t>
  </si>
  <si>
    <t xml:space="preserve">STK-035</t>
  </si>
  <si>
    <t xml:space="preserve">STK-036</t>
  </si>
  <si>
    <t xml:space="preserve">STK-037</t>
  </si>
  <si>
    <t xml:space="preserve">STK-038</t>
  </si>
  <si>
    <t xml:space="preserve">STK-039</t>
  </si>
  <si>
    <t xml:space="preserve">STK-040</t>
  </si>
  <si>
    <t xml:space="preserve">STK-041</t>
  </si>
  <si>
    <t xml:space="preserve">STK-042</t>
  </si>
  <si>
    <t xml:space="preserve">STK-043</t>
  </si>
  <si>
    <t xml:space="preserve">STK-044</t>
  </si>
  <si>
    <t xml:space="preserve">STK-045</t>
  </si>
  <si>
    <t xml:space="preserve">STK-046</t>
  </si>
  <si>
    <t xml:space="preserve">STK-047</t>
  </si>
  <si>
    <t xml:space="preserve">STK-048</t>
  </si>
  <si>
    <t xml:space="preserve">STK-049</t>
  </si>
  <si>
    <t xml:space="preserve">STK-050</t>
  </si>
  <si>
    <t xml:space="preserve">STK-051</t>
  </si>
  <si>
    <t xml:space="preserve">STK-052</t>
  </si>
  <si>
    <t xml:space="preserve">STK-053</t>
  </si>
  <si>
    <t xml:space="preserve">STK-054</t>
  </si>
  <si>
    <t xml:space="preserve">STK-055</t>
  </si>
  <si>
    <t xml:space="preserve">STK-056</t>
  </si>
  <si>
    <t xml:space="preserve">STK-057</t>
  </si>
  <si>
    <t xml:space="preserve">STK-058</t>
  </si>
  <si>
    <t xml:space="preserve">STK-059</t>
  </si>
  <si>
    <t xml:space="preserve">STK-060</t>
  </si>
  <si>
    <t xml:space="preserve">STK-061</t>
  </si>
  <si>
    <t xml:space="preserve">STK-062</t>
  </si>
  <si>
    <t xml:space="preserve">STK-063</t>
  </si>
  <si>
    <t xml:space="preserve">STK-064</t>
  </si>
  <si>
    <t xml:space="preserve">STK-065</t>
  </si>
  <si>
    <t xml:space="preserve">STK-066</t>
  </si>
  <si>
    <t xml:space="preserve">STK-067</t>
  </si>
  <si>
    <t xml:space="preserve">STK-068</t>
  </si>
  <si>
    <t xml:space="preserve">STK-069</t>
  </si>
  <si>
    <t xml:space="preserve">STK-070</t>
  </si>
  <si>
    <t xml:space="preserve">STK-071</t>
  </si>
  <si>
    <t xml:space="preserve">STK-072</t>
  </si>
  <si>
    <t xml:space="preserve">STK-073</t>
  </si>
  <si>
    <t xml:space="preserve">STK-074</t>
  </si>
  <si>
    <t xml:space="preserve">STK-075</t>
  </si>
  <si>
    <t xml:space="preserve">STK-076</t>
  </si>
  <si>
    <t xml:space="preserve">STK-077</t>
  </si>
  <si>
    <t xml:space="preserve">STK-078</t>
  </si>
  <si>
    <t xml:space="preserve">STK-079</t>
  </si>
  <si>
    <t xml:space="preserve">STK-080</t>
  </si>
  <si>
    <t xml:space="preserve">STK-081</t>
  </si>
  <si>
    <t xml:space="preserve">STK-082</t>
  </si>
  <si>
    <t xml:space="preserve">STK-083</t>
  </si>
  <si>
    <t xml:space="preserve">STK-084</t>
  </si>
  <si>
    <t xml:space="preserve">STK-085</t>
  </si>
  <si>
    <t xml:space="preserve">STK-086</t>
  </si>
  <si>
    <t xml:space="preserve">STK-087</t>
  </si>
  <si>
    <t xml:space="preserve">STK-088</t>
  </si>
  <si>
    <t xml:space="preserve">STK-089</t>
  </si>
  <si>
    <t xml:space="preserve">STK-090</t>
  </si>
  <si>
    <t xml:space="preserve">STK-091</t>
  </si>
  <si>
    <t xml:space="preserve">STK-092</t>
  </si>
  <si>
    <t xml:space="preserve">STK-093</t>
  </si>
  <si>
    <t xml:space="preserve">STK-094</t>
  </si>
  <si>
    <t xml:space="preserve">STK-095</t>
  </si>
  <si>
    <t xml:space="preserve">STK-096</t>
  </si>
  <si>
    <t xml:space="preserve">STK-097</t>
  </si>
  <si>
    <t xml:space="preserve">STK-098</t>
  </si>
  <si>
    <t xml:space="preserve">STK-099</t>
  </si>
  <si>
    <t xml:space="preserve">STK-100</t>
  </si>
  <si>
    <t xml:space="preserve">STK-101</t>
  </si>
  <si>
    <t xml:space="preserve">STK-102</t>
  </si>
  <si>
    <t xml:space="preserve">STK-103</t>
  </si>
  <si>
    <t xml:space="preserve">STK-104</t>
  </si>
  <si>
    <t xml:space="preserve">STK-105</t>
  </si>
  <si>
    <t xml:space="preserve">STK-106</t>
  </si>
  <si>
    <t xml:space="preserve">STK-107</t>
  </si>
  <si>
    <t xml:space="preserve">STK-108</t>
  </si>
  <si>
    <t xml:space="preserve">STK-109</t>
  </si>
  <si>
    <t xml:space="preserve">STK-110</t>
  </si>
  <si>
    <t xml:space="preserve">STK-111</t>
  </si>
  <si>
    <t xml:space="preserve">STK-112</t>
  </si>
  <si>
    <t xml:space="preserve">STK-113</t>
  </si>
  <si>
    <t xml:space="preserve">STK-114</t>
  </si>
  <si>
    <t xml:space="preserve">STK-115</t>
  </si>
  <si>
    <t xml:space="preserve">STK-116</t>
  </si>
  <si>
    <t xml:space="preserve">STK-117</t>
  </si>
  <si>
    <t xml:space="preserve">STK-118</t>
  </si>
  <si>
    <t xml:space="preserve">STK-119</t>
  </si>
  <si>
    <t xml:space="preserve">STK-120</t>
  </si>
  <si>
    <t xml:space="preserve">STK-121</t>
  </si>
  <si>
    <t xml:space="preserve">STK-122</t>
  </si>
  <si>
    <t xml:space="preserve">STK-123</t>
  </si>
  <si>
    <t xml:space="preserve">STK-124</t>
  </si>
  <si>
    <t xml:space="preserve">STK-125</t>
  </si>
  <si>
    <t xml:space="preserve">STK-126</t>
  </si>
  <si>
    <t xml:space="preserve">STK-127</t>
  </si>
  <si>
    <t xml:space="preserve">STK-128</t>
  </si>
  <si>
    <t xml:space="preserve">STK-129</t>
  </si>
  <si>
    <t xml:space="preserve">STK-130</t>
  </si>
  <si>
    <t xml:space="preserve">STK-131</t>
  </si>
  <si>
    <t xml:space="preserve">STK-132</t>
  </si>
  <si>
    <t xml:space="preserve">STK-133</t>
  </si>
  <si>
    <t xml:space="preserve">STK-134</t>
  </si>
  <si>
    <t xml:space="preserve">STK-135</t>
  </si>
  <si>
    <t xml:space="preserve">STK-136</t>
  </si>
  <si>
    <t xml:space="preserve">STK-137</t>
  </si>
  <si>
    <t xml:space="preserve">STK-138</t>
  </si>
  <si>
    <t xml:space="preserve">STK-139</t>
  </si>
  <si>
    <t xml:space="preserve">STK-140</t>
  </si>
  <si>
    <t xml:space="preserve">STK-141</t>
  </si>
  <si>
    <t xml:space="preserve">STK-142</t>
  </si>
  <si>
    <t xml:space="preserve">STK-143</t>
  </si>
  <si>
    <t xml:space="preserve">STK-144</t>
  </si>
  <si>
    <t xml:space="preserve">STK-145</t>
  </si>
  <si>
    <t xml:space="preserve">STK-146</t>
  </si>
  <si>
    <t xml:space="preserve">STK-147</t>
  </si>
  <si>
    <t xml:space="preserve">STK-148</t>
  </si>
  <si>
    <t xml:space="preserve">STK-149</t>
  </si>
  <si>
    <t xml:space="preserve">STK-150</t>
  </si>
  <si>
    <t xml:space="preserve">STK-151</t>
  </si>
  <si>
    <t xml:space="preserve">STK-152</t>
  </si>
  <si>
    <t xml:space="preserve">STK-153</t>
  </si>
  <si>
    <t xml:space="preserve">STK-154</t>
  </si>
  <si>
    <t xml:space="preserve">STK-155</t>
  </si>
  <si>
    <t xml:space="preserve">STK-156</t>
  </si>
  <si>
    <t xml:space="preserve">STK-157</t>
  </si>
  <si>
    <t xml:space="preserve">STK-158</t>
  </si>
  <si>
    <t xml:space="preserve">STK-159</t>
  </si>
  <si>
    <t xml:space="preserve">STK-160</t>
  </si>
  <si>
    <t xml:space="preserve">STK-161</t>
  </si>
  <si>
    <t xml:space="preserve">STK-162</t>
  </si>
  <si>
    <t xml:space="preserve">STK-163</t>
  </si>
  <si>
    <t xml:space="preserve">STK-164</t>
  </si>
  <si>
    <t xml:space="preserve">STK-165</t>
  </si>
  <si>
    <t xml:space="preserve">STK-166</t>
  </si>
  <si>
    <t xml:space="preserve">STK-167</t>
  </si>
  <si>
    <t xml:space="preserve">STK-168</t>
  </si>
  <si>
    <t xml:space="preserve">STK-169</t>
  </si>
  <si>
    <t xml:space="preserve">STK-170</t>
  </si>
  <si>
    <t xml:space="preserve">STK-171</t>
  </si>
  <si>
    <t xml:space="preserve">STK-172</t>
  </si>
  <si>
    <t xml:space="preserve">STK-173</t>
  </si>
  <si>
    <t xml:space="preserve">STK-174</t>
  </si>
  <si>
    <t xml:space="preserve">STK-175</t>
  </si>
  <si>
    <t xml:space="preserve">STK-176</t>
  </si>
  <si>
    <t xml:space="preserve">STK-177</t>
  </si>
  <si>
    <t xml:space="preserve">STK-178</t>
  </si>
  <si>
    <t xml:space="preserve">STK-179</t>
  </si>
  <si>
    <t xml:space="preserve">STK-180</t>
  </si>
  <si>
    <t xml:space="preserve">STK-181</t>
  </si>
  <si>
    <t xml:space="preserve">STK-182</t>
  </si>
  <si>
    <t xml:space="preserve">STK-183</t>
  </si>
  <si>
    <t xml:space="preserve">STK-184</t>
  </si>
  <si>
    <t xml:space="preserve">STK-185</t>
  </si>
  <si>
    <t xml:space="preserve">STK-186</t>
  </si>
  <si>
    <t xml:space="preserve">STK-187</t>
  </si>
  <si>
    <t xml:space="preserve">STK-188</t>
  </si>
  <si>
    <t xml:space="preserve">STK-189</t>
  </si>
  <si>
    <t xml:space="preserve">STK-190</t>
  </si>
  <si>
    <t xml:space="preserve">STK-191</t>
  </si>
  <si>
    <t xml:space="preserve">STK-192</t>
  </si>
  <si>
    <t xml:space="preserve">STK-193</t>
  </si>
  <si>
    <t xml:space="preserve">STK-194</t>
  </si>
  <si>
    <t xml:space="preserve">STK-195</t>
  </si>
  <si>
    <t xml:space="preserve">STK-196</t>
  </si>
  <si>
    <t xml:space="preserve">STK-197</t>
  </si>
  <si>
    <t xml:space="preserve">STK-198</t>
  </si>
  <si>
    <t xml:space="preserve">STK-199</t>
  </si>
  <si>
    <t xml:space="preserve">STK-200</t>
  </si>
  <si>
    <t xml:space="preserve">STK-201</t>
  </si>
  <si>
    <t xml:space="preserve">STK-202</t>
  </si>
  <si>
    <t xml:space="preserve">STK-203</t>
  </si>
  <si>
    <t xml:space="preserve">STK-204</t>
  </si>
  <si>
    <t xml:space="preserve">STK-205</t>
  </si>
  <si>
    <t xml:space="preserve">STK-206</t>
  </si>
  <si>
    <t xml:space="preserve">STK-207</t>
  </si>
  <si>
    <t xml:space="preserve">STK-208</t>
  </si>
  <si>
    <t xml:space="preserve">STK-209</t>
  </si>
  <si>
    <t xml:space="preserve">STK-210</t>
  </si>
  <si>
    <t xml:space="preserve">STK-211</t>
  </si>
  <si>
    <t xml:space="preserve">STK-212</t>
  </si>
  <si>
    <t xml:space="preserve">STK-213</t>
  </si>
  <si>
    <t xml:space="preserve">STK-214</t>
  </si>
  <si>
    <t xml:space="preserve">STK-215</t>
  </si>
  <si>
    <t xml:space="preserve">STK-216</t>
  </si>
  <si>
    <t xml:space="preserve">STK-217</t>
  </si>
  <si>
    <t xml:space="preserve">STK-218</t>
  </si>
  <si>
    <t xml:space="preserve">STK-219</t>
  </si>
  <si>
    <t xml:space="preserve">STK-220</t>
  </si>
  <si>
    <t xml:space="preserve">STK-221</t>
  </si>
  <si>
    <t xml:space="preserve">STK-222</t>
  </si>
  <si>
    <t xml:space="preserve">STK-223</t>
  </si>
  <si>
    <t xml:space="preserve">STK-224</t>
  </si>
  <si>
    <t xml:space="preserve">STK-225</t>
  </si>
  <si>
    <t xml:space="preserve">STK-226</t>
  </si>
  <si>
    <t xml:space="preserve">STK-227</t>
  </si>
  <si>
    <t xml:space="preserve">STK-228</t>
  </si>
  <si>
    <t xml:space="preserve">STK-229</t>
  </si>
  <si>
    <t xml:space="preserve">STK-230</t>
  </si>
  <si>
    <t xml:space="preserve">STK-231</t>
  </si>
  <si>
    <t xml:space="preserve">STK-232</t>
  </si>
  <si>
    <t xml:space="preserve">STK-233</t>
  </si>
  <si>
    <t xml:space="preserve">STK-234</t>
  </si>
  <si>
    <t xml:space="preserve">STK-235</t>
  </si>
  <si>
    <t xml:space="preserve">STK-236</t>
  </si>
  <si>
    <t xml:space="preserve">STK-237</t>
  </si>
  <si>
    <t xml:space="preserve">STK-238</t>
  </si>
  <si>
    <t xml:space="preserve">STK-239</t>
  </si>
  <si>
    <t xml:space="preserve">STK-240</t>
  </si>
  <si>
    <t xml:space="preserve">STK-241</t>
  </si>
  <si>
    <t xml:space="preserve">STK-242</t>
  </si>
  <si>
    <t xml:space="preserve">STK-243</t>
  </si>
  <si>
    <t xml:space="preserve">STK-244</t>
  </si>
  <si>
    <t xml:space="preserve">STK-245</t>
  </si>
  <si>
    <t xml:space="preserve">STK-246</t>
  </si>
  <si>
    <t xml:space="preserve">STK-247</t>
  </si>
  <si>
    <t xml:space="preserve">STK-248</t>
  </si>
  <si>
    <t xml:space="preserve">STK-249</t>
  </si>
  <si>
    <t xml:space="preserve">STK-250</t>
  </si>
  <si>
    <t xml:space="preserve">STK-251</t>
  </si>
  <si>
    <t xml:space="preserve">STK-252</t>
  </si>
  <si>
    <t xml:space="preserve">STK-253</t>
  </si>
  <si>
    <t xml:space="preserve">STK-254</t>
  </si>
  <si>
    <t xml:space="preserve">STK-255</t>
  </si>
  <si>
    <t xml:space="preserve">STK-256</t>
  </si>
  <si>
    <t xml:space="preserve">STK-257</t>
  </si>
  <si>
    <t xml:space="preserve">STK-258</t>
  </si>
  <si>
    <t xml:space="preserve">STK-259</t>
  </si>
  <si>
    <t xml:space="preserve">STK-260</t>
  </si>
  <si>
    <t xml:space="preserve">STK-261</t>
  </si>
  <si>
    <t xml:space="preserve">STK-262</t>
  </si>
  <si>
    <t xml:space="preserve">STK-263</t>
  </si>
  <si>
    <t xml:space="preserve">STK-264</t>
  </si>
  <si>
    <t xml:space="preserve">STK-265</t>
  </si>
  <si>
    <t xml:space="preserve">STK-266</t>
  </si>
  <si>
    <t xml:space="preserve">STK-267</t>
  </si>
  <si>
    <t xml:space="preserve">STK-268</t>
  </si>
  <si>
    <t xml:space="preserve">STK-269</t>
  </si>
  <si>
    <t xml:space="preserve">STK-270</t>
  </si>
  <si>
    <t xml:space="preserve">STK-271</t>
  </si>
  <si>
    <t xml:space="preserve">STK-272</t>
  </si>
  <si>
    <t xml:space="preserve">STK-273</t>
  </si>
  <si>
    <t xml:space="preserve">STK-274</t>
  </si>
  <si>
    <t xml:space="preserve">STK-275</t>
  </si>
  <si>
    <t xml:space="preserve">STK-276</t>
  </si>
  <si>
    <t xml:space="preserve">STK-277</t>
  </si>
  <si>
    <t xml:space="preserve">STK-278</t>
  </si>
  <si>
    <t xml:space="preserve">STK-279</t>
  </si>
  <si>
    <t xml:space="preserve">STK-280</t>
  </si>
  <si>
    <t xml:space="preserve">STK-281</t>
  </si>
  <si>
    <t xml:space="preserve">STK-282</t>
  </si>
  <si>
    <t xml:space="preserve">STK-283</t>
  </si>
  <si>
    <t xml:space="preserve">STK-284</t>
  </si>
  <si>
    <t xml:space="preserve">STK-285</t>
  </si>
  <si>
    <t xml:space="preserve">STK-286</t>
  </si>
  <si>
    <t xml:space="preserve">STK-287</t>
  </si>
  <si>
    <t xml:space="preserve">STK-288</t>
  </si>
  <si>
    <t xml:space="preserve">STK-289</t>
  </si>
  <si>
    <t xml:space="preserve">STK-290</t>
  </si>
  <si>
    <t xml:space="preserve">STK-291</t>
  </si>
  <si>
    <t xml:space="preserve">STK-292</t>
  </si>
  <si>
    <t xml:space="preserve">STK-293</t>
  </si>
  <si>
    <t xml:space="preserve">STK-294</t>
  </si>
  <si>
    <t xml:space="preserve">STK-295</t>
  </si>
  <si>
    <t xml:space="preserve">STK-296</t>
  </si>
  <si>
    <t xml:space="preserve">STK-297</t>
  </si>
  <si>
    <t xml:space="preserve">STK-298</t>
  </si>
  <si>
    <t xml:space="preserve">STK-299</t>
  </si>
  <si>
    <t xml:space="preserve">STK-300</t>
  </si>
  <si>
    <t xml:space="preserve">Dropdown lists — edit or extend values here (keep entries within the shaded block).</t>
  </si>
  <si>
    <t xml:space="preserve">YesNo</t>
  </si>
  <si>
    <t xml:space="preserve">YesNoUnknown</t>
  </si>
  <si>
    <t xml:space="preserve">TaskStatus</t>
  </si>
  <si>
    <t xml:space="preserve">MeetingType</t>
  </si>
  <si>
    <t xml:space="preserve">EmailCategory</t>
  </si>
  <si>
    <t xml:space="preserve">ResponseStatus</t>
  </si>
  <si>
    <t xml:space="preserve">TaskSource</t>
  </si>
  <si>
    <t xml:space="preserve">GoalStatus</t>
  </si>
  <si>
    <t xml:space="preserve">DevType</t>
  </si>
  <si>
    <t xml:space="preserve">Impact</t>
  </si>
  <si>
    <t xml:space="preserve">RiskDimension</t>
  </si>
  <si>
    <t xml:space="preserve">RAF</t>
  </si>
  <si>
    <t xml:space="preserve">AssetType</t>
  </si>
  <si>
    <t xml:space="preserve">DiscoverySource</t>
  </si>
  <si>
    <t xml:space="preserve">Confidence</t>
  </si>
  <si>
    <t xml:space="preserve">FindingStatus</t>
  </si>
  <si>
    <t xml:space="preserve">Confidentiality</t>
  </si>
  <si>
    <t xml:space="preserve">RACI</t>
  </si>
  <si>
    <t xml:space="preserve">Channel</t>
  </si>
  <si>
    <t xml:space="preserve">PhaseStatus</t>
  </si>
  <si>
    <t xml:space="preserve">Remediation SLA (days)</t>
  </si>
  <si>
    <t xml:space="preserve">Inbound</t>
  </si>
  <si>
    <t xml:space="preserve">Milestone</t>
  </si>
  <si>
    <t xml:space="preserve">Operational</t>
  </si>
  <si>
    <t xml:space="preserve">Within Appetite</t>
  </si>
  <si>
    <t xml:space="preserve">Domain</t>
  </si>
  <si>
    <t xml:space="preserve">Internal</t>
  </si>
  <si>
    <t xml:space="preserve">Supportive</t>
  </si>
  <si>
    <t xml:space="preserve">Evidence Submission</t>
  </si>
  <si>
    <t xml:space="preserve">Responded</t>
  </si>
  <si>
    <t xml:space="preserve">Decision</t>
  </si>
  <si>
    <t xml:space="preserve">Within Tolerance</t>
  </si>
  <si>
    <t xml:space="preserve">Vulnerability Scanner</t>
  </si>
  <si>
    <t xml:space="preserve">Accountable</t>
  </si>
  <si>
    <t xml:space="preserve">Teams / Chat</t>
  </si>
  <si>
    <t xml:space="preserve">3LoD</t>
  </si>
  <si>
    <t xml:space="preserve">Status Update</t>
  </si>
  <si>
    <t xml:space="preserve">Escalated</t>
  </si>
  <si>
    <t xml:space="preserve">EASM Finding</t>
  </si>
  <si>
    <t xml:space="preserve">Key Finding</t>
  </si>
  <si>
    <t xml:space="preserve">Regulatory</t>
  </si>
  <si>
    <t xml:space="preserve">Breach - Tolerance</t>
  </si>
  <si>
    <t xml:space="preserve">IP Address / Range</t>
  </si>
  <si>
    <t xml:space="preserve">Threat Intel Feed</t>
  </si>
  <si>
    <t xml:space="preserve">Strictly Confidential</t>
  </si>
  <si>
    <t xml:space="preserve">Consulted</t>
  </si>
  <si>
    <t xml:space="preserve">Resistant</t>
  </si>
  <si>
    <t xml:space="preserve">Exposure Assessment</t>
  </si>
  <si>
    <t xml:space="preserve">Third Party</t>
  </si>
  <si>
    <t xml:space="preserve">Challenge / Pushback</t>
  </si>
  <si>
    <t xml:space="preserve">Closed</t>
  </si>
  <si>
    <t xml:space="preserve">Development</t>
  </si>
  <si>
    <t xml:space="preserve">Escalation</t>
  </si>
  <si>
    <t xml:space="preserve">Financial</t>
  </si>
  <si>
    <t xml:space="preserve">Breach - Appetite</t>
  </si>
  <si>
    <t xml:space="preserve">Web Application</t>
  </si>
  <si>
    <t xml:space="preserve">Certificate Transparency</t>
  </si>
  <si>
    <t xml:space="preserve">Informed</t>
  </si>
  <si>
    <t xml:space="preserve">Phone</t>
  </si>
  <si>
    <t xml:space="preserve">Delayed</t>
  </si>
  <si>
    <t xml:space="preserve">Cloud Exposure</t>
  </si>
  <si>
    <t xml:space="preserve">No Action Required</t>
  </si>
  <si>
    <t xml:space="preserve">Goal</t>
  </si>
  <si>
    <t xml:space="preserve">Reputational</t>
  </si>
  <si>
    <t xml:space="preserve">API Endpoint</t>
  </si>
  <si>
    <t xml:space="preserve">Passive DNS</t>
  </si>
  <si>
    <t xml:space="preserve">Formal Memo</t>
  </si>
  <si>
    <t xml:space="preserve">Shadow IT</t>
  </si>
  <si>
    <t xml:space="preserve">Decision / Approval</t>
  </si>
  <si>
    <t xml:space="preserve">Risk Acceptance</t>
  </si>
  <si>
    <t xml:space="preserve">Third-Party</t>
  </si>
  <si>
    <t xml:space="preserve">Exposed Service / Port</t>
  </si>
  <si>
    <t xml:space="preserve">Bug Bounty / Disclosure</t>
  </si>
  <si>
    <t xml:space="preserve">Third-Party / Supply Chain</t>
  </si>
  <si>
    <t xml:space="preserve">Vendor Communication</t>
  </si>
  <si>
    <t xml:space="preserve">Regulatory / Supervisory</t>
  </si>
  <si>
    <t xml:space="preserve">Cloud Resource</t>
  </si>
  <si>
    <t xml:space="preserve">Manual OSINT</t>
  </si>
  <si>
    <t xml:space="preserve">Assumption: default SLA values for illustration only — align to the bank's Vulnerability Management Standard before use.</t>
  </si>
  <si>
    <t xml:space="preserve">Brand &amp; Domain Monitoring</t>
  </si>
  <si>
    <t xml:space="preserve">FYI</t>
  </si>
  <si>
    <t xml:space="preserve">Lesson Learned</t>
  </si>
  <si>
    <t xml:space="preserve">TLS Certificate</t>
  </si>
  <si>
    <t xml:space="preserve">1LoD Disclosure</t>
  </si>
  <si>
    <t xml:space="preserve">Credential &amp; Data Leakage</t>
  </si>
  <si>
    <t xml:space="preserve">Code Repository</t>
  </si>
  <si>
    <t xml:space="preserve">Third-Party Notification</t>
  </si>
  <si>
    <t xml:space="preserve">Remediation Oversight</t>
  </si>
  <si>
    <t xml:space="preserve">Mobile App</t>
  </si>
  <si>
    <t xml:space="preserve">Reporting &amp; RAF</t>
  </si>
  <si>
    <t xml:space="preserve">Email Infrastructure</t>
  </si>
  <si>
    <t xml:space="preserve">Third-Party Hosted Asset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</si>
</sst>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yy"/>
    <numFmt numFmtId="166" formatCode="0"/>
    <numFmt numFmtId="167" formatCode="General"/>
    <numFmt numFmtId="168" formatCode="0%"/>
    <numFmt numFmtId="169" formatCode="0.0"/>
    <numFmt numFmtId="170" formatCode="hh:mm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9"/>
      <color rgb="FF7F7F7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1"/>
      <color rgb="FF1F3864"/>
      <name val="Arial"/>
      <family val="0"/>
      <charset val="1"/>
    </font>
    <font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BEA"/>
        <bgColor rgb="FFF9F9F9"/>
      </patternFill>
    </fill>
    <fill>
      <patternFill patternType="solid">
        <fgColor rgb="FFEDEDED"/>
        <bgColor rgb="FFF9F9F9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2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2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2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2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ont>
        <b val="1"/>
        <color rgb="FFFFFFFF"/>
      </font>
      <fill>
        <patternFill>
          <bgColor rgb="FFC00000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D9D9D9"/>
        </patternFill>
      </fill>
    </dxf>
    <dxf>
      <fill>
        <patternFill>
          <bgColor rgb="FFF8CBAD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BEA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FE699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ont>
        <b val="1"/>
      </font>
      <fill>
        <patternFill>
          <bgColor rgb="FFF8CBAD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C0504D"/>
      <rgbColor rgb="FFFFFBEA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6EFCE"/>
      <rgbColor rgb="FFFFE699"/>
      <rgbColor rgb="FF99CCFF"/>
      <rgbColor rgb="FFFF99CC"/>
      <rgbColor rgb="FFCC99FF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Dashboard!E4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Dashboard!$D$5:$D$10</c:f>
              <c:strCache>
                <c:ptCount val="6"/>
                <c:pt idx="0">
                  <c:v>Not Started</c:v>
                </c:pt>
                <c:pt idx="1">
                  <c:v>In Progress</c:v>
                </c:pt>
                <c:pt idx="2">
                  <c:v>Blocked</c:v>
                </c:pt>
                <c:pt idx="3">
                  <c:v>On Hold</c:v>
                </c:pt>
                <c:pt idx="4">
                  <c:v>Completed</c:v>
                </c:pt>
                <c:pt idx="5">
                  <c:v>Cancelled</c:v>
                </c:pt>
              </c:strCache>
            </c:strRef>
          </c:cat>
          <c:val>
            <c:numRef>
              <c:f>Dashboard!$E$5:$E$10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25662150"/>
        <c:axId val="61828590"/>
      </c:barChart>
      <c:catAx>
        <c:axId val="256621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28590"/>
        <c:crosses val="autoZero"/>
        <c:auto val="1"/>
        <c:lblAlgn val="ctr"/>
        <c:lblOffset val="100"/>
        <c:noMultiLvlLbl val="0"/>
      </c:catAx>
      <c:valAx>
        <c:axId val="6182859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621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Findings by Severity (total vs open)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Dashboard!E12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Dashboard!$D$13:$D$17</c:f>
              <c:strCache>
                <c:ptCount val="5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  <c:pt idx="4">
                  <c:v>Informational</c:v>
                </c:pt>
              </c:strCache>
            </c:strRef>
          </c:cat>
          <c:val>
            <c:numRef>
              <c:f>Dashboard!$E$13:$E$17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Dashboard!F12</c:f>
              <c:strCache>
                <c:ptCount val="1"/>
                <c:pt idx="0">
                  <c:v>Open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Dashboard!$D$13:$D$17</c:f>
              <c:strCache>
                <c:ptCount val="5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  <c:pt idx="4">
                  <c:v>Informational</c:v>
                </c:pt>
              </c:strCache>
            </c:strRef>
          </c:cat>
          <c:val>
            <c:numRef>
              <c:f>Dashboard!$F$13:$F$17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40764922"/>
        <c:axId val="59841195"/>
      </c:barChart>
      <c:catAx>
        <c:axId val="407649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841195"/>
        <c:crosses val="autoZero"/>
        <c:auto val="1"/>
        <c:lblAlgn val="ctr"/>
        <c:lblOffset val="100"/>
        <c:noMultiLvlLbl val="0"/>
      </c:catAx>
      <c:valAx>
        <c:axId val="598411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7649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Findings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Dashboard!E19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Dashboard!$D$20:$D$26</c:f>
              <c:strCache>
                <c:ptCount val="7"/>
                <c:pt idx="0">
                  <c:v>New</c:v>
                </c:pt>
                <c:pt idx="1">
                  <c:v>Validating</c:v>
                </c:pt>
                <c:pt idx="2">
                  <c:v>Confirmed</c:v>
                </c:pt>
                <c:pt idx="3">
                  <c:v>Remediation In Progress</c:v>
                </c:pt>
                <c:pt idx="4">
                  <c:v>Remediated</c:v>
                </c:pt>
                <c:pt idx="5">
                  <c:v>Risk Accepted</c:v>
                </c:pt>
                <c:pt idx="6">
                  <c:v>False Positive</c:v>
                </c:pt>
              </c:strCache>
            </c:strRef>
          </c:cat>
          <c:val>
            <c:numRef>
              <c:f>Dashboard!$E$20:$E$26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41103239"/>
        <c:axId val="29486907"/>
      </c:barChart>
      <c:catAx>
        <c:axId val="41103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86907"/>
        <c:crosses val="autoZero"/>
        <c:auto val="1"/>
        <c:lblAlgn val="ctr"/>
        <c:lblOffset val="100"/>
        <c:noMultiLvlLbl val="0"/>
      </c:catAx>
      <c:valAx>
        <c:axId val="294869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1032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131040</xdr:rowOff>
    </xdr:from>
    <xdr:to>
      <xdr:col>14</xdr:col>
      <xdr:colOff>383760</xdr:colOff>
      <xdr:row>15</xdr:row>
      <xdr:rowOff>174240</xdr:rowOff>
    </xdr:to>
    <xdr:graphicFrame>
      <xdr:nvGraphicFramePr>
        <xdr:cNvPr id="0" name="Chart 1"/>
        <xdr:cNvGraphicFramePr/>
      </xdr:nvGraphicFramePr>
      <xdr:xfrm>
        <a:off x="8176320" y="571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130680</xdr:rowOff>
    </xdr:from>
    <xdr:to>
      <xdr:col>14</xdr:col>
      <xdr:colOff>383760</xdr:colOff>
      <xdr:row>30</xdr:row>
      <xdr:rowOff>173880</xdr:rowOff>
    </xdr:to>
    <xdr:graphicFrame>
      <xdr:nvGraphicFramePr>
        <xdr:cNvPr id="1" name="Chart 2"/>
        <xdr:cNvGraphicFramePr/>
      </xdr:nvGraphicFramePr>
      <xdr:xfrm>
        <a:off x="8176320" y="342900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32</xdr:row>
      <xdr:rowOff>131040</xdr:rowOff>
    </xdr:from>
    <xdr:to>
      <xdr:col>14</xdr:col>
      <xdr:colOff>383760</xdr:colOff>
      <xdr:row>45</xdr:row>
      <xdr:rowOff>174240</xdr:rowOff>
    </xdr:to>
    <xdr:graphicFrame>
      <xdr:nvGraphicFramePr>
        <xdr:cNvPr id="2" name="Chart 3"/>
        <xdr:cNvGraphicFramePr/>
      </xdr:nvGraphicFramePr>
      <xdr:xfrm>
        <a:off x="8176320" y="6286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5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6" t="s">
        <v>5</v>
      </c>
      <c r="B6" s="5" t="s">
        <v>6</v>
      </c>
    </row>
    <row r="7" customFormat="false" ht="15" hidden="false" customHeight="false" outlineLevel="0" collapsed="false">
      <c r="A7" s="7" t="s">
        <v>7</v>
      </c>
      <c r="B7" s="5" t="s">
        <v>8</v>
      </c>
    </row>
    <row r="8" customFormat="false" ht="15" hidden="false" customHeight="false" outlineLevel="0" collapsed="false">
      <c r="A8" s="8" t="s">
        <v>9</v>
      </c>
      <c r="B8" s="5" t="s">
        <v>10</v>
      </c>
    </row>
    <row r="9" customFormat="false" ht="15" hidden="false" customHeight="false" outlineLevel="0" collapsed="false">
      <c r="A9" s="8" t="s">
        <v>11</v>
      </c>
      <c r="B9" s="5" t="s">
        <v>12</v>
      </c>
    </row>
    <row r="10" customFormat="false" ht="15" hidden="false" customHeight="false" outlineLevel="0" collapsed="false">
      <c r="A10" s="3" t="s">
        <v>13</v>
      </c>
    </row>
    <row r="11" customFormat="false" ht="23.85" hidden="false" customHeight="false" outlineLevel="0" collapsed="false">
      <c r="A11" s="8" t="s">
        <v>14</v>
      </c>
      <c r="B11" s="5" t="s">
        <v>15</v>
      </c>
    </row>
    <row r="12" customFormat="false" ht="15" hidden="false" customHeight="false" outlineLevel="0" collapsed="false">
      <c r="A12" s="8" t="s">
        <v>16</v>
      </c>
      <c r="B12" s="5" t="s">
        <v>17</v>
      </c>
    </row>
    <row r="13" customFormat="false" ht="15" hidden="false" customHeight="false" outlineLevel="0" collapsed="false">
      <c r="A13" s="8" t="s">
        <v>18</v>
      </c>
      <c r="B13" s="5" t="s">
        <v>19</v>
      </c>
    </row>
    <row r="14" customFormat="false" ht="15" hidden="false" customHeight="false" outlineLevel="0" collapsed="false">
      <c r="A14" s="8" t="s">
        <v>20</v>
      </c>
      <c r="B14" s="5" t="s">
        <v>21</v>
      </c>
    </row>
    <row r="15" customFormat="false" ht="15" hidden="false" customHeight="false" outlineLevel="0" collapsed="false">
      <c r="A15" s="8" t="s">
        <v>22</v>
      </c>
      <c r="B15" s="5" t="s">
        <v>23</v>
      </c>
    </row>
    <row r="16" customFormat="false" ht="15" hidden="false" customHeight="false" outlineLevel="0" collapsed="false">
      <c r="A16" s="8" t="s">
        <v>24</v>
      </c>
      <c r="B16" s="5" t="s">
        <v>25</v>
      </c>
    </row>
    <row r="17" customFormat="false" ht="23.85" hidden="false" customHeight="false" outlineLevel="0" collapsed="false">
      <c r="A17" s="8" t="s">
        <v>26</v>
      </c>
      <c r="B17" s="5" t="s">
        <v>27</v>
      </c>
    </row>
    <row r="18" customFormat="false" ht="23.85" hidden="false" customHeight="false" outlineLevel="0" collapsed="false">
      <c r="A18" s="8" t="s">
        <v>28</v>
      </c>
      <c r="B18" s="5" t="s">
        <v>29</v>
      </c>
    </row>
    <row r="19" customFormat="false" ht="15" hidden="false" customHeight="false" outlineLevel="0" collapsed="false">
      <c r="A19" s="8" t="s">
        <v>30</v>
      </c>
      <c r="B19" s="5" t="s">
        <v>31</v>
      </c>
    </row>
    <row r="20" customFormat="false" ht="15" hidden="false" customHeight="false" outlineLevel="0" collapsed="false">
      <c r="A20" s="8" t="s">
        <v>32</v>
      </c>
      <c r="B20" s="5" t="s">
        <v>33</v>
      </c>
    </row>
    <row r="21" customFormat="false" ht="15" hidden="false" customHeight="false" outlineLevel="0" collapsed="false">
      <c r="A21" s="3" t="s">
        <v>34</v>
      </c>
    </row>
    <row r="22" customFormat="false" ht="23.85" hidden="false" customHeight="false" outlineLevel="0" collapsed="false">
      <c r="A22" s="8" t="s">
        <v>35</v>
      </c>
      <c r="B22" s="5" t="s">
        <v>36</v>
      </c>
    </row>
    <row r="23" customFormat="false" ht="15" hidden="false" customHeight="false" outlineLevel="0" collapsed="false">
      <c r="A23" s="8" t="s">
        <v>37</v>
      </c>
      <c r="B23" s="5" t="s">
        <v>38</v>
      </c>
    </row>
    <row r="24" customFormat="false" ht="15" hidden="false" customHeight="false" outlineLevel="0" collapsed="false">
      <c r="A24" s="8" t="s">
        <v>39</v>
      </c>
      <c r="B24" s="5" t="s">
        <v>40</v>
      </c>
    </row>
    <row r="25" customFormat="false" ht="23.85" hidden="false" customHeight="false" outlineLevel="0" collapsed="false">
      <c r="A25" s="8" t="s">
        <v>41</v>
      </c>
      <c r="B25" s="5" t="s">
        <v>42</v>
      </c>
    </row>
    <row r="26" customFormat="false" ht="15" hidden="false" customHeight="false" outlineLevel="0" collapsed="false">
      <c r="A26" s="8" t="s">
        <v>43</v>
      </c>
      <c r="B26" s="5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F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4"/>
    <col collapsed="false" customWidth="true" hidden="false" outlineLevel="0" max="4" min="4" style="0" width="30"/>
    <col collapsed="false" customWidth="true" hidden="false" outlineLevel="0" max="6" min="5" style="0" width="12"/>
    <col collapsed="false" customWidth="true" hidden="false" outlineLevel="0" max="7" min="7" style="0" width="4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9" t="s">
        <v>45</v>
      </c>
    </row>
    <row r="2" customFormat="false" ht="15" hidden="false" customHeight="false" outlineLevel="0" collapsed="false">
      <c r="A2" s="10" t="s">
        <v>46</v>
      </c>
      <c r="B2" s="11" t="n">
        <f aca="true">TODAY()</f>
        <v>46314</v>
      </c>
      <c r="D2" s="12" t="s">
        <v>47</v>
      </c>
    </row>
    <row r="4" customFormat="false" ht="15" hidden="false" customHeight="false" outlineLevel="0" collapsed="false">
      <c r="A4" s="13" t="s">
        <v>48</v>
      </c>
      <c r="B4" s="14"/>
      <c r="D4" s="13" t="s">
        <v>49</v>
      </c>
      <c r="E4" s="13" t="s">
        <v>50</v>
      </c>
    </row>
    <row r="5" customFormat="false" ht="15" hidden="false" customHeight="false" outlineLevel="0" collapsed="false">
      <c r="A5" s="15" t="s">
        <v>51</v>
      </c>
      <c r="B5" s="16" t="n">
        <f aca="false">'Mission Charter'!B11</f>
        <v>18</v>
      </c>
      <c r="D5" s="15" t="s">
        <v>52</v>
      </c>
      <c r="E5" s="17" t="n">
        <f aca="false">COUNTIFS(Tasks!$F$5:$F$304,"&lt;&gt;",Tasks!$K$5:$K$304,D5)</f>
        <v>0</v>
      </c>
    </row>
    <row r="6" customFormat="false" ht="15" hidden="false" customHeight="false" outlineLevel="0" collapsed="false">
      <c r="A6" s="15" t="s">
        <v>53</v>
      </c>
      <c r="B6" s="16" t="n">
        <f aca="false">'Mission Charter'!B12</f>
        <v>163</v>
      </c>
      <c r="D6" s="15" t="s">
        <v>54</v>
      </c>
      <c r="E6" s="17" t="n">
        <f aca="false">COUNTIFS(Tasks!$F$5:$F$304,"&lt;&gt;",Tasks!$K$5:$K$304,D6)</f>
        <v>1</v>
      </c>
    </row>
    <row r="7" customFormat="false" ht="15" hidden="false" customHeight="false" outlineLevel="0" collapsed="false">
      <c r="A7" s="15" t="s">
        <v>55</v>
      </c>
      <c r="B7" s="18" t="n">
        <f aca="false">'Mission Charter'!B13</f>
        <v>0.0994475138121547</v>
      </c>
      <c r="D7" s="15" t="s">
        <v>56</v>
      </c>
      <c r="E7" s="17" t="n">
        <f aca="false">COUNTIFS(Tasks!$F$5:$F$304,"&lt;&gt;",Tasks!$K$5:$K$304,D7)</f>
        <v>0</v>
      </c>
    </row>
    <row r="8" customFormat="false" ht="15" hidden="false" customHeight="false" outlineLevel="0" collapsed="false">
      <c r="D8" s="15" t="s">
        <v>57</v>
      </c>
      <c r="E8" s="17" t="n">
        <f aca="false">COUNTIFS(Tasks!$F$5:$F$304,"&lt;&gt;",Tasks!$K$5:$K$304,D8)</f>
        <v>0</v>
      </c>
    </row>
    <row r="9" customFormat="false" ht="15" hidden="false" customHeight="false" outlineLevel="0" collapsed="false">
      <c r="A9" s="13" t="s">
        <v>58</v>
      </c>
      <c r="B9" s="14"/>
      <c r="D9" s="15" t="s">
        <v>59</v>
      </c>
      <c r="E9" s="17" t="n">
        <f aca="false">COUNTIFS(Tasks!$F$5:$F$304,"&lt;&gt;",Tasks!$K$5:$K$304,D9)</f>
        <v>0</v>
      </c>
    </row>
    <row r="10" customFormat="false" ht="15" hidden="false" customHeight="false" outlineLevel="0" collapsed="false">
      <c r="A10" s="15" t="s">
        <v>60</v>
      </c>
      <c r="B10" s="16" t="n">
        <f aca="false">COUNTA(Meetings!$G$5:$G$304)</f>
        <v>1</v>
      </c>
      <c r="D10" s="15" t="s">
        <v>61</v>
      </c>
      <c r="E10" s="17" t="n">
        <f aca="false">COUNTIFS(Tasks!$F$5:$F$304,"&lt;&gt;",Tasks!$K$5:$K$304,D10)</f>
        <v>0</v>
      </c>
    </row>
    <row r="11" customFormat="false" ht="15" hidden="false" customHeight="false" outlineLevel="0" collapsed="false">
      <c r="A11" s="15" t="s">
        <v>62</v>
      </c>
      <c r="B11" s="16" t="n">
        <f aca="true">COUNTIFS(Meetings!$G$5:$G$304,"&lt;&gt;",Meetings!$B$5:$B$304,"&gt;="&amp;(TODAY()-30))</f>
        <v>1</v>
      </c>
    </row>
    <row r="12" customFormat="false" ht="15" hidden="false" customHeight="false" outlineLevel="0" collapsed="false">
      <c r="A12" s="15" t="s">
        <v>63</v>
      </c>
      <c r="B12" s="16" t="n">
        <f aca="false">COUNTIF(Meetings!$T$5:$T$304,"OVERDUE")</f>
        <v>0</v>
      </c>
      <c r="D12" s="13" t="s">
        <v>64</v>
      </c>
      <c r="E12" s="13" t="s">
        <v>50</v>
      </c>
      <c r="F12" s="13" t="s">
        <v>65</v>
      </c>
    </row>
    <row r="13" customFormat="false" ht="15" hidden="false" customHeight="false" outlineLevel="0" collapsed="false">
      <c r="D13" s="15" t="s">
        <v>66</v>
      </c>
      <c r="E13" s="17" t="n">
        <f aca="false">COUNTIFS('EASM Findings'!$E$5:$E$304,"&lt;&gt;",'EASM Findings'!$L$5:$L$304,D13)</f>
        <v>1</v>
      </c>
      <c r="F13" s="17" t="n">
        <f aca="false">COUNTIFS('EASM Findings'!$E$5:$E$304,"&lt;&gt;",'EASM Findings'!$U$5:$U$304,"&lt;&gt;Remediated",'EASM Findings'!$U$5:$U$304,"&lt;&gt;False Positive",'EASM Findings'!$U$5:$U$304,"&lt;&gt;Risk Accepted",'EASM Findings'!$L$5:$L$304,D13)</f>
        <v>1</v>
      </c>
    </row>
    <row r="14" customFormat="false" ht="15" hidden="false" customHeight="false" outlineLevel="0" collapsed="false">
      <c r="A14" s="13" t="s">
        <v>67</v>
      </c>
      <c r="B14" s="14"/>
      <c r="D14" s="15" t="s">
        <v>68</v>
      </c>
      <c r="E14" s="17" t="n">
        <f aca="false">COUNTIFS('EASM Findings'!$E$5:$E$304,"&lt;&gt;",'EASM Findings'!$L$5:$L$304,D14)</f>
        <v>0</v>
      </c>
      <c r="F14" s="17" t="n">
        <f aca="false">COUNTIFS('EASM Findings'!$E$5:$E$304,"&lt;&gt;",'EASM Findings'!$U$5:$U$304,"&lt;&gt;Remediated",'EASM Findings'!$U$5:$U$304,"&lt;&gt;False Positive",'EASM Findings'!$U$5:$U$304,"&lt;&gt;Risk Accepted",'EASM Findings'!$L$5:$L$304,D14)</f>
        <v>0</v>
      </c>
    </row>
    <row r="15" customFormat="false" ht="15" hidden="false" customHeight="false" outlineLevel="0" collapsed="false">
      <c r="A15" s="15" t="s">
        <v>69</v>
      </c>
      <c r="B15" s="16" t="n">
        <f aca="false">COUNTA(Emails!$G$5:$G$304)</f>
        <v>1</v>
      </c>
      <c r="D15" s="15" t="s">
        <v>70</v>
      </c>
      <c r="E15" s="17" t="n">
        <f aca="false">COUNTIFS('EASM Findings'!$E$5:$E$304,"&lt;&gt;",'EASM Findings'!$L$5:$L$304,D15)</f>
        <v>0</v>
      </c>
      <c r="F15" s="17" t="n">
        <f aca="false">COUNTIFS('EASM Findings'!$E$5:$E$304,"&lt;&gt;",'EASM Findings'!$U$5:$U$304,"&lt;&gt;Remediated",'EASM Findings'!$U$5:$U$304,"&lt;&gt;False Positive",'EASM Findings'!$U$5:$U$304,"&lt;&gt;Risk Accepted",'EASM Findings'!$L$5:$L$304,D15)</f>
        <v>0</v>
      </c>
    </row>
    <row r="16" customFormat="false" ht="15" hidden="false" customHeight="false" outlineLevel="0" collapsed="false">
      <c r="A16" s="15" t="s">
        <v>71</v>
      </c>
      <c r="B16" s="16" t="n">
        <f aca="false">COUNTIF(Emails!$O$5:$O$304,"Awaiting Response")</f>
        <v>1</v>
      </c>
      <c r="D16" s="15" t="s">
        <v>72</v>
      </c>
      <c r="E16" s="17" t="n">
        <f aca="false">COUNTIFS('EASM Findings'!$E$5:$E$304,"&lt;&gt;",'EASM Findings'!$L$5:$L$304,D16)</f>
        <v>0</v>
      </c>
      <c r="F16" s="17" t="n">
        <f aca="false">COUNTIFS('EASM Findings'!$E$5:$E$304,"&lt;&gt;",'EASM Findings'!$U$5:$U$304,"&lt;&gt;Remediated",'EASM Findings'!$U$5:$U$304,"&lt;&gt;False Positive",'EASM Findings'!$U$5:$U$304,"&lt;&gt;Risk Accepted",'EASM Findings'!$L$5:$L$304,D16)</f>
        <v>0</v>
      </c>
    </row>
    <row r="17" customFormat="false" ht="15" hidden="false" customHeight="false" outlineLevel="0" collapsed="false">
      <c r="A17" s="15" t="s">
        <v>73</v>
      </c>
      <c r="B17" s="16" t="n">
        <f aca="false">COUNTIF(Emails!$R$5:$R$304,"OVERDUE")</f>
        <v>0</v>
      </c>
      <c r="D17" s="15" t="s">
        <v>74</v>
      </c>
      <c r="E17" s="17" t="n">
        <f aca="false">COUNTIFS('EASM Findings'!$E$5:$E$304,"&lt;&gt;",'EASM Findings'!$L$5:$L$304,D17)</f>
        <v>0</v>
      </c>
      <c r="F17" s="17" t="n">
        <f aca="false">COUNTIFS('EASM Findings'!$E$5:$E$304,"&lt;&gt;",'EASM Findings'!$U$5:$U$304,"&lt;&gt;Remediated",'EASM Findings'!$U$5:$U$304,"&lt;&gt;False Positive",'EASM Findings'!$U$5:$U$304,"&lt;&gt;Risk Accepted",'EASM Findings'!$L$5:$L$304,D17)</f>
        <v>0</v>
      </c>
    </row>
    <row r="18" customFormat="false" ht="15" hidden="false" customHeight="false" outlineLevel="0" collapsed="false">
      <c r="A18" s="15" t="s">
        <v>75</v>
      </c>
      <c r="B18" s="19" t="str">
        <f aca="false">IFERROR(AVERAGE(Emails!$Q$5:$Q$304),"-")</f>
        <v>-</v>
      </c>
    </row>
    <row r="19" customFormat="false" ht="15" hidden="false" customHeight="false" outlineLevel="0" collapsed="false">
      <c r="A19" s="15" t="s">
        <v>76</v>
      </c>
      <c r="B19" s="16" t="n">
        <f aca="false">COUNTIF(Emails!$H$5:$H$304,"Escalation")+COUNTIF(Emails!$O$5:$O$304,"Escalated")</f>
        <v>0</v>
      </c>
      <c r="D19" s="13" t="s">
        <v>77</v>
      </c>
      <c r="E19" s="13" t="s">
        <v>50</v>
      </c>
    </row>
    <row r="20" customFormat="false" ht="15" hidden="false" customHeight="false" outlineLevel="0" collapsed="false">
      <c r="D20" s="15" t="s">
        <v>78</v>
      </c>
      <c r="E20" s="17" t="n">
        <f aca="false">COUNTIFS('EASM Findings'!$E$5:$E$304,"&lt;&gt;",'EASM Findings'!$U$5:$U$304,D20)</f>
        <v>0</v>
      </c>
    </row>
    <row r="21" customFormat="false" ht="15" hidden="false" customHeight="false" outlineLevel="0" collapsed="false">
      <c r="A21" s="13" t="s">
        <v>79</v>
      </c>
      <c r="B21" s="14"/>
      <c r="D21" s="15" t="s">
        <v>80</v>
      </c>
      <c r="E21" s="17" t="n">
        <f aca="false">COUNTIFS('EASM Findings'!$E$5:$E$304,"&lt;&gt;",'EASM Findings'!$U$5:$U$304,D21)</f>
        <v>1</v>
      </c>
    </row>
    <row r="22" customFormat="false" ht="15" hidden="false" customHeight="false" outlineLevel="0" collapsed="false">
      <c r="A22" s="15" t="s">
        <v>81</v>
      </c>
      <c r="B22" s="16" t="n">
        <f aca="false">COUNTA(Tasks!$F$5:$F$304)</f>
        <v>1</v>
      </c>
      <c r="D22" s="15" t="s">
        <v>82</v>
      </c>
      <c r="E22" s="17" t="n">
        <f aca="false">COUNTIFS('EASM Findings'!$E$5:$E$304,"&lt;&gt;",'EASM Findings'!$U$5:$U$304,D22)</f>
        <v>0</v>
      </c>
    </row>
    <row r="23" customFormat="false" ht="15" hidden="false" customHeight="false" outlineLevel="0" collapsed="false">
      <c r="A23" s="15" t="s">
        <v>83</v>
      </c>
      <c r="B23" s="16" t="n">
        <f aca="false">COUNTIFS(Tasks!$F$5:$F$304,"&lt;&gt;",Tasks!$K$5:$K$304,"&lt;&gt;Completed",Tasks!$K$5:$K$304,"&lt;&gt;Cancelled")</f>
        <v>1</v>
      </c>
      <c r="D23" s="15" t="s">
        <v>84</v>
      </c>
      <c r="E23" s="17" t="n">
        <f aca="false">COUNTIFS('EASM Findings'!$E$5:$E$304,"&lt;&gt;",'EASM Findings'!$U$5:$U$304,D23)</f>
        <v>0</v>
      </c>
    </row>
    <row r="24" customFormat="false" ht="15" hidden="false" customHeight="false" outlineLevel="0" collapsed="false">
      <c r="A24" s="15" t="s">
        <v>85</v>
      </c>
      <c r="B24" s="16" t="n">
        <f aca="false">COUNTIF(Tasks!$S$5:$S$304,"OVERDUE")</f>
        <v>0</v>
      </c>
      <c r="D24" s="15" t="s">
        <v>86</v>
      </c>
      <c r="E24" s="17" t="n">
        <f aca="false">COUNTIFS('EASM Findings'!$E$5:$E$304,"&lt;&gt;",'EASM Findings'!$U$5:$U$304,D24)</f>
        <v>0</v>
      </c>
    </row>
    <row r="25" customFormat="false" ht="15" hidden="false" customHeight="false" outlineLevel="0" collapsed="false">
      <c r="A25" s="15" t="s">
        <v>87</v>
      </c>
      <c r="B25" s="16" t="n">
        <f aca="false">COUNTIF(Tasks!$S$5:$S$304,"Due*")</f>
        <v>0</v>
      </c>
      <c r="D25" s="15" t="s">
        <v>88</v>
      </c>
      <c r="E25" s="17" t="n">
        <f aca="false">COUNTIFS('EASM Findings'!$E$5:$E$304,"&lt;&gt;",'EASM Findings'!$U$5:$U$304,D25)</f>
        <v>0</v>
      </c>
    </row>
    <row r="26" customFormat="false" ht="15" hidden="false" customHeight="false" outlineLevel="0" collapsed="false">
      <c r="A26" s="15" t="s">
        <v>89</v>
      </c>
      <c r="B26" s="16" t="n">
        <f aca="false">COUNTIF(Tasks!$K$5:$K$304,"Blocked")</f>
        <v>0</v>
      </c>
      <c r="D26" s="15" t="s">
        <v>90</v>
      </c>
      <c r="E26" s="17" t="n">
        <f aca="false">COUNTIFS('EASM Findings'!$E$5:$E$304,"&lt;&gt;",'EASM Findings'!$U$5:$U$304,D26)</f>
        <v>0</v>
      </c>
    </row>
    <row r="27" customFormat="false" ht="15" hidden="false" customHeight="false" outlineLevel="0" collapsed="false">
      <c r="A27" s="15" t="s">
        <v>91</v>
      </c>
      <c r="B27" s="18" t="n">
        <f aca="false">IFERROR(COUNTIF(Tasks!$K$5:$K$304,"Completed")/(COUNTA(Tasks!$F$5:$F$304)-COUNTIF(Tasks!$K$5:$K$304,"Cancelled")),0)</f>
        <v>0</v>
      </c>
    </row>
    <row r="28" customFormat="false" ht="15" hidden="false" customHeight="false" outlineLevel="0" collapsed="false">
      <c r="D28" s="13" t="s">
        <v>92</v>
      </c>
      <c r="E28" s="13" t="s">
        <v>50</v>
      </c>
    </row>
    <row r="29" customFormat="false" ht="15" hidden="false" customHeight="false" outlineLevel="0" collapsed="false">
      <c r="A29" s="13" t="s">
        <v>93</v>
      </c>
      <c r="B29" s="14"/>
      <c r="D29" s="15" t="s">
        <v>94</v>
      </c>
      <c r="E29" s="17" t="n">
        <f aca="false">COUNTIFS('Goals &amp; KPIs'!$B$5:$B$304,"&lt;&gt;",'Goals &amp; KPIs'!$N$5:$N$304,D29)</f>
        <v>1</v>
      </c>
    </row>
    <row r="30" customFormat="false" ht="15" hidden="false" customHeight="false" outlineLevel="0" collapsed="false">
      <c r="A30" s="15" t="s">
        <v>95</v>
      </c>
      <c r="B30" s="16" t="n">
        <f aca="false">COUNTA('Goals &amp; KPIs'!$B$5:$B$304)</f>
        <v>1</v>
      </c>
      <c r="D30" s="15" t="s">
        <v>96</v>
      </c>
      <c r="E30" s="17" t="n">
        <f aca="false">COUNTIFS('Goals &amp; KPIs'!$B$5:$B$304,"&lt;&gt;",'Goals &amp; KPIs'!$N$5:$N$304,D30)</f>
        <v>0</v>
      </c>
    </row>
    <row r="31" customFormat="false" ht="15" hidden="false" customHeight="false" outlineLevel="0" collapsed="false">
      <c r="A31" s="15" t="s">
        <v>97</v>
      </c>
      <c r="B31" s="18" t="n">
        <f aca="false">IFERROR(AVERAGE('Goals &amp; KPIs'!$J$5:$J$304),"-")</f>
        <v>0.242424242424242</v>
      </c>
      <c r="D31" s="15" t="s">
        <v>98</v>
      </c>
      <c r="E31" s="17" t="n">
        <f aca="false">COUNTIFS('Goals &amp; KPIs'!$B$5:$B$304,"&lt;&gt;",'Goals &amp; KPIs'!$N$5:$N$304,D31)</f>
        <v>0</v>
      </c>
    </row>
    <row r="32" customFormat="false" ht="15" hidden="false" customHeight="false" outlineLevel="0" collapsed="false">
      <c r="A32" s="15" t="s">
        <v>99</v>
      </c>
      <c r="B32" s="16" t="n">
        <f aca="false">COUNTIF('Goals &amp; KPIs'!$N$5:$N$304,"At Risk")+COUNTIF('Goals &amp; KPIs'!$N$5:$N$304,"Off Track")</f>
        <v>0</v>
      </c>
      <c r="D32" s="15" t="s">
        <v>100</v>
      </c>
      <c r="E32" s="17" t="n">
        <f aca="false">COUNTIFS('Goals &amp; KPIs'!$B$5:$B$304,"&lt;&gt;",'Goals &amp; KPIs'!$N$5:$N$304,D32)</f>
        <v>0</v>
      </c>
    </row>
    <row r="33" customFormat="false" ht="15" hidden="false" customHeight="false" outlineLevel="0" collapsed="false">
      <c r="A33" s="15" t="s">
        <v>101</v>
      </c>
      <c r="B33" s="16" t="n">
        <f aca="false">COUNTIF('Goals &amp; KPIs'!$N$5:$N$304,"Achieved")</f>
        <v>0</v>
      </c>
      <c r="D33" s="15" t="s">
        <v>102</v>
      </c>
      <c r="E33" s="17" t="n">
        <f aca="false">COUNTIFS('Goals &amp; KPIs'!$B$5:$B$304,"&lt;&gt;",'Goals &amp; KPIs'!$N$5:$N$304,D33)</f>
        <v>0</v>
      </c>
    </row>
    <row r="35" customFormat="false" ht="15" hidden="false" customHeight="false" outlineLevel="0" collapsed="false">
      <c r="A35" s="13" t="s">
        <v>103</v>
      </c>
      <c r="B35" s="14"/>
      <c r="D35" s="13" t="s">
        <v>104</v>
      </c>
      <c r="E35" s="13" t="s">
        <v>50</v>
      </c>
    </row>
    <row r="36" customFormat="false" ht="15" hidden="false" customHeight="false" outlineLevel="0" collapsed="false">
      <c r="A36" s="15" t="s">
        <v>105</v>
      </c>
      <c r="B36" s="16" t="n">
        <f aca="false">COUNTA('EASM Findings'!$E$5:$E$304)</f>
        <v>1</v>
      </c>
      <c r="D36" s="15" t="s">
        <v>106</v>
      </c>
      <c r="E36" s="17" t="n">
        <f aca="false">COUNTIFS(Meetings!$G$5:$G$304,"&lt;&gt;",Meetings!$E$5:$E$304,D36)</f>
        <v>0</v>
      </c>
    </row>
    <row r="37" customFormat="false" ht="15" hidden="false" customHeight="false" outlineLevel="0" collapsed="false">
      <c r="A37" s="15" t="s">
        <v>107</v>
      </c>
      <c r="B37" s="16" t="n">
        <f aca="false">COUNTIFS('EASM Findings'!$E$5:$E$304,"&lt;&gt;",'EASM Findings'!$U$5:$U$304,"&lt;&gt;Remediated",'EASM Findings'!$U$5:$U$304,"&lt;&gt;False Positive",'EASM Findings'!$U$5:$U$304,"&lt;&gt;Risk Accepted")</f>
        <v>1</v>
      </c>
      <c r="D37" s="15" t="s">
        <v>108</v>
      </c>
      <c r="E37" s="17" t="n">
        <f aca="false">COUNTIFS(Meetings!$G$5:$G$304,"&lt;&gt;",Meetings!$E$5:$E$304,D37)</f>
        <v>0</v>
      </c>
    </row>
    <row r="38" customFormat="false" ht="15" hidden="false" customHeight="false" outlineLevel="0" collapsed="false">
      <c r="A38" s="15" t="s">
        <v>109</v>
      </c>
      <c r="B38" s="16" t="n">
        <f aca="false">COUNTIFS('EASM Findings'!$E$5:$E$304,"&lt;&gt;",'EASM Findings'!$U$5:$U$304,"&lt;&gt;Remediated",'EASM Findings'!$U$5:$U$304,"&lt;&gt;False Positive",'EASM Findings'!$U$5:$U$304,"&lt;&gt;Risk Accepted",'EASM Findings'!$L$5:$L$304,"Critical")+COUNTIFS('EASM Findings'!$E$5:$E$304,"&lt;&gt;",'EASM Findings'!$U$5:$U$304,"&lt;&gt;Remediated",'EASM Findings'!$U$5:$U$304,"&lt;&gt;False Positive",'EASM Findings'!$U$5:$U$304,"&lt;&gt;Risk Accepted",'EASM Findings'!$L$5:$L$304,"High")</f>
        <v>1</v>
      </c>
      <c r="D38" s="15" t="s">
        <v>110</v>
      </c>
      <c r="E38" s="17" t="n">
        <f aca="false">COUNTIFS(Meetings!$G$5:$G$304,"&lt;&gt;",Meetings!$E$5:$E$304,D38)</f>
        <v>1</v>
      </c>
    </row>
    <row r="39" customFormat="false" ht="15" hidden="false" customHeight="false" outlineLevel="0" collapsed="false">
      <c r="A39" s="15" t="s">
        <v>111</v>
      </c>
      <c r="B39" s="16" t="n">
        <f aca="false">COUNTIFS('EASM Findings'!$E$5:$E$304,"&lt;&gt;",'EASM Findings'!$U$5:$U$304,"&lt;&gt;Remediated",'EASM Findings'!$U$5:$U$304,"&lt;&gt;False Positive",'EASM Findings'!$U$5:$U$304,"&lt;&gt;Risk Accepted",'EASM Findings'!$M$5:$M$304,"Yes")</f>
        <v>0</v>
      </c>
      <c r="D39" s="15" t="s">
        <v>112</v>
      </c>
      <c r="E39" s="17" t="n">
        <f aca="false">COUNTIFS(Meetings!$G$5:$G$304,"&lt;&gt;",Meetings!$E$5:$E$304,D39)</f>
        <v>0</v>
      </c>
    </row>
    <row r="40" customFormat="false" ht="15" hidden="false" customHeight="false" outlineLevel="0" collapsed="false">
      <c r="A40" s="15" t="s">
        <v>113</v>
      </c>
      <c r="B40" s="16" t="n">
        <f aca="false">COUNTIF('EASM Findings'!$X$5:$X$304,"SLA BREACH")</f>
        <v>0</v>
      </c>
      <c r="D40" s="15" t="s">
        <v>114</v>
      </c>
      <c r="E40" s="17" t="n">
        <f aca="false">COUNTIFS(Meetings!$G$5:$G$304,"&lt;&gt;",Meetings!$E$5:$E$304,D40)</f>
        <v>0</v>
      </c>
    </row>
    <row r="41" customFormat="false" ht="15" hidden="false" customHeight="false" outlineLevel="0" collapsed="false">
      <c r="A41" s="15" t="s">
        <v>115</v>
      </c>
      <c r="B41" s="16" t="n">
        <f aca="false">COUNTIF('EASM Findings'!$I$5:$I$304,"No")</f>
        <v>1</v>
      </c>
      <c r="D41" s="15" t="s">
        <v>116</v>
      </c>
      <c r="E41" s="17" t="n">
        <f aca="false">COUNTIFS(Meetings!$G$5:$G$304,"&lt;&gt;",Meetings!$E$5:$E$304,D41)</f>
        <v>0</v>
      </c>
    </row>
    <row r="42" customFormat="false" ht="15" hidden="false" customHeight="false" outlineLevel="0" collapsed="false">
      <c r="A42" s="15" t="s">
        <v>117</v>
      </c>
      <c r="B42" s="18" t="n">
        <f aca="false">IFERROR(COUNTIF('EASM Findings'!$I$5:$I$304,"No")/COUNTA('EASM Findings'!$E$5:$E$304),0)</f>
        <v>1</v>
      </c>
      <c r="D42" s="15" t="s">
        <v>118</v>
      </c>
      <c r="E42" s="17" t="n">
        <f aca="false">COUNTIFS(Meetings!$G$5:$G$304,"&lt;&gt;",Meetings!$E$5:$E$304,D42)</f>
        <v>0</v>
      </c>
    </row>
    <row r="43" customFormat="false" ht="15" hidden="false" customHeight="false" outlineLevel="0" collapsed="false">
      <c r="A43" s="15" t="s">
        <v>119</v>
      </c>
      <c r="B43" s="16" t="n">
        <f aca="false">COUNTIF('EASM Findings'!$U$5:$U$304,"Risk Accepted")</f>
        <v>0</v>
      </c>
      <c r="D43" s="15" t="s">
        <v>120</v>
      </c>
      <c r="E43" s="17" t="n">
        <f aca="false">COUNTIFS(Meetings!$G$5:$G$304,"&lt;&gt;",Meetings!$E$5:$E$304,D43)</f>
        <v>0</v>
      </c>
    </row>
    <row r="44" customFormat="false" ht="15" hidden="false" customHeight="false" outlineLevel="0" collapsed="false">
      <c r="A44" s="15" t="s">
        <v>121</v>
      </c>
      <c r="B44" s="16" t="n">
        <f aca="false">IFERROR(AVERAGE('EASM Findings'!$W$5:$W$304),"-")</f>
        <v>5</v>
      </c>
    </row>
    <row r="45" customFormat="false" ht="15" hidden="false" customHeight="false" outlineLevel="0" collapsed="false">
      <c r="D45" s="13" t="s">
        <v>122</v>
      </c>
      <c r="E45" s="13" t="s">
        <v>50</v>
      </c>
    </row>
    <row r="46" customFormat="false" ht="15" hidden="false" customHeight="false" outlineLevel="0" collapsed="false">
      <c r="A46" s="13" t="s">
        <v>123</v>
      </c>
      <c r="B46" s="14"/>
      <c r="D46" s="15" t="s">
        <v>66</v>
      </c>
      <c r="E46" s="17" t="n">
        <f aca="false">COUNTIFS(Tasks!$F$5:$F$304,"&lt;&gt;",Tasks!$J$5:$J$304,D46,Tasks!$K$5:$K$304,"&lt;&gt;Completed",Tasks!$K$5:$K$304,"&lt;&gt;Cancelled")</f>
        <v>0</v>
      </c>
    </row>
    <row r="47" customFormat="false" ht="15" hidden="false" customHeight="false" outlineLevel="0" collapsed="false">
      <c r="A47" s="15" t="s">
        <v>124</v>
      </c>
      <c r="B47" s="16" t="n">
        <f aca="false">COUNTA(Developments!$E$5:$E$304)</f>
        <v>1</v>
      </c>
      <c r="D47" s="15" t="s">
        <v>68</v>
      </c>
      <c r="E47" s="17" t="n">
        <f aca="false">COUNTIFS(Tasks!$F$5:$F$304,"&lt;&gt;",Tasks!$J$5:$J$304,D47,Tasks!$K$5:$K$304,"&lt;&gt;Completed",Tasks!$K$5:$K$304,"&lt;&gt;Cancelled")</f>
        <v>1</v>
      </c>
    </row>
    <row r="48" customFormat="false" ht="15" hidden="false" customHeight="false" outlineLevel="0" collapsed="false">
      <c r="A48" s="15" t="s">
        <v>125</v>
      </c>
      <c r="B48" s="16" t="n">
        <f aca="true">COUNTIFS(Developments!$E$5:$E$304,"&lt;&gt;",Developments!$B$5:$B$304,"&gt;="&amp;(TODAY()-30))</f>
        <v>1</v>
      </c>
      <c r="D48" s="15" t="s">
        <v>70</v>
      </c>
      <c r="E48" s="17" t="n">
        <f aca="false">COUNTIFS(Tasks!$F$5:$F$304,"&lt;&gt;",Tasks!$J$5:$J$304,D48,Tasks!$K$5:$K$304,"&lt;&gt;Completed",Tasks!$K$5:$K$304,"&lt;&gt;Cancelled")</f>
        <v>0</v>
      </c>
    </row>
    <row r="49" customFormat="false" ht="15" hidden="false" customHeight="false" outlineLevel="0" collapsed="false">
      <c r="A49" s="15" t="s">
        <v>126</v>
      </c>
      <c r="B49" s="16" t="n">
        <f aca="false">COUNTIF(Developments!$P$5:$P$304,"Yes")</f>
        <v>1</v>
      </c>
      <c r="D49" s="15" t="s">
        <v>72</v>
      </c>
      <c r="E49" s="17" t="n">
        <f aca="false">COUNTIFS(Tasks!$F$5:$F$304,"&lt;&gt;",Tasks!$J$5:$J$304,D49,Tasks!$K$5:$K$304,"&lt;&gt;Completed",Tasks!$K$5:$K$304,"&lt;&gt;Cancelled")</f>
        <v>0</v>
      </c>
    </row>
    <row r="50" customFormat="false" ht="15" hidden="false" customHeight="false" outlineLevel="0" collapsed="false">
      <c r="A50" s="15" t="s">
        <v>127</v>
      </c>
      <c r="B50" s="16" t="n">
        <f aca="false">COUNTIF('EASM Findings'!$Q$5:$Q$304,"Breach*")+COUNTIF(Developments!$L$5:$L$304,"Breach*")</f>
        <v>0</v>
      </c>
    </row>
  </sheetData>
  <conditionalFormatting sqref="B12">
    <cfRule type="cellIs" priority="2" operator="greaterThan" aboveAverage="0" equalAverage="0" bottom="0" percent="0" rank="0" text="" dxfId="0">
      <formula>0</formula>
    </cfRule>
  </conditionalFormatting>
  <conditionalFormatting sqref="B17">
    <cfRule type="cellIs" priority="3" operator="greaterThan" aboveAverage="0" equalAverage="0" bottom="0" percent="0" rank="0" text="" dxfId="0">
      <formula>0</formula>
    </cfRule>
  </conditionalFormatting>
  <conditionalFormatting sqref="B24">
    <cfRule type="cellIs" priority="4" operator="greaterThan" aboveAverage="0" equalAverage="0" bottom="0" percent="0" rank="0" text="" dxfId="0">
      <formula>0</formula>
    </cfRule>
  </conditionalFormatting>
  <conditionalFormatting sqref="B38">
    <cfRule type="cellIs" priority="5" operator="greaterThan" aboveAverage="0" equalAverage="0" bottom="0" percent="0" rank="0" text="" dxfId="0">
      <formula>0</formula>
    </cfRule>
  </conditionalFormatting>
  <conditionalFormatting sqref="B39">
    <cfRule type="cellIs" priority="6" operator="greaterThan" aboveAverage="0" equalAverage="0" bottom="0" percent="0" rank="0" text="" dxfId="0">
      <formula>0</formula>
    </cfRule>
  </conditionalFormatting>
  <conditionalFormatting sqref="B40">
    <cfRule type="cellIs" priority="7" operator="greaterThan" aboveAverage="0" equalAverage="0" bottom="0" percent="0" rank="0" text="" dxfId="0">
      <formula>0</formula>
    </cfRule>
  </conditionalFormatting>
  <conditionalFormatting sqref="B50">
    <cfRule type="cellIs" priority="8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0"/>
    <col collapsed="false" customWidth="true" hidden="false" outlineLevel="0" max="7" min="3" style="0" width="16"/>
  </cols>
  <sheetData>
    <row r="1" customFormat="false" ht="19.7" hidden="false" customHeight="false" outlineLevel="0" collapsed="false">
      <c r="A1" s="9" t="s">
        <v>128</v>
      </c>
    </row>
    <row r="2" customFormat="false" ht="15" hidden="false" customHeight="false" outlineLevel="0" collapsed="false">
      <c r="A2" s="2" t="s">
        <v>129</v>
      </c>
    </row>
    <row r="5" customFormat="false" ht="15" hidden="false" customHeight="false" outlineLevel="0" collapsed="false">
      <c r="A5" s="20" t="s">
        <v>130</v>
      </c>
      <c r="B5" s="21" t="s">
        <v>131</v>
      </c>
    </row>
    <row r="6" customFormat="false" ht="15" hidden="false" customHeight="false" outlineLevel="0" collapsed="false">
      <c r="A6" s="20" t="s">
        <v>132</v>
      </c>
      <c r="B6" s="21"/>
    </row>
    <row r="7" customFormat="false" ht="15" hidden="false" customHeight="false" outlineLevel="0" collapsed="false">
      <c r="A7" s="20" t="s">
        <v>133</v>
      </c>
      <c r="B7" s="21"/>
    </row>
    <row r="8" customFormat="false" ht="15" hidden="false" customHeight="false" outlineLevel="0" collapsed="false">
      <c r="A8" s="20" t="s">
        <v>134</v>
      </c>
      <c r="B8" s="21"/>
    </row>
    <row r="9" customFormat="false" ht="15" hidden="false" customHeight="false" outlineLevel="0" collapsed="false">
      <c r="A9" s="20" t="s">
        <v>135</v>
      </c>
      <c r="B9" s="22" t="n">
        <v>46296</v>
      </c>
    </row>
    <row r="10" customFormat="false" ht="15" hidden="false" customHeight="false" outlineLevel="0" collapsed="false">
      <c r="A10" s="20" t="s">
        <v>136</v>
      </c>
      <c r="B10" s="22" t="n">
        <v>46477</v>
      </c>
    </row>
    <row r="11" customFormat="false" ht="15" hidden="false" customHeight="false" outlineLevel="0" collapsed="false">
      <c r="A11" s="20" t="s">
        <v>51</v>
      </c>
      <c r="B11" s="23" t="n">
        <f aca="true">IF(B9="","",TODAY()-B9)</f>
        <v>18</v>
      </c>
    </row>
    <row r="12" customFormat="false" ht="15" hidden="false" customHeight="false" outlineLevel="0" collapsed="false">
      <c r="A12" s="20" t="s">
        <v>53</v>
      </c>
      <c r="B12" s="23" t="n">
        <f aca="true">IF(B10="","",B10-TODAY())</f>
        <v>163</v>
      </c>
    </row>
    <row r="13" customFormat="false" ht="15" hidden="false" customHeight="false" outlineLevel="0" collapsed="false">
      <c r="A13" s="20" t="s">
        <v>55</v>
      </c>
      <c r="B13" s="24" t="n">
        <f aca="true">IF(OR(B9="",B10="",B10=B9),"",MAX(0,MIN(1,(TODAY()-B9)/(B10-B9))))</f>
        <v>0.0994475138121547</v>
      </c>
    </row>
    <row r="14" customFormat="false" ht="45" hidden="false" customHeight="true" outlineLevel="0" collapsed="false">
      <c r="A14" s="20" t="s">
        <v>137</v>
      </c>
      <c r="B14" s="21"/>
    </row>
    <row r="15" customFormat="false" ht="45" hidden="false" customHeight="true" outlineLevel="0" collapsed="false">
      <c r="A15" s="20" t="s">
        <v>138</v>
      </c>
      <c r="B15" s="21"/>
    </row>
    <row r="16" customFormat="false" ht="15" hidden="false" customHeight="false" outlineLevel="0" collapsed="false">
      <c r="A16" s="20" t="s">
        <v>139</v>
      </c>
      <c r="B16" s="21"/>
    </row>
    <row r="17" customFormat="false" ht="45" hidden="false" customHeight="true" outlineLevel="0" collapsed="false">
      <c r="A17" s="20" t="s">
        <v>140</v>
      </c>
      <c r="B17" s="21" t="s">
        <v>141</v>
      </c>
    </row>
    <row r="18" customFormat="false" ht="15" hidden="false" customHeight="false" outlineLevel="0" collapsed="false">
      <c r="A18" s="20" t="s">
        <v>142</v>
      </c>
      <c r="B18" s="21"/>
    </row>
    <row r="19" customFormat="false" ht="15" hidden="false" customHeight="false" outlineLevel="0" collapsed="false">
      <c r="A19" s="20" t="s">
        <v>143</v>
      </c>
      <c r="B19" s="21"/>
    </row>
    <row r="20" customFormat="false" ht="15" hidden="false" customHeight="false" outlineLevel="0" collapsed="false">
      <c r="A20" s="20" t="s">
        <v>144</v>
      </c>
      <c r="B20" s="21"/>
    </row>
    <row r="21" customFormat="false" ht="15" hidden="false" customHeight="false" outlineLevel="0" collapsed="false">
      <c r="A21" s="20" t="s">
        <v>145</v>
      </c>
      <c r="B21" s="21"/>
    </row>
    <row r="22" customFormat="false" ht="45" hidden="false" customHeight="true" outlineLevel="0" collapsed="false">
      <c r="A22" s="20" t="s">
        <v>146</v>
      </c>
      <c r="B22" s="21"/>
    </row>
    <row r="23" customFormat="false" ht="15" hidden="false" customHeight="false" outlineLevel="0" collapsed="false">
      <c r="A23" s="20" t="s">
        <v>147</v>
      </c>
      <c r="B23" s="21"/>
    </row>
    <row r="24" customFormat="false" ht="15" hidden="false" customHeight="false" outlineLevel="0" collapsed="false">
      <c r="A24" s="20" t="s">
        <v>148</v>
      </c>
      <c r="B24" s="21"/>
    </row>
    <row r="26" customFormat="false" ht="16.15" hidden="false" customHeight="false" outlineLevel="0" collapsed="false">
      <c r="A26" s="25" t="s">
        <v>149</v>
      </c>
    </row>
    <row r="27" customFormat="false" ht="15" hidden="false" customHeight="false" outlineLevel="0" collapsed="false">
      <c r="A27" s="26" t="s">
        <v>150</v>
      </c>
      <c r="B27" s="26" t="s">
        <v>151</v>
      </c>
      <c r="C27" s="26" t="s">
        <v>152</v>
      </c>
      <c r="D27" s="26" t="s">
        <v>153</v>
      </c>
      <c r="E27" s="26" t="s">
        <v>154</v>
      </c>
      <c r="F27" s="26" t="s">
        <v>155</v>
      </c>
      <c r="G27" s="26" t="s">
        <v>156</v>
      </c>
    </row>
    <row r="28" customFormat="false" ht="15" hidden="false" customHeight="false" outlineLevel="0" collapsed="false">
      <c r="A28" s="21" t="s">
        <v>157</v>
      </c>
      <c r="B28" s="21" t="s">
        <v>158</v>
      </c>
      <c r="C28" s="22"/>
      <c r="D28" s="22"/>
      <c r="E28" s="22"/>
      <c r="F28" s="21" t="s">
        <v>52</v>
      </c>
      <c r="G28" s="23" t="str">
        <f aca="false">IF(OR(D28="",E28=""),"",E28-D28)</f>
        <v/>
      </c>
    </row>
    <row r="29" customFormat="false" ht="15" hidden="false" customHeight="false" outlineLevel="0" collapsed="false">
      <c r="A29" s="21" t="s">
        <v>159</v>
      </c>
      <c r="B29" s="21" t="s">
        <v>160</v>
      </c>
      <c r="C29" s="22"/>
      <c r="D29" s="22"/>
      <c r="E29" s="22"/>
      <c r="F29" s="21" t="s">
        <v>52</v>
      </c>
      <c r="G29" s="23" t="str">
        <f aca="false">IF(OR(D29="",E29=""),"",E29-D29)</f>
        <v/>
      </c>
    </row>
    <row r="30" customFormat="false" ht="15" hidden="false" customHeight="false" outlineLevel="0" collapsed="false">
      <c r="A30" s="21" t="s">
        <v>161</v>
      </c>
      <c r="B30" s="21" t="s">
        <v>162</v>
      </c>
      <c r="C30" s="22"/>
      <c r="D30" s="22"/>
      <c r="E30" s="22"/>
      <c r="F30" s="21" t="s">
        <v>52</v>
      </c>
      <c r="G30" s="23" t="str">
        <f aca="false">IF(OR(D30="",E30=""),"",E30-D30)</f>
        <v/>
      </c>
    </row>
    <row r="31" customFormat="false" ht="23.85" hidden="false" customHeight="false" outlineLevel="0" collapsed="false">
      <c r="A31" s="21" t="s">
        <v>163</v>
      </c>
      <c r="B31" s="21" t="s">
        <v>164</v>
      </c>
      <c r="C31" s="22"/>
      <c r="D31" s="22"/>
      <c r="E31" s="22"/>
      <c r="F31" s="21" t="s">
        <v>52</v>
      </c>
      <c r="G31" s="23" t="str">
        <f aca="false">IF(OR(D31="",E31=""),"",E31-D31)</f>
        <v/>
      </c>
    </row>
    <row r="32" customFormat="false" ht="15" hidden="false" customHeight="false" outlineLevel="0" collapsed="false">
      <c r="A32" s="21" t="s">
        <v>165</v>
      </c>
      <c r="B32" s="21" t="s">
        <v>166</v>
      </c>
      <c r="C32" s="22"/>
      <c r="D32" s="22"/>
      <c r="E32" s="22"/>
      <c r="F32" s="21" t="s">
        <v>52</v>
      </c>
      <c r="G32" s="23" t="str">
        <f aca="false">IF(OR(D32="",E32=""),"",E32-D32)</f>
        <v/>
      </c>
    </row>
    <row r="33" customFormat="false" ht="15" hidden="false" customHeight="false" outlineLevel="0" collapsed="false">
      <c r="A33" s="21" t="s">
        <v>167</v>
      </c>
      <c r="B33" s="21" t="s">
        <v>168</v>
      </c>
      <c r="C33" s="22"/>
      <c r="D33" s="22"/>
      <c r="E33" s="22"/>
      <c r="F33" s="21" t="s">
        <v>52</v>
      </c>
      <c r="G33" s="23" t="str">
        <f aca="false">IF(OR(D33="",E33=""),"",E33-D33)</f>
        <v/>
      </c>
    </row>
  </sheetData>
  <conditionalFormatting sqref="F28:F33">
    <cfRule type="cellIs" priority="2" operator="equal" aboveAverage="0" equalAverage="0" bottom="0" percent="0" rank="0" text="" dxfId="1">
      <formula>"Completed"</formula>
    </cfRule>
    <cfRule type="cellIs" priority="3" operator="equal" aboveAverage="0" equalAverage="0" bottom="0" percent="0" rank="0" text="" dxfId="1">
      <formula>"Achieved"</formula>
    </cfRule>
    <cfRule type="cellIs" priority="4" operator="equal" aboveAverage="0" equalAverage="0" bottom="0" percent="0" rank="0" text="" dxfId="1">
      <formula>"Remediated"</formula>
    </cfRule>
    <cfRule type="cellIs" priority="5" operator="equal" aboveAverage="0" equalAverage="0" bottom="0" percent="0" rank="0" text="" dxfId="1">
      <formula>"Responded"</formula>
    </cfRule>
    <cfRule type="cellIs" priority="6" operator="equal" aboveAverage="0" equalAverage="0" bottom="0" percent="0" rank="0" text="" dxfId="1">
      <formula>"Closed"</formula>
    </cfRule>
    <cfRule type="cellIs" priority="7" operator="equal" aboveAverage="0" equalAverage="0" bottom="0" percent="0" rank="0" text="" dxfId="2">
      <formula>"In Progress"</formula>
    </cfRule>
    <cfRule type="cellIs" priority="8" operator="equal" aboveAverage="0" equalAverage="0" bottom="0" percent="0" rank="0" text="" dxfId="2">
      <formula>"Remediation In Progress"</formula>
    </cfRule>
    <cfRule type="cellIs" priority="9" operator="equal" aboveAverage="0" equalAverage="0" bottom="0" percent="0" rank="0" text="" dxfId="2">
      <formula>"At Risk"</formula>
    </cfRule>
    <cfRule type="cellIs" priority="10" operator="equal" aboveAverage="0" equalAverage="0" bottom="0" percent="0" rank="0" text="" dxfId="2">
      <formula>"Validating"</formula>
    </cfRule>
    <cfRule type="cellIs" priority="11" operator="equal" aboveAverage="0" equalAverage="0" bottom="0" percent="0" rank="0" text="" dxfId="2">
      <formula>"Awaiting Response"</formula>
    </cfRule>
    <cfRule type="cellIs" priority="12" operator="equal" aboveAverage="0" equalAverage="0" bottom="0" percent="0" rank="0" text="" dxfId="3">
      <formula>"Blocked"</formula>
    </cfRule>
    <cfRule type="cellIs" priority="13" operator="equal" aboveAverage="0" equalAverage="0" bottom="0" percent="0" rank="0" text="" dxfId="3">
      <formula>"Off Track"</formula>
    </cfRule>
    <cfRule type="cellIs" priority="14" operator="equal" aboveAverage="0" equalAverage="0" bottom="0" percent="0" rank="0" text="" dxfId="3">
      <formula>"Escalated"</formula>
    </cfRule>
    <cfRule type="cellIs" priority="15" operator="equal" aboveAverage="0" equalAverage="0" bottom="0" percent="0" rank="0" text="" dxfId="3">
      <formula>"Confirmed"</formula>
    </cfRule>
    <cfRule type="cellIs" priority="16" operator="equal" aboveAverage="0" equalAverage="0" bottom="0" percent="0" rank="0" text="" dxfId="3">
      <formula>"Delayed"</formula>
    </cfRule>
    <cfRule type="cellIs" priority="17" operator="equal" aboveAverage="0" equalAverage="0" bottom="0" percent="0" rank="0" text="" dxfId="4">
      <formula>"Cancelled"</formula>
    </cfRule>
    <cfRule type="cellIs" priority="18" operator="equal" aboveAverage="0" equalAverage="0" bottom="0" percent="0" rank="0" text="" dxfId="4">
      <formula>"False Positive"</formula>
    </cfRule>
    <cfRule type="cellIs" priority="19" operator="equal" aboveAverage="0" equalAverage="0" bottom="0" percent="0" rank="0" text="" dxfId="4">
      <formula>"Deferred"</formula>
    </cfRule>
    <cfRule type="cellIs" priority="20" operator="equal" aboveAverage="0" equalAverage="0" bottom="0" percent="0" rank="0" text="" dxfId="4">
      <formula>"On Hold"</formula>
    </cfRule>
  </conditionalFormatting>
  <conditionalFormatting sqref="G28:G33">
    <cfRule type="cellIs" priority="21" operator="greaterThan" aboveAverage="0" equalAverage="0" bottom="0" percent="0" rank="0" text="" dxfId="5">
      <formula>0</formula>
    </cfRule>
  </conditionalFormatting>
  <dataValidations count="3">
    <dataValidation allowBlank="true" errorStyle="stop" operator="greaterThan" showDropDown="false" showErrorMessage="false" showInputMessage="false" sqref="B9" type="date">
      <formula1>DATE(2000,1,1)</formula1>
      <formula2>0</formula2>
    </dataValidation>
    <dataValidation allowBlank="true" errorStyle="stop" operator="greaterThan" showDropDown="false" showErrorMessage="false" showInputMessage="false" sqref="B10" type="date">
      <formula1>DATE(2000,1,1)</formula1>
      <formula2>0</formula2>
    </dataValidation>
    <dataValidation allowBlank="true" errorStyle="stop" operator="between" showDropDown="false" showErrorMessage="false" showInputMessage="false" sqref="F28:F33" type="list">
      <formula1>Lists!$Y$4:$Y$8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Q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6"/>
    <col collapsed="false" customWidth="true" hidden="false" outlineLevel="0" max="3" min="3" style="0" width="22"/>
    <col collapsed="false" customWidth="true" hidden="false" outlineLevel="0" max="5" min="4" style="0" width="32"/>
    <col collapsed="false" customWidth="true" hidden="false" outlineLevel="0" max="6" min="6" style="0" width="8"/>
    <col collapsed="false" customWidth="true" hidden="false" outlineLevel="0" max="9" min="7" style="0" width="10"/>
    <col collapsed="false" customWidth="true" hidden="false" outlineLevel="0" max="10" min="10" style="0" width="11"/>
    <col collapsed="false" customWidth="true" hidden="false" outlineLevel="0" max="11" min="11" style="0" width="16"/>
    <col collapsed="false" customWidth="true" hidden="false" outlineLevel="0" max="12" min="12" style="0" width="13"/>
    <col collapsed="false" customWidth="true" hidden="false" outlineLevel="0" max="13" min="13" style="0" width="9"/>
    <col collapsed="false" customWidth="true" hidden="false" outlineLevel="0" max="14" min="14" style="0" width="12"/>
    <col collapsed="false" customWidth="true" hidden="false" outlineLevel="0" max="15" min="15" style="0" width="26"/>
    <col collapsed="false" customWidth="true" hidden="false" outlineLevel="0" max="16" min="16" style="0" width="13"/>
    <col collapsed="false" customWidth="true" hidden="false" outlineLevel="0" max="17" min="17" style="0" width="36"/>
  </cols>
  <sheetData>
    <row r="1" customFormat="false" ht="19.7" hidden="false" customHeight="false" outlineLevel="0" collapsed="false">
      <c r="A1" s="9" t="s">
        <v>93</v>
      </c>
    </row>
    <row r="2" customFormat="false" ht="15" hidden="false" customHeight="false" outlineLevel="0" collapsed="false">
      <c r="A2" s="2" t="s">
        <v>169</v>
      </c>
    </row>
    <row r="3" customFormat="false" ht="15" hidden="false" customHeight="false" outlineLevel="0" collapsed="false">
      <c r="A3" s="27" t="s">
        <v>170</v>
      </c>
    </row>
    <row r="4" customFormat="false" ht="42" hidden="false" customHeight="true" outlineLevel="0" collapsed="false">
      <c r="A4" s="28" t="s">
        <v>171</v>
      </c>
      <c r="B4" s="28" t="s">
        <v>172</v>
      </c>
      <c r="C4" s="28" t="s">
        <v>173</v>
      </c>
      <c r="D4" s="28" t="s">
        <v>174</v>
      </c>
      <c r="E4" s="28" t="s">
        <v>175</v>
      </c>
      <c r="F4" s="28" t="s">
        <v>176</v>
      </c>
      <c r="G4" s="28" t="s">
        <v>177</v>
      </c>
      <c r="H4" s="28" t="s">
        <v>178</v>
      </c>
      <c r="I4" s="28" t="s">
        <v>179</v>
      </c>
      <c r="J4" s="28" t="s">
        <v>180</v>
      </c>
      <c r="K4" s="28" t="s">
        <v>181</v>
      </c>
      <c r="L4" s="28" t="s">
        <v>182</v>
      </c>
      <c r="M4" s="28" t="s">
        <v>183</v>
      </c>
      <c r="N4" s="28" t="s">
        <v>155</v>
      </c>
      <c r="O4" s="28" t="s">
        <v>184</v>
      </c>
      <c r="P4" s="28" t="s">
        <v>185</v>
      </c>
      <c r="Q4" s="28" t="s">
        <v>186</v>
      </c>
    </row>
    <row r="5" customFormat="false" ht="35.05" hidden="false" customHeight="false" outlineLevel="0" collapsed="false">
      <c r="A5" s="6" t="s">
        <v>187</v>
      </c>
      <c r="B5" s="29" t="s">
        <v>188</v>
      </c>
      <c r="C5" s="30" t="s">
        <v>189</v>
      </c>
      <c r="D5" s="29" t="s">
        <v>190</v>
      </c>
      <c r="E5" s="29" t="s">
        <v>191</v>
      </c>
      <c r="F5" s="30" t="s">
        <v>192</v>
      </c>
      <c r="G5" s="30" t="n">
        <v>62</v>
      </c>
      <c r="H5" s="30" t="n">
        <v>95</v>
      </c>
      <c r="I5" s="30" t="n">
        <v>70</v>
      </c>
      <c r="J5" s="31" t="n">
        <f aca="false">IF(OR(G5="",H5="",I5=""),"",IF(H5=G5,"",MAX(0,MIN(1,(I5-G5)/(H5-G5)))))</f>
        <v>0.242424242424242</v>
      </c>
      <c r="K5" s="30" t="s">
        <v>193</v>
      </c>
      <c r="L5" s="32" t="n">
        <v>46387</v>
      </c>
      <c r="M5" s="33" t="n">
        <f aca="true">IF(L5="","",L5-TODAY())</f>
        <v>73</v>
      </c>
      <c r="N5" s="30" t="s">
        <v>94</v>
      </c>
      <c r="O5" s="29" t="s">
        <v>194</v>
      </c>
      <c r="P5" s="32" t="n">
        <v>46314</v>
      </c>
      <c r="Q5" s="29" t="s">
        <v>195</v>
      </c>
    </row>
    <row r="6" customFormat="false" ht="15" hidden="false" customHeight="false" outlineLevel="0" collapsed="false">
      <c r="A6" s="6" t="s">
        <v>196</v>
      </c>
      <c r="B6" s="21"/>
      <c r="C6" s="34"/>
      <c r="D6" s="21"/>
      <c r="E6" s="21"/>
      <c r="F6" s="34"/>
      <c r="G6" s="34"/>
      <c r="H6" s="34"/>
      <c r="I6" s="34"/>
      <c r="J6" s="31" t="str">
        <f aca="false">IF(OR(G6="",H6="",I6=""),"",IF(H6=G6,"",MAX(0,MIN(1,(I6-G6)/(H6-G6)))))</f>
        <v/>
      </c>
      <c r="K6" s="34"/>
      <c r="L6" s="35"/>
      <c r="M6" s="33" t="str">
        <f aca="true">IF(L6="","",L6-TODAY())</f>
        <v/>
      </c>
      <c r="N6" s="34"/>
      <c r="O6" s="21"/>
      <c r="P6" s="35"/>
      <c r="Q6" s="21"/>
    </row>
    <row r="7" customFormat="false" ht="15" hidden="false" customHeight="false" outlineLevel="0" collapsed="false">
      <c r="A7" s="6" t="s">
        <v>197</v>
      </c>
      <c r="B7" s="21"/>
      <c r="C7" s="34"/>
      <c r="D7" s="21"/>
      <c r="E7" s="21"/>
      <c r="F7" s="34"/>
      <c r="G7" s="34"/>
      <c r="H7" s="34"/>
      <c r="I7" s="34"/>
      <c r="J7" s="31" t="str">
        <f aca="false">IF(OR(G7="",H7="",I7=""),"",IF(H7=G7,"",MAX(0,MIN(1,(I7-G7)/(H7-G7)))))</f>
        <v/>
      </c>
      <c r="K7" s="34"/>
      <c r="L7" s="35"/>
      <c r="M7" s="33" t="str">
        <f aca="true">IF(L7="","",L7-TODAY())</f>
        <v/>
      </c>
      <c r="N7" s="34"/>
      <c r="O7" s="21"/>
      <c r="P7" s="35"/>
      <c r="Q7" s="21"/>
    </row>
    <row r="8" customFormat="false" ht="15" hidden="false" customHeight="false" outlineLevel="0" collapsed="false">
      <c r="A8" s="6" t="s">
        <v>198</v>
      </c>
      <c r="B8" s="21"/>
      <c r="C8" s="34"/>
      <c r="D8" s="21"/>
      <c r="E8" s="21"/>
      <c r="F8" s="34"/>
      <c r="G8" s="34"/>
      <c r="H8" s="34"/>
      <c r="I8" s="34"/>
      <c r="J8" s="31" t="str">
        <f aca="false">IF(OR(G8="",H8="",I8=""),"",IF(H8=G8,"",MAX(0,MIN(1,(I8-G8)/(H8-G8)))))</f>
        <v/>
      </c>
      <c r="K8" s="34"/>
      <c r="L8" s="35"/>
      <c r="M8" s="33" t="str">
        <f aca="true">IF(L8="","",L8-TODAY())</f>
        <v/>
      </c>
      <c r="N8" s="34"/>
      <c r="O8" s="21"/>
      <c r="P8" s="35"/>
      <c r="Q8" s="21"/>
    </row>
    <row r="9" customFormat="false" ht="15" hidden="false" customHeight="false" outlineLevel="0" collapsed="false">
      <c r="A9" s="6" t="s">
        <v>199</v>
      </c>
      <c r="B9" s="21"/>
      <c r="C9" s="34"/>
      <c r="D9" s="21"/>
      <c r="E9" s="21"/>
      <c r="F9" s="34"/>
      <c r="G9" s="34"/>
      <c r="H9" s="34"/>
      <c r="I9" s="34"/>
      <c r="J9" s="31" t="str">
        <f aca="false">IF(OR(G9="",H9="",I9=""),"",IF(H9=G9,"",MAX(0,MIN(1,(I9-G9)/(H9-G9)))))</f>
        <v/>
      </c>
      <c r="K9" s="34"/>
      <c r="L9" s="35"/>
      <c r="M9" s="33" t="str">
        <f aca="true">IF(L9="","",L9-TODAY())</f>
        <v/>
      </c>
      <c r="N9" s="34"/>
      <c r="O9" s="21"/>
      <c r="P9" s="35"/>
      <c r="Q9" s="21"/>
    </row>
    <row r="10" customFormat="false" ht="15" hidden="false" customHeight="false" outlineLevel="0" collapsed="false">
      <c r="A10" s="6" t="s">
        <v>200</v>
      </c>
      <c r="B10" s="21"/>
      <c r="C10" s="34"/>
      <c r="D10" s="21"/>
      <c r="E10" s="21"/>
      <c r="F10" s="34"/>
      <c r="G10" s="34"/>
      <c r="H10" s="34"/>
      <c r="I10" s="34"/>
      <c r="J10" s="31" t="str">
        <f aca="false">IF(OR(G10="",H10="",I10=""),"",IF(H10=G10,"",MAX(0,MIN(1,(I10-G10)/(H10-G10)))))</f>
        <v/>
      </c>
      <c r="K10" s="34"/>
      <c r="L10" s="35"/>
      <c r="M10" s="33" t="str">
        <f aca="true">IF(L10="","",L10-TODAY())</f>
        <v/>
      </c>
      <c r="N10" s="34"/>
      <c r="O10" s="21"/>
      <c r="P10" s="35"/>
      <c r="Q10" s="21"/>
    </row>
    <row r="11" customFormat="false" ht="15" hidden="false" customHeight="false" outlineLevel="0" collapsed="false">
      <c r="A11" s="6" t="s">
        <v>201</v>
      </c>
      <c r="B11" s="21"/>
      <c r="C11" s="34"/>
      <c r="D11" s="21"/>
      <c r="E11" s="21"/>
      <c r="F11" s="34"/>
      <c r="G11" s="34"/>
      <c r="H11" s="34"/>
      <c r="I11" s="34"/>
      <c r="J11" s="31" t="str">
        <f aca="false">IF(OR(G11="",H11="",I11=""),"",IF(H11=G11,"",MAX(0,MIN(1,(I11-G11)/(H11-G11)))))</f>
        <v/>
      </c>
      <c r="K11" s="34"/>
      <c r="L11" s="35"/>
      <c r="M11" s="33" t="str">
        <f aca="true">IF(L11="","",L11-TODAY())</f>
        <v/>
      </c>
      <c r="N11" s="34"/>
      <c r="O11" s="21"/>
      <c r="P11" s="35"/>
      <c r="Q11" s="21"/>
    </row>
    <row r="12" customFormat="false" ht="15" hidden="false" customHeight="false" outlineLevel="0" collapsed="false">
      <c r="A12" s="6" t="s">
        <v>202</v>
      </c>
      <c r="B12" s="21"/>
      <c r="C12" s="34"/>
      <c r="D12" s="21"/>
      <c r="E12" s="21"/>
      <c r="F12" s="34"/>
      <c r="G12" s="34"/>
      <c r="H12" s="34"/>
      <c r="I12" s="34"/>
      <c r="J12" s="31" t="str">
        <f aca="false">IF(OR(G12="",H12="",I12=""),"",IF(H12=G12,"",MAX(0,MIN(1,(I12-G12)/(H12-G12)))))</f>
        <v/>
      </c>
      <c r="K12" s="34"/>
      <c r="L12" s="35"/>
      <c r="M12" s="33" t="str">
        <f aca="true">IF(L12="","",L12-TODAY())</f>
        <v/>
      </c>
      <c r="N12" s="34"/>
      <c r="O12" s="21"/>
      <c r="P12" s="35"/>
      <c r="Q12" s="21"/>
    </row>
    <row r="13" customFormat="false" ht="15" hidden="false" customHeight="false" outlineLevel="0" collapsed="false">
      <c r="A13" s="6" t="s">
        <v>203</v>
      </c>
      <c r="B13" s="21"/>
      <c r="C13" s="34"/>
      <c r="D13" s="21"/>
      <c r="E13" s="21"/>
      <c r="F13" s="34"/>
      <c r="G13" s="34"/>
      <c r="H13" s="34"/>
      <c r="I13" s="34"/>
      <c r="J13" s="31" t="str">
        <f aca="false">IF(OR(G13="",H13="",I13=""),"",IF(H13=G13,"",MAX(0,MIN(1,(I13-G13)/(H13-G13)))))</f>
        <v/>
      </c>
      <c r="K13" s="34"/>
      <c r="L13" s="35"/>
      <c r="M13" s="33" t="str">
        <f aca="true">IF(L13="","",L13-TODAY())</f>
        <v/>
      </c>
      <c r="N13" s="34"/>
      <c r="O13" s="21"/>
      <c r="P13" s="35"/>
      <c r="Q13" s="21"/>
    </row>
    <row r="14" customFormat="false" ht="15" hidden="false" customHeight="false" outlineLevel="0" collapsed="false">
      <c r="A14" s="6" t="s">
        <v>204</v>
      </c>
      <c r="B14" s="21"/>
      <c r="C14" s="34"/>
      <c r="D14" s="21"/>
      <c r="E14" s="21"/>
      <c r="F14" s="34"/>
      <c r="G14" s="34"/>
      <c r="H14" s="34"/>
      <c r="I14" s="34"/>
      <c r="J14" s="31" t="str">
        <f aca="false">IF(OR(G14="",H14="",I14=""),"",IF(H14=G14,"",MAX(0,MIN(1,(I14-G14)/(H14-G14)))))</f>
        <v/>
      </c>
      <c r="K14" s="34"/>
      <c r="L14" s="35"/>
      <c r="M14" s="33" t="str">
        <f aca="true">IF(L14="","",L14-TODAY())</f>
        <v/>
      </c>
      <c r="N14" s="34"/>
      <c r="O14" s="21"/>
      <c r="P14" s="35"/>
      <c r="Q14" s="21"/>
    </row>
    <row r="15" customFormat="false" ht="15" hidden="false" customHeight="false" outlineLevel="0" collapsed="false">
      <c r="A15" s="6" t="s">
        <v>205</v>
      </c>
      <c r="B15" s="21"/>
      <c r="C15" s="34"/>
      <c r="D15" s="21"/>
      <c r="E15" s="21"/>
      <c r="F15" s="34"/>
      <c r="G15" s="34"/>
      <c r="H15" s="34"/>
      <c r="I15" s="34"/>
      <c r="J15" s="31" t="str">
        <f aca="false">IF(OR(G15="",H15="",I15=""),"",IF(H15=G15,"",MAX(0,MIN(1,(I15-G15)/(H15-G15)))))</f>
        <v/>
      </c>
      <c r="K15" s="34"/>
      <c r="L15" s="35"/>
      <c r="M15" s="33" t="str">
        <f aca="true">IF(L15="","",L15-TODAY())</f>
        <v/>
      </c>
      <c r="N15" s="34"/>
      <c r="O15" s="21"/>
      <c r="P15" s="35"/>
      <c r="Q15" s="21"/>
    </row>
    <row r="16" customFormat="false" ht="15" hidden="false" customHeight="false" outlineLevel="0" collapsed="false">
      <c r="A16" s="6" t="s">
        <v>206</v>
      </c>
      <c r="B16" s="21"/>
      <c r="C16" s="34"/>
      <c r="D16" s="21"/>
      <c r="E16" s="21"/>
      <c r="F16" s="34"/>
      <c r="G16" s="34"/>
      <c r="H16" s="34"/>
      <c r="I16" s="34"/>
      <c r="J16" s="31" t="str">
        <f aca="false">IF(OR(G16="",H16="",I16=""),"",IF(H16=G16,"",MAX(0,MIN(1,(I16-G16)/(H16-G16)))))</f>
        <v/>
      </c>
      <c r="K16" s="34"/>
      <c r="L16" s="35"/>
      <c r="M16" s="33" t="str">
        <f aca="true">IF(L16="","",L16-TODAY())</f>
        <v/>
      </c>
      <c r="N16" s="34"/>
      <c r="O16" s="21"/>
      <c r="P16" s="35"/>
      <c r="Q16" s="21"/>
    </row>
    <row r="17" customFormat="false" ht="15" hidden="false" customHeight="false" outlineLevel="0" collapsed="false">
      <c r="A17" s="6" t="s">
        <v>207</v>
      </c>
      <c r="B17" s="21"/>
      <c r="C17" s="34"/>
      <c r="D17" s="21"/>
      <c r="E17" s="21"/>
      <c r="F17" s="34"/>
      <c r="G17" s="34"/>
      <c r="H17" s="34"/>
      <c r="I17" s="34"/>
      <c r="J17" s="31" t="str">
        <f aca="false">IF(OR(G17="",H17="",I17=""),"",IF(H17=G17,"",MAX(0,MIN(1,(I17-G17)/(H17-G17)))))</f>
        <v/>
      </c>
      <c r="K17" s="34"/>
      <c r="L17" s="35"/>
      <c r="M17" s="33" t="str">
        <f aca="true">IF(L17="","",L17-TODAY())</f>
        <v/>
      </c>
      <c r="N17" s="34"/>
      <c r="O17" s="21"/>
      <c r="P17" s="35"/>
      <c r="Q17" s="21"/>
    </row>
    <row r="18" customFormat="false" ht="15" hidden="false" customHeight="false" outlineLevel="0" collapsed="false">
      <c r="A18" s="6" t="s">
        <v>208</v>
      </c>
      <c r="B18" s="21"/>
      <c r="C18" s="34"/>
      <c r="D18" s="21"/>
      <c r="E18" s="21"/>
      <c r="F18" s="34"/>
      <c r="G18" s="34"/>
      <c r="H18" s="34"/>
      <c r="I18" s="34"/>
      <c r="J18" s="31" t="str">
        <f aca="false">IF(OR(G18="",H18="",I18=""),"",IF(H18=G18,"",MAX(0,MIN(1,(I18-G18)/(H18-G18)))))</f>
        <v/>
      </c>
      <c r="K18" s="34"/>
      <c r="L18" s="35"/>
      <c r="M18" s="33" t="str">
        <f aca="true">IF(L18="","",L18-TODAY())</f>
        <v/>
      </c>
      <c r="N18" s="34"/>
      <c r="O18" s="21"/>
      <c r="P18" s="35"/>
      <c r="Q18" s="21"/>
    </row>
    <row r="19" customFormat="false" ht="15" hidden="false" customHeight="false" outlineLevel="0" collapsed="false">
      <c r="A19" s="6" t="s">
        <v>209</v>
      </c>
      <c r="B19" s="21"/>
      <c r="C19" s="34"/>
      <c r="D19" s="21"/>
      <c r="E19" s="21"/>
      <c r="F19" s="34"/>
      <c r="G19" s="34"/>
      <c r="H19" s="34"/>
      <c r="I19" s="34"/>
      <c r="J19" s="31" t="str">
        <f aca="false">IF(OR(G19="",H19="",I19=""),"",IF(H19=G19,"",MAX(0,MIN(1,(I19-G19)/(H19-G19)))))</f>
        <v/>
      </c>
      <c r="K19" s="34"/>
      <c r="L19" s="35"/>
      <c r="M19" s="33" t="str">
        <f aca="true">IF(L19="","",L19-TODAY())</f>
        <v/>
      </c>
      <c r="N19" s="34"/>
      <c r="O19" s="21"/>
      <c r="P19" s="35"/>
      <c r="Q19" s="21"/>
    </row>
    <row r="20" customFormat="false" ht="15" hidden="false" customHeight="false" outlineLevel="0" collapsed="false">
      <c r="A20" s="6" t="s">
        <v>210</v>
      </c>
      <c r="B20" s="21"/>
      <c r="C20" s="34"/>
      <c r="D20" s="21"/>
      <c r="E20" s="21"/>
      <c r="F20" s="34"/>
      <c r="G20" s="34"/>
      <c r="H20" s="34"/>
      <c r="I20" s="34"/>
      <c r="J20" s="31" t="str">
        <f aca="false">IF(OR(G20="",H20="",I20=""),"",IF(H20=G20,"",MAX(0,MIN(1,(I20-G20)/(H20-G20)))))</f>
        <v/>
      </c>
      <c r="K20" s="34"/>
      <c r="L20" s="35"/>
      <c r="M20" s="33" t="str">
        <f aca="true">IF(L20="","",L20-TODAY())</f>
        <v/>
      </c>
      <c r="N20" s="34"/>
      <c r="O20" s="21"/>
      <c r="P20" s="35"/>
      <c r="Q20" s="21"/>
    </row>
    <row r="21" customFormat="false" ht="15" hidden="false" customHeight="false" outlineLevel="0" collapsed="false">
      <c r="A21" s="6" t="s">
        <v>211</v>
      </c>
      <c r="B21" s="21"/>
      <c r="C21" s="34"/>
      <c r="D21" s="21"/>
      <c r="E21" s="21"/>
      <c r="F21" s="34"/>
      <c r="G21" s="34"/>
      <c r="H21" s="34"/>
      <c r="I21" s="34"/>
      <c r="J21" s="31" t="str">
        <f aca="false">IF(OR(G21="",H21="",I21=""),"",IF(H21=G21,"",MAX(0,MIN(1,(I21-G21)/(H21-G21)))))</f>
        <v/>
      </c>
      <c r="K21" s="34"/>
      <c r="L21" s="35"/>
      <c r="M21" s="33" t="str">
        <f aca="true">IF(L21="","",L21-TODAY())</f>
        <v/>
      </c>
      <c r="N21" s="34"/>
      <c r="O21" s="21"/>
      <c r="P21" s="35"/>
      <c r="Q21" s="21"/>
    </row>
    <row r="22" customFormat="false" ht="15" hidden="false" customHeight="false" outlineLevel="0" collapsed="false">
      <c r="A22" s="6" t="s">
        <v>212</v>
      </c>
      <c r="B22" s="21"/>
      <c r="C22" s="34"/>
      <c r="D22" s="21"/>
      <c r="E22" s="21"/>
      <c r="F22" s="34"/>
      <c r="G22" s="34"/>
      <c r="H22" s="34"/>
      <c r="I22" s="34"/>
      <c r="J22" s="31" t="str">
        <f aca="false">IF(OR(G22="",H22="",I22=""),"",IF(H22=G22,"",MAX(0,MIN(1,(I22-G22)/(H22-G22)))))</f>
        <v/>
      </c>
      <c r="K22" s="34"/>
      <c r="L22" s="35"/>
      <c r="M22" s="33" t="str">
        <f aca="true">IF(L22="","",L22-TODAY())</f>
        <v/>
      </c>
      <c r="N22" s="34"/>
      <c r="O22" s="21"/>
      <c r="P22" s="35"/>
      <c r="Q22" s="21"/>
    </row>
    <row r="23" customFormat="false" ht="15" hidden="false" customHeight="false" outlineLevel="0" collapsed="false">
      <c r="A23" s="6" t="s">
        <v>213</v>
      </c>
      <c r="B23" s="21"/>
      <c r="C23" s="34"/>
      <c r="D23" s="21"/>
      <c r="E23" s="21"/>
      <c r="F23" s="34"/>
      <c r="G23" s="34"/>
      <c r="H23" s="34"/>
      <c r="I23" s="34"/>
      <c r="J23" s="31" t="str">
        <f aca="false">IF(OR(G23="",H23="",I23=""),"",IF(H23=G23,"",MAX(0,MIN(1,(I23-G23)/(H23-G23)))))</f>
        <v/>
      </c>
      <c r="K23" s="34"/>
      <c r="L23" s="35"/>
      <c r="M23" s="33" t="str">
        <f aca="true">IF(L23="","",L23-TODAY())</f>
        <v/>
      </c>
      <c r="N23" s="34"/>
      <c r="O23" s="21"/>
      <c r="P23" s="35"/>
      <c r="Q23" s="21"/>
    </row>
    <row r="24" customFormat="false" ht="15" hidden="false" customHeight="false" outlineLevel="0" collapsed="false">
      <c r="A24" s="6" t="s">
        <v>214</v>
      </c>
      <c r="B24" s="21"/>
      <c r="C24" s="34"/>
      <c r="D24" s="21"/>
      <c r="E24" s="21"/>
      <c r="F24" s="34"/>
      <c r="G24" s="34"/>
      <c r="H24" s="34"/>
      <c r="I24" s="34"/>
      <c r="J24" s="31" t="str">
        <f aca="false">IF(OR(G24="",H24="",I24=""),"",IF(H24=G24,"",MAX(0,MIN(1,(I24-G24)/(H24-G24)))))</f>
        <v/>
      </c>
      <c r="K24" s="34"/>
      <c r="L24" s="35"/>
      <c r="M24" s="33" t="str">
        <f aca="true">IF(L24="","",L24-TODAY())</f>
        <v/>
      </c>
      <c r="N24" s="34"/>
      <c r="O24" s="21"/>
      <c r="P24" s="35"/>
      <c r="Q24" s="21"/>
    </row>
    <row r="25" customFormat="false" ht="15" hidden="false" customHeight="false" outlineLevel="0" collapsed="false">
      <c r="A25" s="6" t="s">
        <v>215</v>
      </c>
      <c r="B25" s="21"/>
      <c r="C25" s="34"/>
      <c r="D25" s="21"/>
      <c r="E25" s="21"/>
      <c r="F25" s="34"/>
      <c r="G25" s="34"/>
      <c r="H25" s="34"/>
      <c r="I25" s="34"/>
      <c r="J25" s="31" t="str">
        <f aca="false">IF(OR(G25="",H25="",I25=""),"",IF(H25=G25,"",MAX(0,MIN(1,(I25-G25)/(H25-G25)))))</f>
        <v/>
      </c>
      <c r="K25" s="34"/>
      <c r="L25" s="35"/>
      <c r="M25" s="33" t="str">
        <f aca="true">IF(L25="","",L25-TODAY())</f>
        <v/>
      </c>
      <c r="N25" s="34"/>
      <c r="O25" s="21"/>
      <c r="P25" s="35"/>
      <c r="Q25" s="21"/>
    </row>
    <row r="26" customFormat="false" ht="15" hidden="false" customHeight="false" outlineLevel="0" collapsed="false">
      <c r="A26" s="6" t="s">
        <v>216</v>
      </c>
      <c r="B26" s="21"/>
      <c r="C26" s="34"/>
      <c r="D26" s="21"/>
      <c r="E26" s="21"/>
      <c r="F26" s="34"/>
      <c r="G26" s="34"/>
      <c r="H26" s="34"/>
      <c r="I26" s="34"/>
      <c r="J26" s="31" t="str">
        <f aca="false">IF(OR(G26="",H26="",I26=""),"",IF(H26=G26,"",MAX(0,MIN(1,(I26-G26)/(H26-G26)))))</f>
        <v/>
      </c>
      <c r="K26" s="34"/>
      <c r="L26" s="35"/>
      <c r="M26" s="33" t="str">
        <f aca="true">IF(L26="","",L26-TODAY())</f>
        <v/>
      </c>
      <c r="N26" s="34"/>
      <c r="O26" s="21"/>
      <c r="P26" s="35"/>
      <c r="Q26" s="21"/>
    </row>
    <row r="27" customFormat="false" ht="15" hidden="false" customHeight="false" outlineLevel="0" collapsed="false">
      <c r="A27" s="6" t="s">
        <v>217</v>
      </c>
      <c r="B27" s="21"/>
      <c r="C27" s="34"/>
      <c r="D27" s="21"/>
      <c r="E27" s="21"/>
      <c r="F27" s="34"/>
      <c r="G27" s="34"/>
      <c r="H27" s="34"/>
      <c r="I27" s="34"/>
      <c r="J27" s="31" t="str">
        <f aca="false">IF(OR(G27="",H27="",I27=""),"",IF(H27=G27,"",MAX(0,MIN(1,(I27-G27)/(H27-G27)))))</f>
        <v/>
      </c>
      <c r="K27" s="34"/>
      <c r="L27" s="35"/>
      <c r="M27" s="33" t="str">
        <f aca="true">IF(L27="","",L27-TODAY())</f>
        <v/>
      </c>
      <c r="N27" s="34"/>
      <c r="O27" s="21"/>
      <c r="P27" s="35"/>
      <c r="Q27" s="21"/>
    </row>
    <row r="28" customFormat="false" ht="15" hidden="false" customHeight="false" outlineLevel="0" collapsed="false">
      <c r="A28" s="6" t="s">
        <v>218</v>
      </c>
      <c r="B28" s="21"/>
      <c r="C28" s="34"/>
      <c r="D28" s="21"/>
      <c r="E28" s="21"/>
      <c r="F28" s="34"/>
      <c r="G28" s="34"/>
      <c r="H28" s="34"/>
      <c r="I28" s="34"/>
      <c r="J28" s="31" t="str">
        <f aca="false">IF(OR(G28="",H28="",I28=""),"",IF(H28=G28,"",MAX(0,MIN(1,(I28-G28)/(H28-G28)))))</f>
        <v/>
      </c>
      <c r="K28" s="34"/>
      <c r="L28" s="35"/>
      <c r="M28" s="33" t="str">
        <f aca="true">IF(L28="","",L28-TODAY())</f>
        <v/>
      </c>
      <c r="N28" s="34"/>
      <c r="O28" s="21"/>
      <c r="P28" s="35"/>
      <c r="Q28" s="21"/>
    </row>
    <row r="29" customFormat="false" ht="15" hidden="false" customHeight="false" outlineLevel="0" collapsed="false">
      <c r="A29" s="6" t="s">
        <v>219</v>
      </c>
      <c r="B29" s="21"/>
      <c r="C29" s="34"/>
      <c r="D29" s="21"/>
      <c r="E29" s="21"/>
      <c r="F29" s="34"/>
      <c r="G29" s="34"/>
      <c r="H29" s="34"/>
      <c r="I29" s="34"/>
      <c r="J29" s="31" t="str">
        <f aca="false">IF(OR(G29="",H29="",I29=""),"",IF(H29=G29,"",MAX(0,MIN(1,(I29-G29)/(H29-G29)))))</f>
        <v/>
      </c>
      <c r="K29" s="34"/>
      <c r="L29" s="35"/>
      <c r="M29" s="33" t="str">
        <f aca="true">IF(L29="","",L29-TODAY())</f>
        <v/>
      </c>
      <c r="N29" s="34"/>
      <c r="O29" s="21"/>
      <c r="P29" s="35"/>
      <c r="Q29" s="21"/>
    </row>
    <row r="30" customFormat="false" ht="15" hidden="false" customHeight="false" outlineLevel="0" collapsed="false">
      <c r="A30" s="6" t="s">
        <v>220</v>
      </c>
      <c r="B30" s="21"/>
      <c r="C30" s="34"/>
      <c r="D30" s="21"/>
      <c r="E30" s="21"/>
      <c r="F30" s="34"/>
      <c r="G30" s="34"/>
      <c r="H30" s="34"/>
      <c r="I30" s="34"/>
      <c r="J30" s="31" t="str">
        <f aca="false">IF(OR(G30="",H30="",I30=""),"",IF(H30=G30,"",MAX(0,MIN(1,(I30-G30)/(H30-G30)))))</f>
        <v/>
      </c>
      <c r="K30" s="34"/>
      <c r="L30" s="35"/>
      <c r="M30" s="33" t="str">
        <f aca="true">IF(L30="","",L30-TODAY())</f>
        <v/>
      </c>
      <c r="N30" s="34"/>
      <c r="O30" s="21"/>
      <c r="P30" s="35"/>
      <c r="Q30" s="21"/>
    </row>
    <row r="31" customFormat="false" ht="15" hidden="false" customHeight="false" outlineLevel="0" collapsed="false">
      <c r="A31" s="6" t="s">
        <v>221</v>
      </c>
      <c r="B31" s="21"/>
      <c r="C31" s="34"/>
      <c r="D31" s="21"/>
      <c r="E31" s="21"/>
      <c r="F31" s="34"/>
      <c r="G31" s="34"/>
      <c r="H31" s="34"/>
      <c r="I31" s="34"/>
      <c r="J31" s="31" t="str">
        <f aca="false">IF(OR(G31="",H31="",I31=""),"",IF(H31=G31,"",MAX(0,MIN(1,(I31-G31)/(H31-G31)))))</f>
        <v/>
      </c>
      <c r="K31" s="34"/>
      <c r="L31" s="35"/>
      <c r="M31" s="33" t="str">
        <f aca="true">IF(L31="","",L31-TODAY())</f>
        <v/>
      </c>
      <c r="N31" s="34"/>
      <c r="O31" s="21"/>
      <c r="P31" s="35"/>
      <c r="Q31" s="21"/>
    </row>
    <row r="32" customFormat="false" ht="15" hidden="false" customHeight="false" outlineLevel="0" collapsed="false">
      <c r="A32" s="6" t="s">
        <v>222</v>
      </c>
      <c r="B32" s="21"/>
      <c r="C32" s="34"/>
      <c r="D32" s="21"/>
      <c r="E32" s="21"/>
      <c r="F32" s="34"/>
      <c r="G32" s="34"/>
      <c r="H32" s="34"/>
      <c r="I32" s="34"/>
      <c r="J32" s="31" t="str">
        <f aca="false">IF(OR(G32="",H32="",I32=""),"",IF(H32=G32,"",MAX(0,MIN(1,(I32-G32)/(H32-G32)))))</f>
        <v/>
      </c>
      <c r="K32" s="34"/>
      <c r="L32" s="35"/>
      <c r="M32" s="33" t="str">
        <f aca="true">IF(L32="","",L32-TODAY())</f>
        <v/>
      </c>
      <c r="N32" s="34"/>
      <c r="O32" s="21"/>
      <c r="P32" s="35"/>
      <c r="Q32" s="21"/>
    </row>
    <row r="33" customFormat="false" ht="15" hidden="false" customHeight="false" outlineLevel="0" collapsed="false">
      <c r="A33" s="6" t="s">
        <v>223</v>
      </c>
      <c r="B33" s="21"/>
      <c r="C33" s="34"/>
      <c r="D33" s="21"/>
      <c r="E33" s="21"/>
      <c r="F33" s="34"/>
      <c r="G33" s="34"/>
      <c r="H33" s="34"/>
      <c r="I33" s="34"/>
      <c r="J33" s="31" t="str">
        <f aca="false">IF(OR(G33="",H33="",I33=""),"",IF(H33=G33,"",MAX(0,MIN(1,(I33-G33)/(H33-G33)))))</f>
        <v/>
      </c>
      <c r="K33" s="34"/>
      <c r="L33" s="35"/>
      <c r="M33" s="33" t="str">
        <f aca="true">IF(L33="","",L33-TODAY())</f>
        <v/>
      </c>
      <c r="N33" s="34"/>
      <c r="O33" s="21"/>
      <c r="P33" s="35"/>
      <c r="Q33" s="21"/>
    </row>
    <row r="34" customFormat="false" ht="15" hidden="false" customHeight="false" outlineLevel="0" collapsed="false">
      <c r="A34" s="6" t="s">
        <v>224</v>
      </c>
      <c r="B34" s="21"/>
      <c r="C34" s="34"/>
      <c r="D34" s="21"/>
      <c r="E34" s="21"/>
      <c r="F34" s="34"/>
      <c r="G34" s="34"/>
      <c r="H34" s="34"/>
      <c r="I34" s="34"/>
      <c r="J34" s="31" t="str">
        <f aca="false">IF(OR(G34="",H34="",I34=""),"",IF(H34=G34,"",MAX(0,MIN(1,(I34-G34)/(H34-G34)))))</f>
        <v/>
      </c>
      <c r="K34" s="34"/>
      <c r="L34" s="35"/>
      <c r="M34" s="33" t="str">
        <f aca="true">IF(L34="","",L34-TODAY())</f>
        <v/>
      </c>
      <c r="N34" s="34"/>
      <c r="O34" s="21"/>
      <c r="P34" s="35"/>
      <c r="Q34" s="21"/>
    </row>
    <row r="35" customFormat="false" ht="15" hidden="false" customHeight="false" outlineLevel="0" collapsed="false">
      <c r="A35" s="6" t="s">
        <v>225</v>
      </c>
      <c r="B35" s="21"/>
      <c r="C35" s="34"/>
      <c r="D35" s="21"/>
      <c r="E35" s="21"/>
      <c r="F35" s="34"/>
      <c r="G35" s="34"/>
      <c r="H35" s="34"/>
      <c r="I35" s="34"/>
      <c r="J35" s="31" t="str">
        <f aca="false">IF(OR(G35="",H35="",I35=""),"",IF(H35=G35,"",MAX(0,MIN(1,(I35-G35)/(H35-G35)))))</f>
        <v/>
      </c>
      <c r="K35" s="34"/>
      <c r="L35" s="35"/>
      <c r="M35" s="33" t="str">
        <f aca="true">IF(L35="","",L35-TODAY())</f>
        <v/>
      </c>
      <c r="N35" s="34"/>
      <c r="O35" s="21"/>
      <c r="P35" s="35"/>
      <c r="Q35" s="21"/>
    </row>
    <row r="36" customFormat="false" ht="15" hidden="false" customHeight="false" outlineLevel="0" collapsed="false">
      <c r="A36" s="6" t="s">
        <v>226</v>
      </c>
      <c r="B36" s="21"/>
      <c r="C36" s="34"/>
      <c r="D36" s="21"/>
      <c r="E36" s="21"/>
      <c r="F36" s="34"/>
      <c r="G36" s="34"/>
      <c r="H36" s="34"/>
      <c r="I36" s="34"/>
      <c r="J36" s="31" t="str">
        <f aca="false">IF(OR(G36="",H36="",I36=""),"",IF(H36=G36,"",MAX(0,MIN(1,(I36-G36)/(H36-G36)))))</f>
        <v/>
      </c>
      <c r="K36" s="34"/>
      <c r="L36" s="35"/>
      <c r="M36" s="33" t="str">
        <f aca="true">IF(L36="","",L36-TODAY())</f>
        <v/>
      </c>
      <c r="N36" s="34"/>
      <c r="O36" s="21"/>
      <c r="P36" s="35"/>
      <c r="Q36" s="21"/>
    </row>
    <row r="37" customFormat="false" ht="15" hidden="false" customHeight="false" outlineLevel="0" collapsed="false">
      <c r="A37" s="6" t="s">
        <v>227</v>
      </c>
      <c r="B37" s="21"/>
      <c r="C37" s="34"/>
      <c r="D37" s="21"/>
      <c r="E37" s="21"/>
      <c r="F37" s="34"/>
      <c r="G37" s="34"/>
      <c r="H37" s="34"/>
      <c r="I37" s="34"/>
      <c r="J37" s="31" t="str">
        <f aca="false">IF(OR(G37="",H37="",I37=""),"",IF(H37=G37,"",MAX(0,MIN(1,(I37-G37)/(H37-G37)))))</f>
        <v/>
      </c>
      <c r="K37" s="34"/>
      <c r="L37" s="35"/>
      <c r="M37" s="33" t="str">
        <f aca="true">IF(L37="","",L37-TODAY())</f>
        <v/>
      </c>
      <c r="N37" s="34"/>
      <c r="O37" s="21"/>
      <c r="P37" s="35"/>
      <c r="Q37" s="21"/>
    </row>
    <row r="38" customFormat="false" ht="15" hidden="false" customHeight="false" outlineLevel="0" collapsed="false">
      <c r="A38" s="6" t="s">
        <v>228</v>
      </c>
      <c r="B38" s="21"/>
      <c r="C38" s="34"/>
      <c r="D38" s="21"/>
      <c r="E38" s="21"/>
      <c r="F38" s="34"/>
      <c r="G38" s="34"/>
      <c r="H38" s="34"/>
      <c r="I38" s="34"/>
      <c r="J38" s="31" t="str">
        <f aca="false">IF(OR(G38="",H38="",I38=""),"",IF(H38=G38,"",MAX(0,MIN(1,(I38-G38)/(H38-G38)))))</f>
        <v/>
      </c>
      <c r="K38" s="34"/>
      <c r="L38" s="35"/>
      <c r="M38" s="33" t="str">
        <f aca="true">IF(L38="","",L38-TODAY())</f>
        <v/>
      </c>
      <c r="N38" s="34"/>
      <c r="O38" s="21"/>
      <c r="P38" s="35"/>
      <c r="Q38" s="21"/>
    </row>
    <row r="39" customFormat="false" ht="15" hidden="false" customHeight="false" outlineLevel="0" collapsed="false">
      <c r="A39" s="6" t="s">
        <v>229</v>
      </c>
      <c r="B39" s="21"/>
      <c r="C39" s="34"/>
      <c r="D39" s="21"/>
      <c r="E39" s="21"/>
      <c r="F39" s="34"/>
      <c r="G39" s="34"/>
      <c r="H39" s="34"/>
      <c r="I39" s="34"/>
      <c r="J39" s="31" t="str">
        <f aca="false">IF(OR(G39="",H39="",I39=""),"",IF(H39=G39,"",MAX(0,MIN(1,(I39-G39)/(H39-G39)))))</f>
        <v/>
      </c>
      <c r="K39" s="34"/>
      <c r="L39" s="35"/>
      <c r="M39" s="33" t="str">
        <f aca="true">IF(L39="","",L39-TODAY())</f>
        <v/>
      </c>
      <c r="N39" s="34"/>
      <c r="O39" s="21"/>
      <c r="P39" s="35"/>
      <c r="Q39" s="21"/>
    </row>
    <row r="40" customFormat="false" ht="15" hidden="false" customHeight="false" outlineLevel="0" collapsed="false">
      <c r="A40" s="6" t="s">
        <v>230</v>
      </c>
      <c r="B40" s="21"/>
      <c r="C40" s="34"/>
      <c r="D40" s="21"/>
      <c r="E40" s="21"/>
      <c r="F40" s="34"/>
      <c r="G40" s="34"/>
      <c r="H40" s="34"/>
      <c r="I40" s="34"/>
      <c r="J40" s="31" t="str">
        <f aca="false">IF(OR(G40="",H40="",I40=""),"",IF(H40=G40,"",MAX(0,MIN(1,(I40-G40)/(H40-G40)))))</f>
        <v/>
      </c>
      <c r="K40" s="34"/>
      <c r="L40" s="35"/>
      <c r="M40" s="33" t="str">
        <f aca="true">IF(L40="","",L40-TODAY())</f>
        <v/>
      </c>
      <c r="N40" s="34"/>
      <c r="O40" s="21"/>
      <c r="P40" s="35"/>
      <c r="Q40" s="21"/>
    </row>
    <row r="41" customFormat="false" ht="15" hidden="false" customHeight="false" outlineLevel="0" collapsed="false">
      <c r="A41" s="6" t="s">
        <v>231</v>
      </c>
      <c r="B41" s="21"/>
      <c r="C41" s="34"/>
      <c r="D41" s="21"/>
      <c r="E41" s="21"/>
      <c r="F41" s="34"/>
      <c r="G41" s="34"/>
      <c r="H41" s="34"/>
      <c r="I41" s="34"/>
      <c r="J41" s="31" t="str">
        <f aca="false">IF(OR(G41="",H41="",I41=""),"",IF(H41=G41,"",MAX(0,MIN(1,(I41-G41)/(H41-G41)))))</f>
        <v/>
      </c>
      <c r="K41" s="34"/>
      <c r="L41" s="35"/>
      <c r="M41" s="33" t="str">
        <f aca="true">IF(L41="","",L41-TODAY())</f>
        <v/>
      </c>
      <c r="N41" s="34"/>
      <c r="O41" s="21"/>
      <c r="P41" s="35"/>
      <c r="Q41" s="21"/>
    </row>
    <row r="42" customFormat="false" ht="15" hidden="false" customHeight="false" outlineLevel="0" collapsed="false">
      <c r="A42" s="6" t="s">
        <v>232</v>
      </c>
      <c r="B42" s="21"/>
      <c r="C42" s="34"/>
      <c r="D42" s="21"/>
      <c r="E42" s="21"/>
      <c r="F42" s="34"/>
      <c r="G42" s="34"/>
      <c r="H42" s="34"/>
      <c r="I42" s="34"/>
      <c r="J42" s="31" t="str">
        <f aca="false">IF(OR(G42="",H42="",I42=""),"",IF(H42=G42,"",MAX(0,MIN(1,(I42-G42)/(H42-G42)))))</f>
        <v/>
      </c>
      <c r="K42" s="34"/>
      <c r="L42" s="35"/>
      <c r="M42" s="33" t="str">
        <f aca="true">IF(L42="","",L42-TODAY())</f>
        <v/>
      </c>
      <c r="N42" s="34"/>
      <c r="O42" s="21"/>
      <c r="P42" s="35"/>
      <c r="Q42" s="21"/>
    </row>
    <row r="43" customFormat="false" ht="15" hidden="false" customHeight="false" outlineLevel="0" collapsed="false">
      <c r="A43" s="6" t="s">
        <v>233</v>
      </c>
      <c r="B43" s="21"/>
      <c r="C43" s="34"/>
      <c r="D43" s="21"/>
      <c r="E43" s="21"/>
      <c r="F43" s="34"/>
      <c r="G43" s="34"/>
      <c r="H43" s="34"/>
      <c r="I43" s="34"/>
      <c r="J43" s="31" t="str">
        <f aca="false">IF(OR(G43="",H43="",I43=""),"",IF(H43=G43,"",MAX(0,MIN(1,(I43-G43)/(H43-G43)))))</f>
        <v/>
      </c>
      <c r="K43" s="34"/>
      <c r="L43" s="35"/>
      <c r="M43" s="33" t="str">
        <f aca="true">IF(L43="","",L43-TODAY())</f>
        <v/>
      </c>
      <c r="N43" s="34"/>
      <c r="O43" s="21"/>
      <c r="P43" s="35"/>
      <c r="Q43" s="21"/>
    </row>
    <row r="44" customFormat="false" ht="15" hidden="false" customHeight="false" outlineLevel="0" collapsed="false">
      <c r="A44" s="6" t="s">
        <v>234</v>
      </c>
      <c r="B44" s="21"/>
      <c r="C44" s="34"/>
      <c r="D44" s="21"/>
      <c r="E44" s="21"/>
      <c r="F44" s="34"/>
      <c r="G44" s="34"/>
      <c r="H44" s="34"/>
      <c r="I44" s="34"/>
      <c r="J44" s="31" t="str">
        <f aca="false">IF(OR(G44="",H44="",I44=""),"",IF(H44=G44,"",MAX(0,MIN(1,(I44-G44)/(H44-G44)))))</f>
        <v/>
      </c>
      <c r="K44" s="34"/>
      <c r="L44" s="35"/>
      <c r="M44" s="33" t="str">
        <f aca="true">IF(L44="","",L44-TODAY())</f>
        <v/>
      </c>
      <c r="N44" s="34"/>
      <c r="O44" s="21"/>
      <c r="P44" s="35"/>
      <c r="Q44" s="21"/>
    </row>
    <row r="45" customFormat="false" ht="15" hidden="false" customHeight="false" outlineLevel="0" collapsed="false">
      <c r="A45" s="6" t="s">
        <v>235</v>
      </c>
      <c r="B45" s="21"/>
      <c r="C45" s="34"/>
      <c r="D45" s="21"/>
      <c r="E45" s="21"/>
      <c r="F45" s="34"/>
      <c r="G45" s="34"/>
      <c r="H45" s="34"/>
      <c r="I45" s="34"/>
      <c r="J45" s="31" t="str">
        <f aca="false">IF(OR(G45="",H45="",I45=""),"",IF(H45=G45,"",MAX(0,MIN(1,(I45-G45)/(H45-G45)))))</f>
        <v/>
      </c>
      <c r="K45" s="34"/>
      <c r="L45" s="35"/>
      <c r="M45" s="33" t="str">
        <f aca="true">IF(L45="","",L45-TODAY())</f>
        <v/>
      </c>
      <c r="N45" s="34"/>
      <c r="O45" s="21"/>
      <c r="P45" s="35"/>
      <c r="Q45" s="21"/>
    </row>
    <row r="46" customFormat="false" ht="15" hidden="false" customHeight="false" outlineLevel="0" collapsed="false">
      <c r="A46" s="6" t="s">
        <v>236</v>
      </c>
      <c r="B46" s="21"/>
      <c r="C46" s="34"/>
      <c r="D46" s="21"/>
      <c r="E46" s="21"/>
      <c r="F46" s="34"/>
      <c r="G46" s="34"/>
      <c r="H46" s="34"/>
      <c r="I46" s="34"/>
      <c r="J46" s="31" t="str">
        <f aca="false">IF(OR(G46="",H46="",I46=""),"",IF(H46=G46,"",MAX(0,MIN(1,(I46-G46)/(H46-G46)))))</f>
        <v/>
      </c>
      <c r="K46" s="34"/>
      <c r="L46" s="35"/>
      <c r="M46" s="33" t="str">
        <f aca="true">IF(L46="","",L46-TODAY())</f>
        <v/>
      </c>
      <c r="N46" s="34"/>
      <c r="O46" s="21"/>
      <c r="P46" s="35"/>
      <c r="Q46" s="21"/>
    </row>
    <row r="47" customFormat="false" ht="15" hidden="false" customHeight="false" outlineLevel="0" collapsed="false">
      <c r="A47" s="6" t="s">
        <v>237</v>
      </c>
      <c r="B47" s="21"/>
      <c r="C47" s="34"/>
      <c r="D47" s="21"/>
      <c r="E47" s="21"/>
      <c r="F47" s="34"/>
      <c r="G47" s="34"/>
      <c r="H47" s="34"/>
      <c r="I47" s="34"/>
      <c r="J47" s="31" t="str">
        <f aca="false">IF(OR(G47="",H47="",I47=""),"",IF(H47=G47,"",MAX(0,MIN(1,(I47-G47)/(H47-G47)))))</f>
        <v/>
      </c>
      <c r="K47" s="34"/>
      <c r="L47" s="35"/>
      <c r="M47" s="33" t="str">
        <f aca="true">IF(L47="","",L47-TODAY())</f>
        <v/>
      </c>
      <c r="N47" s="34"/>
      <c r="O47" s="21"/>
      <c r="P47" s="35"/>
      <c r="Q47" s="21"/>
    </row>
    <row r="48" customFormat="false" ht="15" hidden="false" customHeight="false" outlineLevel="0" collapsed="false">
      <c r="A48" s="6" t="s">
        <v>238</v>
      </c>
      <c r="B48" s="21"/>
      <c r="C48" s="34"/>
      <c r="D48" s="21"/>
      <c r="E48" s="21"/>
      <c r="F48" s="34"/>
      <c r="G48" s="34"/>
      <c r="H48" s="34"/>
      <c r="I48" s="34"/>
      <c r="J48" s="31" t="str">
        <f aca="false">IF(OR(G48="",H48="",I48=""),"",IF(H48=G48,"",MAX(0,MIN(1,(I48-G48)/(H48-G48)))))</f>
        <v/>
      </c>
      <c r="K48" s="34"/>
      <c r="L48" s="35"/>
      <c r="M48" s="33" t="str">
        <f aca="true">IF(L48="","",L48-TODAY())</f>
        <v/>
      </c>
      <c r="N48" s="34"/>
      <c r="O48" s="21"/>
      <c r="P48" s="35"/>
      <c r="Q48" s="21"/>
    </row>
    <row r="49" customFormat="false" ht="15" hidden="false" customHeight="false" outlineLevel="0" collapsed="false">
      <c r="A49" s="6" t="s">
        <v>239</v>
      </c>
      <c r="B49" s="21"/>
      <c r="C49" s="34"/>
      <c r="D49" s="21"/>
      <c r="E49" s="21"/>
      <c r="F49" s="34"/>
      <c r="G49" s="34"/>
      <c r="H49" s="34"/>
      <c r="I49" s="34"/>
      <c r="J49" s="31" t="str">
        <f aca="false">IF(OR(G49="",H49="",I49=""),"",IF(H49=G49,"",MAX(0,MIN(1,(I49-G49)/(H49-G49)))))</f>
        <v/>
      </c>
      <c r="K49" s="34"/>
      <c r="L49" s="35"/>
      <c r="M49" s="33" t="str">
        <f aca="true">IF(L49="","",L49-TODAY())</f>
        <v/>
      </c>
      <c r="N49" s="34"/>
      <c r="O49" s="21"/>
      <c r="P49" s="35"/>
      <c r="Q49" s="21"/>
    </row>
    <row r="50" customFormat="false" ht="15" hidden="false" customHeight="false" outlineLevel="0" collapsed="false">
      <c r="A50" s="6" t="s">
        <v>240</v>
      </c>
      <c r="B50" s="21"/>
      <c r="C50" s="34"/>
      <c r="D50" s="21"/>
      <c r="E50" s="21"/>
      <c r="F50" s="34"/>
      <c r="G50" s="34"/>
      <c r="H50" s="34"/>
      <c r="I50" s="34"/>
      <c r="J50" s="31" t="str">
        <f aca="false">IF(OR(G50="",H50="",I50=""),"",IF(H50=G50,"",MAX(0,MIN(1,(I50-G50)/(H50-G50)))))</f>
        <v/>
      </c>
      <c r="K50" s="34"/>
      <c r="L50" s="35"/>
      <c r="M50" s="33" t="str">
        <f aca="true">IF(L50="","",L50-TODAY())</f>
        <v/>
      </c>
      <c r="N50" s="34"/>
      <c r="O50" s="21"/>
      <c r="P50" s="35"/>
      <c r="Q50" s="21"/>
    </row>
    <row r="51" customFormat="false" ht="15" hidden="false" customHeight="false" outlineLevel="0" collapsed="false">
      <c r="A51" s="6" t="s">
        <v>241</v>
      </c>
      <c r="B51" s="21"/>
      <c r="C51" s="34"/>
      <c r="D51" s="21"/>
      <c r="E51" s="21"/>
      <c r="F51" s="34"/>
      <c r="G51" s="34"/>
      <c r="H51" s="34"/>
      <c r="I51" s="34"/>
      <c r="J51" s="31" t="str">
        <f aca="false">IF(OR(G51="",H51="",I51=""),"",IF(H51=G51,"",MAX(0,MIN(1,(I51-G51)/(H51-G51)))))</f>
        <v/>
      </c>
      <c r="K51" s="34"/>
      <c r="L51" s="35"/>
      <c r="M51" s="33" t="str">
        <f aca="true">IF(L51="","",L51-TODAY())</f>
        <v/>
      </c>
      <c r="N51" s="34"/>
      <c r="O51" s="21"/>
      <c r="P51" s="35"/>
      <c r="Q51" s="21"/>
    </row>
    <row r="52" customFormat="false" ht="15" hidden="false" customHeight="false" outlineLevel="0" collapsed="false">
      <c r="A52" s="6" t="s">
        <v>242</v>
      </c>
      <c r="B52" s="21"/>
      <c r="C52" s="34"/>
      <c r="D52" s="21"/>
      <c r="E52" s="21"/>
      <c r="F52" s="34"/>
      <c r="G52" s="34"/>
      <c r="H52" s="34"/>
      <c r="I52" s="34"/>
      <c r="J52" s="31" t="str">
        <f aca="false">IF(OR(G52="",H52="",I52=""),"",IF(H52=G52,"",MAX(0,MIN(1,(I52-G52)/(H52-G52)))))</f>
        <v/>
      </c>
      <c r="K52" s="34"/>
      <c r="L52" s="35"/>
      <c r="M52" s="33" t="str">
        <f aca="true">IF(L52="","",L52-TODAY())</f>
        <v/>
      </c>
      <c r="N52" s="34"/>
      <c r="O52" s="21"/>
      <c r="P52" s="35"/>
      <c r="Q52" s="21"/>
    </row>
    <row r="53" customFormat="false" ht="15" hidden="false" customHeight="false" outlineLevel="0" collapsed="false">
      <c r="A53" s="6" t="s">
        <v>243</v>
      </c>
      <c r="B53" s="21"/>
      <c r="C53" s="34"/>
      <c r="D53" s="21"/>
      <c r="E53" s="21"/>
      <c r="F53" s="34"/>
      <c r="G53" s="34"/>
      <c r="H53" s="34"/>
      <c r="I53" s="34"/>
      <c r="J53" s="31" t="str">
        <f aca="false">IF(OR(G53="",H53="",I53=""),"",IF(H53=G53,"",MAX(0,MIN(1,(I53-G53)/(H53-G53)))))</f>
        <v/>
      </c>
      <c r="K53" s="34"/>
      <c r="L53" s="35"/>
      <c r="M53" s="33" t="str">
        <f aca="true">IF(L53="","",L53-TODAY())</f>
        <v/>
      </c>
      <c r="N53" s="34"/>
      <c r="O53" s="21"/>
      <c r="P53" s="35"/>
      <c r="Q53" s="21"/>
    </row>
    <row r="54" customFormat="false" ht="15" hidden="false" customHeight="false" outlineLevel="0" collapsed="false">
      <c r="A54" s="6" t="s">
        <v>244</v>
      </c>
      <c r="B54" s="21"/>
      <c r="C54" s="34"/>
      <c r="D54" s="21"/>
      <c r="E54" s="21"/>
      <c r="F54" s="34"/>
      <c r="G54" s="34"/>
      <c r="H54" s="34"/>
      <c r="I54" s="34"/>
      <c r="J54" s="31" t="str">
        <f aca="false">IF(OR(G54="",H54="",I54=""),"",IF(H54=G54,"",MAX(0,MIN(1,(I54-G54)/(H54-G54)))))</f>
        <v/>
      </c>
      <c r="K54" s="34"/>
      <c r="L54" s="35"/>
      <c r="M54" s="33" t="str">
        <f aca="true">IF(L54="","",L54-TODAY())</f>
        <v/>
      </c>
      <c r="N54" s="34"/>
      <c r="O54" s="21"/>
      <c r="P54" s="35"/>
      <c r="Q54" s="21"/>
    </row>
    <row r="55" customFormat="false" ht="15" hidden="false" customHeight="false" outlineLevel="0" collapsed="false">
      <c r="A55" s="6" t="s">
        <v>245</v>
      </c>
      <c r="B55" s="21"/>
      <c r="C55" s="34"/>
      <c r="D55" s="21"/>
      <c r="E55" s="21"/>
      <c r="F55" s="34"/>
      <c r="G55" s="34"/>
      <c r="H55" s="34"/>
      <c r="I55" s="34"/>
      <c r="J55" s="31" t="str">
        <f aca="false">IF(OR(G55="",H55="",I55=""),"",IF(H55=G55,"",MAX(0,MIN(1,(I55-G55)/(H55-G55)))))</f>
        <v/>
      </c>
      <c r="K55" s="34"/>
      <c r="L55" s="35"/>
      <c r="M55" s="33" t="str">
        <f aca="true">IF(L55="","",L55-TODAY())</f>
        <v/>
      </c>
      <c r="N55" s="34"/>
      <c r="O55" s="21"/>
      <c r="P55" s="35"/>
      <c r="Q55" s="21"/>
    </row>
    <row r="56" customFormat="false" ht="15" hidden="false" customHeight="false" outlineLevel="0" collapsed="false">
      <c r="A56" s="6" t="s">
        <v>246</v>
      </c>
      <c r="B56" s="21"/>
      <c r="C56" s="34"/>
      <c r="D56" s="21"/>
      <c r="E56" s="21"/>
      <c r="F56" s="34"/>
      <c r="G56" s="34"/>
      <c r="H56" s="34"/>
      <c r="I56" s="34"/>
      <c r="J56" s="31" t="str">
        <f aca="false">IF(OR(G56="",H56="",I56=""),"",IF(H56=G56,"",MAX(0,MIN(1,(I56-G56)/(H56-G56)))))</f>
        <v/>
      </c>
      <c r="K56" s="34"/>
      <c r="L56" s="35"/>
      <c r="M56" s="33" t="str">
        <f aca="true">IF(L56="","",L56-TODAY())</f>
        <v/>
      </c>
      <c r="N56" s="34"/>
      <c r="O56" s="21"/>
      <c r="P56" s="35"/>
      <c r="Q56" s="21"/>
    </row>
    <row r="57" customFormat="false" ht="15" hidden="false" customHeight="false" outlineLevel="0" collapsed="false">
      <c r="A57" s="6" t="s">
        <v>247</v>
      </c>
      <c r="B57" s="21"/>
      <c r="C57" s="34"/>
      <c r="D57" s="21"/>
      <c r="E57" s="21"/>
      <c r="F57" s="34"/>
      <c r="G57" s="34"/>
      <c r="H57" s="34"/>
      <c r="I57" s="34"/>
      <c r="J57" s="31" t="str">
        <f aca="false">IF(OR(G57="",H57="",I57=""),"",IF(H57=G57,"",MAX(0,MIN(1,(I57-G57)/(H57-G57)))))</f>
        <v/>
      </c>
      <c r="K57" s="34"/>
      <c r="L57" s="35"/>
      <c r="M57" s="33" t="str">
        <f aca="true">IF(L57="","",L57-TODAY())</f>
        <v/>
      </c>
      <c r="N57" s="34"/>
      <c r="O57" s="21"/>
      <c r="P57" s="35"/>
      <c r="Q57" s="21"/>
    </row>
    <row r="58" customFormat="false" ht="15" hidden="false" customHeight="false" outlineLevel="0" collapsed="false">
      <c r="A58" s="6" t="s">
        <v>248</v>
      </c>
      <c r="B58" s="21"/>
      <c r="C58" s="34"/>
      <c r="D58" s="21"/>
      <c r="E58" s="21"/>
      <c r="F58" s="34"/>
      <c r="G58" s="34"/>
      <c r="H58" s="34"/>
      <c r="I58" s="34"/>
      <c r="J58" s="31" t="str">
        <f aca="false">IF(OR(G58="",H58="",I58=""),"",IF(H58=G58,"",MAX(0,MIN(1,(I58-G58)/(H58-G58)))))</f>
        <v/>
      </c>
      <c r="K58" s="34"/>
      <c r="L58" s="35"/>
      <c r="M58" s="33" t="str">
        <f aca="true">IF(L58="","",L58-TODAY())</f>
        <v/>
      </c>
      <c r="N58" s="34"/>
      <c r="O58" s="21"/>
      <c r="P58" s="35"/>
      <c r="Q58" s="21"/>
    </row>
    <row r="59" customFormat="false" ht="15" hidden="false" customHeight="false" outlineLevel="0" collapsed="false">
      <c r="A59" s="6" t="s">
        <v>249</v>
      </c>
      <c r="B59" s="21"/>
      <c r="C59" s="34"/>
      <c r="D59" s="21"/>
      <c r="E59" s="21"/>
      <c r="F59" s="34"/>
      <c r="G59" s="34"/>
      <c r="H59" s="34"/>
      <c r="I59" s="34"/>
      <c r="J59" s="31" t="str">
        <f aca="false">IF(OR(G59="",H59="",I59=""),"",IF(H59=G59,"",MAX(0,MIN(1,(I59-G59)/(H59-G59)))))</f>
        <v/>
      </c>
      <c r="K59" s="34"/>
      <c r="L59" s="35"/>
      <c r="M59" s="33" t="str">
        <f aca="true">IF(L59="","",L59-TODAY())</f>
        <v/>
      </c>
      <c r="N59" s="34"/>
      <c r="O59" s="21"/>
      <c r="P59" s="35"/>
      <c r="Q59" s="21"/>
    </row>
    <row r="60" customFormat="false" ht="15" hidden="false" customHeight="false" outlineLevel="0" collapsed="false">
      <c r="A60" s="6" t="s">
        <v>250</v>
      </c>
      <c r="B60" s="21"/>
      <c r="C60" s="34"/>
      <c r="D60" s="21"/>
      <c r="E60" s="21"/>
      <c r="F60" s="34"/>
      <c r="G60" s="34"/>
      <c r="H60" s="34"/>
      <c r="I60" s="34"/>
      <c r="J60" s="31" t="str">
        <f aca="false">IF(OR(G60="",H60="",I60=""),"",IF(H60=G60,"",MAX(0,MIN(1,(I60-G60)/(H60-G60)))))</f>
        <v/>
      </c>
      <c r="K60" s="34"/>
      <c r="L60" s="35"/>
      <c r="M60" s="33" t="str">
        <f aca="true">IF(L60="","",L60-TODAY())</f>
        <v/>
      </c>
      <c r="N60" s="34"/>
      <c r="O60" s="21"/>
      <c r="P60" s="35"/>
      <c r="Q60" s="21"/>
    </row>
    <row r="61" customFormat="false" ht="15" hidden="false" customHeight="false" outlineLevel="0" collapsed="false">
      <c r="A61" s="6" t="s">
        <v>251</v>
      </c>
      <c r="B61" s="21"/>
      <c r="C61" s="34"/>
      <c r="D61" s="21"/>
      <c r="E61" s="21"/>
      <c r="F61" s="34"/>
      <c r="G61" s="34"/>
      <c r="H61" s="34"/>
      <c r="I61" s="34"/>
      <c r="J61" s="31" t="str">
        <f aca="false">IF(OR(G61="",H61="",I61=""),"",IF(H61=G61,"",MAX(0,MIN(1,(I61-G61)/(H61-G61)))))</f>
        <v/>
      </c>
      <c r="K61" s="34"/>
      <c r="L61" s="35"/>
      <c r="M61" s="33" t="str">
        <f aca="true">IF(L61="","",L61-TODAY())</f>
        <v/>
      </c>
      <c r="N61" s="34"/>
      <c r="O61" s="21"/>
      <c r="P61" s="35"/>
      <c r="Q61" s="21"/>
    </row>
    <row r="62" customFormat="false" ht="15" hidden="false" customHeight="false" outlineLevel="0" collapsed="false">
      <c r="A62" s="6" t="s">
        <v>252</v>
      </c>
      <c r="B62" s="21"/>
      <c r="C62" s="34"/>
      <c r="D62" s="21"/>
      <c r="E62" s="21"/>
      <c r="F62" s="34"/>
      <c r="G62" s="34"/>
      <c r="H62" s="34"/>
      <c r="I62" s="34"/>
      <c r="J62" s="31" t="str">
        <f aca="false">IF(OR(G62="",H62="",I62=""),"",IF(H62=G62,"",MAX(0,MIN(1,(I62-G62)/(H62-G62)))))</f>
        <v/>
      </c>
      <c r="K62" s="34"/>
      <c r="L62" s="35"/>
      <c r="M62" s="33" t="str">
        <f aca="true">IF(L62="","",L62-TODAY())</f>
        <v/>
      </c>
      <c r="N62" s="34"/>
      <c r="O62" s="21"/>
      <c r="P62" s="35"/>
      <c r="Q62" s="21"/>
    </row>
    <row r="63" customFormat="false" ht="15" hidden="false" customHeight="false" outlineLevel="0" collapsed="false">
      <c r="A63" s="6" t="s">
        <v>253</v>
      </c>
      <c r="B63" s="21"/>
      <c r="C63" s="34"/>
      <c r="D63" s="21"/>
      <c r="E63" s="21"/>
      <c r="F63" s="34"/>
      <c r="G63" s="34"/>
      <c r="H63" s="34"/>
      <c r="I63" s="34"/>
      <c r="J63" s="31" t="str">
        <f aca="false">IF(OR(G63="",H63="",I63=""),"",IF(H63=G63,"",MAX(0,MIN(1,(I63-G63)/(H63-G63)))))</f>
        <v/>
      </c>
      <c r="K63" s="34"/>
      <c r="L63" s="35"/>
      <c r="M63" s="33" t="str">
        <f aca="true">IF(L63="","",L63-TODAY())</f>
        <v/>
      </c>
      <c r="N63" s="34"/>
      <c r="O63" s="21"/>
      <c r="P63" s="35"/>
      <c r="Q63" s="21"/>
    </row>
    <row r="64" customFormat="false" ht="15" hidden="false" customHeight="false" outlineLevel="0" collapsed="false">
      <c r="A64" s="6" t="s">
        <v>254</v>
      </c>
      <c r="B64" s="21"/>
      <c r="C64" s="34"/>
      <c r="D64" s="21"/>
      <c r="E64" s="21"/>
      <c r="F64" s="34"/>
      <c r="G64" s="34"/>
      <c r="H64" s="34"/>
      <c r="I64" s="34"/>
      <c r="J64" s="31" t="str">
        <f aca="false">IF(OR(G64="",H64="",I64=""),"",IF(H64=G64,"",MAX(0,MIN(1,(I64-G64)/(H64-G64)))))</f>
        <v/>
      </c>
      <c r="K64" s="34"/>
      <c r="L64" s="35"/>
      <c r="M64" s="33" t="str">
        <f aca="true">IF(L64="","",L64-TODAY())</f>
        <v/>
      </c>
      <c r="N64" s="34"/>
      <c r="O64" s="21"/>
      <c r="P64" s="35"/>
      <c r="Q64" s="21"/>
    </row>
    <row r="65" customFormat="false" ht="15" hidden="false" customHeight="false" outlineLevel="0" collapsed="false">
      <c r="A65" s="6" t="s">
        <v>255</v>
      </c>
      <c r="B65" s="21"/>
      <c r="C65" s="34"/>
      <c r="D65" s="21"/>
      <c r="E65" s="21"/>
      <c r="F65" s="34"/>
      <c r="G65" s="34"/>
      <c r="H65" s="34"/>
      <c r="I65" s="34"/>
      <c r="J65" s="31" t="str">
        <f aca="false">IF(OR(G65="",H65="",I65=""),"",IF(H65=G65,"",MAX(0,MIN(1,(I65-G65)/(H65-G65)))))</f>
        <v/>
      </c>
      <c r="K65" s="34"/>
      <c r="L65" s="35"/>
      <c r="M65" s="33" t="str">
        <f aca="true">IF(L65="","",L65-TODAY())</f>
        <v/>
      </c>
      <c r="N65" s="34"/>
      <c r="O65" s="21"/>
      <c r="P65" s="35"/>
      <c r="Q65" s="21"/>
    </row>
    <row r="66" customFormat="false" ht="15" hidden="false" customHeight="false" outlineLevel="0" collapsed="false">
      <c r="A66" s="6" t="s">
        <v>256</v>
      </c>
      <c r="B66" s="21"/>
      <c r="C66" s="34"/>
      <c r="D66" s="21"/>
      <c r="E66" s="21"/>
      <c r="F66" s="34"/>
      <c r="G66" s="34"/>
      <c r="H66" s="34"/>
      <c r="I66" s="34"/>
      <c r="J66" s="31" t="str">
        <f aca="false">IF(OR(G66="",H66="",I66=""),"",IF(H66=G66,"",MAX(0,MIN(1,(I66-G66)/(H66-G66)))))</f>
        <v/>
      </c>
      <c r="K66" s="34"/>
      <c r="L66" s="35"/>
      <c r="M66" s="33" t="str">
        <f aca="true">IF(L66="","",L66-TODAY())</f>
        <v/>
      </c>
      <c r="N66" s="34"/>
      <c r="O66" s="21"/>
      <c r="P66" s="35"/>
      <c r="Q66" s="21"/>
    </row>
    <row r="67" customFormat="false" ht="15" hidden="false" customHeight="false" outlineLevel="0" collapsed="false">
      <c r="A67" s="6" t="s">
        <v>257</v>
      </c>
      <c r="B67" s="21"/>
      <c r="C67" s="34"/>
      <c r="D67" s="21"/>
      <c r="E67" s="21"/>
      <c r="F67" s="34"/>
      <c r="G67" s="34"/>
      <c r="H67" s="34"/>
      <c r="I67" s="34"/>
      <c r="J67" s="31" t="str">
        <f aca="false">IF(OR(G67="",H67="",I67=""),"",IF(H67=G67,"",MAX(0,MIN(1,(I67-G67)/(H67-G67)))))</f>
        <v/>
      </c>
      <c r="K67" s="34"/>
      <c r="L67" s="35"/>
      <c r="M67" s="33" t="str">
        <f aca="true">IF(L67="","",L67-TODAY())</f>
        <v/>
      </c>
      <c r="N67" s="34"/>
      <c r="O67" s="21"/>
      <c r="P67" s="35"/>
      <c r="Q67" s="21"/>
    </row>
    <row r="68" customFormat="false" ht="15" hidden="false" customHeight="false" outlineLevel="0" collapsed="false">
      <c r="A68" s="6" t="s">
        <v>258</v>
      </c>
      <c r="B68" s="21"/>
      <c r="C68" s="34"/>
      <c r="D68" s="21"/>
      <c r="E68" s="21"/>
      <c r="F68" s="34"/>
      <c r="G68" s="34"/>
      <c r="H68" s="34"/>
      <c r="I68" s="34"/>
      <c r="J68" s="31" t="str">
        <f aca="false">IF(OR(G68="",H68="",I68=""),"",IF(H68=G68,"",MAX(0,MIN(1,(I68-G68)/(H68-G68)))))</f>
        <v/>
      </c>
      <c r="K68" s="34"/>
      <c r="L68" s="35"/>
      <c r="M68" s="33" t="str">
        <f aca="true">IF(L68="","",L68-TODAY())</f>
        <v/>
      </c>
      <c r="N68" s="34"/>
      <c r="O68" s="21"/>
      <c r="P68" s="35"/>
      <c r="Q68" s="21"/>
    </row>
    <row r="69" customFormat="false" ht="15" hidden="false" customHeight="false" outlineLevel="0" collapsed="false">
      <c r="A69" s="6" t="s">
        <v>259</v>
      </c>
      <c r="B69" s="21"/>
      <c r="C69" s="34"/>
      <c r="D69" s="21"/>
      <c r="E69" s="21"/>
      <c r="F69" s="34"/>
      <c r="G69" s="34"/>
      <c r="H69" s="34"/>
      <c r="I69" s="34"/>
      <c r="J69" s="31" t="str">
        <f aca="false">IF(OR(G69="",H69="",I69=""),"",IF(H69=G69,"",MAX(0,MIN(1,(I69-G69)/(H69-G69)))))</f>
        <v/>
      </c>
      <c r="K69" s="34"/>
      <c r="L69" s="35"/>
      <c r="M69" s="33" t="str">
        <f aca="true">IF(L69="","",L69-TODAY())</f>
        <v/>
      </c>
      <c r="N69" s="34"/>
      <c r="O69" s="21"/>
      <c r="P69" s="35"/>
      <c r="Q69" s="21"/>
    </row>
    <row r="70" customFormat="false" ht="15" hidden="false" customHeight="false" outlineLevel="0" collapsed="false">
      <c r="A70" s="6" t="s">
        <v>260</v>
      </c>
      <c r="B70" s="21"/>
      <c r="C70" s="34"/>
      <c r="D70" s="21"/>
      <c r="E70" s="21"/>
      <c r="F70" s="34"/>
      <c r="G70" s="34"/>
      <c r="H70" s="34"/>
      <c r="I70" s="34"/>
      <c r="J70" s="31" t="str">
        <f aca="false">IF(OR(G70="",H70="",I70=""),"",IF(H70=G70,"",MAX(0,MIN(1,(I70-G70)/(H70-G70)))))</f>
        <v/>
      </c>
      <c r="K70" s="34"/>
      <c r="L70" s="35"/>
      <c r="M70" s="33" t="str">
        <f aca="true">IF(L70="","",L70-TODAY())</f>
        <v/>
      </c>
      <c r="N70" s="34"/>
      <c r="O70" s="21"/>
      <c r="P70" s="35"/>
      <c r="Q70" s="21"/>
    </row>
    <row r="71" customFormat="false" ht="15" hidden="false" customHeight="false" outlineLevel="0" collapsed="false">
      <c r="A71" s="6" t="s">
        <v>261</v>
      </c>
      <c r="B71" s="21"/>
      <c r="C71" s="34"/>
      <c r="D71" s="21"/>
      <c r="E71" s="21"/>
      <c r="F71" s="34"/>
      <c r="G71" s="34"/>
      <c r="H71" s="34"/>
      <c r="I71" s="34"/>
      <c r="J71" s="31" t="str">
        <f aca="false">IF(OR(G71="",H71="",I71=""),"",IF(H71=G71,"",MAX(0,MIN(1,(I71-G71)/(H71-G71)))))</f>
        <v/>
      </c>
      <c r="K71" s="34"/>
      <c r="L71" s="35"/>
      <c r="M71" s="33" t="str">
        <f aca="true">IF(L71="","",L71-TODAY())</f>
        <v/>
      </c>
      <c r="N71" s="34"/>
      <c r="O71" s="21"/>
      <c r="P71" s="35"/>
      <c r="Q71" s="21"/>
    </row>
    <row r="72" customFormat="false" ht="15" hidden="false" customHeight="false" outlineLevel="0" collapsed="false">
      <c r="A72" s="6" t="s">
        <v>262</v>
      </c>
      <c r="B72" s="21"/>
      <c r="C72" s="34"/>
      <c r="D72" s="21"/>
      <c r="E72" s="21"/>
      <c r="F72" s="34"/>
      <c r="G72" s="34"/>
      <c r="H72" s="34"/>
      <c r="I72" s="34"/>
      <c r="J72" s="31" t="str">
        <f aca="false">IF(OR(G72="",H72="",I72=""),"",IF(H72=G72,"",MAX(0,MIN(1,(I72-G72)/(H72-G72)))))</f>
        <v/>
      </c>
      <c r="K72" s="34"/>
      <c r="L72" s="35"/>
      <c r="M72" s="33" t="str">
        <f aca="true">IF(L72="","",L72-TODAY())</f>
        <v/>
      </c>
      <c r="N72" s="34"/>
      <c r="O72" s="21"/>
      <c r="P72" s="35"/>
      <c r="Q72" s="21"/>
    </row>
    <row r="73" customFormat="false" ht="15" hidden="false" customHeight="false" outlineLevel="0" collapsed="false">
      <c r="A73" s="6" t="s">
        <v>263</v>
      </c>
      <c r="B73" s="21"/>
      <c r="C73" s="34"/>
      <c r="D73" s="21"/>
      <c r="E73" s="21"/>
      <c r="F73" s="34"/>
      <c r="G73" s="34"/>
      <c r="H73" s="34"/>
      <c r="I73" s="34"/>
      <c r="J73" s="31" t="str">
        <f aca="false">IF(OR(G73="",H73="",I73=""),"",IF(H73=G73,"",MAX(0,MIN(1,(I73-G73)/(H73-G73)))))</f>
        <v/>
      </c>
      <c r="K73" s="34"/>
      <c r="L73" s="35"/>
      <c r="M73" s="33" t="str">
        <f aca="true">IF(L73="","",L73-TODAY())</f>
        <v/>
      </c>
      <c r="N73" s="34"/>
      <c r="O73" s="21"/>
      <c r="P73" s="35"/>
      <c r="Q73" s="21"/>
    </row>
    <row r="74" customFormat="false" ht="15" hidden="false" customHeight="false" outlineLevel="0" collapsed="false">
      <c r="A74" s="6" t="s">
        <v>264</v>
      </c>
      <c r="B74" s="21"/>
      <c r="C74" s="34"/>
      <c r="D74" s="21"/>
      <c r="E74" s="21"/>
      <c r="F74" s="34"/>
      <c r="G74" s="34"/>
      <c r="H74" s="34"/>
      <c r="I74" s="34"/>
      <c r="J74" s="31" t="str">
        <f aca="false">IF(OR(G74="",H74="",I74=""),"",IF(H74=G74,"",MAX(0,MIN(1,(I74-G74)/(H74-G74)))))</f>
        <v/>
      </c>
      <c r="K74" s="34"/>
      <c r="L74" s="35"/>
      <c r="M74" s="33" t="str">
        <f aca="true">IF(L74="","",L74-TODAY())</f>
        <v/>
      </c>
      <c r="N74" s="34"/>
      <c r="O74" s="21"/>
      <c r="P74" s="35"/>
      <c r="Q74" s="21"/>
    </row>
    <row r="75" customFormat="false" ht="15" hidden="false" customHeight="false" outlineLevel="0" collapsed="false">
      <c r="A75" s="6" t="s">
        <v>265</v>
      </c>
      <c r="B75" s="21"/>
      <c r="C75" s="34"/>
      <c r="D75" s="21"/>
      <c r="E75" s="21"/>
      <c r="F75" s="34"/>
      <c r="G75" s="34"/>
      <c r="H75" s="34"/>
      <c r="I75" s="34"/>
      <c r="J75" s="31" t="str">
        <f aca="false">IF(OR(G75="",H75="",I75=""),"",IF(H75=G75,"",MAX(0,MIN(1,(I75-G75)/(H75-G75)))))</f>
        <v/>
      </c>
      <c r="K75" s="34"/>
      <c r="L75" s="35"/>
      <c r="M75" s="33" t="str">
        <f aca="true">IF(L75="","",L75-TODAY())</f>
        <v/>
      </c>
      <c r="N75" s="34"/>
      <c r="O75" s="21"/>
      <c r="P75" s="35"/>
      <c r="Q75" s="21"/>
    </row>
    <row r="76" customFormat="false" ht="15" hidden="false" customHeight="false" outlineLevel="0" collapsed="false">
      <c r="A76" s="6" t="s">
        <v>266</v>
      </c>
      <c r="B76" s="21"/>
      <c r="C76" s="34"/>
      <c r="D76" s="21"/>
      <c r="E76" s="21"/>
      <c r="F76" s="34"/>
      <c r="G76" s="34"/>
      <c r="H76" s="34"/>
      <c r="I76" s="34"/>
      <c r="J76" s="31" t="str">
        <f aca="false">IF(OR(G76="",H76="",I76=""),"",IF(H76=G76,"",MAX(0,MIN(1,(I76-G76)/(H76-G76)))))</f>
        <v/>
      </c>
      <c r="K76" s="34"/>
      <c r="L76" s="35"/>
      <c r="M76" s="33" t="str">
        <f aca="true">IF(L76="","",L76-TODAY())</f>
        <v/>
      </c>
      <c r="N76" s="34"/>
      <c r="O76" s="21"/>
      <c r="P76" s="35"/>
      <c r="Q76" s="21"/>
    </row>
    <row r="77" customFormat="false" ht="15" hidden="false" customHeight="false" outlineLevel="0" collapsed="false">
      <c r="A77" s="6" t="s">
        <v>267</v>
      </c>
      <c r="B77" s="21"/>
      <c r="C77" s="34"/>
      <c r="D77" s="21"/>
      <c r="E77" s="21"/>
      <c r="F77" s="34"/>
      <c r="G77" s="34"/>
      <c r="H77" s="34"/>
      <c r="I77" s="34"/>
      <c r="J77" s="31" t="str">
        <f aca="false">IF(OR(G77="",H77="",I77=""),"",IF(H77=G77,"",MAX(0,MIN(1,(I77-G77)/(H77-G77)))))</f>
        <v/>
      </c>
      <c r="K77" s="34"/>
      <c r="L77" s="35"/>
      <c r="M77" s="33" t="str">
        <f aca="true">IF(L77="","",L77-TODAY())</f>
        <v/>
      </c>
      <c r="N77" s="34"/>
      <c r="O77" s="21"/>
      <c r="P77" s="35"/>
      <c r="Q77" s="21"/>
    </row>
    <row r="78" customFormat="false" ht="15" hidden="false" customHeight="false" outlineLevel="0" collapsed="false">
      <c r="A78" s="6" t="s">
        <v>268</v>
      </c>
      <c r="B78" s="21"/>
      <c r="C78" s="34"/>
      <c r="D78" s="21"/>
      <c r="E78" s="21"/>
      <c r="F78" s="34"/>
      <c r="G78" s="34"/>
      <c r="H78" s="34"/>
      <c r="I78" s="34"/>
      <c r="J78" s="31" t="str">
        <f aca="false">IF(OR(G78="",H78="",I78=""),"",IF(H78=G78,"",MAX(0,MIN(1,(I78-G78)/(H78-G78)))))</f>
        <v/>
      </c>
      <c r="K78" s="34"/>
      <c r="L78" s="35"/>
      <c r="M78" s="33" t="str">
        <f aca="true">IF(L78="","",L78-TODAY())</f>
        <v/>
      </c>
      <c r="N78" s="34"/>
      <c r="O78" s="21"/>
      <c r="P78" s="35"/>
      <c r="Q78" s="21"/>
    </row>
    <row r="79" customFormat="false" ht="15" hidden="false" customHeight="false" outlineLevel="0" collapsed="false">
      <c r="A79" s="6" t="s">
        <v>269</v>
      </c>
      <c r="B79" s="21"/>
      <c r="C79" s="34"/>
      <c r="D79" s="21"/>
      <c r="E79" s="21"/>
      <c r="F79" s="34"/>
      <c r="G79" s="34"/>
      <c r="H79" s="34"/>
      <c r="I79" s="34"/>
      <c r="J79" s="31" t="str">
        <f aca="false">IF(OR(G79="",H79="",I79=""),"",IF(H79=G79,"",MAX(0,MIN(1,(I79-G79)/(H79-G79)))))</f>
        <v/>
      </c>
      <c r="K79" s="34"/>
      <c r="L79" s="35"/>
      <c r="M79" s="33" t="str">
        <f aca="true">IF(L79="","",L79-TODAY())</f>
        <v/>
      </c>
      <c r="N79" s="34"/>
      <c r="O79" s="21"/>
      <c r="P79" s="35"/>
      <c r="Q79" s="21"/>
    </row>
    <row r="80" customFormat="false" ht="15" hidden="false" customHeight="false" outlineLevel="0" collapsed="false">
      <c r="A80" s="6" t="s">
        <v>270</v>
      </c>
      <c r="B80" s="21"/>
      <c r="C80" s="34"/>
      <c r="D80" s="21"/>
      <c r="E80" s="21"/>
      <c r="F80" s="34"/>
      <c r="G80" s="34"/>
      <c r="H80" s="34"/>
      <c r="I80" s="34"/>
      <c r="J80" s="31" t="str">
        <f aca="false">IF(OR(G80="",H80="",I80=""),"",IF(H80=G80,"",MAX(0,MIN(1,(I80-G80)/(H80-G80)))))</f>
        <v/>
      </c>
      <c r="K80" s="34"/>
      <c r="L80" s="35"/>
      <c r="M80" s="33" t="str">
        <f aca="true">IF(L80="","",L80-TODAY())</f>
        <v/>
      </c>
      <c r="N80" s="34"/>
      <c r="O80" s="21"/>
      <c r="P80" s="35"/>
      <c r="Q80" s="21"/>
    </row>
    <row r="81" customFormat="false" ht="15" hidden="false" customHeight="false" outlineLevel="0" collapsed="false">
      <c r="A81" s="6" t="s">
        <v>271</v>
      </c>
      <c r="B81" s="21"/>
      <c r="C81" s="34"/>
      <c r="D81" s="21"/>
      <c r="E81" s="21"/>
      <c r="F81" s="34"/>
      <c r="G81" s="34"/>
      <c r="H81" s="34"/>
      <c r="I81" s="34"/>
      <c r="J81" s="31" t="str">
        <f aca="false">IF(OR(G81="",H81="",I81=""),"",IF(H81=G81,"",MAX(0,MIN(1,(I81-G81)/(H81-G81)))))</f>
        <v/>
      </c>
      <c r="K81" s="34"/>
      <c r="L81" s="35"/>
      <c r="M81" s="33" t="str">
        <f aca="true">IF(L81="","",L81-TODAY())</f>
        <v/>
      </c>
      <c r="N81" s="34"/>
      <c r="O81" s="21"/>
      <c r="P81" s="35"/>
      <c r="Q81" s="21"/>
    </row>
    <row r="82" customFormat="false" ht="15" hidden="false" customHeight="false" outlineLevel="0" collapsed="false">
      <c r="A82" s="6" t="s">
        <v>272</v>
      </c>
      <c r="B82" s="21"/>
      <c r="C82" s="34"/>
      <c r="D82" s="21"/>
      <c r="E82" s="21"/>
      <c r="F82" s="34"/>
      <c r="G82" s="34"/>
      <c r="H82" s="34"/>
      <c r="I82" s="34"/>
      <c r="J82" s="31" t="str">
        <f aca="false">IF(OR(G82="",H82="",I82=""),"",IF(H82=G82,"",MAX(0,MIN(1,(I82-G82)/(H82-G82)))))</f>
        <v/>
      </c>
      <c r="K82" s="34"/>
      <c r="L82" s="35"/>
      <c r="M82" s="33" t="str">
        <f aca="true">IF(L82="","",L82-TODAY())</f>
        <v/>
      </c>
      <c r="N82" s="34"/>
      <c r="O82" s="21"/>
      <c r="P82" s="35"/>
      <c r="Q82" s="21"/>
    </row>
    <row r="83" customFormat="false" ht="15" hidden="false" customHeight="false" outlineLevel="0" collapsed="false">
      <c r="A83" s="6" t="s">
        <v>273</v>
      </c>
      <c r="B83" s="21"/>
      <c r="C83" s="34"/>
      <c r="D83" s="21"/>
      <c r="E83" s="21"/>
      <c r="F83" s="34"/>
      <c r="G83" s="34"/>
      <c r="H83" s="34"/>
      <c r="I83" s="34"/>
      <c r="J83" s="31" t="str">
        <f aca="false">IF(OR(G83="",H83="",I83=""),"",IF(H83=G83,"",MAX(0,MIN(1,(I83-G83)/(H83-G83)))))</f>
        <v/>
      </c>
      <c r="K83" s="34"/>
      <c r="L83" s="35"/>
      <c r="M83" s="33" t="str">
        <f aca="true">IF(L83="","",L83-TODAY())</f>
        <v/>
      </c>
      <c r="N83" s="34"/>
      <c r="O83" s="21"/>
      <c r="P83" s="35"/>
      <c r="Q83" s="21"/>
    </row>
    <row r="84" customFormat="false" ht="15" hidden="false" customHeight="false" outlineLevel="0" collapsed="false">
      <c r="A84" s="6" t="s">
        <v>274</v>
      </c>
      <c r="B84" s="21"/>
      <c r="C84" s="34"/>
      <c r="D84" s="21"/>
      <c r="E84" s="21"/>
      <c r="F84" s="34"/>
      <c r="G84" s="34"/>
      <c r="H84" s="34"/>
      <c r="I84" s="34"/>
      <c r="J84" s="31" t="str">
        <f aca="false">IF(OR(G84="",H84="",I84=""),"",IF(H84=G84,"",MAX(0,MIN(1,(I84-G84)/(H84-G84)))))</f>
        <v/>
      </c>
      <c r="K84" s="34"/>
      <c r="L84" s="35"/>
      <c r="M84" s="33" t="str">
        <f aca="true">IF(L84="","",L84-TODAY())</f>
        <v/>
      </c>
      <c r="N84" s="34"/>
      <c r="O84" s="21"/>
      <c r="P84" s="35"/>
      <c r="Q84" s="21"/>
    </row>
    <row r="85" customFormat="false" ht="15" hidden="false" customHeight="false" outlineLevel="0" collapsed="false">
      <c r="A85" s="6" t="s">
        <v>275</v>
      </c>
      <c r="B85" s="21"/>
      <c r="C85" s="34"/>
      <c r="D85" s="21"/>
      <c r="E85" s="21"/>
      <c r="F85" s="34"/>
      <c r="G85" s="34"/>
      <c r="H85" s="34"/>
      <c r="I85" s="34"/>
      <c r="J85" s="31" t="str">
        <f aca="false">IF(OR(G85="",H85="",I85=""),"",IF(H85=G85,"",MAX(0,MIN(1,(I85-G85)/(H85-G85)))))</f>
        <v/>
      </c>
      <c r="K85" s="34"/>
      <c r="L85" s="35"/>
      <c r="M85" s="33" t="str">
        <f aca="true">IF(L85="","",L85-TODAY())</f>
        <v/>
      </c>
      <c r="N85" s="34"/>
      <c r="O85" s="21"/>
      <c r="P85" s="35"/>
      <c r="Q85" s="21"/>
    </row>
    <row r="86" customFormat="false" ht="15" hidden="false" customHeight="false" outlineLevel="0" collapsed="false">
      <c r="A86" s="6" t="s">
        <v>276</v>
      </c>
      <c r="B86" s="21"/>
      <c r="C86" s="34"/>
      <c r="D86" s="21"/>
      <c r="E86" s="21"/>
      <c r="F86" s="34"/>
      <c r="G86" s="34"/>
      <c r="H86" s="34"/>
      <c r="I86" s="34"/>
      <c r="J86" s="31" t="str">
        <f aca="false">IF(OR(G86="",H86="",I86=""),"",IF(H86=G86,"",MAX(0,MIN(1,(I86-G86)/(H86-G86)))))</f>
        <v/>
      </c>
      <c r="K86" s="34"/>
      <c r="L86" s="35"/>
      <c r="M86" s="33" t="str">
        <f aca="true">IF(L86="","",L86-TODAY())</f>
        <v/>
      </c>
      <c r="N86" s="34"/>
      <c r="O86" s="21"/>
      <c r="P86" s="35"/>
      <c r="Q86" s="21"/>
    </row>
    <row r="87" customFormat="false" ht="15" hidden="false" customHeight="false" outlineLevel="0" collapsed="false">
      <c r="A87" s="6" t="s">
        <v>277</v>
      </c>
      <c r="B87" s="21"/>
      <c r="C87" s="34"/>
      <c r="D87" s="21"/>
      <c r="E87" s="21"/>
      <c r="F87" s="34"/>
      <c r="G87" s="34"/>
      <c r="H87" s="34"/>
      <c r="I87" s="34"/>
      <c r="J87" s="31" t="str">
        <f aca="false">IF(OR(G87="",H87="",I87=""),"",IF(H87=G87,"",MAX(0,MIN(1,(I87-G87)/(H87-G87)))))</f>
        <v/>
      </c>
      <c r="K87" s="34"/>
      <c r="L87" s="35"/>
      <c r="M87" s="33" t="str">
        <f aca="true">IF(L87="","",L87-TODAY())</f>
        <v/>
      </c>
      <c r="N87" s="34"/>
      <c r="O87" s="21"/>
      <c r="P87" s="35"/>
      <c r="Q87" s="21"/>
    </row>
    <row r="88" customFormat="false" ht="15" hidden="false" customHeight="false" outlineLevel="0" collapsed="false">
      <c r="A88" s="6" t="s">
        <v>278</v>
      </c>
      <c r="B88" s="21"/>
      <c r="C88" s="34"/>
      <c r="D88" s="21"/>
      <c r="E88" s="21"/>
      <c r="F88" s="34"/>
      <c r="G88" s="34"/>
      <c r="H88" s="34"/>
      <c r="I88" s="34"/>
      <c r="J88" s="31" t="str">
        <f aca="false">IF(OR(G88="",H88="",I88=""),"",IF(H88=G88,"",MAX(0,MIN(1,(I88-G88)/(H88-G88)))))</f>
        <v/>
      </c>
      <c r="K88" s="34"/>
      <c r="L88" s="35"/>
      <c r="M88" s="33" t="str">
        <f aca="true">IF(L88="","",L88-TODAY())</f>
        <v/>
      </c>
      <c r="N88" s="34"/>
      <c r="O88" s="21"/>
      <c r="P88" s="35"/>
      <c r="Q88" s="21"/>
    </row>
    <row r="89" customFormat="false" ht="15" hidden="false" customHeight="false" outlineLevel="0" collapsed="false">
      <c r="A89" s="6" t="s">
        <v>279</v>
      </c>
      <c r="B89" s="21"/>
      <c r="C89" s="34"/>
      <c r="D89" s="21"/>
      <c r="E89" s="21"/>
      <c r="F89" s="34"/>
      <c r="G89" s="34"/>
      <c r="H89" s="34"/>
      <c r="I89" s="34"/>
      <c r="J89" s="31" t="str">
        <f aca="false">IF(OR(G89="",H89="",I89=""),"",IF(H89=G89,"",MAX(0,MIN(1,(I89-G89)/(H89-G89)))))</f>
        <v/>
      </c>
      <c r="K89" s="34"/>
      <c r="L89" s="35"/>
      <c r="M89" s="33" t="str">
        <f aca="true">IF(L89="","",L89-TODAY())</f>
        <v/>
      </c>
      <c r="N89" s="34"/>
      <c r="O89" s="21"/>
      <c r="P89" s="35"/>
      <c r="Q89" s="21"/>
    </row>
    <row r="90" customFormat="false" ht="15" hidden="false" customHeight="false" outlineLevel="0" collapsed="false">
      <c r="A90" s="6" t="s">
        <v>280</v>
      </c>
      <c r="B90" s="21"/>
      <c r="C90" s="34"/>
      <c r="D90" s="21"/>
      <c r="E90" s="21"/>
      <c r="F90" s="34"/>
      <c r="G90" s="34"/>
      <c r="H90" s="34"/>
      <c r="I90" s="34"/>
      <c r="J90" s="31" t="str">
        <f aca="false">IF(OR(G90="",H90="",I90=""),"",IF(H90=G90,"",MAX(0,MIN(1,(I90-G90)/(H90-G90)))))</f>
        <v/>
      </c>
      <c r="K90" s="34"/>
      <c r="L90" s="35"/>
      <c r="M90" s="33" t="str">
        <f aca="true">IF(L90="","",L90-TODAY())</f>
        <v/>
      </c>
      <c r="N90" s="34"/>
      <c r="O90" s="21"/>
      <c r="P90" s="35"/>
      <c r="Q90" s="21"/>
    </row>
    <row r="91" customFormat="false" ht="15" hidden="false" customHeight="false" outlineLevel="0" collapsed="false">
      <c r="A91" s="6" t="s">
        <v>281</v>
      </c>
      <c r="B91" s="21"/>
      <c r="C91" s="34"/>
      <c r="D91" s="21"/>
      <c r="E91" s="21"/>
      <c r="F91" s="34"/>
      <c r="G91" s="34"/>
      <c r="H91" s="34"/>
      <c r="I91" s="34"/>
      <c r="J91" s="31" t="str">
        <f aca="false">IF(OR(G91="",H91="",I91=""),"",IF(H91=G91,"",MAX(0,MIN(1,(I91-G91)/(H91-G91)))))</f>
        <v/>
      </c>
      <c r="K91" s="34"/>
      <c r="L91" s="35"/>
      <c r="M91" s="33" t="str">
        <f aca="true">IF(L91="","",L91-TODAY())</f>
        <v/>
      </c>
      <c r="N91" s="34"/>
      <c r="O91" s="21"/>
      <c r="P91" s="35"/>
      <c r="Q91" s="21"/>
    </row>
    <row r="92" customFormat="false" ht="15" hidden="false" customHeight="false" outlineLevel="0" collapsed="false">
      <c r="A92" s="6" t="s">
        <v>282</v>
      </c>
      <c r="B92" s="21"/>
      <c r="C92" s="34"/>
      <c r="D92" s="21"/>
      <c r="E92" s="21"/>
      <c r="F92" s="34"/>
      <c r="G92" s="34"/>
      <c r="H92" s="34"/>
      <c r="I92" s="34"/>
      <c r="J92" s="31" t="str">
        <f aca="false">IF(OR(G92="",H92="",I92=""),"",IF(H92=G92,"",MAX(0,MIN(1,(I92-G92)/(H92-G92)))))</f>
        <v/>
      </c>
      <c r="K92" s="34"/>
      <c r="L92" s="35"/>
      <c r="M92" s="33" t="str">
        <f aca="true">IF(L92="","",L92-TODAY())</f>
        <v/>
      </c>
      <c r="N92" s="34"/>
      <c r="O92" s="21"/>
      <c r="P92" s="35"/>
      <c r="Q92" s="21"/>
    </row>
    <row r="93" customFormat="false" ht="15" hidden="false" customHeight="false" outlineLevel="0" collapsed="false">
      <c r="A93" s="6" t="s">
        <v>283</v>
      </c>
      <c r="B93" s="21"/>
      <c r="C93" s="34"/>
      <c r="D93" s="21"/>
      <c r="E93" s="21"/>
      <c r="F93" s="34"/>
      <c r="G93" s="34"/>
      <c r="H93" s="34"/>
      <c r="I93" s="34"/>
      <c r="J93" s="31" t="str">
        <f aca="false">IF(OR(G93="",H93="",I93=""),"",IF(H93=G93,"",MAX(0,MIN(1,(I93-G93)/(H93-G93)))))</f>
        <v/>
      </c>
      <c r="K93" s="34"/>
      <c r="L93" s="35"/>
      <c r="M93" s="33" t="str">
        <f aca="true">IF(L93="","",L93-TODAY())</f>
        <v/>
      </c>
      <c r="N93" s="34"/>
      <c r="O93" s="21"/>
      <c r="P93" s="35"/>
      <c r="Q93" s="21"/>
    </row>
    <row r="94" customFormat="false" ht="15" hidden="false" customHeight="false" outlineLevel="0" collapsed="false">
      <c r="A94" s="6" t="s">
        <v>284</v>
      </c>
      <c r="B94" s="21"/>
      <c r="C94" s="34"/>
      <c r="D94" s="21"/>
      <c r="E94" s="21"/>
      <c r="F94" s="34"/>
      <c r="G94" s="34"/>
      <c r="H94" s="34"/>
      <c r="I94" s="34"/>
      <c r="J94" s="31" t="str">
        <f aca="false">IF(OR(G94="",H94="",I94=""),"",IF(H94=G94,"",MAX(0,MIN(1,(I94-G94)/(H94-G94)))))</f>
        <v/>
      </c>
      <c r="K94" s="34"/>
      <c r="L94" s="35"/>
      <c r="M94" s="33" t="str">
        <f aca="true">IF(L94="","",L94-TODAY())</f>
        <v/>
      </c>
      <c r="N94" s="34"/>
      <c r="O94" s="21"/>
      <c r="P94" s="35"/>
      <c r="Q94" s="21"/>
    </row>
    <row r="95" customFormat="false" ht="15" hidden="false" customHeight="false" outlineLevel="0" collapsed="false">
      <c r="A95" s="6" t="s">
        <v>285</v>
      </c>
      <c r="B95" s="21"/>
      <c r="C95" s="34"/>
      <c r="D95" s="21"/>
      <c r="E95" s="21"/>
      <c r="F95" s="34"/>
      <c r="G95" s="34"/>
      <c r="H95" s="34"/>
      <c r="I95" s="34"/>
      <c r="J95" s="31" t="str">
        <f aca="false">IF(OR(G95="",H95="",I95=""),"",IF(H95=G95,"",MAX(0,MIN(1,(I95-G95)/(H95-G95)))))</f>
        <v/>
      </c>
      <c r="K95" s="34"/>
      <c r="L95" s="35"/>
      <c r="M95" s="33" t="str">
        <f aca="true">IF(L95="","",L95-TODAY())</f>
        <v/>
      </c>
      <c r="N95" s="34"/>
      <c r="O95" s="21"/>
      <c r="P95" s="35"/>
      <c r="Q95" s="21"/>
    </row>
    <row r="96" customFormat="false" ht="15" hidden="false" customHeight="false" outlineLevel="0" collapsed="false">
      <c r="A96" s="6" t="s">
        <v>286</v>
      </c>
      <c r="B96" s="21"/>
      <c r="C96" s="34"/>
      <c r="D96" s="21"/>
      <c r="E96" s="21"/>
      <c r="F96" s="34"/>
      <c r="G96" s="34"/>
      <c r="H96" s="34"/>
      <c r="I96" s="34"/>
      <c r="J96" s="31" t="str">
        <f aca="false">IF(OR(G96="",H96="",I96=""),"",IF(H96=G96,"",MAX(0,MIN(1,(I96-G96)/(H96-G96)))))</f>
        <v/>
      </c>
      <c r="K96" s="34"/>
      <c r="L96" s="35"/>
      <c r="M96" s="33" t="str">
        <f aca="true">IF(L96="","",L96-TODAY())</f>
        <v/>
      </c>
      <c r="N96" s="34"/>
      <c r="O96" s="21"/>
      <c r="P96" s="35"/>
      <c r="Q96" s="21"/>
    </row>
    <row r="97" customFormat="false" ht="15" hidden="false" customHeight="false" outlineLevel="0" collapsed="false">
      <c r="A97" s="6" t="s">
        <v>287</v>
      </c>
      <c r="B97" s="21"/>
      <c r="C97" s="34"/>
      <c r="D97" s="21"/>
      <c r="E97" s="21"/>
      <c r="F97" s="34"/>
      <c r="G97" s="34"/>
      <c r="H97" s="34"/>
      <c r="I97" s="34"/>
      <c r="J97" s="31" t="str">
        <f aca="false">IF(OR(G97="",H97="",I97=""),"",IF(H97=G97,"",MAX(0,MIN(1,(I97-G97)/(H97-G97)))))</f>
        <v/>
      </c>
      <c r="K97" s="34"/>
      <c r="L97" s="35"/>
      <c r="M97" s="33" t="str">
        <f aca="true">IF(L97="","",L97-TODAY())</f>
        <v/>
      </c>
      <c r="N97" s="34"/>
      <c r="O97" s="21"/>
      <c r="P97" s="35"/>
      <c r="Q97" s="21"/>
    </row>
    <row r="98" customFormat="false" ht="15" hidden="false" customHeight="false" outlineLevel="0" collapsed="false">
      <c r="A98" s="6" t="s">
        <v>288</v>
      </c>
      <c r="B98" s="21"/>
      <c r="C98" s="34"/>
      <c r="D98" s="21"/>
      <c r="E98" s="21"/>
      <c r="F98" s="34"/>
      <c r="G98" s="34"/>
      <c r="H98" s="34"/>
      <c r="I98" s="34"/>
      <c r="J98" s="31" t="str">
        <f aca="false">IF(OR(G98="",H98="",I98=""),"",IF(H98=G98,"",MAX(0,MIN(1,(I98-G98)/(H98-G98)))))</f>
        <v/>
      </c>
      <c r="K98" s="34"/>
      <c r="L98" s="35"/>
      <c r="M98" s="33" t="str">
        <f aca="true">IF(L98="","",L98-TODAY())</f>
        <v/>
      </c>
      <c r="N98" s="34"/>
      <c r="O98" s="21"/>
      <c r="P98" s="35"/>
      <c r="Q98" s="21"/>
    </row>
    <row r="99" customFormat="false" ht="15" hidden="false" customHeight="false" outlineLevel="0" collapsed="false">
      <c r="A99" s="6" t="s">
        <v>289</v>
      </c>
      <c r="B99" s="21"/>
      <c r="C99" s="34"/>
      <c r="D99" s="21"/>
      <c r="E99" s="21"/>
      <c r="F99" s="34"/>
      <c r="G99" s="34"/>
      <c r="H99" s="34"/>
      <c r="I99" s="34"/>
      <c r="J99" s="31" t="str">
        <f aca="false">IF(OR(G99="",H99="",I99=""),"",IF(H99=G99,"",MAX(0,MIN(1,(I99-G99)/(H99-G99)))))</f>
        <v/>
      </c>
      <c r="K99" s="34"/>
      <c r="L99" s="35"/>
      <c r="M99" s="33" t="str">
        <f aca="true">IF(L99="","",L99-TODAY())</f>
        <v/>
      </c>
      <c r="N99" s="34"/>
      <c r="O99" s="21"/>
      <c r="P99" s="35"/>
      <c r="Q99" s="21"/>
    </row>
    <row r="100" customFormat="false" ht="15" hidden="false" customHeight="false" outlineLevel="0" collapsed="false">
      <c r="A100" s="6" t="s">
        <v>290</v>
      </c>
      <c r="B100" s="21"/>
      <c r="C100" s="34"/>
      <c r="D100" s="21"/>
      <c r="E100" s="21"/>
      <c r="F100" s="34"/>
      <c r="G100" s="34"/>
      <c r="H100" s="34"/>
      <c r="I100" s="34"/>
      <c r="J100" s="31" t="str">
        <f aca="false">IF(OR(G100="",H100="",I100=""),"",IF(H100=G100,"",MAX(0,MIN(1,(I100-G100)/(H100-G100)))))</f>
        <v/>
      </c>
      <c r="K100" s="34"/>
      <c r="L100" s="35"/>
      <c r="M100" s="33" t="str">
        <f aca="true">IF(L100="","",L100-TODAY())</f>
        <v/>
      </c>
      <c r="N100" s="34"/>
      <c r="O100" s="21"/>
      <c r="P100" s="35"/>
      <c r="Q100" s="21"/>
    </row>
    <row r="101" customFormat="false" ht="15" hidden="false" customHeight="false" outlineLevel="0" collapsed="false">
      <c r="A101" s="6" t="s">
        <v>291</v>
      </c>
      <c r="B101" s="21"/>
      <c r="C101" s="34"/>
      <c r="D101" s="21"/>
      <c r="E101" s="21"/>
      <c r="F101" s="34"/>
      <c r="G101" s="34"/>
      <c r="H101" s="34"/>
      <c r="I101" s="34"/>
      <c r="J101" s="31" t="str">
        <f aca="false">IF(OR(G101="",H101="",I101=""),"",IF(H101=G101,"",MAX(0,MIN(1,(I101-G101)/(H101-G101)))))</f>
        <v/>
      </c>
      <c r="K101" s="34"/>
      <c r="L101" s="35"/>
      <c r="M101" s="33" t="str">
        <f aca="true">IF(L101="","",L101-TODAY())</f>
        <v/>
      </c>
      <c r="N101" s="34"/>
      <c r="O101" s="21"/>
      <c r="P101" s="35"/>
      <c r="Q101" s="21"/>
    </row>
    <row r="102" customFormat="false" ht="15" hidden="false" customHeight="false" outlineLevel="0" collapsed="false">
      <c r="A102" s="6" t="s">
        <v>292</v>
      </c>
      <c r="B102" s="21"/>
      <c r="C102" s="34"/>
      <c r="D102" s="21"/>
      <c r="E102" s="21"/>
      <c r="F102" s="34"/>
      <c r="G102" s="34"/>
      <c r="H102" s="34"/>
      <c r="I102" s="34"/>
      <c r="J102" s="31" t="str">
        <f aca="false">IF(OR(G102="",H102="",I102=""),"",IF(H102=G102,"",MAX(0,MIN(1,(I102-G102)/(H102-G102)))))</f>
        <v/>
      </c>
      <c r="K102" s="34"/>
      <c r="L102" s="35"/>
      <c r="M102" s="33" t="str">
        <f aca="true">IF(L102="","",L102-TODAY())</f>
        <v/>
      </c>
      <c r="N102" s="34"/>
      <c r="O102" s="21"/>
      <c r="P102" s="35"/>
      <c r="Q102" s="21"/>
    </row>
    <row r="103" customFormat="false" ht="15" hidden="false" customHeight="false" outlineLevel="0" collapsed="false">
      <c r="A103" s="6" t="s">
        <v>293</v>
      </c>
      <c r="B103" s="21"/>
      <c r="C103" s="34"/>
      <c r="D103" s="21"/>
      <c r="E103" s="21"/>
      <c r="F103" s="34"/>
      <c r="G103" s="34"/>
      <c r="H103" s="34"/>
      <c r="I103" s="34"/>
      <c r="J103" s="31" t="str">
        <f aca="false">IF(OR(G103="",H103="",I103=""),"",IF(H103=G103,"",MAX(0,MIN(1,(I103-G103)/(H103-G103)))))</f>
        <v/>
      </c>
      <c r="K103" s="34"/>
      <c r="L103" s="35"/>
      <c r="M103" s="33" t="str">
        <f aca="true">IF(L103="","",L103-TODAY())</f>
        <v/>
      </c>
      <c r="N103" s="34"/>
      <c r="O103" s="21"/>
      <c r="P103" s="35"/>
      <c r="Q103" s="21"/>
    </row>
    <row r="104" customFormat="false" ht="15" hidden="false" customHeight="false" outlineLevel="0" collapsed="false">
      <c r="A104" s="6" t="s">
        <v>294</v>
      </c>
      <c r="B104" s="21"/>
      <c r="C104" s="34"/>
      <c r="D104" s="21"/>
      <c r="E104" s="21"/>
      <c r="F104" s="34"/>
      <c r="G104" s="34"/>
      <c r="H104" s="34"/>
      <c r="I104" s="34"/>
      <c r="J104" s="31" t="str">
        <f aca="false">IF(OR(G104="",H104="",I104=""),"",IF(H104=G104,"",MAX(0,MIN(1,(I104-G104)/(H104-G104)))))</f>
        <v/>
      </c>
      <c r="K104" s="34"/>
      <c r="L104" s="35"/>
      <c r="M104" s="33" t="str">
        <f aca="true">IF(L104="","",L104-TODAY())</f>
        <v/>
      </c>
      <c r="N104" s="34"/>
      <c r="O104" s="21"/>
      <c r="P104" s="35"/>
      <c r="Q104" s="21"/>
    </row>
    <row r="105" customFormat="false" ht="15" hidden="false" customHeight="false" outlineLevel="0" collapsed="false">
      <c r="A105" s="6" t="s">
        <v>295</v>
      </c>
      <c r="B105" s="21"/>
      <c r="C105" s="34"/>
      <c r="D105" s="21"/>
      <c r="E105" s="21"/>
      <c r="F105" s="34"/>
      <c r="G105" s="34"/>
      <c r="H105" s="34"/>
      <c r="I105" s="34"/>
      <c r="J105" s="31" t="str">
        <f aca="false">IF(OR(G105="",H105="",I105=""),"",IF(H105=G105,"",MAX(0,MIN(1,(I105-G105)/(H105-G105)))))</f>
        <v/>
      </c>
      <c r="K105" s="34"/>
      <c r="L105" s="35"/>
      <c r="M105" s="33" t="str">
        <f aca="true">IF(L105="","",L105-TODAY())</f>
        <v/>
      </c>
      <c r="N105" s="34"/>
      <c r="O105" s="21"/>
      <c r="P105" s="35"/>
      <c r="Q105" s="21"/>
    </row>
    <row r="106" customFormat="false" ht="15" hidden="false" customHeight="false" outlineLevel="0" collapsed="false">
      <c r="A106" s="6" t="s">
        <v>296</v>
      </c>
      <c r="B106" s="21"/>
      <c r="C106" s="34"/>
      <c r="D106" s="21"/>
      <c r="E106" s="21"/>
      <c r="F106" s="34"/>
      <c r="G106" s="34"/>
      <c r="H106" s="34"/>
      <c r="I106" s="34"/>
      <c r="J106" s="31" t="str">
        <f aca="false">IF(OR(G106="",H106="",I106=""),"",IF(H106=G106,"",MAX(0,MIN(1,(I106-G106)/(H106-G106)))))</f>
        <v/>
      </c>
      <c r="K106" s="34"/>
      <c r="L106" s="35"/>
      <c r="M106" s="33" t="str">
        <f aca="true">IF(L106="","",L106-TODAY())</f>
        <v/>
      </c>
      <c r="N106" s="34"/>
      <c r="O106" s="21"/>
      <c r="P106" s="35"/>
      <c r="Q106" s="21"/>
    </row>
    <row r="107" customFormat="false" ht="15" hidden="false" customHeight="false" outlineLevel="0" collapsed="false">
      <c r="A107" s="6" t="s">
        <v>297</v>
      </c>
      <c r="B107" s="21"/>
      <c r="C107" s="34"/>
      <c r="D107" s="21"/>
      <c r="E107" s="21"/>
      <c r="F107" s="34"/>
      <c r="G107" s="34"/>
      <c r="H107" s="34"/>
      <c r="I107" s="34"/>
      <c r="J107" s="31" t="str">
        <f aca="false">IF(OR(G107="",H107="",I107=""),"",IF(H107=G107,"",MAX(0,MIN(1,(I107-G107)/(H107-G107)))))</f>
        <v/>
      </c>
      <c r="K107" s="34"/>
      <c r="L107" s="35"/>
      <c r="M107" s="33" t="str">
        <f aca="true">IF(L107="","",L107-TODAY())</f>
        <v/>
      </c>
      <c r="N107" s="34"/>
      <c r="O107" s="21"/>
      <c r="P107" s="35"/>
      <c r="Q107" s="21"/>
    </row>
    <row r="108" customFormat="false" ht="15" hidden="false" customHeight="false" outlineLevel="0" collapsed="false">
      <c r="A108" s="6" t="s">
        <v>298</v>
      </c>
      <c r="B108" s="21"/>
      <c r="C108" s="34"/>
      <c r="D108" s="21"/>
      <c r="E108" s="21"/>
      <c r="F108" s="34"/>
      <c r="G108" s="34"/>
      <c r="H108" s="34"/>
      <c r="I108" s="34"/>
      <c r="J108" s="31" t="str">
        <f aca="false">IF(OR(G108="",H108="",I108=""),"",IF(H108=G108,"",MAX(0,MIN(1,(I108-G108)/(H108-G108)))))</f>
        <v/>
      </c>
      <c r="K108" s="34"/>
      <c r="L108" s="35"/>
      <c r="M108" s="33" t="str">
        <f aca="true">IF(L108="","",L108-TODAY())</f>
        <v/>
      </c>
      <c r="N108" s="34"/>
      <c r="O108" s="21"/>
      <c r="P108" s="35"/>
      <c r="Q108" s="21"/>
    </row>
    <row r="109" customFormat="false" ht="15" hidden="false" customHeight="false" outlineLevel="0" collapsed="false">
      <c r="A109" s="6" t="s">
        <v>299</v>
      </c>
      <c r="B109" s="21"/>
      <c r="C109" s="34"/>
      <c r="D109" s="21"/>
      <c r="E109" s="21"/>
      <c r="F109" s="34"/>
      <c r="G109" s="34"/>
      <c r="H109" s="34"/>
      <c r="I109" s="34"/>
      <c r="J109" s="31" t="str">
        <f aca="false">IF(OR(G109="",H109="",I109=""),"",IF(H109=G109,"",MAX(0,MIN(1,(I109-G109)/(H109-G109)))))</f>
        <v/>
      </c>
      <c r="K109" s="34"/>
      <c r="L109" s="35"/>
      <c r="M109" s="33" t="str">
        <f aca="true">IF(L109="","",L109-TODAY())</f>
        <v/>
      </c>
      <c r="N109" s="34"/>
      <c r="O109" s="21"/>
      <c r="P109" s="35"/>
      <c r="Q109" s="21"/>
    </row>
    <row r="110" customFormat="false" ht="15" hidden="false" customHeight="false" outlineLevel="0" collapsed="false">
      <c r="A110" s="6" t="s">
        <v>300</v>
      </c>
      <c r="B110" s="21"/>
      <c r="C110" s="34"/>
      <c r="D110" s="21"/>
      <c r="E110" s="21"/>
      <c r="F110" s="34"/>
      <c r="G110" s="34"/>
      <c r="H110" s="34"/>
      <c r="I110" s="34"/>
      <c r="J110" s="31" t="str">
        <f aca="false">IF(OR(G110="",H110="",I110=""),"",IF(H110=G110,"",MAX(0,MIN(1,(I110-G110)/(H110-G110)))))</f>
        <v/>
      </c>
      <c r="K110" s="34"/>
      <c r="L110" s="35"/>
      <c r="M110" s="33" t="str">
        <f aca="true">IF(L110="","",L110-TODAY())</f>
        <v/>
      </c>
      <c r="N110" s="34"/>
      <c r="O110" s="21"/>
      <c r="P110" s="35"/>
      <c r="Q110" s="21"/>
    </row>
    <row r="111" customFormat="false" ht="15" hidden="false" customHeight="false" outlineLevel="0" collapsed="false">
      <c r="A111" s="6" t="s">
        <v>301</v>
      </c>
      <c r="B111" s="21"/>
      <c r="C111" s="34"/>
      <c r="D111" s="21"/>
      <c r="E111" s="21"/>
      <c r="F111" s="34"/>
      <c r="G111" s="34"/>
      <c r="H111" s="34"/>
      <c r="I111" s="34"/>
      <c r="J111" s="31" t="str">
        <f aca="false">IF(OR(G111="",H111="",I111=""),"",IF(H111=G111,"",MAX(0,MIN(1,(I111-G111)/(H111-G111)))))</f>
        <v/>
      </c>
      <c r="K111" s="34"/>
      <c r="L111" s="35"/>
      <c r="M111" s="33" t="str">
        <f aca="true">IF(L111="","",L111-TODAY())</f>
        <v/>
      </c>
      <c r="N111" s="34"/>
      <c r="O111" s="21"/>
      <c r="P111" s="35"/>
      <c r="Q111" s="21"/>
    </row>
    <row r="112" customFormat="false" ht="15" hidden="false" customHeight="false" outlineLevel="0" collapsed="false">
      <c r="A112" s="6" t="s">
        <v>302</v>
      </c>
      <c r="B112" s="21"/>
      <c r="C112" s="34"/>
      <c r="D112" s="21"/>
      <c r="E112" s="21"/>
      <c r="F112" s="34"/>
      <c r="G112" s="34"/>
      <c r="H112" s="34"/>
      <c r="I112" s="34"/>
      <c r="J112" s="31" t="str">
        <f aca="false">IF(OR(G112="",H112="",I112=""),"",IF(H112=G112,"",MAX(0,MIN(1,(I112-G112)/(H112-G112)))))</f>
        <v/>
      </c>
      <c r="K112" s="34"/>
      <c r="L112" s="35"/>
      <c r="M112" s="33" t="str">
        <f aca="true">IF(L112="","",L112-TODAY())</f>
        <v/>
      </c>
      <c r="N112" s="34"/>
      <c r="O112" s="21"/>
      <c r="P112" s="35"/>
      <c r="Q112" s="21"/>
    </row>
    <row r="113" customFormat="false" ht="15" hidden="false" customHeight="false" outlineLevel="0" collapsed="false">
      <c r="A113" s="6" t="s">
        <v>303</v>
      </c>
      <c r="B113" s="21"/>
      <c r="C113" s="34"/>
      <c r="D113" s="21"/>
      <c r="E113" s="21"/>
      <c r="F113" s="34"/>
      <c r="G113" s="34"/>
      <c r="H113" s="34"/>
      <c r="I113" s="34"/>
      <c r="J113" s="31" t="str">
        <f aca="false">IF(OR(G113="",H113="",I113=""),"",IF(H113=G113,"",MAX(0,MIN(1,(I113-G113)/(H113-G113)))))</f>
        <v/>
      </c>
      <c r="K113" s="34"/>
      <c r="L113" s="35"/>
      <c r="M113" s="33" t="str">
        <f aca="true">IF(L113="","",L113-TODAY())</f>
        <v/>
      </c>
      <c r="N113" s="34"/>
      <c r="O113" s="21"/>
      <c r="P113" s="35"/>
      <c r="Q113" s="21"/>
    </row>
    <row r="114" customFormat="false" ht="15" hidden="false" customHeight="false" outlineLevel="0" collapsed="false">
      <c r="A114" s="6" t="s">
        <v>304</v>
      </c>
      <c r="B114" s="21"/>
      <c r="C114" s="34"/>
      <c r="D114" s="21"/>
      <c r="E114" s="21"/>
      <c r="F114" s="34"/>
      <c r="G114" s="34"/>
      <c r="H114" s="34"/>
      <c r="I114" s="34"/>
      <c r="J114" s="31" t="str">
        <f aca="false">IF(OR(G114="",H114="",I114=""),"",IF(H114=G114,"",MAX(0,MIN(1,(I114-G114)/(H114-G114)))))</f>
        <v/>
      </c>
      <c r="K114" s="34"/>
      <c r="L114" s="35"/>
      <c r="M114" s="33" t="str">
        <f aca="true">IF(L114="","",L114-TODAY())</f>
        <v/>
      </c>
      <c r="N114" s="34"/>
      <c r="O114" s="21"/>
      <c r="P114" s="35"/>
      <c r="Q114" s="21"/>
    </row>
    <row r="115" customFormat="false" ht="15" hidden="false" customHeight="false" outlineLevel="0" collapsed="false">
      <c r="A115" s="6" t="s">
        <v>305</v>
      </c>
      <c r="B115" s="21"/>
      <c r="C115" s="34"/>
      <c r="D115" s="21"/>
      <c r="E115" s="21"/>
      <c r="F115" s="34"/>
      <c r="G115" s="34"/>
      <c r="H115" s="34"/>
      <c r="I115" s="34"/>
      <c r="J115" s="31" t="str">
        <f aca="false">IF(OR(G115="",H115="",I115=""),"",IF(H115=G115,"",MAX(0,MIN(1,(I115-G115)/(H115-G115)))))</f>
        <v/>
      </c>
      <c r="K115" s="34"/>
      <c r="L115" s="35"/>
      <c r="M115" s="33" t="str">
        <f aca="true">IF(L115="","",L115-TODAY())</f>
        <v/>
      </c>
      <c r="N115" s="34"/>
      <c r="O115" s="21"/>
      <c r="P115" s="35"/>
      <c r="Q115" s="21"/>
    </row>
    <row r="116" customFormat="false" ht="15" hidden="false" customHeight="false" outlineLevel="0" collapsed="false">
      <c r="A116" s="6" t="s">
        <v>306</v>
      </c>
      <c r="B116" s="21"/>
      <c r="C116" s="34"/>
      <c r="D116" s="21"/>
      <c r="E116" s="21"/>
      <c r="F116" s="34"/>
      <c r="G116" s="34"/>
      <c r="H116" s="34"/>
      <c r="I116" s="34"/>
      <c r="J116" s="31" t="str">
        <f aca="false">IF(OR(G116="",H116="",I116=""),"",IF(H116=G116,"",MAX(0,MIN(1,(I116-G116)/(H116-G116)))))</f>
        <v/>
      </c>
      <c r="K116" s="34"/>
      <c r="L116" s="35"/>
      <c r="M116" s="33" t="str">
        <f aca="true">IF(L116="","",L116-TODAY())</f>
        <v/>
      </c>
      <c r="N116" s="34"/>
      <c r="O116" s="21"/>
      <c r="P116" s="35"/>
      <c r="Q116" s="21"/>
    </row>
    <row r="117" customFormat="false" ht="15" hidden="false" customHeight="false" outlineLevel="0" collapsed="false">
      <c r="A117" s="6" t="s">
        <v>307</v>
      </c>
      <c r="B117" s="21"/>
      <c r="C117" s="34"/>
      <c r="D117" s="21"/>
      <c r="E117" s="21"/>
      <c r="F117" s="34"/>
      <c r="G117" s="34"/>
      <c r="H117" s="34"/>
      <c r="I117" s="34"/>
      <c r="J117" s="31" t="str">
        <f aca="false">IF(OR(G117="",H117="",I117=""),"",IF(H117=G117,"",MAX(0,MIN(1,(I117-G117)/(H117-G117)))))</f>
        <v/>
      </c>
      <c r="K117" s="34"/>
      <c r="L117" s="35"/>
      <c r="M117" s="33" t="str">
        <f aca="true">IF(L117="","",L117-TODAY())</f>
        <v/>
      </c>
      <c r="N117" s="34"/>
      <c r="O117" s="21"/>
      <c r="P117" s="35"/>
      <c r="Q117" s="21"/>
    </row>
    <row r="118" customFormat="false" ht="15" hidden="false" customHeight="false" outlineLevel="0" collapsed="false">
      <c r="A118" s="6" t="s">
        <v>308</v>
      </c>
      <c r="B118" s="21"/>
      <c r="C118" s="34"/>
      <c r="D118" s="21"/>
      <c r="E118" s="21"/>
      <c r="F118" s="34"/>
      <c r="G118" s="34"/>
      <c r="H118" s="34"/>
      <c r="I118" s="34"/>
      <c r="J118" s="31" t="str">
        <f aca="false">IF(OR(G118="",H118="",I118=""),"",IF(H118=G118,"",MAX(0,MIN(1,(I118-G118)/(H118-G118)))))</f>
        <v/>
      </c>
      <c r="K118" s="34"/>
      <c r="L118" s="35"/>
      <c r="M118" s="33" t="str">
        <f aca="true">IF(L118="","",L118-TODAY())</f>
        <v/>
      </c>
      <c r="N118" s="34"/>
      <c r="O118" s="21"/>
      <c r="P118" s="35"/>
      <c r="Q118" s="21"/>
    </row>
    <row r="119" customFormat="false" ht="15" hidden="false" customHeight="false" outlineLevel="0" collapsed="false">
      <c r="A119" s="6" t="s">
        <v>309</v>
      </c>
      <c r="B119" s="21"/>
      <c r="C119" s="34"/>
      <c r="D119" s="21"/>
      <c r="E119" s="21"/>
      <c r="F119" s="34"/>
      <c r="G119" s="34"/>
      <c r="H119" s="34"/>
      <c r="I119" s="34"/>
      <c r="J119" s="31" t="str">
        <f aca="false">IF(OR(G119="",H119="",I119=""),"",IF(H119=G119,"",MAX(0,MIN(1,(I119-G119)/(H119-G119)))))</f>
        <v/>
      </c>
      <c r="K119" s="34"/>
      <c r="L119" s="35"/>
      <c r="M119" s="33" t="str">
        <f aca="true">IF(L119="","",L119-TODAY())</f>
        <v/>
      </c>
      <c r="N119" s="34"/>
      <c r="O119" s="21"/>
      <c r="P119" s="35"/>
      <c r="Q119" s="21"/>
    </row>
    <row r="120" customFormat="false" ht="15" hidden="false" customHeight="false" outlineLevel="0" collapsed="false">
      <c r="A120" s="6" t="s">
        <v>310</v>
      </c>
      <c r="B120" s="21"/>
      <c r="C120" s="34"/>
      <c r="D120" s="21"/>
      <c r="E120" s="21"/>
      <c r="F120" s="34"/>
      <c r="G120" s="34"/>
      <c r="H120" s="34"/>
      <c r="I120" s="34"/>
      <c r="J120" s="31" t="str">
        <f aca="false">IF(OR(G120="",H120="",I120=""),"",IF(H120=G120,"",MAX(0,MIN(1,(I120-G120)/(H120-G120)))))</f>
        <v/>
      </c>
      <c r="K120" s="34"/>
      <c r="L120" s="35"/>
      <c r="M120" s="33" t="str">
        <f aca="true">IF(L120="","",L120-TODAY())</f>
        <v/>
      </c>
      <c r="N120" s="34"/>
      <c r="O120" s="21"/>
      <c r="P120" s="35"/>
      <c r="Q120" s="21"/>
    </row>
    <row r="121" customFormat="false" ht="15" hidden="false" customHeight="false" outlineLevel="0" collapsed="false">
      <c r="A121" s="6" t="s">
        <v>311</v>
      </c>
      <c r="B121" s="21"/>
      <c r="C121" s="34"/>
      <c r="D121" s="21"/>
      <c r="E121" s="21"/>
      <c r="F121" s="34"/>
      <c r="G121" s="34"/>
      <c r="H121" s="34"/>
      <c r="I121" s="34"/>
      <c r="J121" s="31" t="str">
        <f aca="false">IF(OR(G121="",H121="",I121=""),"",IF(H121=G121,"",MAX(0,MIN(1,(I121-G121)/(H121-G121)))))</f>
        <v/>
      </c>
      <c r="K121" s="34"/>
      <c r="L121" s="35"/>
      <c r="M121" s="33" t="str">
        <f aca="true">IF(L121="","",L121-TODAY())</f>
        <v/>
      </c>
      <c r="N121" s="34"/>
      <c r="O121" s="21"/>
      <c r="P121" s="35"/>
      <c r="Q121" s="21"/>
    </row>
    <row r="122" customFormat="false" ht="15" hidden="false" customHeight="false" outlineLevel="0" collapsed="false">
      <c r="A122" s="6" t="s">
        <v>312</v>
      </c>
      <c r="B122" s="21"/>
      <c r="C122" s="34"/>
      <c r="D122" s="21"/>
      <c r="E122" s="21"/>
      <c r="F122" s="34"/>
      <c r="G122" s="34"/>
      <c r="H122" s="34"/>
      <c r="I122" s="34"/>
      <c r="J122" s="31" t="str">
        <f aca="false">IF(OR(G122="",H122="",I122=""),"",IF(H122=G122,"",MAX(0,MIN(1,(I122-G122)/(H122-G122)))))</f>
        <v/>
      </c>
      <c r="K122" s="34"/>
      <c r="L122" s="35"/>
      <c r="M122" s="33" t="str">
        <f aca="true">IF(L122="","",L122-TODAY())</f>
        <v/>
      </c>
      <c r="N122" s="34"/>
      <c r="O122" s="21"/>
      <c r="P122" s="35"/>
      <c r="Q122" s="21"/>
    </row>
    <row r="123" customFormat="false" ht="15" hidden="false" customHeight="false" outlineLevel="0" collapsed="false">
      <c r="A123" s="6" t="s">
        <v>313</v>
      </c>
      <c r="B123" s="21"/>
      <c r="C123" s="34"/>
      <c r="D123" s="21"/>
      <c r="E123" s="21"/>
      <c r="F123" s="34"/>
      <c r="G123" s="34"/>
      <c r="H123" s="34"/>
      <c r="I123" s="34"/>
      <c r="J123" s="31" t="str">
        <f aca="false">IF(OR(G123="",H123="",I123=""),"",IF(H123=G123,"",MAX(0,MIN(1,(I123-G123)/(H123-G123)))))</f>
        <v/>
      </c>
      <c r="K123" s="34"/>
      <c r="L123" s="35"/>
      <c r="M123" s="33" t="str">
        <f aca="true">IF(L123="","",L123-TODAY())</f>
        <v/>
      </c>
      <c r="N123" s="34"/>
      <c r="O123" s="21"/>
      <c r="P123" s="35"/>
      <c r="Q123" s="21"/>
    </row>
    <row r="124" customFormat="false" ht="15" hidden="false" customHeight="false" outlineLevel="0" collapsed="false">
      <c r="A124" s="6" t="s">
        <v>314</v>
      </c>
      <c r="B124" s="21"/>
      <c r="C124" s="34"/>
      <c r="D124" s="21"/>
      <c r="E124" s="21"/>
      <c r="F124" s="34"/>
      <c r="G124" s="34"/>
      <c r="H124" s="34"/>
      <c r="I124" s="34"/>
      <c r="J124" s="31" t="str">
        <f aca="false">IF(OR(G124="",H124="",I124=""),"",IF(H124=G124,"",MAX(0,MIN(1,(I124-G124)/(H124-G124)))))</f>
        <v/>
      </c>
      <c r="K124" s="34"/>
      <c r="L124" s="35"/>
      <c r="M124" s="33" t="str">
        <f aca="true">IF(L124="","",L124-TODAY())</f>
        <v/>
      </c>
      <c r="N124" s="34"/>
      <c r="O124" s="21"/>
      <c r="P124" s="35"/>
      <c r="Q124" s="21"/>
    </row>
    <row r="125" customFormat="false" ht="15" hidden="false" customHeight="false" outlineLevel="0" collapsed="false">
      <c r="A125" s="6" t="s">
        <v>315</v>
      </c>
      <c r="B125" s="21"/>
      <c r="C125" s="34"/>
      <c r="D125" s="21"/>
      <c r="E125" s="21"/>
      <c r="F125" s="34"/>
      <c r="G125" s="34"/>
      <c r="H125" s="34"/>
      <c r="I125" s="34"/>
      <c r="J125" s="31" t="str">
        <f aca="false">IF(OR(G125="",H125="",I125=""),"",IF(H125=G125,"",MAX(0,MIN(1,(I125-G125)/(H125-G125)))))</f>
        <v/>
      </c>
      <c r="K125" s="34"/>
      <c r="L125" s="35"/>
      <c r="M125" s="33" t="str">
        <f aca="true">IF(L125="","",L125-TODAY())</f>
        <v/>
      </c>
      <c r="N125" s="34"/>
      <c r="O125" s="21"/>
      <c r="P125" s="35"/>
      <c r="Q125" s="21"/>
    </row>
    <row r="126" customFormat="false" ht="15" hidden="false" customHeight="false" outlineLevel="0" collapsed="false">
      <c r="A126" s="6" t="s">
        <v>316</v>
      </c>
      <c r="B126" s="21"/>
      <c r="C126" s="34"/>
      <c r="D126" s="21"/>
      <c r="E126" s="21"/>
      <c r="F126" s="34"/>
      <c r="G126" s="34"/>
      <c r="H126" s="34"/>
      <c r="I126" s="34"/>
      <c r="J126" s="31" t="str">
        <f aca="false">IF(OR(G126="",H126="",I126=""),"",IF(H126=G126,"",MAX(0,MIN(1,(I126-G126)/(H126-G126)))))</f>
        <v/>
      </c>
      <c r="K126" s="34"/>
      <c r="L126" s="35"/>
      <c r="M126" s="33" t="str">
        <f aca="true">IF(L126="","",L126-TODAY())</f>
        <v/>
      </c>
      <c r="N126" s="34"/>
      <c r="O126" s="21"/>
      <c r="P126" s="35"/>
      <c r="Q126" s="21"/>
    </row>
    <row r="127" customFormat="false" ht="15" hidden="false" customHeight="false" outlineLevel="0" collapsed="false">
      <c r="A127" s="6" t="s">
        <v>317</v>
      </c>
      <c r="B127" s="21"/>
      <c r="C127" s="34"/>
      <c r="D127" s="21"/>
      <c r="E127" s="21"/>
      <c r="F127" s="34"/>
      <c r="G127" s="34"/>
      <c r="H127" s="34"/>
      <c r="I127" s="34"/>
      <c r="J127" s="31" t="str">
        <f aca="false">IF(OR(G127="",H127="",I127=""),"",IF(H127=G127,"",MAX(0,MIN(1,(I127-G127)/(H127-G127)))))</f>
        <v/>
      </c>
      <c r="K127" s="34"/>
      <c r="L127" s="35"/>
      <c r="M127" s="33" t="str">
        <f aca="true">IF(L127="","",L127-TODAY())</f>
        <v/>
      </c>
      <c r="N127" s="34"/>
      <c r="O127" s="21"/>
      <c r="P127" s="35"/>
      <c r="Q127" s="21"/>
    </row>
    <row r="128" customFormat="false" ht="15" hidden="false" customHeight="false" outlineLevel="0" collapsed="false">
      <c r="A128" s="6" t="s">
        <v>318</v>
      </c>
      <c r="B128" s="21"/>
      <c r="C128" s="34"/>
      <c r="D128" s="21"/>
      <c r="E128" s="21"/>
      <c r="F128" s="34"/>
      <c r="G128" s="34"/>
      <c r="H128" s="34"/>
      <c r="I128" s="34"/>
      <c r="J128" s="31" t="str">
        <f aca="false">IF(OR(G128="",H128="",I128=""),"",IF(H128=G128,"",MAX(0,MIN(1,(I128-G128)/(H128-G128)))))</f>
        <v/>
      </c>
      <c r="K128" s="34"/>
      <c r="L128" s="35"/>
      <c r="M128" s="33" t="str">
        <f aca="true">IF(L128="","",L128-TODAY())</f>
        <v/>
      </c>
      <c r="N128" s="34"/>
      <c r="O128" s="21"/>
      <c r="P128" s="35"/>
      <c r="Q128" s="21"/>
    </row>
    <row r="129" customFormat="false" ht="15" hidden="false" customHeight="false" outlineLevel="0" collapsed="false">
      <c r="A129" s="6" t="s">
        <v>319</v>
      </c>
      <c r="B129" s="21"/>
      <c r="C129" s="34"/>
      <c r="D129" s="21"/>
      <c r="E129" s="21"/>
      <c r="F129" s="34"/>
      <c r="G129" s="34"/>
      <c r="H129" s="34"/>
      <c r="I129" s="34"/>
      <c r="J129" s="31" t="str">
        <f aca="false">IF(OR(G129="",H129="",I129=""),"",IF(H129=G129,"",MAX(0,MIN(1,(I129-G129)/(H129-G129)))))</f>
        <v/>
      </c>
      <c r="K129" s="34"/>
      <c r="L129" s="35"/>
      <c r="M129" s="33" t="str">
        <f aca="true">IF(L129="","",L129-TODAY())</f>
        <v/>
      </c>
      <c r="N129" s="34"/>
      <c r="O129" s="21"/>
      <c r="P129" s="35"/>
      <c r="Q129" s="21"/>
    </row>
    <row r="130" customFormat="false" ht="15" hidden="false" customHeight="false" outlineLevel="0" collapsed="false">
      <c r="A130" s="6" t="s">
        <v>320</v>
      </c>
      <c r="B130" s="21"/>
      <c r="C130" s="34"/>
      <c r="D130" s="21"/>
      <c r="E130" s="21"/>
      <c r="F130" s="34"/>
      <c r="G130" s="34"/>
      <c r="H130" s="34"/>
      <c r="I130" s="34"/>
      <c r="J130" s="31" t="str">
        <f aca="false">IF(OR(G130="",H130="",I130=""),"",IF(H130=G130,"",MAX(0,MIN(1,(I130-G130)/(H130-G130)))))</f>
        <v/>
      </c>
      <c r="K130" s="34"/>
      <c r="L130" s="35"/>
      <c r="M130" s="33" t="str">
        <f aca="true">IF(L130="","",L130-TODAY())</f>
        <v/>
      </c>
      <c r="N130" s="34"/>
      <c r="O130" s="21"/>
      <c r="P130" s="35"/>
      <c r="Q130" s="21"/>
    </row>
    <row r="131" customFormat="false" ht="15" hidden="false" customHeight="false" outlineLevel="0" collapsed="false">
      <c r="A131" s="6" t="s">
        <v>321</v>
      </c>
      <c r="B131" s="21"/>
      <c r="C131" s="34"/>
      <c r="D131" s="21"/>
      <c r="E131" s="21"/>
      <c r="F131" s="34"/>
      <c r="G131" s="34"/>
      <c r="H131" s="34"/>
      <c r="I131" s="34"/>
      <c r="J131" s="31" t="str">
        <f aca="false">IF(OR(G131="",H131="",I131=""),"",IF(H131=G131,"",MAX(0,MIN(1,(I131-G131)/(H131-G131)))))</f>
        <v/>
      </c>
      <c r="K131" s="34"/>
      <c r="L131" s="35"/>
      <c r="M131" s="33" t="str">
        <f aca="true">IF(L131="","",L131-TODAY())</f>
        <v/>
      </c>
      <c r="N131" s="34"/>
      <c r="O131" s="21"/>
      <c r="P131" s="35"/>
      <c r="Q131" s="21"/>
    </row>
    <row r="132" customFormat="false" ht="15" hidden="false" customHeight="false" outlineLevel="0" collapsed="false">
      <c r="A132" s="6" t="s">
        <v>322</v>
      </c>
      <c r="B132" s="21"/>
      <c r="C132" s="34"/>
      <c r="D132" s="21"/>
      <c r="E132" s="21"/>
      <c r="F132" s="34"/>
      <c r="G132" s="34"/>
      <c r="H132" s="34"/>
      <c r="I132" s="34"/>
      <c r="J132" s="31" t="str">
        <f aca="false">IF(OR(G132="",H132="",I132=""),"",IF(H132=G132,"",MAX(0,MIN(1,(I132-G132)/(H132-G132)))))</f>
        <v/>
      </c>
      <c r="K132" s="34"/>
      <c r="L132" s="35"/>
      <c r="M132" s="33" t="str">
        <f aca="true">IF(L132="","",L132-TODAY())</f>
        <v/>
      </c>
      <c r="N132" s="34"/>
      <c r="O132" s="21"/>
      <c r="P132" s="35"/>
      <c r="Q132" s="21"/>
    </row>
    <row r="133" customFormat="false" ht="15" hidden="false" customHeight="false" outlineLevel="0" collapsed="false">
      <c r="A133" s="6" t="s">
        <v>323</v>
      </c>
      <c r="B133" s="21"/>
      <c r="C133" s="34"/>
      <c r="D133" s="21"/>
      <c r="E133" s="21"/>
      <c r="F133" s="34"/>
      <c r="G133" s="34"/>
      <c r="H133" s="34"/>
      <c r="I133" s="34"/>
      <c r="J133" s="31" t="str">
        <f aca="false">IF(OR(G133="",H133="",I133=""),"",IF(H133=G133,"",MAX(0,MIN(1,(I133-G133)/(H133-G133)))))</f>
        <v/>
      </c>
      <c r="K133" s="34"/>
      <c r="L133" s="35"/>
      <c r="M133" s="33" t="str">
        <f aca="true">IF(L133="","",L133-TODAY())</f>
        <v/>
      </c>
      <c r="N133" s="34"/>
      <c r="O133" s="21"/>
      <c r="P133" s="35"/>
      <c r="Q133" s="21"/>
    </row>
    <row r="134" customFormat="false" ht="15" hidden="false" customHeight="false" outlineLevel="0" collapsed="false">
      <c r="A134" s="6" t="s">
        <v>324</v>
      </c>
      <c r="B134" s="21"/>
      <c r="C134" s="34"/>
      <c r="D134" s="21"/>
      <c r="E134" s="21"/>
      <c r="F134" s="34"/>
      <c r="G134" s="34"/>
      <c r="H134" s="34"/>
      <c r="I134" s="34"/>
      <c r="J134" s="31" t="str">
        <f aca="false">IF(OR(G134="",H134="",I134=""),"",IF(H134=G134,"",MAX(0,MIN(1,(I134-G134)/(H134-G134)))))</f>
        <v/>
      </c>
      <c r="K134" s="34"/>
      <c r="L134" s="35"/>
      <c r="M134" s="33" t="str">
        <f aca="true">IF(L134="","",L134-TODAY())</f>
        <v/>
      </c>
      <c r="N134" s="34"/>
      <c r="O134" s="21"/>
      <c r="P134" s="35"/>
      <c r="Q134" s="21"/>
    </row>
    <row r="135" customFormat="false" ht="15" hidden="false" customHeight="false" outlineLevel="0" collapsed="false">
      <c r="A135" s="6" t="s">
        <v>325</v>
      </c>
      <c r="B135" s="21"/>
      <c r="C135" s="34"/>
      <c r="D135" s="21"/>
      <c r="E135" s="21"/>
      <c r="F135" s="34"/>
      <c r="G135" s="34"/>
      <c r="H135" s="34"/>
      <c r="I135" s="34"/>
      <c r="J135" s="31" t="str">
        <f aca="false">IF(OR(G135="",H135="",I135=""),"",IF(H135=G135,"",MAX(0,MIN(1,(I135-G135)/(H135-G135)))))</f>
        <v/>
      </c>
      <c r="K135" s="34"/>
      <c r="L135" s="35"/>
      <c r="M135" s="33" t="str">
        <f aca="true">IF(L135="","",L135-TODAY())</f>
        <v/>
      </c>
      <c r="N135" s="34"/>
      <c r="O135" s="21"/>
      <c r="P135" s="35"/>
      <c r="Q135" s="21"/>
    </row>
    <row r="136" customFormat="false" ht="15" hidden="false" customHeight="false" outlineLevel="0" collapsed="false">
      <c r="A136" s="6" t="s">
        <v>326</v>
      </c>
      <c r="B136" s="21"/>
      <c r="C136" s="34"/>
      <c r="D136" s="21"/>
      <c r="E136" s="21"/>
      <c r="F136" s="34"/>
      <c r="G136" s="34"/>
      <c r="H136" s="34"/>
      <c r="I136" s="34"/>
      <c r="J136" s="31" t="str">
        <f aca="false">IF(OR(G136="",H136="",I136=""),"",IF(H136=G136,"",MAX(0,MIN(1,(I136-G136)/(H136-G136)))))</f>
        <v/>
      </c>
      <c r="K136" s="34"/>
      <c r="L136" s="35"/>
      <c r="M136" s="33" t="str">
        <f aca="true">IF(L136="","",L136-TODAY())</f>
        <v/>
      </c>
      <c r="N136" s="34"/>
      <c r="O136" s="21"/>
      <c r="P136" s="35"/>
      <c r="Q136" s="21"/>
    </row>
    <row r="137" customFormat="false" ht="15" hidden="false" customHeight="false" outlineLevel="0" collapsed="false">
      <c r="A137" s="6" t="s">
        <v>327</v>
      </c>
      <c r="B137" s="21"/>
      <c r="C137" s="34"/>
      <c r="D137" s="21"/>
      <c r="E137" s="21"/>
      <c r="F137" s="34"/>
      <c r="G137" s="34"/>
      <c r="H137" s="34"/>
      <c r="I137" s="34"/>
      <c r="J137" s="31" t="str">
        <f aca="false">IF(OR(G137="",H137="",I137=""),"",IF(H137=G137,"",MAX(0,MIN(1,(I137-G137)/(H137-G137)))))</f>
        <v/>
      </c>
      <c r="K137" s="34"/>
      <c r="L137" s="35"/>
      <c r="M137" s="33" t="str">
        <f aca="true">IF(L137="","",L137-TODAY())</f>
        <v/>
      </c>
      <c r="N137" s="34"/>
      <c r="O137" s="21"/>
      <c r="P137" s="35"/>
      <c r="Q137" s="21"/>
    </row>
    <row r="138" customFormat="false" ht="15" hidden="false" customHeight="false" outlineLevel="0" collapsed="false">
      <c r="A138" s="6" t="s">
        <v>328</v>
      </c>
      <c r="B138" s="21"/>
      <c r="C138" s="34"/>
      <c r="D138" s="21"/>
      <c r="E138" s="21"/>
      <c r="F138" s="34"/>
      <c r="G138" s="34"/>
      <c r="H138" s="34"/>
      <c r="I138" s="34"/>
      <c r="J138" s="31" t="str">
        <f aca="false">IF(OR(G138="",H138="",I138=""),"",IF(H138=G138,"",MAX(0,MIN(1,(I138-G138)/(H138-G138)))))</f>
        <v/>
      </c>
      <c r="K138" s="34"/>
      <c r="L138" s="35"/>
      <c r="M138" s="33" t="str">
        <f aca="true">IF(L138="","",L138-TODAY())</f>
        <v/>
      </c>
      <c r="N138" s="34"/>
      <c r="O138" s="21"/>
      <c r="P138" s="35"/>
      <c r="Q138" s="21"/>
    </row>
    <row r="139" customFormat="false" ht="15" hidden="false" customHeight="false" outlineLevel="0" collapsed="false">
      <c r="A139" s="6" t="s">
        <v>329</v>
      </c>
      <c r="B139" s="21"/>
      <c r="C139" s="34"/>
      <c r="D139" s="21"/>
      <c r="E139" s="21"/>
      <c r="F139" s="34"/>
      <c r="G139" s="34"/>
      <c r="H139" s="34"/>
      <c r="I139" s="34"/>
      <c r="J139" s="31" t="str">
        <f aca="false">IF(OR(G139="",H139="",I139=""),"",IF(H139=G139,"",MAX(0,MIN(1,(I139-G139)/(H139-G139)))))</f>
        <v/>
      </c>
      <c r="K139" s="34"/>
      <c r="L139" s="35"/>
      <c r="M139" s="33" t="str">
        <f aca="true">IF(L139="","",L139-TODAY())</f>
        <v/>
      </c>
      <c r="N139" s="34"/>
      <c r="O139" s="21"/>
      <c r="P139" s="35"/>
      <c r="Q139" s="21"/>
    </row>
    <row r="140" customFormat="false" ht="15" hidden="false" customHeight="false" outlineLevel="0" collapsed="false">
      <c r="A140" s="6" t="s">
        <v>330</v>
      </c>
      <c r="B140" s="21"/>
      <c r="C140" s="34"/>
      <c r="D140" s="21"/>
      <c r="E140" s="21"/>
      <c r="F140" s="34"/>
      <c r="G140" s="34"/>
      <c r="H140" s="34"/>
      <c r="I140" s="34"/>
      <c r="J140" s="31" t="str">
        <f aca="false">IF(OR(G140="",H140="",I140=""),"",IF(H140=G140,"",MAX(0,MIN(1,(I140-G140)/(H140-G140)))))</f>
        <v/>
      </c>
      <c r="K140" s="34"/>
      <c r="L140" s="35"/>
      <c r="M140" s="33" t="str">
        <f aca="true">IF(L140="","",L140-TODAY())</f>
        <v/>
      </c>
      <c r="N140" s="34"/>
      <c r="O140" s="21"/>
      <c r="P140" s="35"/>
      <c r="Q140" s="21"/>
    </row>
    <row r="141" customFormat="false" ht="15" hidden="false" customHeight="false" outlineLevel="0" collapsed="false">
      <c r="A141" s="6" t="s">
        <v>331</v>
      </c>
      <c r="B141" s="21"/>
      <c r="C141" s="34"/>
      <c r="D141" s="21"/>
      <c r="E141" s="21"/>
      <c r="F141" s="34"/>
      <c r="G141" s="34"/>
      <c r="H141" s="34"/>
      <c r="I141" s="34"/>
      <c r="J141" s="31" t="str">
        <f aca="false">IF(OR(G141="",H141="",I141=""),"",IF(H141=G141,"",MAX(0,MIN(1,(I141-G141)/(H141-G141)))))</f>
        <v/>
      </c>
      <c r="K141" s="34"/>
      <c r="L141" s="35"/>
      <c r="M141" s="33" t="str">
        <f aca="true">IF(L141="","",L141-TODAY())</f>
        <v/>
      </c>
      <c r="N141" s="34"/>
      <c r="O141" s="21"/>
      <c r="P141" s="35"/>
      <c r="Q141" s="21"/>
    </row>
    <row r="142" customFormat="false" ht="15" hidden="false" customHeight="false" outlineLevel="0" collapsed="false">
      <c r="A142" s="6" t="s">
        <v>332</v>
      </c>
      <c r="B142" s="21"/>
      <c r="C142" s="34"/>
      <c r="D142" s="21"/>
      <c r="E142" s="21"/>
      <c r="F142" s="34"/>
      <c r="G142" s="34"/>
      <c r="H142" s="34"/>
      <c r="I142" s="34"/>
      <c r="J142" s="31" t="str">
        <f aca="false">IF(OR(G142="",H142="",I142=""),"",IF(H142=G142,"",MAX(0,MIN(1,(I142-G142)/(H142-G142)))))</f>
        <v/>
      </c>
      <c r="K142" s="34"/>
      <c r="L142" s="35"/>
      <c r="M142" s="33" t="str">
        <f aca="true">IF(L142="","",L142-TODAY())</f>
        <v/>
      </c>
      <c r="N142" s="34"/>
      <c r="O142" s="21"/>
      <c r="P142" s="35"/>
      <c r="Q142" s="21"/>
    </row>
    <row r="143" customFormat="false" ht="15" hidden="false" customHeight="false" outlineLevel="0" collapsed="false">
      <c r="A143" s="6" t="s">
        <v>333</v>
      </c>
      <c r="B143" s="21"/>
      <c r="C143" s="34"/>
      <c r="D143" s="21"/>
      <c r="E143" s="21"/>
      <c r="F143" s="34"/>
      <c r="G143" s="34"/>
      <c r="H143" s="34"/>
      <c r="I143" s="34"/>
      <c r="J143" s="31" t="str">
        <f aca="false">IF(OR(G143="",H143="",I143=""),"",IF(H143=G143,"",MAX(0,MIN(1,(I143-G143)/(H143-G143)))))</f>
        <v/>
      </c>
      <c r="K143" s="34"/>
      <c r="L143" s="35"/>
      <c r="M143" s="33" t="str">
        <f aca="true">IF(L143="","",L143-TODAY())</f>
        <v/>
      </c>
      <c r="N143" s="34"/>
      <c r="O143" s="21"/>
      <c r="P143" s="35"/>
      <c r="Q143" s="21"/>
    </row>
    <row r="144" customFormat="false" ht="15" hidden="false" customHeight="false" outlineLevel="0" collapsed="false">
      <c r="A144" s="6" t="s">
        <v>334</v>
      </c>
      <c r="B144" s="21"/>
      <c r="C144" s="34"/>
      <c r="D144" s="21"/>
      <c r="E144" s="21"/>
      <c r="F144" s="34"/>
      <c r="G144" s="34"/>
      <c r="H144" s="34"/>
      <c r="I144" s="34"/>
      <c r="J144" s="31" t="str">
        <f aca="false">IF(OR(G144="",H144="",I144=""),"",IF(H144=G144,"",MAX(0,MIN(1,(I144-G144)/(H144-G144)))))</f>
        <v/>
      </c>
      <c r="K144" s="34"/>
      <c r="L144" s="35"/>
      <c r="M144" s="33" t="str">
        <f aca="true">IF(L144="","",L144-TODAY())</f>
        <v/>
      </c>
      <c r="N144" s="34"/>
      <c r="O144" s="21"/>
      <c r="P144" s="35"/>
      <c r="Q144" s="21"/>
    </row>
    <row r="145" customFormat="false" ht="15" hidden="false" customHeight="false" outlineLevel="0" collapsed="false">
      <c r="A145" s="6" t="s">
        <v>335</v>
      </c>
      <c r="B145" s="21"/>
      <c r="C145" s="34"/>
      <c r="D145" s="21"/>
      <c r="E145" s="21"/>
      <c r="F145" s="34"/>
      <c r="G145" s="34"/>
      <c r="H145" s="34"/>
      <c r="I145" s="34"/>
      <c r="J145" s="31" t="str">
        <f aca="false">IF(OR(G145="",H145="",I145=""),"",IF(H145=G145,"",MAX(0,MIN(1,(I145-G145)/(H145-G145)))))</f>
        <v/>
      </c>
      <c r="K145" s="34"/>
      <c r="L145" s="35"/>
      <c r="M145" s="33" t="str">
        <f aca="true">IF(L145="","",L145-TODAY())</f>
        <v/>
      </c>
      <c r="N145" s="34"/>
      <c r="O145" s="21"/>
      <c r="P145" s="35"/>
      <c r="Q145" s="21"/>
    </row>
    <row r="146" customFormat="false" ht="15" hidden="false" customHeight="false" outlineLevel="0" collapsed="false">
      <c r="A146" s="6" t="s">
        <v>336</v>
      </c>
      <c r="B146" s="21"/>
      <c r="C146" s="34"/>
      <c r="D146" s="21"/>
      <c r="E146" s="21"/>
      <c r="F146" s="34"/>
      <c r="G146" s="34"/>
      <c r="H146" s="34"/>
      <c r="I146" s="34"/>
      <c r="J146" s="31" t="str">
        <f aca="false">IF(OR(G146="",H146="",I146=""),"",IF(H146=G146,"",MAX(0,MIN(1,(I146-G146)/(H146-G146)))))</f>
        <v/>
      </c>
      <c r="K146" s="34"/>
      <c r="L146" s="35"/>
      <c r="M146" s="33" t="str">
        <f aca="true">IF(L146="","",L146-TODAY())</f>
        <v/>
      </c>
      <c r="N146" s="34"/>
      <c r="O146" s="21"/>
      <c r="P146" s="35"/>
      <c r="Q146" s="21"/>
    </row>
    <row r="147" customFormat="false" ht="15" hidden="false" customHeight="false" outlineLevel="0" collapsed="false">
      <c r="A147" s="6" t="s">
        <v>337</v>
      </c>
      <c r="B147" s="21"/>
      <c r="C147" s="34"/>
      <c r="D147" s="21"/>
      <c r="E147" s="21"/>
      <c r="F147" s="34"/>
      <c r="G147" s="34"/>
      <c r="H147" s="34"/>
      <c r="I147" s="34"/>
      <c r="J147" s="31" t="str">
        <f aca="false">IF(OR(G147="",H147="",I147=""),"",IF(H147=G147,"",MAX(0,MIN(1,(I147-G147)/(H147-G147)))))</f>
        <v/>
      </c>
      <c r="K147" s="34"/>
      <c r="L147" s="35"/>
      <c r="M147" s="33" t="str">
        <f aca="true">IF(L147="","",L147-TODAY())</f>
        <v/>
      </c>
      <c r="N147" s="34"/>
      <c r="O147" s="21"/>
      <c r="P147" s="35"/>
      <c r="Q147" s="21"/>
    </row>
    <row r="148" customFormat="false" ht="15" hidden="false" customHeight="false" outlineLevel="0" collapsed="false">
      <c r="A148" s="6" t="s">
        <v>338</v>
      </c>
      <c r="B148" s="21"/>
      <c r="C148" s="34"/>
      <c r="D148" s="21"/>
      <c r="E148" s="21"/>
      <c r="F148" s="34"/>
      <c r="G148" s="34"/>
      <c r="H148" s="34"/>
      <c r="I148" s="34"/>
      <c r="J148" s="31" t="str">
        <f aca="false">IF(OR(G148="",H148="",I148=""),"",IF(H148=G148,"",MAX(0,MIN(1,(I148-G148)/(H148-G148)))))</f>
        <v/>
      </c>
      <c r="K148" s="34"/>
      <c r="L148" s="35"/>
      <c r="M148" s="33" t="str">
        <f aca="true">IF(L148="","",L148-TODAY())</f>
        <v/>
      </c>
      <c r="N148" s="34"/>
      <c r="O148" s="21"/>
      <c r="P148" s="35"/>
      <c r="Q148" s="21"/>
    </row>
    <row r="149" customFormat="false" ht="15" hidden="false" customHeight="false" outlineLevel="0" collapsed="false">
      <c r="A149" s="6" t="s">
        <v>339</v>
      </c>
      <c r="B149" s="21"/>
      <c r="C149" s="34"/>
      <c r="D149" s="21"/>
      <c r="E149" s="21"/>
      <c r="F149" s="34"/>
      <c r="G149" s="34"/>
      <c r="H149" s="34"/>
      <c r="I149" s="34"/>
      <c r="J149" s="31" t="str">
        <f aca="false">IF(OR(G149="",H149="",I149=""),"",IF(H149=G149,"",MAX(0,MIN(1,(I149-G149)/(H149-G149)))))</f>
        <v/>
      </c>
      <c r="K149" s="34"/>
      <c r="L149" s="35"/>
      <c r="M149" s="33" t="str">
        <f aca="true">IF(L149="","",L149-TODAY())</f>
        <v/>
      </c>
      <c r="N149" s="34"/>
      <c r="O149" s="21"/>
      <c r="P149" s="35"/>
      <c r="Q149" s="21"/>
    </row>
    <row r="150" customFormat="false" ht="15" hidden="false" customHeight="false" outlineLevel="0" collapsed="false">
      <c r="A150" s="6" t="s">
        <v>340</v>
      </c>
      <c r="B150" s="21"/>
      <c r="C150" s="34"/>
      <c r="D150" s="21"/>
      <c r="E150" s="21"/>
      <c r="F150" s="34"/>
      <c r="G150" s="34"/>
      <c r="H150" s="34"/>
      <c r="I150" s="34"/>
      <c r="J150" s="31" t="str">
        <f aca="false">IF(OR(G150="",H150="",I150=""),"",IF(H150=G150,"",MAX(0,MIN(1,(I150-G150)/(H150-G150)))))</f>
        <v/>
      </c>
      <c r="K150" s="34"/>
      <c r="L150" s="35"/>
      <c r="M150" s="33" t="str">
        <f aca="true">IF(L150="","",L150-TODAY())</f>
        <v/>
      </c>
      <c r="N150" s="34"/>
      <c r="O150" s="21"/>
      <c r="P150" s="35"/>
      <c r="Q150" s="21"/>
    </row>
    <row r="151" customFormat="false" ht="15" hidden="false" customHeight="false" outlineLevel="0" collapsed="false">
      <c r="A151" s="6" t="s">
        <v>341</v>
      </c>
      <c r="B151" s="21"/>
      <c r="C151" s="34"/>
      <c r="D151" s="21"/>
      <c r="E151" s="21"/>
      <c r="F151" s="34"/>
      <c r="G151" s="34"/>
      <c r="H151" s="34"/>
      <c r="I151" s="34"/>
      <c r="J151" s="31" t="str">
        <f aca="false">IF(OR(G151="",H151="",I151=""),"",IF(H151=G151,"",MAX(0,MIN(1,(I151-G151)/(H151-G151)))))</f>
        <v/>
      </c>
      <c r="K151" s="34"/>
      <c r="L151" s="35"/>
      <c r="M151" s="33" t="str">
        <f aca="true">IF(L151="","",L151-TODAY())</f>
        <v/>
      </c>
      <c r="N151" s="34"/>
      <c r="O151" s="21"/>
      <c r="P151" s="35"/>
      <c r="Q151" s="21"/>
    </row>
    <row r="152" customFormat="false" ht="15" hidden="false" customHeight="false" outlineLevel="0" collapsed="false">
      <c r="A152" s="6" t="s">
        <v>342</v>
      </c>
      <c r="B152" s="21"/>
      <c r="C152" s="34"/>
      <c r="D152" s="21"/>
      <c r="E152" s="21"/>
      <c r="F152" s="34"/>
      <c r="G152" s="34"/>
      <c r="H152" s="34"/>
      <c r="I152" s="34"/>
      <c r="J152" s="31" t="str">
        <f aca="false">IF(OR(G152="",H152="",I152=""),"",IF(H152=G152,"",MAX(0,MIN(1,(I152-G152)/(H152-G152)))))</f>
        <v/>
      </c>
      <c r="K152" s="34"/>
      <c r="L152" s="35"/>
      <c r="M152" s="33" t="str">
        <f aca="true">IF(L152="","",L152-TODAY())</f>
        <v/>
      </c>
      <c r="N152" s="34"/>
      <c r="O152" s="21"/>
      <c r="P152" s="35"/>
      <c r="Q152" s="21"/>
    </row>
    <row r="153" customFormat="false" ht="15" hidden="false" customHeight="false" outlineLevel="0" collapsed="false">
      <c r="A153" s="6" t="s">
        <v>343</v>
      </c>
      <c r="B153" s="21"/>
      <c r="C153" s="34"/>
      <c r="D153" s="21"/>
      <c r="E153" s="21"/>
      <c r="F153" s="34"/>
      <c r="G153" s="34"/>
      <c r="H153" s="34"/>
      <c r="I153" s="34"/>
      <c r="J153" s="31" t="str">
        <f aca="false">IF(OR(G153="",H153="",I153=""),"",IF(H153=G153,"",MAX(0,MIN(1,(I153-G153)/(H153-G153)))))</f>
        <v/>
      </c>
      <c r="K153" s="34"/>
      <c r="L153" s="35"/>
      <c r="M153" s="33" t="str">
        <f aca="true">IF(L153="","",L153-TODAY())</f>
        <v/>
      </c>
      <c r="N153" s="34"/>
      <c r="O153" s="21"/>
      <c r="P153" s="35"/>
      <c r="Q153" s="21"/>
    </row>
    <row r="154" customFormat="false" ht="15" hidden="false" customHeight="false" outlineLevel="0" collapsed="false">
      <c r="A154" s="6" t="s">
        <v>344</v>
      </c>
      <c r="B154" s="21"/>
      <c r="C154" s="34"/>
      <c r="D154" s="21"/>
      <c r="E154" s="21"/>
      <c r="F154" s="34"/>
      <c r="G154" s="34"/>
      <c r="H154" s="34"/>
      <c r="I154" s="34"/>
      <c r="J154" s="31" t="str">
        <f aca="false">IF(OR(G154="",H154="",I154=""),"",IF(H154=G154,"",MAX(0,MIN(1,(I154-G154)/(H154-G154)))))</f>
        <v/>
      </c>
      <c r="K154" s="34"/>
      <c r="L154" s="35"/>
      <c r="M154" s="33" t="str">
        <f aca="true">IF(L154="","",L154-TODAY())</f>
        <v/>
      </c>
      <c r="N154" s="34"/>
      <c r="O154" s="21"/>
      <c r="P154" s="35"/>
      <c r="Q154" s="21"/>
    </row>
    <row r="155" customFormat="false" ht="15" hidden="false" customHeight="false" outlineLevel="0" collapsed="false">
      <c r="A155" s="6" t="s">
        <v>345</v>
      </c>
      <c r="B155" s="21"/>
      <c r="C155" s="34"/>
      <c r="D155" s="21"/>
      <c r="E155" s="21"/>
      <c r="F155" s="34"/>
      <c r="G155" s="34"/>
      <c r="H155" s="34"/>
      <c r="I155" s="34"/>
      <c r="J155" s="31" t="str">
        <f aca="false">IF(OR(G155="",H155="",I155=""),"",IF(H155=G155,"",MAX(0,MIN(1,(I155-G155)/(H155-G155)))))</f>
        <v/>
      </c>
      <c r="K155" s="34"/>
      <c r="L155" s="35"/>
      <c r="M155" s="33" t="str">
        <f aca="true">IF(L155="","",L155-TODAY())</f>
        <v/>
      </c>
      <c r="N155" s="34"/>
      <c r="O155" s="21"/>
      <c r="P155" s="35"/>
      <c r="Q155" s="21"/>
    </row>
    <row r="156" customFormat="false" ht="15" hidden="false" customHeight="false" outlineLevel="0" collapsed="false">
      <c r="A156" s="6" t="s">
        <v>346</v>
      </c>
      <c r="B156" s="21"/>
      <c r="C156" s="34"/>
      <c r="D156" s="21"/>
      <c r="E156" s="21"/>
      <c r="F156" s="34"/>
      <c r="G156" s="34"/>
      <c r="H156" s="34"/>
      <c r="I156" s="34"/>
      <c r="J156" s="31" t="str">
        <f aca="false">IF(OR(G156="",H156="",I156=""),"",IF(H156=G156,"",MAX(0,MIN(1,(I156-G156)/(H156-G156)))))</f>
        <v/>
      </c>
      <c r="K156" s="34"/>
      <c r="L156" s="35"/>
      <c r="M156" s="33" t="str">
        <f aca="true">IF(L156="","",L156-TODAY())</f>
        <v/>
      </c>
      <c r="N156" s="34"/>
      <c r="O156" s="21"/>
      <c r="P156" s="35"/>
      <c r="Q156" s="21"/>
    </row>
    <row r="157" customFormat="false" ht="15" hidden="false" customHeight="false" outlineLevel="0" collapsed="false">
      <c r="A157" s="6" t="s">
        <v>347</v>
      </c>
      <c r="B157" s="21"/>
      <c r="C157" s="34"/>
      <c r="D157" s="21"/>
      <c r="E157" s="21"/>
      <c r="F157" s="34"/>
      <c r="G157" s="34"/>
      <c r="H157" s="34"/>
      <c r="I157" s="34"/>
      <c r="J157" s="31" t="str">
        <f aca="false">IF(OR(G157="",H157="",I157=""),"",IF(H157=G157,"",MAX(0,MIN(1,(I157-G157)/(H157-G157)))))</f>
        <v/>
      </c>
      <c r="K157" s="34"/>
      <c r="L157" s="35"/>
      <c r="M157" s="33" t="str">
        <f aca="true">IF(L157="","",L157-TODAY())</f>
        <v/>
      </c>
      <c r="N157" s="34"/>
      <c r="O157" s="21"/>
      <c r="P157" s="35"/>
      <c r="Q157" s="21"/>
    </row>
    <row r="158" customFormat="false" ht="15" hidden="false" customHeight="false" outlineLevel="0" collapsed="false">
      <c r="A158" s="6" t="s">
        <v>348</v>
      </c>
      <c r="B158" s="21"/>
      <c r="C158" s="34"/>
      <c r="D158" s="21"/>
      <c r="E158" s="21"/>
      <c r="F158" s="34"/>
      <c r="G158" s="34"/>
      <c r="H158" s="34"/>
      <c r="I158" s="34"/>
      <c r="J158" s="31" t="str">
        <f aca="false">IF(OR(G158="",H158="",I158=""),"",IF(H158=G158,"",MAX(0,MIN(1,(I158-G158)/(H158-G158)))))</f>
        <v/>
      </c>
      <c r="K158" s="34"/>
      <c r="L158" s="35"/>
      <c r="M158" s="33" t="str">
        <f aca="true">IF(L158="","",L158-TODAY())</f>
        <v/>
      </c>
      <c r="N158" s="34"/>
      <c r="O158" s="21"/>
      <c r="P158" s="35"/>
      <c r="Q158" s="21"/>
    </row>
    <row r="159" customFormat="false" ht="15" hidden="false" customHeight="false" outlineLevel="0" collapsed="false">
      <c r="A159" s="6" t="s">
        <v>349</v>
      </c>
      <c r="B159" s="21"/>
      <c r="C159" s="34"/>
      <c r="D159" s="21"/>
      <c r="E159" s="21"/>
      <c r="F159" s="34"/>
      <c r="G159" s="34"/>
      <c r="H159" s="34"/>
      <c r="I159" s="34"/>
      <c r="J159" s="31" t="str">
        <f aca="false">IF(OR(G159="",H159="",I159=""),"",IF(H159=G159,"",MAX(0,MIN(1,(I159-G159)/(H159-G159)))))</f>
        <v/>
      </c>
      <c r="K159" s="34"/>
      <c r="L159" s="35"/>
      <c r="M159" s="33" t="str">
        <f aca="true">IF(L159="","",L159-TODAY())</f>
        <v/>
      </c>
      <c r="N159" s="34"/>
      <c r="O159" s="21"/>
      <c r="P159" s="35"/>
      <c r="Q159" s="21"/>
    </row>
    <row r="160" customFormat="false" ht="15" hidden="false" customHeight="false" outlineLevel="0" collapsed="false">
      <c r="A160" s="6" t="s">
        <v>350</v>
      </c>
      <c r="B160" s="21"/>
      <c r="C160" s="34"/>
      <c r="D160" s="21"/>
      <c r="E160" s="21"/>
      <c r="F160" s="34"/>
      <c r="G160" s="34"/>
      <c r="H160" s="34"/>
      <c r="I160" s="34"/>
      <c r="J160" s="31" t="str">
        <f aca="false">IF(OR(G160="",H160="",I160=""),"",IF(H160=G160,"",MAX(0,MIN(1,(I160-G160)/(H160-G160)))))</f>
        <v/>
      </c>
      <c r="K160" s="34"/>
      <c r="L160" s="35"/>
      <c r="M160" s="33" t="str">
        <f aca="true">IF(L160="","",L160-TODAY())</f>
        <v/>
      </c>
      <c r="N160" s="34"/>
      <c r="O160" s="21"/>
      <c r="P160" s="35"/>
      <c r="Q160" s="21"/>
    </row>
    <row r="161" customFormat="false" ht="15" hidden="false" customHeight="false" outlineLevel="0" collapsed="false">
      <c r="A161" s="6" t="s">
        <v>351</v>
      </c>
      <c r="B161" s="21"/>
      <c r="C161" s="34"/>
      <c r="D161" s="21"/>
      <c r="E161" s="21"/>
      <c r="F161" s="34"/>
      <c r="G161" s="34"/>
      <c r="H161" s="34"/>
      <c r="I161" s="34"/>
      <c r="J161" s="31" t="str">
        <f aca="false">IF(OR(G161="",H161="",I161=""),"",IF(H161=G161,"",MAX(0,MIN(1,(I161-G161)/(H161-G161)))))</f>
        <v/>
      </c>
      <c r="K161" s="34"/>
      <c r="L161" s="35"/>
      <c r="M161" s="33" t="str">
        <f aca="true">IF(L161="","",L161-TODAY())</f>
        <v/>
      </c>
      <c r="N161" s="34"/>
      <c r="O161" s="21"/>
      <c r="P161" s="35"/>
      <c r="Q161" s="21"/>
    </row>
    <row r="162" customFormat="false" ht="15" hidden="false" customHeight="false" outlineLevel="0" collapsed="false">
      <c r="A162" s="6" t="s">
        <v>352</v>
      </c>
      <c r="B162" s="21"/>
      <c r="C162" s="34"/>
      <c r="D162" s="21"/>
      <c r="E162" s="21"/>
      <c r="F162" s="34"/>
      <c r="G162" s="34"/>
      <c r="H162" s="34"/>
      <c r="I162" s="34"/>
      <c r="J162" s="31" t="str">
        <f aca="false">IF(OR(G162="",H162="",I162=""),"",IF(H162=G162,"",MAX(0,MIN(1,(I162-G162)/(H162-G162)))))</f>
        <v/>
      </c>
      <c r="K162" s="34"/>
      <c r="L162" s="35"/>
      <c r="M162" s="33" t="str">
        <f aca="true">IF(L162="","",L162-TODAY())</f>
        <v/>
      </c>
      <c r="N162" s="34"/>
      <c r="O162" s="21"/>
      <c r="P162" s="35"/>
      <c r="Q162" s="21"/>
    </row>
    <row r="163" customFormat="false" ht="15" hidden="false" customHeight="false" outlineLevel="0" collapsed="false">
      <c r="A163" s="6" t="s">
        <v>353</v>
      </c>
      <c r="B163" s="21"/>
      <c r="C163" s="34"/>
      <c r="D163" s="21"/>
      <c r="E163" s="21"/>
      <c r="F163" s="34"/>
      <c r="G163" s="34"/>
      <c r="H163" s="34"/>
      <c r="I163" s="34"/>
      <c r="J163" s="31" t="str">
        <f aca="false">IF(OR(G163="",H163="",I163=""),"",IF(H163=G163,"",MAX(0,MIN(1,(I163-G163)/(H163-G163)))))</f>
        <v/>
      </c>
      <c r="K163" s="34"/>
      <c r="L163" s="35"/>
      <c r="M163" s="33" t="str">
        <f aca="true">IF(L163="","",L163-TODAY())</f>
        <v/>
      </c>
      <c r="N163" s="34"/>
      <c r="O163" s="21"/>
      <c r="P163" s="35"/>
      <c r="Q163" s="21"/>
    </row>
    <row r="164" customFormat="false" ht="15" hidden="false" customHeight="false" outlineLevel="0" collapsed="false">
      <c r="A164" s="6" t="s">
        <v>354</v>
      </c>
      <c r="B164" s="21"/>
      <c r="C164" s="34"/>
      <c r="D164" s="21"/>
      <c r="E164" s="21"/>
      <c r="F164" s="34"/>
      <c r="G164" s="34"/>
      <c r="H164" s="34"/>
      <c r="I164" s="34"/>
      <c r="J164" s="31" t="str">
        <f aca="false">IF(OR(G164="",H164="",I164=""),"",IF(H164=G164,"",MAX(0,MIN(1,(I164-G164)/(H164-G164)))))</f>
        <v/>
      </c>
      <c r="K164" s="34"/>
      <c r="L164" s="35"/>
      <c r="M164" s="33" t="str">
        <f aca="true">IF(L164="","",L164-TODAY())</f>
        <v/>
      </c>
      <c r="N164" s="34"/>
      <c r="O164" s="21"/>
      <c r="P164" s="35"/>
      <c r="Q164" s="21"/>
    </row>
    <row r="165" customFormat="false" ht="15" hidden="false" customHeight="false" outlineLevel="0" collapsed="false">
      <c r="A165" s="6" t="s">
        <v>355</v>
      </c>
      <c r="B165" s="21"/>
      <c r="C165" s="34"/>
      <c r="D165" s="21"/>
      <c r="E165" s="21"/>
      <c r="F165" s="34"/>
      <c r="G165" s="34"/>
      <c r="H165" s="34"/>
      <c r="I165" s="34"/>
      <c r="J165" s="31" t="str">
        <f aca="false">IF(OR(G165="",H165="",I165=""),"",IF(H165=G165,"",MAX(0,MIN(1,(I165-G165)/(H165-G165)))))</f>
        <v/>
      </c>
      <c r="K165" s="34"/>
      <c r="L165" s="35"/>
      <c r="M165" s="33" t="str">
        <f aca="true">IF(L165="","",L165-TODAY())</f>
        <v/>
      </c>
      <c r="N165" s="34"/>
      <c r="O165" s="21"/>
      <c r="P165" s="35"/>
      <c r="Q165" s="21"/>
    </row>
    <row r="166" customFormat="false" ht="15" hidden="false" customHeight="false" outlineLevel="0" collapsed="false">
      <c r="A166" s="6" t="s">
        <v>356</v>
      </c>
      <c r="B166" s="21"/>
      <c r="C166" s="34"/>
      <c r="D166" s="21"/>
      <c r="E166" s="21"/>
      <c r="F166" s="34"/>
      <c r="G166" s="34"/>
      <c r="H166" s="34"/>
      <c r="I166" s="34"/>
      <c r="J166" s="31" t="str">
        <f aca="false">IF(OR(G166="",H166="",I166=""),"",IF(H166=G166,"",MAX(0,MIN(1,(I166-G166)/(H166-G166)))))</f>
        <v/>
      </c>
      <c r="K166" s="34"/>
      <c r="L166" s="35"/>
      <c r="M166" s="33" t="str">
        <f aca="true">IF(L166="","",L166-TODAY())</f>
        <v/>
      </c>
      <c r="N166" s="34"/>
      <c r="O166" s="21"/>
      <c r="P166" s="35"/>
      <c r="Q166" s="21"/>
    </row>
    <row r="167" customFormat="false" ht="15" hidden="false" customHeight="false" outlineLevel="0" collapsed="false">
      <c r="A167" s="6" t="s">
        <v>357</v>
      </c>
      <c r="B167" s="21"/>
      <c r="C167" s="34"/>
      <c r="D167" s="21"/>
      <c r="E167" s="21"/>
      <c r="F167" s="34"/>
      <c r="G167" s="34"/>
      <c r="H167" s="34"/>
      <c r="I167" s="34"/>
      <c r="J167" s="31" t="str">
        <f aca="false">IF(OR(G167="",H167="",I167=""),"",IF(H167=G167,"",MAX(0,MIN(1,(I167-G167)/(H167-G167)))))</f>
        <v/>
      </c>
      <c r="K167" s="34"/>
      <c r="L167" s="35"/>
      <c r="M167" s="33" t="str">
        <f aca="true">IF(L167="","",L167-TODAY())</f>
        <v/>
      </c>
      <c r="N167" s="34"/>
      <c r="O167" s="21"/>
      <c r="P167" s="35"/>
      <c r="Q167" s="21"/>
    </row>
    <row r="168" customFormat="false" ht="15" hidden="false" customHeight="false" outlineLevel="0" collapsed="false">
      <c r="A168" s="6" t="s">
        <v>358</v>
      </c>
      <c r="B168" s="21"/>
      <c r="C168" s="34"/>
      <c r="D168" s="21"/>
      <c r="E168" s="21"/>
      <c r="F168" s="34"/>
      <c r="G168" s="34"/>
      <c r="H168" s="34"/>
      <c r="I168" s="34"/>
      <c r="J168" s="31" t="str">
        <f aca="false">IF(OR(G168="",H168="",I168=""),"",IF(H168=G168,"",MAX(0,MIN(1,(I168-G168)/(H168-G168)))))</f>
        <v/>
      </c>
      <c r="K168" s="34"/>
      <c r="L168" s="35"/>
      <c r="M168" s="33" t="str">
        <f aca="true">IF(L168="","",L168-TODAY())</f>
        <v/>
      </c>
      <c r="N168" s="34"/>
      <c r="O168" s="21"/>
      <c r="P168" s="35"/>
      <c r="Q168" s="21"/>
    </row>
    <row r="169" customFormat="false" ht="15" hidden="false" customHeight="false" outlineLevel="0" collapsed="false">
      <c r="A169" s="6" t="s">
        <v>359</v>
      </c>
      <c r="B169" s="21"/>
      <c r="C169" s="34"/>
      <c r="D169" s="21"/>
      <c r="E169" s="21"/>
      <c r="F169" s="34"/>
      <c r="G169" s="34"/>
      <c r="H169" s="34"/>
      <c r="I169" s="34"/>
      <c r="J169" s="31" t="str">
        <f aca="false">IF(OR(G169="",H169="",I169=""),"",IF(H169=G169,"",MAX(0,MIN(1,(I169-G169)/(H169-G169)))))</f>
        <v/>
      </c>
      <c r="K169" s="34"/>
      <c r="L169" s="35"/>
      <c r="M169" s="33" t="str">
        <f aca="true">IF(L169="","",L169-TODAY())</f>
        <v/>
      </c>
      <c r="N169" s="34"/>
      <c r="O169" s="21"/>
      <c r="P169" s="35"/>
      <c r="Q169" s="21"/>
    </row>
    <row r="170" customFormat="false" ht="15" hidden="false" customHeight="false" outlineLevel="0" collapsed="false">
      <c r="A170" s="6" t="s">
        <v>360</v>
      </c>
      <c r="B170" s="21"/>
      <c r="C170" s="34"/>
      <c r="D170" s="21"/>
      <c r="E170" s="21"/>
      <c r="F170" s="34"/>
      <c r="G170" s="34"/>
      <c r="H170" s="34"/>
      <c r="I170" s="34"/>
      <c r="J170" s="31" t="str">
        <f aca="false">IF(OR(G170="",H170="",I170=""),"",IF(H170=G170,"",MAX(0,MIN(1,(I170-G170)/(H170-G170)))))</f>
        <v/>
      </c>
      <c r="K170" s="34"/>
      <c r="L170" s="35"/>
      <c r="M170" s="33" t="str">
        <f aca="true">IF(L170="","",L170-TODAY())</f>
        <v/>
      </c>
      <c r="N170" s="34"/>
      <c r="O170" s="21"/>
      <c r="P170" s="35"/>
      <c r="Q170" s="21"/>
    </row>
    <row r="171" customFormat="false" ht="15" hidden="false" customHeight="false" outlineLevel="0" collapsed="false">
      <c r="A171" s="6" t="s">
        <v>361</v>
      </c>
      <c r="B171" s="21"/>
      <c r="C171" s="34"/>
      <c r="D171" s="21"/>
      <c r="E171" s="21"/>
      <c r="F171" s="34"/>
      <c r="G171" s="34"/>
      <c r="H171" s="34"/>
      <c r="I171" s="34"/>
      <c r="J171" s="31" t="str">
        <f aca="false">IF(OR(G171="",H171="",I171=""),"",IF(H171=G171,"",MAX(0,MIN(1,(I171-G171)/(H171-G171)))))</f>
        <v/>
      </c>
      <c r="K171" s="34"/>
      <c r="L171" s="35"/>
      <c r="M171" s="33" t="str">
        <f aca="true">IF(L171="","",L171-TODAY())</f>
        <v/>
      </c>
      <c r="N171" s="34"/>
      <c r="O171" s="21"/>
      <c r="P171" s="35"/>
      <c r="Q171" s="21"/>
    </row>
    <row r="172" customFormat="false" ht="15" hidden="false" customHeight="false" outlineLevel="0" collapsed="false">
      <c r="A172" s="6" t="s">
        <v>362</v>
      </c>
      <c r="B172" s="21"/>
      <c r="C172" s="34"/>
      <c r="D172" s="21"/>
      <c r="E172" s="21"/>
      <c r="F172" s="34"/>
      <c r="G172" s="34"/>
      <c r="H172" s="34"/>
      <c r="I172" s="34"/>
      <c r="J172" s="31" t="str">
        <f aca="false">IF(OR(G172="",H172="",I172=""),"",IF(H172=G172,"",MAX(0,MIN(1,(I172-G172)/(H172-G172)))))</f>
        <v/>
      </c>
      <c r="K172" s="34"/>
      <c r="L172" s="35"/>
      <c r="M172" s="33" t="str">
        <f aca="true">IF(L172="","",L172-TODAY())</f>
        <v/>
      </c>
      <c r="N172" s="34"/>
      <c r="O172" s="21"/>
      <c r="P172" s="35"/>
      <c r="Q172" s="21"/>
    </row>
    <row r="173" customFormat="false" ht="15" hidden="false" customHeight="false" outlineLevel="0" collapsed="false">
      <c r="A173" s="6" t="s">
        <v>363</v>
      </c>
      <c r="B173" s="21"/>
      <c r="C173" s="34"/>
      <c r="D173" s="21"/>
      <c r="E173" s="21"/>
      <c r="F173" s="34"/>
      <c r="G173" s="34"/>
      <c r="H173" s="34"/>
      <c r="I173" s="34"/>
      <c r="J173" s="31" t="str">
        <f aca="false">IF(OR(G173="",H173="",I173=""),"",IF(H173=G173,"",MAX(0,MIN(1,(I173-G173)/(H173-G173)))))</f>
        <v/>
      </c>
      <c r="K173" s="34"/>
      <c r="L173" s="35"/>
      <c r="M173" s="33" t="str">
        <f aca="true">IF(L173="","",L173-TODAY())</f>
        <v/>
      </c>
      <c r="N173" s="34"/>
      <c r="O173" s="21"/>
      <c r="P173" s="35"/>
      <c r="Q173" s="21"/>
    </row>
    <row r="174" customFormat="false" ht="15" hidden="false" customHeight="false" outlineLevel="0" collapsed="false">
      <c r="A174" s="6" t="s">
        <v>364</v>
      </c>
      <c r="B174" s="21"/>
      <c r="C174" s="34"/>
      <c r="D174" s="21"/>
      <c r="E174" s="21"/>
      <c r="F174" s="34"/>
      <c r="G174" s="34"/>
      <c r="H174" s="34"/>
      <c r="I174" s="34"/>
      <c r="J174" s="31" t="str">
        <f aca="false">IF(OR(G174="",H174="",I174=""),"",IF(H174=G174,"",MAX(0,MIN(1,(I174-G174)/(H174-G174)))))</f>
        <v/>
      </c>
      <c r="K174" s="34"/>
      <c r="L174" s="35"/>
      <c r="M174" s="33" t="str">
        <f aca="true">IF(L174="","",L174-TODAY())</f>
        <v/>
      </c>
      <c r="N174" s="34"/>
      <c r="O174" s="21"/>
      <c r="P174" s="35"/>
      <c r="Q174" s="21"/>
    </row>
    <row r="175" customFormat="false" ht="15" hidden="false" customHeight="false" outlineLevel="0" collapsed="false">
      <c r="A175" s="6" t="s">
        <v>365</v>
      </c>
      <c r="B175" s="21"/>
      <c r="C175" s="34"/>
      <c r="D175" s="21"/>
      <c r="E175" s="21"/>
      <c r="F175" s="34"/>
      <c r="G175" s="34"/>
      <c r="H175" s="34"/>
      <c r="I175" s="34"/>
      <c r="J175" s="31" t="str">
        <f aca="false">IF(OR(G175="",H175="",I175=""),"",IF(H175=G175,"",MAX(0,MIN(1,(I175-G175)/(H175-G175)))))</f>
        <v/>
      </c>
      <c r="K175" s="34"/>
      <c r="L175" s="35"/>
      <c r="M175" s="33" t="str">
        <f aca="true">IF(L175="","",L175-TODAY())</f>
        <v/>
      </c>
      <c r="N175" s="34"/>
      <c r="O175" s="21"/>
      <c r="P175" s="35"/>
      <c r="Q175" s="21"/>
    </row>
    <row r="176" customFormat="false" ht="15" hidden="false" customHeight="false" outlineLevel="0" collapsed="false">
      <c r="A176" s="6" t="s">
        <v>366</v>
      </c>
      <c r="B176" s="21"/>
      <c r="C176" s="34"/>
      <c r="D176" s="21"/>
      <c r="E176" s="21"/>
      <c r="F176" s="34"/>
      <c r="G176" s="34"/>
      <c r="H176" s="34"/>
      <c r="I176" s="34"/>
      <c r="J176" s="31" t="str">
        <f aca="false">IF(OR(G176="",H176="",I176=""),"",IF(H176=G176,"",MAX(0,MIN(1,(I176-G176)/(H176-G176)))))</f>
        <v/>
      </c>
      <c r="K176" s="34"/>
      <c r="L176" s="35"/>
      <c r="M176" s="33" t="str">
        <f aca="true">IF(L176="","",L176-TODAY())</f>
        <v/>
      </c>
      <c r="N176" s="34"/>
      <c r="O176" s="21"/>
      <c r="P176" s="35"/>
      <c r="Q176" s="21"/>
    </row>
    <row r="177" customFormat="false" ht="15" hidden="false" customHeight="false" outlineLevel="0" collapsed="false">
      <c r="A177" s="6" t="s">
        <v>367</v>
      </c>
      <c r="B177" s="21"/>
      <c r="C177" s="34"/>
      <c r="D177" s="21"/>
      <c r="E177" s="21"/>
      <c r="F177" s="34"/>
      <c r="G177" s="34"/>
      <c r="H177" s="34"/>
      <c r="I177" s="34"/>
      <c r="J177" s="31" t="str">
        <f aca="false">IF(OR(G177="",H177="",I177=""),"",IF(H177=G177,"",MAX(0,MIN(1,(I177-G177)/(H177-G177)))))</f>
        <v/>
      </c>
      <c r="K177" s="34"/>
      <c r="L177" s="35"/>
      <c r="M177" s="33" t="str">
        <f aca="true">IF(L177="","",L177-TODAY())</f>
        <v/>
      </c>
      <c r="N177" s="34"/>
      <c r="O177" s="21"/>
      <c r="P177" s="35"/>
      <c r="Q177" s="21"/>
    </row>
    <row r="178" customFormat="false" ht="15" hidden="false" customHeight="false" outlineLevel="0" collapsed="false">
      <c r="A178" s="6" t="s">
        <v>368</v>
      </c>
      <c r="B178" s="21"/>
      <c r="C178" s="34"/>
      <c r="D178" s="21"/>
      <c r="E178" s="21"/>
      <c r="F178" s="34"/>
      <c r="G178" s="34"/>
      <c r="H178" s="34"/>
      <c r="I178" s="34"/>
      <c r="J178" s="31" t="str">
        <f aca="false">IF(OR(G178="",H178="",I178=""),"",IF(H178=G178,"",MAX(0,MIN(1,(I178-G178)/(H178-G178)))))</f>
        <v/>
      </c>
      <c r="K178" s="34"/>
      <c r="L178" s="35"/>
      <c r="M178" s="33" t="str">
        <f aca="true">IF(L178="","",L178-TODAY())</f>
        <v/>
      </c>
      <c r="N178" s="34"/>
      <c r="O178" s="21"/>
      <c r="P178" s="35"/>
      <c r="Q178" s="21"/>
    </row>
    <row r="179" customFormat="false" ht="15" hidden="false" customHeight="false" outlineLevel="0" collapsed="false">
      <c r="A179" s="6" t="s">
        <v>369</v>
      </c>
      <c r="B179" s="21"/>
      <c r="C179" s="34"/>
      <c r="D179" s="21"/>
      <c r="E179" s="21"/>
      <c r="F179" s="34"/>
      <c r="G179" s="34"/>
      <c r="H179" s="34"/>
      <c r="I179" s="34"/>
      <c r="J179" s="31" t="str">
        <f aca="false">IF(OR(G179="",H179="",I179=""),"",IF(H179=G179,"",MAX(0,MIN(1,(I179-G179)/(H179-G179)))))</f>
        <v/>
      </c>
      <c r="K179" s="34"/>
      <c r="L179" s="35"/>
      <c r="M179" s="33" t="str">
        <f aca="true">IF(L179="","",L179-TODAY())</f>
        <v/>
      </c>
      <c r="N179" s="34"/>
      <c r="O179" s="21"/>
      <c r="P179" s="35"/>
      <c r="Q179" s="21"/>
    </row>
    <row r="180" customFormat="false" ht="15" hidden="false" customHeight="false" outlineLevel="0" collapsed="false">
      <c r="A180" s="6" t="s">
        <v>370</v>
      </c>
      <c r="B180" s="21"/>
      <c r="C180" s="34"/>
      <c r="D180" s="21"/>
      <c r="E180" s="21"/>
      <c r="F180" s="34"/>
      <c r="G180" s="34"/>
      <c r="H180" s="34"/>
      <c r="I180" s="34"/>
      <c r="J180" s="31" t="str">
        <f aca="false">IF(OR(G180="",H180="",I180=""),"",IF(H180=G180,"",MAX(0,MIN(1,(I180-G180)/(H180-G180)))))</f>
        <v/>
      </c>
      <c r="K180" s="34"/>
      <c r="L180" s="35"/>
      <c r="M180" s="33" t="str">
        <f aca="true">IF(L180="","",L180-TODAY())</f>
        <v/>
      </c>
      <c r="N180" s="34"/>
      <c r="O180" s="21"/>
      <c r="P180" s="35"/>
      <c r="Q180" s="21"/>
    </row>
    <row r="181" customFormat="false" ht="15" hidden="false" customHeight="false" outlineLevel="0" collapsed="false">
      <c r="A181" s="6" t="s">
        <v>371</v>
      </c>
      <c r="B181" s="21"/>
      <c r="C181" s="34"/>
      <c r="D181" s="21"/>
      <c r="E181" s="21"/>
      <c r="F181" s="34"/>
      <c r="G181" s="34"/>
      <c r="H181" s="34"/>
      <c r="I181" s="34"/>
      <c r="J181" s="31" t="str">
        <f aca="false">IF(OR(G181="",H181="",I181=""),"",IF(H181=G181,"",MAX(0,MIN(1,(I181-G181)/(H181-G181)))))</f>
        <v/>
      </c>
      <c r="K181" s="34"/>
      <c r="L181" s="35"/>
      <c r="M181" s="33" t="str">
        <f aca="true">IF(L181="","",L181-TODAY())</f>
        <v/>
      </c>
      <c r="N181" s="34"/>
      <c r="O181" s="21"/>
      <c r="P181" s="35"/>
      <c r="Q181" s="21"/>
    </row>
    <row r="182" customFormat="false" ht="15" hidden="false" customHeight="false" outlineLevel="0" collapsed="false">
      <c r="A182" s="6" t="s">
        <v>372</v>
      </c>
      <c r="B182" s="21"/>
      <c r="C182" s="34"/>
      <c r="D182" s="21"/>
      <c r="E182" s="21"/>
      <c r="F182" s="34"/>
      <c r="G182" s="34"/>
      <c r="H182" s="34"/>
      <c r="I182" s="34"/>
      <c r="J182" s="31" t="str">
        <f aca="false">IF(OR(G182="",H182="",I182=""),"",IF(H182=G182,"",MAX(0,MIN(1,(I182-G182)/(H182-G182)))))</f>
        <v/>
      </c>
      <c r="K182" s="34"/>
      <c r="L182" s="35"/>
      <c r="M182" s="33" t="str">
        <f aca="true">IF(L182="","",L182-TODAY())</f>
        <v/>
      </c>
      <c r="N182" s="34"/>
      <c r="O182" s="21"/>
      <c r="P182" s="35"/>
      <c r="Q182" s="21"/>
    </row>
    <row r="183" customFormat="false" ht="15" hidden="false" customHeight="false" outlineLevel="0" collapsed="false">
      <c r="A183" s="6" t="s">
        <v>373</v>
      </c>
      <c r="B183" s="21"/>
      <c r="C183" s="34"/>
      <c r="D183" s="21"/>
      <c r="E183" s="21"/>
      <c r="F183" s="34"/>
      <c r="G183" s="34"/>
      <c r="H183" s="34"/>
      <c r="I183" s="34"/>
      <c r="J183" s="31" t="str">
        <f aca="false">IF(OR(G183="",H183="",I183=""),"",IF(H183=G183,"",MAX(0,MIN(1,(I183-G183)/(H183-G183)))))</f>
        <v/>
      </c>
      <c r="K183" s="34"/>
      <c r="L183" s="35"/>
      <c r="M183" s="33" t="str">
        <f aca="true">IF(L183="","",L183-TODAY())</f>
        <v/>
      </c>
      <c r="N183" s="34"/>
      <c r="O183" s="21"/>
      <c r="P183" s="35"/>
      <c r="Q183" s="21"/>
    </row>
    <row r="184" customFormat="false" ht="15" hidden="false" customHeight="false" outlineLevel="0" collapsed="false">
      <c r="A184" s="6" t="s">
        <v>374</v>
      </c>
      <c r="B184" s="21"/>
      <c r="C184" s="34"/>
      <c r="D184" s="21"/>
      <c r="E184" s="21"/>
      <c r="F184" s="34"/>
      <c r="G184" s="34"/>
      <c r="H184" s="34"/>
      <c r="I184" s="34"/>
      <c r="J184" s="31" t="str">
        <f aca="false">IF(OR(G184="",H184="",I184=""),"",IF(H184=G184,"",MAX(0,MIN(1,(I184-G184)/(H184-G184)))))</f>
        <v/>
      </c>
      <c r="K184" s="34"/>
      <c r="L184" s="35"/>
      <c r="M184" s="33" t="str">
        <f aca="true">IF(L184="","",L184-TODAY())</f>
        <v/>
      </c>
      <c r="N184" s="34"/>
      <c r="O184" s="21"/>
      <c r="P184" s="35"/>
      <c r="Q184" s="21"/>
    </row>
    <row r="185" customFormat="false" ht="15" hidden="false" customHeight="false" outlineLevel="0" collapsed="false">
      <c r="A185" s="6" t="s">
        <v>375</v>
      </c>
      <c r="B185" s="21"/>
      <c r="C185" s="34"/>
      <c r="D185" s="21"/>
      <c r="E185" s="21"/>
      <c r="F185" s="34"/>
      <c r="G185" s="34"/>
      <c r="H185" s="34"/>
      <c r="I185" s="34"/>
      <c r="J185" s="31" t="str">
        <f aca="false">IF(OR(G185="",H185="",I185=""),"",IF(H185=G185,"",MAX(0,MIN(1,(I185-G185)/(H185-G185)))))</f>
        <v/>
      </c>
      <c r="K185" s="34"/>
      <c r="L185" s="35"/>
      <c r="M185" s="33" t="str">
        <f aca="true">IF(L185="","",L185-TODAY())</f>
        <v/>
      </c>
      <c r="N185" s="34"/>
      <c r="O185" s="21"/>
      <c r="P185" s="35"/>
      <c r="Q185" s="21"/>
    </row>
    <row r="186" customFormat="false" ht="15" hidden="false" customHeight="false" outlineLevel="0" collapsed="false">
      <c r="A186" s="6" t="s">
        <v>376</v>
      </c>
      <c r="B186" s="21"/>
      <c r="C186" s="34"/>
      <c r="D186" s="21"/>
      <c r="E186" s="21"/>
      <c r="F186" s="34"/>
      <c r="G186" s="34"/>
      <c r="H186" s="34"/>
      <c r="I186" s="34"/>
      <c r="J186" s="31" t="str">
        <f aca="false">IF(OR(G186="",H186="",I186=""),"",IF(H186=G186,"",MAX(0,MIN(1,(I186-G186)/(H186-G186)))))</f>
        <v/>
      </c>
      <c r="K186" s="34"/>
      <c r="L186" s="35"/>
      <c r="M186" s="33" t="str">
        <f aca="true">IF(L186="","",L186-TODAY())</f>
        <v/>
      </c>
      <c r="N186" s="34"/>
      <c r="O186" s="21"/>
      <c r="P186" s="35"/>
      <c r="Q186" s="21"/>
    </row>
    <row r="187" customFormat="false" ht="15" hidden="false" customHeight="false" outlineLevel="0" collapsed="false">
      <c r="A187" s="6" t="s">
        <v>377</v>
      </c>
      <c r="B187" s="21"/>
      <c r="C187" s="34"/>
      <c r="D187" s="21"/>
      <c r="E187" s="21"/>
      <c r="F187" s="34"/>
      <c r="G187" s="34"/>
      <c r="H187" s="34"/>
      <c r="I187" s="34"/>
      <c r="J187" s="31" t="str">
        <f aca="false">IF(OR(G187="",H187="",I187=""),"",IF(H187=G187,"",MAX(0,MIN(1,(I187-G187)/(H187-G187)))))</f>
        <v/>
      </c>
      <c r="K187" s="34"/>
      <c r="L187" s="35"/>
      <c r="M187" s="33" t="str">
        <f aca="true">IF(L187="","",L187-TODAY())</f>
        <v/>
      </c>
      <c r="N187" s="34"/>
      <c r="O187" s="21"/>
      <c r="P187" s="35"/>
      <c r="Q187" s="21"/>
    </row>
    <row r="188" customFormat="false" ht="15" hidden="false" customHeight="false" outlineLevel="0" collapsed="false">
      <c r="A188" s="6" t="s">
        <v>378</v>
      </c>
      <c r="B188" s="21"/>
      <c r="C188" s="34"/>
      <c r="D188" s="21"/>
      <c r="E188" s="21"/>
      <c r="F188" s="34"/>
      <c r="G188" s="34"/>
      <c r="H188" s="34"/>
      <c r="I188" s="34"/>
      <c r="J188" s="31" t="str">
        <f aca="false">IF(OR(G188="",H188="",I188=""),"",IF(H188=G188,"",MAX(0,MIN(1,(I188-G188)/(H188-G188)))))</f>
        <v/>
      </c>
      <c r="K188" s="34"/>
      <c r="L188" s="35"/>
      <c r="M188" s="33" t="str">
        <f aca="true">IF(L188="","",L188-TODAY())</f>
        <v/>
      </c>
      <c r="N188" s="34"/>
      <c r="O188" s="21"/>
      <c r="P188" s="35"/>
      <c r="Q188" s="21"/>
    </row>
    <row r="189" customFormat="false" ht="15" hidden="false" customHeight="false" outlineLevel="0" collapsed="false">
      <c r="A189" s="6" t="s">
        <v>379</v>
      </c>
      <c r="B189" s="21"/>
      <c r="C189" s="34"/>
      <c r="D189" s="21"/>
      <c r="E189" s="21"/>
      <c r="F189" s="34"/>
      <c r="G189" s="34"/>
      <c r="H189" s="34"/>
      <c r="I189" s="34"/>
      <c r="J189" s="31" t="str">
        <f aca="false">IF(OR(G189="",H189="",I189=""),"",IF(H189=G189,"",MAX(0,MIN(1,(I189-G189)/(H189-G189)))))</f>
        <v/>
      </c>
      <c r="K189" s="34"/>
      <c r="L189" s="35"/>
      <c r="M189" s="33" t="str">
        <f aca="true">IF(L189="","",L189-TODAY())</f>
        <v/>
      </c>
      <c r="N189" s="34"/>
      <c r="O189" s="21"/>
      <c r="P189" s="35"/>
      <c r="Q189" s="21"/>
    </row>
    <row r="190" customFormat="false" ht="15" hidden="false" customHeight="false" outlineLevel="0" collapsed="false">
      <c r="A190" s="6" t="s">
        <v>380</v>
      </c>
      <c r="B190" s="21"/>
      <c r="C190" s="34"/>
      <c r="D190" s="21"/>
      <c r="E190" s="21"/>
      <c r="F190" s="34"/>
      <c r="G190" s="34"/>
      <c r="H190" s="34"/>
      <c r="I190" s="34"/>
      <c r="J190" s="31" t="str">
        <f aca="false">IF(OR(G190="",H190="",I190=""),"",IF(H190=G190,"",MAX(0,MIN(1,(I190-G190)/(H190-G190)))))</f>
        <v/>
      </c>
      <c r="K190" s="34"/>
      <c r="L190" s="35"/>
      <c r="M190" s="33" t="str">
        <f aca="true">IF(L190="","",L190-TODAY())</f>
        <v/>
      </c>
      <c r="N190" s="34"/>
      <c r="O190" s="21"/>
      <c r="P190" s="35"/>
      <c r="Q190" s="21"/>
    </row>
    <row r="191" customFormat="false" ht="15" hidden="false" customHeight="false" outlineLevel="0" collapsed="false">
      <c r="A191" s="6" t="s">
        <v>381</v>
      </c>
      <c r="B191" s="21"/>
      <c r="C191" s="34"/>
      <c r="D191" s="21"/>
      <c r="E191" s="21"/>
      <c r="F191" s="34"/>
      <c r="G191" s="34"/>
      <c r="H191" s="34"/>
      <c r="I191" s="34"/>
      <c r="J191" s="31" t="str">
        <f aca="false">IF(OR(G191="",H191="",I191=""),"",IF(H191=G191,"",MAX(0,MIN(1,(I191-G191)/(H191-G191)))))</f>
        <v/>
      </c>
      <c r="K191" s="34"/>
      <c r="L191" s="35"/>
      <c r="M191" s="33" t="str">
        <f aca="true">IF(L191="","",L191-TODAY())</f>
        <v/>
      </c>
      <c r="N191" s="34"/>
      <c r="O191" s="21"/>
      <c r="P191" s="35"/>
      <c r="Q191" s="21"/>
    </row>
    <row r="192" customFormat="false" ht="15" hidden="false" customHeight="false" outlineLevel="0" collapsed="false">
      <c r="A192" s="6" t="s">
        <v>382</v>
      </c>
      <c r="B192" s="21"/>
      <c r="C192" s="34"/>
      <c r="D192" s="21"/>
      <c r="E192" s="21"/>
      <c r="F192" s="34"/>
      <c r="G192" s="34"/>
      <c r="H192" s="34"/>
      <c r="I192" s="34"/>
      <c r="J192" s="31" t="str">
        <f aca="false">IF(OR(G192="",H192="",I192=""),"",IF(H192=G192,"",MAX(0,MIN(1,(I192-G192)/(H192-G192)))))</f>
        <v/>
      </c>
      <c r="K192" s="34"/>
      <c r="L192" s="35"/>
      <c r="M192" s="33" t="str">
        <f aca="true">IF(L192="","",L192-TODAY())</f>
        <v/>
      </c>
      <c r="N192" s="34"/>
      <c r="O192" s="21"/>
      <c r="P192" s="35"/>
      <c r="Q192" s="21"/>
    </row>
    <row r="193" customFormat="false" ht="15" hidden="false" customHeight="false" outlineLevel="0" collapsed="false">
      <c r="A193" s="6" t="s">
        <v>383</v>
      </c>
      <c r="B193" s="21"/>
      <c r="C193" s="34"/>
      <c r="D193" s="21"/>
      <c r="E193" s="21"/>
      <c r="F193" s="34"/>
      <c r="G193" s="34"/>
      <c r="H193" s="34"/>
      <c r="I193" s="34"/>
      <c r="J193" s="31" t="str">
        <f aca="false">IF(OR(G193="",H193="",I193=""),"",IF(H193=G193,"",MAX(0,MIN(1,(I193-G193)/(H193-G193)))))</f>
        <v/>
      </c>
      <c r="K193" s="34"/>
      <c r="L193" s="35"/>
      <c r="M193" s="33" t="str">
        <f aca="true">IF(L193="","",L193-TODAY())</f>
        <v/>
      </c>
      <c r="N193" s="34"/>
      <c r="O193" s="21"/>
      <c r="P193" s="35"/>
      <c r="Q193" s="21"/>
    </row>
    <row r="194" customFormat="false" ht="15" hidden="false" customHeight="false" outlineLevel="0" collapsed="false">
      <c r="A194" s="6" t="s">
        <v>384</v>
      </c>
      <c r="B194" s="21"/>
      <c r="C194" s="34"/>
      <c r="D194" s="21"/>
      <c r="E194" s="21"/>
      <c r="F194" s="34"/>
      <c r="G194" s="34"/>
      <c r="H194" s="34"/>
      <c r="I194" s="34"/>
      <c r="J194" s="31" t="str">
        <f aca="false">IF(OR(G194="",H194="",I194=""),"",IF(H194=G194,"",MAX(0,MIN(1,(I194-G194)/(H194-G194)))))</f>
        <v/>
      </c>
      <c r="K194" s="34"/>
      <c r="L194" s="35"/>
      <c r="M194" s="33" t="str">
        <f aca="true">IF(L194="","",L194-TODAY())</f>
        <v/>
      </c>
      <c r="N194" s="34"/>
      <c r="O194" s="21"/>
      <c r="P194" s="35"/>
      <c r="Q194" s="21"/>
    </row>
    <row r="195" customFormat="false" ht="15" hidden="false" customHeight="false" outlineLevel="0" collapsed="false">
      <c r="A195" s="6" t="s">
        <v>385</v>
      </c>
      <c r="B195" s="21"/>
      <c r="C195" s="34"/>
      <c r="D195" s="21"/>
      <c r="E195" s="21"/>
      <c r="F195" s="34"/>
      <c r="G195" s="34"/>
      <c r="H195" s="34"/>
      <c r="I195" s="34"/>
      <c r="J195" s="31" t="str">
        <f aca="false">IF(OR(G195="",H195="",I195=""),"",IF(H195=G195,"",MAX(0,MIN(1,(I195-G195)/(H195-G195)))))</f>
        <v/>
      </c>
      <c r="K195" s="34"/>
      <c r="L195" s="35"/>
      <c r="M195" s="33" t="str">
        <f aca="true">IF(L195="","",L195-TODAY())</f>
        <v/>
      </c>
      <c r="N195" s="34"/>
      <c r="O195" s="21"/>
      <c r="P195" s="35"/>
      <c r="Q195" s="21"/>
    </row>
    <row r="196" customFormat="false" ht="15" hidden="false" customHeight="false" outlineLevel="0" collapsed="false">
      <c r="A196" s="6" t="s">
        <v>386</v>
      </c>
      <c r="B196" s="21"/>
      <c r="C196" s="34"/>
      <c r="D196" s="21"/>
      <c r="E196" s="21"/>
      <c r="F196" s="34"/>
      <c r="G196" s="34"/>
      <c r="H196" s="34"/>
      <c r="I196" s="34"/>
      <c r="J196" s="31" t="str">
        <f aca="false">IF(OR(G196="",H196="",I196=""),"",IF(H196=G196,"",MAX(0,MIN(1,(I196-G196)/(H196-G196)))))</f>
        <v/>
      </c>
      <c r="K196" s="34"/>
      <c r="L196" s="35"/>
      <c r="M196" s="33" t="str">
        <f aca="true">IF(L196="","",L196-TODAY())</f>
        <v/>
      </c>
      <c r="N196" s="34"/>
      <c r="O196" s="21"/>
      <c r="P196" s="35"/>
      <c r="Q196" s="21"/>
    </row>
    <row r="197" customFormat="false" ht="15" hidden="false" customHeight="false" outlineLevel="0" collapsed="false">
      <c r="A197" s="6" t="s">
        <v>387</v>
      </c>
      <c r="B197" s="21"/>
      <c r="C197" s="34"/>
      <c r="D197" s="21"/>
      <c r="E197" s="21"/>
      <c r="F197" s="34"/>
      <c r="G197" s="34"/>
      <c r="H197" s="34"/>
      <c r="I197" s="34"/>
      <c r="J197" s="31" t="str">
        <f aca="false">IF(OR(G197="",H197="",I197=""),"",IF(H197=G197,"",MAX(0,MIN(1,(I197-G197)/(H197-G197)))))</f>
        <v/>
      </c>
      <c r="K197" s="34"/>
      <c r="L197" s="35"/>
      <c r="M197" s="33" t="str">
        <f aca="true">IF(L197="","",L197-TODAY())</f>
        <v/>
      </c>
      <c r="N197" s="34"/>
      <c r="O197" s="21"/>
      <c r="P197" s="35"/>
      <c r="Q197" s="21"/>
    </row>
    <row r="198" customFormat="false" ht="15" hidden="false" customHeight="false" outlineLevel="0" collapsed="false">
      <c r="A198" s="6" t="s">
        <v>388</v>
      </c>
      <c r="B198" s="21"/>
      <c r="C198" s="34"/>
      <c r="D198" s="21"/>
      <c r="E198" s="21"/>
      <c r="F198" s="34"/>
      <c r="G198" s="34"/>
      <c r="H198" s="34"/>
      <c r="I198" s="34"/>
      <c r="J198" s="31" t="str">
        <f aca="false">IF(OR(G198="",H198="",I198=""),"",IF(H198=G198,"",MAX(0,MIN(1,(I198-G198)/(H198-G198)))))</f>
        <v/>
      </c>
      <c r="K198" s="34"/>
      <c r="L198" s="35"/>
      <c r="M198" s="33" t="str">
        <f aca="true">IF(L198="","",L198-TODAY())</f>
        <v/>
      </c>
      <c r="N198" s="34"/>
      <c r="O198" s="21"/>
      <c r="P198" s="35"/>
      <c r="Q198" s="21"/>
    </row>
    <row r="199" customFormat="false" ht="15" hidden="false" customHeight="false" outlineLevel="0" collapsed="false">
      <c r="A199" s="6" t="s">
        <v>389</v>
      </c>
      <c r="B199" s="21"/>
      <c r="C199" s="34"/>
      <c r="D199" s="21"/>
      <c r="E199" s="21"/>
      <c r="F199" s="34"/>
      <c r="G199" s="34"/>
      <c r="H199" s="34"/>
      <c r="I199" s="34"/>
      <c r="J199" s="31" t="str">
        <f aca="false">IF(OR(G199="",H199="",I199=""),"",IF(H199=G199,"",MAX(0,MIN(1,(I199-G199)/(H199-G199)))))</f>
        <v/>
      </c>
      <c r="K199" s="34"/>
      <c r="L199" s="35"/>
      <c r="M199" s="33" t="str">
        <f aca="true">IF(L199="","",L199-TODAY())</f>
        <v/>
      </c>
      <c r="N199" s="34"/>
      <c r="O199" s="21"/>
      <c r="P199" s="35"/>
      <c r="Q199" s="21"/>
    </row>
    <row r="200" customFormat="false" ht="15" hidden="false" customHeight="false" outlineLevel="0" collapsed="false">
      <c r="A200" s="6" t="s">
        <v>390</v>
      </c>
      <c r="B200" s="21"/>
      <c r="C200" s="34"/>
      <c r="D200" s="21"/>
      <c r="E200" s="21"/>
      <c r="F200" s="34"/>
      <c r="G200" s="34"/>
      <c r="H200" s="34"/>
      <c r="I200" s="34"/>
      <c r="J200" s="31" t="str">
        <f aca="false">IF(OR(G200="",H200="",I200=""),"",IF(H200=G200,"",MAX(0,MIN(1,(I200-G200)/(H200-G200)))))</f>
        <v/>
      </c>
      <c r="K200" s="34"/>
      <c r="L200" s="35"/>
      <c r="M200" s="33" t="str">
        <f aca="true">IF(L200="","",L200-TODAY())</f>
        <v/>
      </c>
      <c r="N200" s="34"/>
      <c r="O200" s="21"/>
      <c r="P200" s="35"/>
      <c r="Q200" s="21"/>
    </row>
    <row r="201" customFormat="false" ht="15" hidden="false" customHeight="false" outlineLevel="0" collapsed="false">
      <c r="A201" s="6" t="s">
        <v>391</v>
      </c>
      <c r="B201" s="21"/>
      <c r="C201" s="34"/>
      <c r="D201" s="21"/>
      <c r="E201" s="21"/>
      <c r="F201" s="34"/>
      <c r="G201" s="34"/>
      <c r="H201" s="34"/>
      <c r="I201" s="34"/>
      <c r="J201" s="31" t="str">
        <f aca="false">IF(OR(G201="",H201="",I201=""),"",IF(H201=G201,"",MAX(0,MIN(1,(I201-G201)/(H201-G201)))))</f>
        <v/>
      </c>
      <c r="K201" s="34"/>
      <c r="L201" s="35"/>
      <c r="M201" s="33" t="str">
        <f aca="true">IF(L201="","",L201-TODAY())</f>
        <v/>
      </c>
      <c r="N201" s="34"/>
      <c r="O201" s="21"/>
      <c r="P201" s="35"/>
      <c r="Q201" s="21"/>
    </row>
    <row r="202" customFormat="false" ht="15" hidden="false" customHeight="false" outlineLevel="0" collapsed="false">
      <c r="A202" s="6" t="s">
        <v>392</v>
      </c>
      <c r="B202" s="21"/>
      <c r="C202" s="34"/>
      <c r="D202" s="21"/>
      <c r="E202" s="21"/>
      <c r="F202" s="34"/>
      <c r="G202" s="34"/>
      <c r="H202" s="34"/>
      <c r="I202" s="34"/>
      <c r="J202" s="31" t="str">
        <f aca="false">IF(OR(G202="",H202="",I202=""),"",IF(H202=G202,"",MAX(0,MIN(1,(I202-G202)/(H202-G202)))))</f>
        <v/>
      </c>
      <c r="K202" s="34"/>
      <c r="L202" s="35"/>
      <c r="M202" s="33" t="str">
        <f aca="true">IF(L202="","",L202-TODAY())</f>
        <v/>
      </c>
      <c r="N202" s="34"/>
      <c r="O202" s="21"/>
      <c r="P202" s="35"/>
      <c r="Q202" s="21"/>
    </row>
    <row r="203" customFormat="false" ht="15" hidden="false" customHeight="false" outlineLevel="0" collapsed="false">
      <c r="A203" s="6" t="s">
        <v>393</v>
      </c>
      <c r="B203" s="21"/>
      <c r="C203" s="34"/>
      <c r="D203" s="21"/>
      <c r="E203" s="21"/>
      <c r="F203" s="34"/>
      <c r="G203" s="34"/>
      <c r="H203" s="34"/>
      <c r="I203" s="34"/>
      <c r="J203" s="31" t="str">
        <f aca="false">IF(OR(G203="",H203="",I203=""),"",IF(H203=G203,"",MAX(0,MIN(1,(I203-G203)/(H203-G203)))))</f>
        <v/>
      </c>
      <c r="K203" s="34"/>
      <c r="L203" s="35"/>
      <c r="M203" s="33" t="str">
        <f aca="true">IF(L203="","",L203-TODAY())</f>
        <v/>
      </c>
      <c r="N203" s="34"/>
      <c r="O203" s="21"/>
      <c r="P203" s="35"/>
      <c r="Q203" s="21"/>
    </row>
    <row r="204" customFormat="false" ht="15" hidden="false" customHeight="false" outlineLevel="0" collapsed="false">
      <c r="A204" s="6" t="s">
        <v>394</v>
      </c>
      <c r="B204" s="21"/>
      <c r="C204" s="34"/>
      <c r="D204" s="21"/>
      <c r="E204" s="21"/>
      <c r="F204" s="34"/>
      <c r="G204" s="34"/>
      <c r="H204" s="34"/>
      <c r="I204" s="34"/>
      <c r="J204" s="31" t="str">
        <f aca="false">IF(OR(G204="",H204="",I204=""),"",IF(H204=G204,"",MAX(0,MIN(1,(I204-G204)/(H204-G204)))))</f>
        <v/>
      </c>
      <c r="K204" s="34"/>
      <c r="L204" s="35"/>
      <c r="M204" s="33" t="str">
        <f aca="true">IF(L204="","",L204-TODAY())</f>
        <v/>
      </c>
      <c r="N204" s="34"/>
      <c r="O204" s="21"/>
      <c r="P204" s="35"/>
      <c r="Q204" s="21"/>
    </row>
    <row r="205" customFormat="false" ht="15" hidden="false" customHeight="false" outlineLevel="0" collapsed="false">
      <c r="A205" s="6" t="s">
        <v>395</v>
      </c>
      <c r="B205" s="21"/>
      <c r="C205" s="34"/>
      <c r="D205" s="21"/>
      <c r="E205" s="21"/>
      <c r="F205" s="34"/>
      <c r="G205" s="34"/>
      <c r="H205" s="34"/>
      <c r="I205" s="34"/>
      <c r="J205" s="31" t="str">
        <f aca="false">IF(OR(G205="",H205="",I205=""),"",IF(H205=G205,"",MAX(0,MIN(1,(I205-G205)/(H205-G205)))))</f>
        <v/>
      </c>
      <c r="K205" s="34"/>
      <c r="L205" s="35"/>
      <c r="M205" s="33" t="str">
        <f aca="true">IF(L205="","",L205-TODAY())</f>
        <v/>
      </c>
      <c r="N205" s="34"/>
      <c r="O205" s="21"/>
      <c r="P205" s="35"/>
      <c r="Q205" s="21"/>
    </row>
    <row r="206" customFormat="false" ht="15" hidden="false" customHeight="false" outlineLevel="0" collapsed="false">
      <c r="A206" s="6" t="s">
        <v>396</v>
      </c>
      <c r="B206" s="21"/>
      <c r="C206" s="34"/>
      <c r="D206" s="21"/>
      <c r="E206" s="21"/>
      <c r="F206" s="34"/>
      <c r="G206" s="34"/>
      <c r="H206" s="34"/>
      <c r="I206" s="34"/>
      <c r="J206" s="31" t="str">
        <f aca="false">IF(OR(G206="",H206="",I206=""),"",IF(H206=G206,"",MAX(0,MIN(1,(I206-G206)/(H206-G206)))))</f>
        <v/>
      </c>
      <c r="K206" s="34"/>
      <c r="L206" s="35"/>
      <c r="M206" s="33" t="str">
        <f aca="true">IF(L206="","",L206-TODAY())</f>
        <v/>
      </c>
      <c r="N206" s="34"/>
      <c r="O206" s="21"/>
      <c r="P206" s="35"/>
      <c r="Q206" s="21"/>
    </row>
    <row r="207" customFormat="false" ht="15" hidden="false" customHeight="false" outlineLevel="0" collapsed="false">
      <c r="A207" s="6" t="s">
        <v>397</v>
      </c>
      <c r="B207" s="21"/>
      <c r="C207" s="34"/>
      <c r="D207" s="21"/>
      <c r="E207" s="21"/>
      <c r="F207" s="34"/>
      <c r="G207" s="34"/>
      <c r="H207" s="34"/>
      <c r="I207" s="34"/>
      <c r="J207" s="31" t="str">
        <f aca="false">IF(OR(G207="",H207="",I207=""),"",IF(H207=G207,"",MAX(0,MIN(1,(I207-G207)/(H207-G207)))))</f>
        <v/>
      </c>
      <c r="K207" s="34"/>
      <c r="L207" s="35"/>
      <c r="M207" s="33" t="str">
        <f aca="true">IF(L207="","",L207-TODAY())</f>
        <v/>
      </c>
      <c r="N207" s="34"/>
      <c r="O207" s="21"/>
      <c r="P207" s="35"/>
      <c r="Q207" s="21"/>
    </row>
    <row r="208" customFormat="false" ht="15" hidden="false" customHeight="false" outlineLevel="0" collapsed="false">
      <c r="A208" s="6" t="s">
        <v>398</v>
      </c>
      <c r="B208" s="21"/>
      <c r="C208" s="34"/>
      <c r="D208" s="21"/>
      <c r="E208" s="21"/>
      <c r="F208" s="34"/>
      <c r="G208" s="34"/>
      <c r="H208" s="34"/>
      <c r="I208" s="34"/>
      <c r="J208" s="31" t="str">
        <f aca="false">IF(OR(G208="",H208="",I208=""),"",IF(H208=G208,"",MAX(0,MIN(1,(I208-G208)/(H208-G208)))))</f>
        <v/>
      </c>
      <c r="K208" s="34"/>
      <c r="L208" s="35"/>
      <c r="M208" s="33" t="str">
        <f aca="true">IF(L208="","",L208-TODAY())</f>
        <v/>
      </c>
      <c r="N208" s="34"/>
      <c r="O208" s="21"/>
      <c r="P208" s="35"/>
      <c r="Q208" s="21"/>
    </row>
    <row r="209" customFormat="false" ht="15" hidden="false" customHeight="false" outlineLevel="0" collapsed="false">
      <c r="A209" s="6" t="s">
        <v>399</v>
      </c>
      <c r="B209" s="21"/>
      <c r="C209" s="34"/>
      <c r="D209" s="21"/>
      <c r="E209" s="21"/>
      <c r="F209" s="34"/>
      <c r="G209" s="34"/>
      <c r="H209" s="34"/>
      <c r="I209" s="34"/>
      <c r="J209" s="31" t="str">
        <f aca="false">IF(OR(G209="",H209="",I209=""),"",IF(H209=G209,"",MAX(0,MIN(1,(I209-G209)/(H209-G209)))))</f>
        <v/>
      </c>
      <c r="K209" s="34"/>
      <c r="L209" s="35"/>
      <c r="M209" s="33" t="str">
        <f aca="true">IF(L209="","",L209-TODAY())</f>
        <v/>
      </c>
      <c r="N209" s="34"/>
      <c r="O209" s="21"/>
      <c r="P209" s="35"/>
      <c r="Q209" s="21"/>
    </row>
    <row r="210" customFormat="false" ht="15" hidden="false" customHeight="false" outlineLevel="0" collapsed="false">
      <c r="A210" s="6" t="s">
        <v>400</v>
      </c>
      <c r="B210" s="21"/>
      <c r="C210" s="34"/>
      <c r="D210" s="21"/>
      <c r="E210" s="21"/>
      <c r="F210" s="34"/>
      <c r="G210" s="34"/>
      <c r="H210" s="34"/>
      <c r="I210" s="34"/>
      <c r="J210" s="31" t="str">
        <f aca="false">IF(OR(G210="",H210="",I210=""),"",IF(H210=G210,"",MAX(0,MIN(1,(I210-G210)/(H210-G210)))))</f>
        <v/>
      </c>
      <c r="K210" s="34"/>
      <c r="L210" s="35"/>
      <c r="M210" s="33" t="str">
        <f aca="true">IF(L210="","",L210-TODAY())</f>
        <v/>
      </c>
      <c r="N210" s="34"/>
      <c r="O210" s="21"/>
      <c r="P210" s="35"/>
      <c r="Q210" s="21"/>
    </row>
    <row r="211" customFormat="false" ht="15" hidden="false" customHeight="false" outlineLevel="0" collapsed="false">
      <c r="A211" s="6" t="s">
        <v>401</v>
      </c>
      <c r="B211" s="21"/>
      <c r="C211" s="34"/>
      <c r="D211" s="21"/>
      <c r="E211" s="21"/>
      <c r="F211" s="34"/>
      <c r="G211" s="34"/>
      <c r="H211" s="34"/>
      <c r="I211" s="34"/>
      <c r="J211" s="31" t="str">
        <f aca="false">IF(OR(G211="",H211="",I211=""),"",IF(H211=G211,"",MAX(0,MIN(1,(I211-G211)/(H211-G211)))))</f>
        <v/>
      </c>
      <c r="K211" s="34"/>
      <c r="L211" s="35"/>
      <c r="M211" s="33" t="str">
        <f aca="true">IF(L211="","",L211-TODAY())</f>
        <v/>
      </c>
      <c r="N211" s="34"/>
      <c r="O211" s="21"/>
      <c r="P211" s="35"/>
      <c r="Q211" s="21"/>
    </row>
    <row r="212" customFormat="false" ht="15" hidden="false" customHeight="false" outlineLevel="0" collapsed="false">
      <c r="A212" s="6" t="s">
        <v>402</v>
      </c>
      <c r="B212" s="21"/>
      <c r="C212" s="34"/>
      <c r="D212" s="21"/>
      <c r="E212" s="21"/>
      <c r="F212" s="34"/>
      <c r="G212" s="34"/>
      <c r="H212" s="34"/>
      <c r="I212" s="34"/>
      <c r="J212" s="31" t="str">
        <f aca="false">IF(OR(G212="",H212="",I212=""),"",IF(H212=G212,"",MAX(0,MIN(1,(I212-G212)/(H212-G212)))))</f>
        <v/>
      </c>
      <c r="K212" s="34"/>
      <c r="L212" s="35"/>
      <c r="M212" s="33" t="str">
        <f aca="true">IF(L212="","",L212-TODAY())</f>
        <v/>
      </c>
      <c r="N212" s="34"/>
      <c r="O212" s="21"/>
      <c r="P212" s="35"/>
      <c r="Q212" s="21"/>
    </row>
    <row r="213" customFormat="false" ht="15" hidden="false" customHeight="false" outlineLevel="0" collapsed="false">
      <c r="A213" s="6" t="s">
        <v>403</v>
      </c>
      <c r="B213" s="21"/>
      <c r="C213" s="34"/>
      <c r="D213" s="21"/>
      <c r="E213" s="21"/>
      <c r="F213" s="34"/>
      <c r="G213" s="34"/>
      <c r="H213" s="34"/>
      <c r="I213" s="34"/>
      <c r="J213" s="31" t="str">
        <f aca="false">IF(OR(G213="",H213="",I213=""),"",IF(H213=G213,"",MAX(0,MIN(1,(I213-G213)/(H213-G213)))))</f>
        <v/>
      </c>
      <c r="K213" s="34"/>
      <c r="L213" s="35"/>
      <c r="M213" s="33" t="str">
        <f aca="true">IF(L213="","",L213-TODAY())</f>
        <v/>
      </c>
      <c r="N213" s="34"/>
      <c r="O213" s="21"/>
      <c r="P213" s="35"/>
      <c r="Q213" s="21"/>
    </row>
    <row r="214" customFormat="false" ht="15" hidden="false" customHeight="false" outlineLevel="0" collapsed="false">
      <c r="A214" s="6" t="s">
        <v>404</v>
      </c>
      <c r="B214" s="21"/>
      <c r="C214" s="34"/>
      <c r="D214" s="21"/>
      <c r="E214" s="21"/>
      <c r="F214" s="34"/>
      <c r="G214" s="34"/>
      <c r="H214" s="34"/>
      <c r="I214" s="34"/>
      <c r="J214" s="31" t="str">
        <f aca="false">IF(OR(G214="",H214="",I214=""),"",IF(H214=G214,"",MAX(0,MIN(1,(I214-G214)/(H214-G214)))))</f>
        <v/>
      </c>
      <c r="K214" s="34"/>
      <c r="L214" s="35"/>
      <c r="M214" s="33" t="str">
        <f aca="true">IF(L214="","",L214-TODAY())</f>
        <v/>
      </c>
      <c r="N214" s="34"/>
      <c r="O214" s="21"/>
      <c r="P214" s="35"/>
      <c r="Q214" s="21"/>
    </row>
    <row r="215" customFormat="false" ht="15" hidden="false" customHeight="false" outlineLevel="0" collapsed="false">
      <c r="A215" s="6" t="s">
        <v>405</v>
      </c>
      <c r="B215" s="21"/>
      <c r="C215" s="34"/>
      <c r="D215" s="21"/>
      <c r="E215" s="21"/>
      <c r="F215" s="34"/>
      <c r="G215" s="34"/>
      <c r="H215" s="34"/>
      <c r="I215" s="34"/>
      <c r="J215" s="31" t="str">
        <f aca="false">IF(OR(G215="",H215="",I215=""),"",IF(H215=G215,"",MAX(0,MIN(1,(I215-G215)/(H215-G215)))))</f>
        <v/>
      </c>
      <c r="K215" s="34"/>
      <c r="L215" s="35"/>
      <c r="M215" s="33" t="str">
        <f aca="true">IF(L215="","",L215-TODAY())</f>
        <v/>
      </c>
      <c r="N215" s="34"/>
      <c r="O215" s="21"/>
      <c r="P215" s="35"/>
      <c r="Q215" s="21"/>
    </row>
    <row r="216" customFormat="false" ht="15" hidden="false" customHeight="false" outlineLevel="0" collapsed="false">
      <c r="A216" s="6" t="s">
        <v>406</v>
      </c>
      <c r="B216" s="21"/>
      <c r="C216" s="34"/>
      <c r="D216" s="21"/>
      <c r="E216" s="21"/>
      <c r="F216" s="34"/>
      <c r="G216" s="34"/>
      <c r="H216" s="34"/>
      <c r="I216" s="34"/>
      <c r="J216" s="31" t="str">
        <f aca="false">IF(OR(G216="",H216="",I216=""),"",IF(H216=G216,"",MAX(0,MIN(1,(I216-G216)/(H216-G216)))))</f>
        <v/>
      </c>
      <c r="K216" s="34"/>
      <c r="L216" s="35"/>
      <c r="M216" s="33" t="str">
        <f aca="true">IF(L216="","",L216-TODAY())</f>
        <v/>
      </c>
      <c r="N216" s="34"/>
      <c r="O216" s="21"/>
      <c r="P216" s="35"/>
      <c r="Q216" s="21"/>
    </row>
    <row r="217" customFormat="false" ht="15" hidden="false" customHeight="false" outlineLevel="0" collapsed="false">
      <c r="A217" s="6" t="s">
        <v>407</v>
      </c>
      <c r="B217" s="21"/>
      <c r="C217" s="34"/>
      <c r="D217" s="21"/>
      <c r="E217" s="21"/>
      <c r="F217" s="34"/>
      <c r="G217" s="34"/>
      <c r="H217" s="34"/>
      <c r="I217" s="34"/>
      <c r="J217" s="31" t="str">
        <f aca="false">IF(OR(G217="",H217="",I217=""),"",IF(H217=G217,"",MAX(0,MIN(1,(I217-G217)/(H217-G217)))))</f>
        <v/>
      </c>
      <c r="K217" s="34"/>
      <c r="L217" s="35"/>
      <c r="M217" s="33" t="str">
        <f aca="true">IF(L217="","",L217-TODAY())</f>
        <v/>
      </c>
      <c r="N217" s="34"/>
      <c r="O217" s="21"/>
      <c r="P217" s="35"/>
      <c r="Q217" s="21"/>
    </row>
    <row r="218" customFormat="false" ht="15" hidden="false" customHeight="false" outlineLevel="0" collapsed="false">
      <c r="A218" s="6" t="s">
        <v>408</v>
      </c>
      <c r="B218" s="21"/>
      <c r="C218" s="34"/>
      <c r="D218" s="21"/>
      <c r="E218" s="21"/>
      <c r="F218" s="34"/>
      <c r="G218" s="34"/>
      <c r="H218" s="34"/>
      <c r="I218" s="34"/>
      <c r="J218" s="31" t="str">
        <f aca="false">IF(OR(G218="",H218="",I218=""),"",IF(H218=G218,"",MAX(0,MIN(1,(I218-G218)/(H218-G218)))))</f>
        <v/>
      </c>
      <c r="K218" s="34"/>
      <c r="L218" s="35"/>
      <c r="M218" s="33" t="str">
        <f aca="true">IF(L218="","",L218-TODAY())</f>
        <v/>
      </c>
      <c r="N218" s="34"/>
      <c r="O218" s="21"/>
      <c r="P218" s="35"/>
      <c r="Q218" s="21"/>
    </row>
    <row r="219" customFormat="false" ht="15" hidden="false" customHeight="false" outlineLevel="0" collapsed="false">
      <c r="A219" s="6" t="s">
        <v>409</v>
      </c>
      <c r="B219" s="21"/>
      <c r="C219" s="34"/>
      <c r="D219" s="21"/>
      <c r="E219" s="21"/>
      <c r="F219" s="34"/>
      <c r="G219" s="34"/>
      <c r="H219" s="34"/>
      <c r="I219" s="34"/>
      <c r="J219" s="31" t="str">
        <f aca="false">IF(OR(G219="",H219="",I219=""),"",IF(H219=G219,"",MAX(0,MIN(1,(I219-G219)/(H219-G219)))))</f>
        <v/>
      </c>
      <c r="K219" s="34"/>
      <c r="L219" s="35"/>
      <c r="M219" s="33" t="str">
        <f aca="true">IF(L219="","",L219-TODAY())</f>
        <v/>
      </c>
      <c r="N219" s="34"/>
      <c r="O219" s="21"/>
      <c r="P219" s="35"/>
      <c r="Q219" s="21"/>
    </row>
    <row r="220" customFormat="false" ht="15" hidden="false" customHeight="false" outlineLevel="0" collapsed="false">
      <c r="A220" s="6" t="s">
        <v>410</v>
      </c>
      <c r="B220" s="21"/>
      <c r="C220" s="34"/>
      <c r="D220" s="21"/>
      <c r="E220" s="21"/>
      <c r="F220" s="34"/>
      <c r="G220" s="34"/>
      <c r="H220" s="34"/>
      <c r="I220" s="34"/>
      <c r="J220" s="31" t="str">
        <f aca="false">IF(OR(G220="",H220="",I220=""),"",IF(H220=G220,"",MAX(0,MIN(1,(I220-G220)/(H220-G220)))))</f>
        <v/>
      </c>
      <c r="K220" s="34"/>
      <c r="L220" s="35"/>
      <c r="M220" s="33" t="str">
        <f aca="true">IF(L220="","",L220-TODAY())</f>
        <v/>
      </c>
      <c r="N220" s="34"/>
      <c r="O220" s="21"/>
      <c r="P220" s="35"/>
      <c r="Q220" s="21"/>
    </row>
    <row r="221" customFormat="false" ht="15" hidden="false" customHeight="false" outlineLevel="0" collapsed="false">
      <c r="A221" s="6" t="s">
        <v>411</v>
      </c>
      <c r="B221" s="21"/>
      <c r="C221" s="34"/>
      <c r="D221" s="21"/>
      <c r="E221" s="21"/>
      <c r="F221" s="34"/>
      <c r="G221" s="34"/>
      <c r="H221" s="34"/>
      <c r="I221" s="34"/>
      <c r="J221" s="31" t="str">
        <f aca="false">IF(OR(G221="",H221="",I221=""),"",IF(H221=G221,"",MAX(0,MIN(1,(I221-G221)/(H221-G221)))))</f>
        <v/>
      </c>
      <c r="K221" s="34"/>
      <c r="L221" s="35"/>
      <c r="M221" s="33" t="str">
        <f aca="true">IF(L221="","",L221-TODAY())</f>
        <v/>
      </c>
      <c r="N221" s="34"/>
      <c r="O221" s="21"/>
      <c r="P221" s="35"/>
      <c r="Q221" s="21"/>
    </row>
    <row r="222" customFormat="false" ht="15" hidden="false" customHeight="false" outlineLevel="0" collapsed="false">
      <c r="A222" s="6" t="s">
        <v>412</v>
      </c>
      <c r="B222" s="21"/>
      <c r="C222" s="34"/>
      <c r="D222" s="21"/>
      <c r="E222" s="21"/>
      <c r="F222" s="34"/>
      <c r="G222" s="34"/>
      <c r="H222" s="34"/>
      <c r="I222" s="34"/>
      <c r="J222" s="31" t="str">
        <f aca="false">IF(OR(G222="",H222="",I222=""),"",IF(H222=G222,"",MAX(0,MIN(1,(I222-G222)/(H222-G222)))))</f>
        <v/>
      </c>
      <c r="K222" s="34"/>
      <c r="L222" s="35"/>
      <c r="M222" s="33" t="str">
        <f aca="true">IF(L222="","",L222-TODAY())</f>
        <v/>
      </c>
      <c r="N222" s="34"/>
      <c r="O222" s="21"/>
      <c r="P222" s="35"/>
      <c r="Q222" s="21"/>
    </row>
    <row r="223" customFormat="false" ht="15" hidden="false" customHeight="false" outlineLevel="0" collapsed="false">
      <c r="A223" s="6" t="s">
        <v>413</v>
      </c>
      <c r="B223" s="21"/>
      <c r="C223" s="34"/>
      <c r="D223" s="21"/>
      <c r="E223" s="21"/>
      <c r="F223" s="34"/>
      <c r="G223" s="34"/>
      <c r="H223" s="34"/>
      <c r="I223" s="34"/>
      <c r="J223" s="31" t="str">
        <f aca="false">IF(OR(G223="",H223="",I223=""),"",IF(H223=G223,"",MAX(0,MIN(1,(I223-G223)/(H223-G223)))))</f>
        <v/>
      </c>
      <c r="K223" s="34"/>
      <c r="L223" s="35"/>
      <c r="M223" s="33" t="str">
        <f aca="true">IF(L223="","",L223-TODAY())</f>
        <v/>
      </c>
      <c r="N223" s="34"/>
      <c r="O223" s="21"/>
      <c r="P223" s="35"/>
      <c r="Q223" s="21"/>
    </row>
    <row r="224" customFormat="false" ht="15" hidden="false" customHeight="false" outlineLevel="0" collapsed="false">
      <c r="A224" s="6" t="s">
        <v>414</v>
      </c>
      <c r="B224" s="21"/>
      <c r="C224" s="34"/>
      <c r="D224" s="21"/>
      <c r="E224" s="21"/>
      <c r="F224" s="34"/>
      <c r="G224" s="34"/>
      <c r="H224" s="34"/>
      <c r="I224" s="34"/>
      <c r="J224" s="31" t="str">
        <f aca="false">IF(OR(G224="",H224="",I224=""),"",IF(H224=G224,"",MAX(0,MIN(1,(I224-G224)/(H224-G224)))))</f>
        <v/>
      </c>
      <c r="K224" s="34"/>
      <c r="L224" s="35"/>
      <c r="M224" s="33" t="str">
        <f aca="true">IF(L224="","",L224-TODAY())</f>
        <v/>
      </c>
      <c r="N224" s="34"/>
      <c r="O224" s="21"/>
      <c r="P224" s="35"/>
      <c r="Q224" s="21"/>
    </row>
    <row r="225" customFormat="false" ht="15" hidden="false" customHeight="false" outlineLevel="0" collapsed="false">
      <c r="A225" s="6" t="s">
        <v>415</v>
      </c>
      <c r="B225" s="21"/>
      <c r="C225" s="34"/>
      <c r="D225" s="21"/>
      <c r="E225" s="21"/>
      <c r="F225" s="34"/>
      <c r="G225" s="34"/>
      <c r="H225" s="34"/>
      <c r="I225" s="34"/>
      <c r="J225" s="31" t="str">
        <f aca="false">IF(OR(G225="",H225="",I225=""),"",IF(H225=G225,"",MAX(0,MIN(1,(I225-G225)/(H225-G225)))))</f>
        <v/>
      </c>
      <c r="K225" s="34"/>
      <c r="L225" s="35"/>
      <c r="M225" s="33" t="str">
        <f aca="true">IF(L225="","",L225-TODAY())</f>
        <v/>
      </c>
      <c r="N225" s="34"/>
      <c r="O225" s="21"/>
      <c r="P225" s="35"/>
      <c r="Q225" s="21"/>
    </row>
    <row r="226" customFormat="false" ht="15" hidden="false" customHeight="false" outlineLevel="0" collapsed="false">
      <c r="A226" s="6" t="s">
        <v>416</v>
      </c>
      <c r="B226" s="21"/>
      <c r="C226" s="34"/>
      <c r="D226" s="21"/>
      <c r="E226" s="21"/>
      <c r="F226" s="34"/>
      <c r="G226" s="34"/>
      <c r="H226" s="34"/>
      <c r="I226" s="34"/>
      <c r="J226" s="31" t="str">
        <f aca="false">IF(OR(G226="",H226="",I226=""),"",IF(H226=G226,"",MAX(0,MIN(1,(I226-G226)/(H226-G226)))))</f>
        <v/>
      </c>
      <c r="K226" s="34"/>
      <c r="L226" s="35"/>
      <c r="M226" s="33" t="str">
        <f aca="true">IF(L226="","",L226-TODAY())</f>
        <v/>
      </c>
      <c r="N226" s="34"/>
      <c r="O226" s="21"/>
      <c r="P226" s="35"/>
      <c r="Q226" s="21"/>
    </row>
    <row r="227" customFormat="false" ht="15" hidden="false" customHeight="false" outlineLevel="0" collapsed="false">
      <c r="A227" s="6" t="s">
        <v>417</v>
      </c>
      <c r="B227" s="21"/>
      <c r="C227" s="34"/>
      <c r="D227" s="21"/>
      <c r="E227" s="21"/>
      <c r="F227" s="34"/>
      <c r="G227" s="34"/>
      <c r="H227" s="34"/>
      <c r="I227" s="34"/>
      <c r="J227" s="31" t="str">
        <f aca="false">IF(OR(G227="",H227="",I227=""),"",IF(H227=G227,"",MAX(0,MIN(1,(I227-G227)/(H227-G227)))))</f>
        <v/>
      </c>
      <c r="K227" s="34"/>
      <c r="L227" s="35"/>
      <c r="M227" s="33" t="str">
        <f aca="true">IF(L227="","",L227-TODAY())</f>
        <v/>
      </c>
      <c r="N227" s="34"/>
      <c r="O227" s="21"/>
      <c r="P227" s="35"/>
      <c r="Q227" s="21"/>
    </row>
    <row r="228" customFormat="false" ht="15" hidden="false" customHeight="false" outlineLevel="0" collapsed="false">
      <c r="A228" s="6" t="s">
        <v>418</v>
      </c>
      <c r="B228" s="21"/>
      <c r="C228" s="34"/>
      <c r="D228" s="21"/>
      <c r="E228" s="21"/>
      <c r="F228" s="34"/>
      <c r="G228" s="34"/>
      <c r="H228" s="34"/>
      <c r="I228" s="34"/>
      <c r="J228" s="31" t="str">
        <f aca="false">IF(OR(G228="",H228="",I228=""),"",IF(H228=G228,"",MAX(0,MIN(1,(I228-G228)/(H228-G228)))))</f>
        <v/>
      </c>
      <c r="K228" s="34"/>
      <c r="L228" s="35"/>
      <c r="M228" s="33" t="str">
        <f aca="true">IF(L228="","",L228-TODAY())</f>
        <v/>
      </c>
      <c r="N228" s="34"/>
      <c r="O228" s="21"/>
      <c r="P228" s="35"/>
      <c r="Q228" s="21"/>
    </row>
    <row r="229" customFormat="false" ht="15" hidden="false" customHeight="false" outlineLevel="0" collapsed="false">
      <c r="A229" s="6" t="s">
        <v>419</v>
      </c>
      <c r="B229" s="21"/>
      <c r="C229" s="34"/>
      <c r="D229" s="21"/>
      <c r="E229" s="21"/>
      <c r="F229" s="34"/>
      <c r="G229" s="34"/>
      <c r="H229" s="34"/>
      <c r="I229" s="34"/>
      <c r="J229" s="31" t="str">
        <f aca="false">IF(OR(G229="",H229="",I229=""),"",IF(H229=G229,"",MAX(0,MIN(1,(I229-G229)/(H229-G229)))))</f>
        <v/>
      </c>
      <c r="K229" s="34"/>
      <c r="L229" s="35"/>
      <c r="M229" s="33" t="str">
        <f aca="true">IF(L229="","",L229-TODAY())</f>
        <v/>
      </c>
      <c r="N229" s="34"/>
      <c r="O229" s="21"/>
      <c r="P229" s="35"/>
      <c r="Q229" s="21"/>
    </row>
    <row r="230" customFormat="false" ht="15" hidden="false" customHeight="false" outlineLevel="0" collapsed="false">
      <c r="A230" s="6" t="s">
        <v>420</v>
      </c>
      <c r="B230" s="21"/>
      <c r="C230" s="34"/>
      <c r="D230" s="21"/>
      <c r="E230" s="21"/>
      <c r="F230" s="34"/>
      <c r="G230" s="34"/>
      <c r="H230" s="34"/>
      <c r="I230" s="34"/>
      <c r="J230" s="31" t="str">
        <f aca="false">IF(OR(G230="",H230="",I230=""),"",IF(H230=G230,"",MAX(0,MIN(1,(I230-G230)/(H230-G230)))))</f>
        <v/>
      </c>
      <c r="K230" s="34"/>
      <c r="L230" s="35"/>
      <c r="M230" s="33" t="str">
        <f aca="true">IF(L230="","",L230-TODAY())</f>
        <v/>
      </c>
      <c r="N230" s="34"/>
      <c r="O230" s="21"/>
      <c r="P230" s="35"/>
      <c r="Q230" s="21"/>
    </row>
    <row r="231" customFormat="false" ht="15" hidden="false" customHeight="false" outlineLevel="0" collapsed="false">
      <c r="A231" s="6" t="s">
        <v>421</v>
      </c>
      <c r="B231" s="21"/>
      <c r="C231" s="34"/>
      <c r="D231" s="21"/>
      <c r="E231" s="21"/>
      <c r="F231" s="34"/>
      <c r="G231" s="34"/>
      <c r="H231" s="34"/>
      <c r="I231" s="34"/>
      <c r="J231" s="31" t="str">
        <f aca="false">IF(OR(G231="",H231="",I231=""),"",IF(H231=G231,"",MAX(0,MIN(1,(I231-G231)/(H231-G231)))))</f>
        <v/>
      </c>
      <c r="K231" s="34"/>
      <c r="L231" s="35"/>
      <c r="M231" s="33" t="str">
        <f aca="true">IF(L231="","",L231-TODAY())</f>
        <v/>
      </c>
      <c r="N231" s="34"/>
      <c r="O231" s="21"/>
      <c r="P231" s="35"/>
      <c r="Q231" s="21"/>
    </row>
    <row r="232" customFormat="false" ht="15" hidden="false" customHeight="false" outlineLevel="0" collapsed="false">
      <c r="A232" s="6" t="s">
        <v>422</v>
      </c>
      <c r="B232" s="21"/>
      <c r="C232" s="34"/>
      <c r="D232" s="21"/>
      <c r="E232" s="21"/>
      <c r="F232" s="34"/>
      <c r="G232" s="34"/>
      <c r="H232" s="34"/>
      <c r="I232" s="34"/>
      <c r="J232" s="31" t="str">
        <f aca="false">IF(OR(G232="",H232="",I232=""),"",IF(H232=G232,"",MAX(0,MIN(1,(I232-G232)/(H232-G232)))))</f>
        <v/>
      </c>
      <c r="K232" s="34"/>
      <c r="L232" s="35"/>
      <c r="M232" s="33" t="str">
        <f aca="true">IF(L232="","",L232-TODAY())</f>
        <v/>
      </c>
      <c r="N232" s="34"/>
      <c r="O232" s="21"/>
      <c r="P232" s="35"/>
      <c r="Q232" s="21"/>
    </row>
    <row r="233" customFormat="false" ht="15" hidden="false" customHeight="false" outlineLevel="0" collapsed="false">
      <c r="A233" s="6" t="s">
        <v>423</v>
      </c>
      <c r="B233" s="21"/>
      <c r="C233" s="34"/>
      <c r="D233" s="21"/>
      <c r="E233" s="21"/>
      <c r="F233" s="34"/>
      <c r="G233" s="34"/>
      <c r="H233" s="34"/>
      <c r="I233" s="34"/>
      <c r="J233" s="31" t="str">
        <f aca="false">IF(OR(G233="",H233="",I233=""),"",IF(H233=G233,"",MAX(0,MIN(1,(I233-G233)/(H233-G233)))))</f>
        <v/>
      </c>
      <c r="K233" s="34"/>
      <c r="L233" s="35"/>
      <c r="M233" s="33" t="str">
        <f aca="true">IF(L233="","",L233-TODAY())</f>
        <v/>
      </c>
      <c r="N233" s="34"/>
      <c r="O233" s="21"/>
      <c r="P233" s="35"/>
      <c r="Q233" s="21"/>
    </row>
    <row r="234" customFormat="false" ht="15" hidden="false" customHeight="false" outlineLevel="0" collapsed="false">
      <c r="A234" s="6" t="s">
        <v>424</v>
      </c>
      <c r="B234" s="21"/>
      <c r="C234" s="34"/>
      <c r="D234" s="21"/>
      <c r="E234" s="21"/>
      <c r="F234" s="34"/>
      <c r="G234" s="34"/>
      <c r="H234" s="34"/>
      <c r="I234" s="34"/>
      <c r="J234" s="31" t="str">
        <f aca="false">IF(OR(G234="",H234="",I234=""),"",IF(H234=G234,"",MAX(0,MIN(1,(I234-G234)/(H234-G234)))))</f>
        <v/>
      </c>
      <c r="K234" s="34"/>
      <c r="L234" s="35"/>
      <c r="M234" s="33" t="str">
        <f aca="true">IF(L234="","",L234-TODAY())</f>
        <v/>
      </c>
      <c r="N234" s="34"/>
      <c r="O234" s="21"/>
      <c r="P234" s="35"/>
      <c r="Q234" s="21"/>
    </row>
    <row r="235" customFormat="false" ht="15" hidden="false" customHeight="false" outlineLevel="0" collapsed="false">
      <c r="A235" s="6" t="s">
        <v>425</v>
      </c>
      <c r="B235" s="21"/>
      <c r="C235" s="34"/>
      <c r="D235" s="21"/>
      <c r="E235" s="21"/>
      <c r="F235" s="34"/>
      <c r="G235" s="34"/>
      <c r="H235" s="34"/>
      <c r="I235" s="34"/>
      <c r="J235" s="31" t="str">
        <f aca="false">IF(OR(G235="",H235="",I235=""),"",IF(H235=G235,"",MAX(0,MIN(1,(I235-G235)/(H235-G235)))))</f>
        <v/>
      </c>
      <c r="K235" s="34"/>
      <c r="L235" s="35"/>
      <c r="M235" s="33" t="str">
        <f aca="true">IF(L235="","",L235-TODAY())</f>
        <v/>
      </c>
      <c r="N235" s="34"/>
      <c r="O235" s="21"/>
      <c r="P235" s="35"/>
      <c r="Q235" s="21"/>
    </row>
    <row r="236" customFormat="false" ht="15" hidden="false" customHeight="false" outlineLevel="0" collapsed="false">
      <c r="A236" s="6" t="s">
        <v>426</v>
      </c>
      <c r="B236" s="21"/>
      <c r="C236" s="34"/>
      <c r="D236" s="21"/>
      <c r="E236" s="21"/>
      <c r="F236" s="34"/>
      <c r="G236" s="34"/>
      <c r="H236" s="34"/>
      <c r="I236" s="34"/>
      <c r="J236" s="31" t="str">
        <f aca="false">IF(OR(G236="",H236="",I236=""),"",IF(H236=G236,"",MAX(0,MIN(1,(I236-G236)/(H236-G236)))))</f>
        <v/>
      </c>
      <c r="K236" s="34"/>
      <c r="L236" s="35"/>
      <c r="M236" s="33" t="str">
        <f aca="true">IF(L236="","",L236-TODAY())</f>
        <v/>
      </c>
      <c r="N236" s="34"/>
      <c r="O236" s="21"/>
      <c r="P236" s="35"/>
      <c r="Q236" s="21"/>
    </row>
    <row r="237" customFormat="false" ht="15" hidden="false" customHeight="false" outlineLevel="0" collapsed="false">
      <c r="A237" s="6" t="s">
        <v>427</v>
      </c>
      <c r="B237" s="21"/>
      <c r="C237" s="34"/>
      <c r="D237" s="21"/>
      <c r="E237" s="21"/>
      <c r="F237" s="34"/>
      <c r="G237" s="34"/>
      <c r="H237" s="34"/>
      <c r="I237" s="34"/>
      <c r="J237" s="31" t="str">
        <f aca="false">IF(OR(G237="",H237="",I237=""),"",IF(H237=G237,"",MAX(0,MIN(1,(I237-G237)/(H237-G237)))))</f>
        <v/>
      </c>
      <c r="K237" s="34"/>
      <c r="L237" s="35"/>
      <c r="M237" s="33" t="str">
        <f aca="true">IF(L237="","",L237-TODAY())</f>
        <v/>
      </c>
      <c r="N237" s="34"/>
      <c r="O237" s="21"/>
      <c r="P237" s="35"/>
      <c r="Q237" s="21"/>
    </row>
    <row r="238" customFormat="false" ht="15" hidden="false" customHeight="false" outlineLevel="0" collapsed="false">
      <c r="A238" s="6" t="s">
        <v>428</v>
      </c>
      <c r="B238" s="21"/>
      <c r="C238" s="34"/>
      <c r="D238" s="21"/>
      <c r="E238" s="21"/>
      <c r="F238" s="34"/>
      <c r="G238" s="34"/>
      <c r="H238" s="34"/>
      <c r="I238" s="34"/>
      <c r="J238" s="31" t="str">
        <f aca="false">IF(OR(G238="",H238="",I238=""),"",IF(H238=G238,"",MAX(0,MIN(1,(I238-G238)/(H238-G238)))))</f>
        <v/>
      </c>
      <c r="K238" s="34"/>
      <c r="L238" s="35"/>
      <c r="M238" s="33" t="str">
        <f aca="true">IF(L238="","",L238-TODAY())</f>
        <v/>
      </c>
      <c r="N238" s="34"/>
      <c r="O238" s="21"/>
      <c r="P238" s="35"/>
      <c r="Q238" s="21"/>
    </row>
    <row r="239" customFormat="false" ht="15" hidden="false" customHeight="false" outlineLevel="0" collapsed="false">
      <c r="A239" s="6" t="s">
        <v>429</v>
      </c>
      <c r="B239" s="21"/>
      <c r="C239" s="34"/>
      <c r="D239" s="21"/>
      <c r="E239" s="21"/>
      <c r="F239" s="34"/>
      <c r="G239" s="34"/>
      <c r="H239" s="34"/>
      <c r="I239" s="34"/>
      <c r="J239" s="31" t="str">
        <f aca="false">IF(OR(G239="",H239="",I239=""),"",IF(H239=G239,"",MAX(0,MIN(1,(I239-G239)/(H239-G239)))))</f>
        <v/>
      </c>
      <c r="K239" s="34"/>
      <c r="L239" s="35"/>
      <c r="M239" s="33" t="str">
        <f aca="true">IF(L239="","",L239-TODAY())</f>
        <v/>
      </c>
      <c r="N239" s="34"/>
      <c r="O239" s="21"/>
      <c r="P239" s="35"/>
      <c r="Q239" s="21"/>
    </row>
    <row r="240" customFormat="false" ht="15" hidden="false" customHeight="false" outlineLevel="0" collapsed="false">
      <c r="A240" s="6" t="s">
        <v>430</v>
      </c>
      <c r="B240" s="21"/>
      <c r="C240" s="34"/>
      <c r="D240" s="21"/>
      <c r="E240" s="21"/>
      <c r="F240" s="34"/>
      <c r="G240" s="34"/>
      <c r="H240" s="34"/>
      <c r="I240" s="34"/>
      <c r="J240" s="31" t="str">
        <f aca="false">IF(OR(G240="",H240="",I240=""),"",IF(H240=G240,"",MAX(0,MIN(1,(I240-G240)/(H240-G240)))))</f>
        <v/>
      </c>
      <c r="K240" s="34"/>
      <c r="L240" s="35"/>
      <c r="M240" s="33" t="str">
        <f aca="true">IF(L240="","",L240-TODAY())</f>
        <v/>
      </c>
      <c r="N240" s="34"/>
      <c r="O240" s="21"/>
      <c r="P240" s="35"/>
      <c r="Q240" s="21"/>
    </row>
    <row r="241" customFormat="false" ht="15" hidden="false" customHeight="false" outlineLevel="0" collapsed="false">
      <c r="A241" s="6" t="s">
        <v>431</v>
      </c>
      <c r="B241" s="21"/>
      <c r="C241" s="34"/>
      <c r="D241" s="21"/>
      <c r="E241" s="21"/>
      <c r="F241" s="34"/>
      <c r="G241" s="34"/>
      <c r="H241" s="34"/>
      <c r="I241" s="34"/>
      <c r="J241" s="31" t="str">
        <f aca="false">IF(OR(G241="",H241="",I241=""),"",IF(H241=G241,"",MAX(0,MIN(1,(I241-G241)/(H241-G241)))))</f>
        <v/>
      </c>
      <c r="K241" s="34"/>
      <c r="L241" s="35"/>
      <c r="M241" s="33" t="str">
        <f aca="true">IF(L241="","",L241-TODAY())</f>
        <v/>
      </c>
      <c r="N241" s="34"/>
      <c r="O241" s="21"/>
      <c r="P241" s="35"/>
      <c r="Q241" s="21"/>
    </row>
    <row r="242" customFormat="false" ht="15" hidden="false" customHeight="false" outlineLevel="0" collapsed="false">
      <c r="A242" s="6" t="s">
        <v>432</v>
      </c>
      <c r="B242" s="21"/>
      <c r="C242" s="34"/>
      <c r="D242" s="21"/>
      <c r="E242" s="21"/>
      <c r="F242" s="34"/>
      <c r="G242" s="34"/>
      <c r="H242" s="34"/>
      <c r="I242" s="34"/>
      <c r="J242" s="31" t="str">
        <f aca="false">IF(OR(G242="",H242="",I242=""),"",IF(H242=G242,"",MAX(0,MIN(1,(I242-G242)/(H242-G242)))))</f>
        <v/>
      </c>
      <c r="K242" s="34"/>
      <c r="L242" s="35"/>
      <c r="M242" s="33" t="str">
        <f aca="true">IF(L242="","",L242-TODAY())</f>
        <v/>
      </c>
      <c r="N242" s="34"/>
      <c r="O242" s="21"/>
      <c r="P242" s="35"/>
      <c r="Q242" s="21"/>
    </row>
    <row r="243" customFormat="false" ht="15" hidden="false" customHeight="false" outlineLevel="0" collapsed="false">
      <c r="A243" s="6" t="s">
        <v>433</v>
      </c>
      <c r="B243" s="21"/>
      <c r="C243" s="34"/>
      <c r="D243" s="21"/>
      <c r="E243" s="21"/>
      <c r="F243" s="34"/>
      <c r="G243" s="34"/>
      <c r="H243" s="34"/>
      <c r="I243" s="34"/>
      <c r="J243" s="31" t="str">
        <f aca="false">IF(OR(G243="",H243="",I243=""),"",IF(H243=G243,"",MAX(0,MIN(1,(I243-G243)/(H243-G243)))))</f>
        <v/>
      </c>
      <c r="K243" s="34"/>
      <c r="L243" s="35"/>
      <c r="M243" s="33" t="str">
        <f aca="true">IF(L243="","",L243-TODAY())</f>
        <v/>
      </c>
      <c r="N243" s="34"/>
      <c r="O243" s="21"/>
      <c r="P243" s="35"/>
      <c r="Q243" s="21"/>
    </row>
    <row r="244" customFormat="false" ht="15" hidden="false" customHeight="false" outlineLevel="0" collapsed="false">
      <c r="A244" s="6" t="s">
        <v>434</v>
      </c>
      <c r="B244" s="21"/>
      <c r="C244" s="34"/>
      <c r="D244" s="21"/>
      <c r="E244" s="21"/>
      <c r="F244" s="34"/>
      <c r="G244" s="34"/>
      <c r="H244" s="34"/>
      <c r="I244" s="34"/>
      <c r="J244" s="31" t="str">
        <f aca="false">IF(OR(G244="",H244="",I244=""),"",IF(H244=G244,"",MAX(0,MIN(1,(I244-G244)/(H244-G244)))))</f>
        <v/>
      </c>
      <c r="K244" s="34"/>
      <c r="L244" s="35"/>
      <c r="M244" s="33" t="str">
        <f aca="true">IF(L244="","",L244-TODAY())</f>
        <v/>
      </c>
      <c r="N244" s="34"/>
      <c r="O244" s="21"/>
      <c r="P244" s="35"/>
      <c r="Q244" s="21"/>
    </row>
    <row r="245" customFormat="false" ht="15" hidden="false" customHeight="false" outlineLevel="0" collapsed="false">
      <c r="A245" s="6" t="s">
        <v>435</v>
      </c>
      <c r="B245" s="21"/>
      <c r="C245" s="34"/>
      <c r="D245" s="21"/>
      <c r="E245" s="21"/>
      <c r="F245" s="34"/>
      <c r="G245" s="34"/>
      <c r="H245" s="34"/>
      <c r="I245" s="34"/>
      <c r="J245" s="31" t="str">
        <f aca="false">IF(OR(G245="",H245="",I245=""),"",IF(H245=G245,"",MAX(0,MIN(1,(I245-G245)/(H245-G245)))))</f>
        <v/>
      </c>
      <c r="K245" s="34"/>
      <c r="L245" s="35"/>
      <c r="M245" s="33" t="str">
        <f aca="true">IF(L245="","",L245-TODAY())</f>
        <v/>
      </c>
      <c r="N245" s="34"/>
      <c r="O245" s="21"/>
      <c r="P245" s="35"/>
      <c r="Q245" s="21"/>
    </row>
    <row r="246" customFormat="false" ht="15" hidden="false" customHeight="false" outlineLevel="0" collapsed="false">
      <c r="A246" s="6" t="s">
        <v>436</v>
      </c>
      <c r="B246" s="21"/>
      <c r="C246" s="34"/>
      <c r="D246" s="21"/>
      <c r="E246" s="21"/>
      <c r="F246" s="34"/>
      <c r="G246" s="34"/>
      <c r="H246" s="34"/>
      <c r="I246" s="34"/>
      <c r="J246" s="31" t="str">
        <f aca="false">IF(OR(G246="",H246="",I246=""),"",IF(H246=G246,"",MAX(0,MIN(1,(I246-G246)/(H246-G246)))))</f>
        <v/>
      </c>
      <c r="K246" s="34"/>
      <c r="L246" s="35"/>
      <c r="M246" s="33" t="str">
        <f aca="true">IF(L246="","",L246-TODAY())</f>
        <v/>
      </c>
      <c r="N246" s="34"/>
      <c r="O246" s="21"/>
      <c r="P246" s="35"/>
      <c r="Q246" s="21"/>
    </row>
    <row r="247" customFormat="false" ht="15" hidden="false" customHeight="false" outlineLevel="0" collapsed="false">
      <c r="A247" s="6" t="s">
        <v>437</v>
      </c>
      <c r="B247" s="21"/>
      <c r="C247" s="34"/>
      <c r="D247" s="21"/>
      <c r="E247" s="21"/>
      <c r="F247" s="34"/>
      <c r="G247" s="34"/>
      <c r="H247" s="34"/>
      <c r="I247" s="34"/>
      <c r="J247" s="31" t="str">
        <f aca="false">IF(OR(G247="",H247="",I247=""),"",IF(H247=G247,"",MAX(0,MIN(1,(I247-G247)/(H247-G247)))))</f>
        <v/>
      </c>
      <c r="K247" s="34"/>
      <c r="L247" s="35"/>
      <c r="M247" s="33" t="str">
        <f aca="true">IF(L247="","",L247-TODAY())</f>
        <v/>
      </c>
      <c r="N247" s="34"/>
      <c r="O247" s="21"/>
      <c r="P247" s="35"/>
      <c r="Q247" s="21"/>
    </row>
    <row r="248" customFormat="false" ht="15" hidden="false" customHeight="false" outlineLevel="0" collapsed="false">
      <c r="A248" s="6" t="s">
        <v>438</v>
      </c>
      <c r="B248" s="21"/>
      <c r="C248" s="34"/>
      <c r="D248" s="21"/>
      <c r="E248" s="21"/>
      <c r="F248" s="34"/>
      <c r="G248" s="34"/>
      <c r="H248" s="34"/>
      <c r="I248" s="34"/>
      <c r="J248" s="31" t="str">
        <f aca="false">IF(OR(G248="",H248="",I248=""),"",IF(H248=G248,"",MAX(0,MIN(1,(I248-G248)/(H248-G248)))))</f>
        <v/>
      </c>
      <c r="K248" s="34"/>
      <c r="L248" s="35"/>
      <c r="M248" s="33" t="str">
        <f aca="true">IF(L248="","",L248-TODAY())</f>
        <v/>
      </c>
      <c r="N248" s="34"/>
      <c r="O248" s="21"/>
      <c r="P248" s="35"/>
      <c r="Q248" s="21"/>
    </row>
    <row r="249" customFormat="false" ht="15" hidden="false" customHeight="false" outlineLevel="0" collapsed="false">
      <c r="A249" s="6" t="s">
        <v>439</v>
      </c>
      <c r="B249" s="21"/>
      <c r="C249" s="34"/>
      <c r="D249" s="21"/>
      <c r="E249" s="21"/>
      <c r="F249" s="34"/>
      <c r="G249" s="34"/>
      <c r="H249" s="34"/>
      <c r="I249" s="34"/>
      <c r="J249" s="31" t="str">
        <f aca="false">IF(OR(G249="",H249="",I249=""),"",IF(H249=G249,"",MAX(0,MIN(1,(I249-G249)/(H249-G249)))))</f>
        <v/>
      </c>
      <c r="K249" s="34"/>
      <c r="L249" s="35"/>
      <c r="M249" s="33" t="str">
        <f aca="true">IF(L249="","",L249-TODAY())</f>
        <v/>
      </c>
      <c r="N249" s="34"/>
      <c r="O249" s="21"/>
      <c r="P249" s="35"/>
      <c r="Q249" s="21"/>
    </row>
    <row r="250" customFormat="false" ht="15" hidden="false" customHeight="false" outlineLevel="0" collapsed="false">
      <c r="A250" s="6" t="s">
        <v>440</v>
      </c>
      <c r="B250" s="21"/>
      <c r="C250" s="34"/>
      <c r="D250" s="21"/>
      <c r="E250" s="21"/>
      <c r="F250" s="34"/>
      <c r="G250" s="34"/>
      <c r="H250" s="34"/>
      <c r="I250" s="34"/>
      <c r="J250" s="31" t="str">
        <f aca="false">IF(OR(G250="",H250="",I250=""),"",IF(H250=G250,"",MAX(0,MIN(1,(I250-G250)/(H250-G250)))))</f>
        <v/>
      </c>
      <c r="K250" s="34"/>
      <c r="L250" s="35"/>
      <c r="M250" s="33" t="str">
        <f aca="true">IF(L250="","",L250-TODAY())</f>
        <v/>
      </c>
      <c r="N250" s="34"/>
      <c r="O250" s="21"/>
      <c r="P250" s="35"/>
      <c r="Q250" s="21"/>
    </row>
    <row r="251" customFormat="false" ht="15" hidden="false" customHeight="false" outlineLevel="0" collapsed="false">
      <c r="A251" s="6" t="s">
        <v>441</v>
      </c>
      <c r="B251" s="21"/>
      <c r="C251" s="34"/>
      <c r="D251" s="21"/>
      <c r="E251" s="21"/>
      <c r="F251" s="34"/>
      <c r="G251" s="34"/>
      <c r="H251" s="34"/>
      <c r="I251" s="34"/>
      <c r="J251" s="31" t="str">
        <f aca="false">IF(OR(G251="",H251="",I251=""),"",IF(H251=G251,"",MAX(0,MIN(1,(I251-G251)/(H251-G251)))))</f>
        <v/>
      </c>
      <c r="K251" s="34"/>
      <c r="L251" s="35"/>
      <c r="M251" s="33" t="str">
        <f aca="true">IF(L251="","",L251-TODAY())</f>
        <v/>
      </c>
      <c r="N251" s="34"/>
      <c r="O251" s="21"/>
      <c r="P251" s="35"/>
      <c r="Q251" s="21"/>
    </row>
    <row r="252" customFormat="false" ht="15" hidden="false" customHeight="false" outlineLevel="0" collapsed="false">
      <c r="A252" s="6" t="s">
        <v>442</v>
      </c>
      <c r="B252" s="21"/>
      <c r="C252" s="34"/>
      <c r="D252" s="21"/>
      <c r="E252" s="21"/>
      <c r="F252" s="34"/>
      <c r="G252" s="34"/>
      <c r="H252" s="34"/>
      <c r="I252" s="34"/>
      <c r="J252" s="31" t="str">
        <f aca="false">IF(OR(G252="",H252="",I252=""),"",IF(H252=G252,"",MAX(0,MIN(1,(I252-G252)/(H252-G252)))))</f>
        <v/>
      </c>
      <c r="K252" s="34"/>
      <c r="L252" s="35"/>
      <c r="M252" s="33" t="str">
        <f aca="true">IF(L252="","",L252-TODAY())</f>
        <v/>
      </c>
      <c r="N252" s="34"/>
      <c r="O252" s="21"/>
      <c r="P252" s="35"/>
      <c r="Q252" s="21"/>
    </row>
    <row r="253" customFormat="false" ht="15" hidden="false" customHeight="false" outlineLevel="0" collapsed="false">
      <c r="A253" s="6" t="s">
        <v>443</v>
      </c>
      <c r="B253" s="21"/>
      <c r="C253" s="34"/>
      <c r="D253" s="21"/>
      <c r="E253" s="21"/>
      <c r="F253" s="34"/>
      <c r="G253" s="34"/>
      <c r="H253" s="34"/>
      <c r="I253" s="34"/>
      <c r="J253" s="31" t="str">
        <f aca="false">IF(OR(G253="",H253="",I253=""),"",IF(H253=G253,"",MAX(0,MIN(1,(I253-G253)/(H253-G253)))))</f>
        <v/>
      </c>
      <c r="K253" s="34"/>
      <c r="L253" s="35"/>
      <c r="M253" s="33" t="str">
        <f aca="true">IF(L253="","",L253-TODAY())</f>
        <v/>
      </c>
      <c r="N253" s="34"/>
      <c r="O253" s="21"/>
      <c r="P253" s="35"/>
      <c r="Q253" s="21"/>
    </row>
    <row r="254" customFormat="false" ht="15" hidden="false" customHeight="false" outlineLevel="0" collapsed="false">
      <c r="A254" s="6" t="s">
        <v>444</v>
      </c>
      <c r="B254" s="21"/>
      <c r="C254" s="34"/>
      <c r="D254" s="21"/>
      <c r="E254" s="21"/>
      <c r="F254" s="34"/>
      <c r="G254" s="34"/>
      <c r="H254" s="34"/>
      <c r="I254" s="34"/>
      <c r="J254" s="31" t="str">
        <f aca="false">IF(OR(G254="",H254="",I254=""),"",IF(H254=G254,"",MAX(0,MIN(1,(I254-G254)/(H254-G254)))))</f>
        <v/>
      </c>
      <c r="K254" s="34"/>
      <c r="L254" s="35"/>
      <c r="M254" s="33" t="str">
        <f aca="true">IF(L254="","",L254-TODAY())</f>
        <v/>
      </c>
      <c r="N254" s="34"/>
      <c r="O254" s="21"/>
      <c r="P254" s="35"/>
      <c r="Q254" s="21"/>
    </row>
    <row r="255" customFormat="false" ht="15" hidden="false" customHeight="false" outlineLevel="0" collapsed="false">
      <c r="A255" s="6" t="s">
        <v>445</v>
      </c>
      <c r="B255" s="21"/>
      <c r="C255" s="34"/>
      <c r="D255" s="21"/>
      <c r="E255" s="21"/>
      <c r="F255" s="34"/>
      <c r="G255" s="34"/>
      <c r="H255" s="34"/>
      <c r="I255" s="34"/>
      <c r="J255" s="31" t="str">
        <f aca="false">IF(OR(G255="",H255="",I255=""),"",IF(H255=G255,"",MAX(0,MIN(1,(I255-G255)/(H255-G255)))))</f>
        <v/>
      </c>
      <c r="K255" s="34"/>
      <c r="L255" s="35"/>
      <c r="M255" s="33" t="str">
        <f aca="true">IF(L255="","",L255-TODAY())</f>
        <v/>
      </c>
      <c r="N255" s="34"/>
      <c r="O255" s="21"/>
      <c r="P255" s="35"/>
      <c r="Q255" s="21"/>
    </row>
    <row r="256" customFormat="false" ht="15" hidden="false" customHeight="false" outlineLevel="0" collapsed="false">
      <c r="A256" s="6" t="s">
        <v>446</v>
      </c>
      <c r="B256" s="21"/>
      <c r="C256" s="34"/>
      <c r="D256" s="21"/>
      <c r="E256" s="21"/>
      <c r="F256" s="34"/>
      <c r="G256" s="34"/>
      <c r="H256" s="34"/>
      <c r="I256" s="34"/>
      <c r="J256" s="31" t="str">
        <f aca="false">IF(OR(G256="",H256="",I256=""),"",IF(H256=G256,"",MAX(0,MIN(1,(I256-G256)/(H256-G256)))))</f>
        <v/>
      </c>
      <c r="K256" s="34"/>
      <c r="L256" s="35"/>
      <c r="M256" s="33" t="str">
        <f aca="true">IF(L256="","",L256-TODAY())</f>
        <v/>
      </c>
      <c r="N256" s="34"/>
      <c r="O256" s="21"/>
      <c r="P256" s="35"/>
      <c r="Q256" s="21"/>
    </row>
    <row r="257" customFormat="false" ht="15" hidden="false" customHeight="false" outlineLevel="0" collapsed="false">
      <c r="A257" s="6" t="s">
        <v>447</v>
      </c>
      <c r="B257" s="21"/>
      <c r="C257" s="34"/>
      <c r="D257" s="21"/>
      <c r="E257" s="21"/>
      <c r="F257" s="34"/>
      <c r="G257" s="34"/>
      <c r="H257" s="34"/>
      <c r="I257" s="34"/>
      <c r="J257" s="31" t="str">
        <f aca="false">IF(OR(G257="",H257="",I257=""),"",IF(H257=G257,"",MAX(0,MIN(1,(I257-G257)/(H257-G257)))))</f>
        <v/>
      </c>
      <c r="K257" s="34"/>
      <c r="L257" s="35"/>
      <c r="M257" s="33" t="str">
        <f aca="true">IF(L257="","",L257-TODAY())</f>
        <v/>
      </c>
      <c r="N257" s="34"/>
      <c r="O257" s="21"/>
      <c r="P257" s="35"/>
      <c r="Q257" s="21"/>
    </row>
    <row r="258" customFormat="false" ht="15" hidden="false" customHeight="false" outlineLevel="0" collapsed="false">
      <c r="A258" s="6" t="s">
        <v>448</v>
      </c>
      <c r="B258" s="21"/>
      <c r="C258" s="34"/>
      <c r="D258" s="21"/>
      <c r="E258" s="21"/>
      <c r="F258" s="34"/>
      <c r="G258" s="34"/>
      <c r="H258" s="34"/>
      <c r="I258" s="34"/>
      <c r="J258" s="31" t="str">
        <f aca="false">IF(OR(G258="",H258="",I258=""),"",IF(H258=G258,"",MAX(0,MIN(1,(I258-G258)/(H258-G258)))))</f>
        <v/>
      </c>
      <c r="K258" s="34"/>
      <c r="L258" s="35"/>
      <c r="M258" s="33" t="str">
        <f aca="true">IF(L258="","",L258-TODAY())</f>
        <v/>
      </c>
      <c r="N258" s="34"/>
      <c r="O258" s="21"/>
      <c r="P258" s="35"/>
      <c r="Q258" s="21"/>
    </row>
    <row r="259" customFormat="false" ht="15" hidden="false" customHeight="false" outlineLevel="0" collapsed="false">
      <c r="A259" s="6" t="s">
        <v>449</v>
      </c>
      <c r="B259" s="21"/>
      <c r="C259" s="34"/>
      <c r="D259" s="21"/>
      <c r="E259" s="21"/>
      <c r="F259" s="34"/>
      <c r="G259" s="34"/>
      <c r="H259" s="34"/>
      <c r="I259" s="34"/>
      <c r="J259" s="31" t="str">
        <f aca="false">IF(OR(G259="",H259="",I259=""),"",IF(H259=G259,"",MAX(0,MIN(1,(I259-G259)/(H259-G259)))))</f>
        <v/>
      </c>
      <c r="K259" s="34"/>
      <c r="L259" s="35"/>
      <c r="M259" s="33" t="str">
        <f aca="true">IF(L259="","",L259-TODAY())</f>
        <v/>
      </c>
      <c r="N259" s="34"/>
      <c r="O259" s="21"/>
      <c r="P259" s="35"/>
      <c r="Q259" s="21"/>
    </row>
    <row r="260" customFormat="false" ht="15" hidden="false" customHeight="false" outlineLevel="0" collapsed="false">
      <c r="A260" s="6" t="s">
        <v>450</v>
      </c>
      <c r="B260" s="21"/>
      <c r="C260" s="34"/>
      <c r="D260" s="21"/>
      <c r="E260" s="21"/>
      <c r="F260" s="34"/>
      <c r="G260" s="34"/>
      <c r="H260" s="34"/>
      <c r="I260" s="34"/>
      <c r="J260" s="31" t="str">
        <f aca="false">IF(OR(G260="",H260="",I260=""),"",IF(H260=G260,"",MAX(0,MIN(1,(I260-G260)/(H260-G260)))))</f>
        <v/>
      </c>
      <c r="K260" s="34"/>
      <c r="L260" s="35"/>
      <c r="M260" s="33" t="str">
        <f aca="true">IF(L260="","",L260-TODAY())</f>
        <v/>
      </c>
      <c r="N260" s="34"/>
      <c r="O260" s="21"/>
      <c r="P260" s="35"/>
      <c r="Q260" s="21"/>
    </row>
    <row r="261" customFormat="false" ht="15" hidden="false" customHeight="false" outlineLevel="0" collapsed="false">
      <c r="A261" s="6" t="s">
        <v>451</v>
      </c>
      <c r="B261" s="21"/>
      <c r="C261" s="34"/>
      <c r="D261" s="21"/>
      <c r="E261" s="21"/>
      <c r="F261" s="34"/>
      <c r="G261" s="34"/>
      <c r="H261" s="34"/>
      <c r="I261" s="34"/>
      <c r="J261" s="31" t="str">
        <f aca="false">IF(OR(G261="",H261="",I261=""),"",IF(H261=G261,"",MAX(0,MIN(1,(I261-G261)/(H261-G261)))))</f>
        <v/>
      </c>
      <c r="K261" s="34"/>
      <c r="L261" s="35"/>
      <c r="M261" s="33" t="str">
        <f aca="true">IF(L261="","",L261-TODAY())</f>
        <v/>
      </c>
      <c r="N261" s="34"/>
      <c r="O261" s="21"/>
      <c r="P261" s="35"/>
      <c r="Q261" s="21"/>
    </row>
    <row r="262" customFormat="false" ht="15" hidden="false" customHeight="false" outlineLevel="0" collapsed="false">
      <c r="A262" s="6" t="s">
        <v>452</v>
      </c>
      <c r="B262" s="21"/>
      <c r="C262" s="34"/>
      <c r="D262" s="21"/>
      <c r="E262" s="21"/>
      <c r="F262" s="34"/>
      <c r="G262" s="34"/>
      <c r="H262" s="34"/>
      <c r="I262" s="34"/>
      <c r="J262" s="31" t="str">
        <f aca="false">IF(OR(G262="",H262="",I262=""),"",IF(H262=G262,"",MAX(0,MIN(1,(I262-G262)/(H262-G262)))))</f>
        <v/>
      </c>
      <c r="K262" s="34"/>
      <c r="L262" s="35"/>
      <c r="M262" s="33" t="str">
        <f aca="true">IF(L262="","",L262-TODAY())</f>
        <v/>
      </c>
      <c r="N262" s="34"/>
      <c r="O262" s="21"/>
      <c r="P262" s="35"/>
      <c r="Q262" s="21"/>
    </row>
    <row r="263" customFormat="false" ht="15" hidden="false" customHeight="false" outlineLevel="0" collapsed="false">
      <c r="A263" s="6" t="s">
        <v>453</v>
      </c>
      <c r="B263" s="21"/>
      <c r="C263" s="34"/>
      <c r="D263" s="21"/>
      <c r="E263" s="21"/>
      <c r="F263" s="34"/>
      <c r="G263" s="34"/>
      <c r="H263" s="34"/>
      <c r="I263" s="34"/>
      <c r="J263" s="31" t="str">
        <f aca="false">IF(OR(G263="",H263="",I263=""),"",IF(H263=G263,"",MAX(0,MIN(1,(I263-G263)/(H263-G263)))))</f>
        <v/>
      </c>
      <c r="K263" s="34"/>
      <c r="L263" s="35"/>
      <c r="M263" s="33" t="str">
        <f aca="true">IF(L263="","",L263-TODAY())</f>
        <v/>
      </c>
      <c r="N263" s="34"/>
      <c r="O263" s="21"/>
      <c r="P263" s="35"/>
      <c r="Q263" s="21"/>
    </row>
    <row r="264" customFormat="false" ht="15" hidden="false" customHeight="false" outlineLevel="0" collapsed="false">
      <c r="A264" s="6" t="s">
        <v>454</v>
      </c>
      <c r="B264" s="21"/>
      <c r="C264" s="34"/>
      <c r="D264" s="21"/>
      <c r="E264" s="21"/>
      <c r="F264" s="34"/>
      <c r="G264" s="34"/>
      <c r="H264" s="34"/>
      <c r="I264" s="34"/>
      <c r="J264" s="31" t="str">
        <f aca="false">IF(OR(G264="",H264="",I264=""),"",IF(H264=G264,"",MAX(0,MIN(1,(I264-G264)/(H264-G264)))))</f>
        <v/>
      </c>
      <c r="K264" s="34"/>
      <c r="L264" s="35"/>
      <c r="M264" s="33" t="str">
        <f aca="true">IF(L264="","",L264-TODAY())</f>
        <v/>
      </c>
      <c r="N264" s="34"/>
      <c r="O264" s="21"/>
      <c r="P264" s="35"/>
      <c r="Q264" s="21"/>
    </row>
    <row r="265" customFormat="false" ht="15" hidden="false" customHeight="false" outlineLevel="0" collapsed="false">
      <c r="A265" s="6" t="s">
        <v>455</v>
      </c>
      <c r="B265" s="21"/>
      <c r="C265" s="34"/>
      <c r="D265" s="21"/>
      <c r="E265" s="21"/>
      <c r="F265" s="34"/>
      <c r="G265" s="34"/>
      <c r="H265" s="34"/>
      <c r="I265" s="34"/>
      <c r="J265" s="31" t="str">
        <f aca="false">IF(OR(G265="",H265="",I265=""),"",IF(H265=G265,"",MAX(0,MIN(1,(I265-G265)/(H265-G265)))))</f>
        <v/>
      </c>
      <c r="K265" s="34"/>
      <c r="L265" s="35"/>
      <c r="M265" s="33" t="str">
        <f aca="true">IF(L265="","",L265-TODAY())</f>
        <v/>
      </c>
      <c r="N265" s="34"/>
      <c r="O265" s="21"/>
      <c r="P265" s="35"/>
      <c r="Q265" s="21"/>
    </row>
    <row r="266" customFormat="false" ht="15" hidden="false" customHeight="false" outlineLevel="0" collapsed="false">
      <c r="A266" s="6" t="s">
        <v>456</v>
      </c>
      <c r="B266" s="21"/>
      <c r="C266" s="34"/>
      <c r="D266" s="21"/>
      <c r="E266" s="21"/>
      <c r="F266" s="34"/>
      <c r="G266" s="34"/>
      <c r="H266" s="34"/>
      <c r="I266" s="34"/>
      <c r="J266" s="31" t="str">
        <f aca="false">IF(OR(G266="",H266="",I266=""),"",IF(H266=G266,"",MAX(0,MIN(1,(I266-G266)/(H266-G266)))))</f>
        <v/>
      </c>
      <c r="K266" s="34"/>
      <c r="L266" s="35"/>
      <c r="M266" s="33" t="str">
        <f aca="true">IF(L266="","",L266-TODAY())</f>
        <v/>
      </c>
      <c r="N266" s="34"/>
      <c r="O266" s="21"/>
      <c r="P266" s="35"/>
      <c r="Q266" s="21"/>
    </row>
    <row r="267" customFormat="false" ht="15" hidden="false" customHeight="false" outlineLevel="0" collapsed="false">
      <c r="A267" s="6" t="s">
        <v>457</v>
      </c>
      <c r="B267" s="21"/>
      <c r="C267" s="34"/>
      <c r="D267" s="21"/>
      <c r="E267" s="21"/>
      <c r="F267" s="34"/>
      <c r="G267" s="34"/>
      <c r="H267" s="34"/>
      <c r="I267" s="34"/>
      <c r="J267" s="31" t="str">
        <f aca="false">IF(OR(G267="",H267="",I267=""),"",IF(H267=G267,"",MAX(0,MIN(1,(I267-G267)/(H267-G267)))))</f>
        <v/>
      </c>
      <c r="K267" s="34"/>
      <c r="L267" s="35"/>
      <c r="M267" s="33" t="str">
        <f aca="true">IF(L267="","",L267-TODAY())</f>
        <v/>
      </c>
      <c r="N267" s="34"/>
      <c r="O267" s="21"/>
      <c r="P267" s="35"/>
      <c r="Q267" s="21"/>
    </row>
    <row r="268" customFormat="false" ht="15" hidden="false" customHeight="false" outlineLevel="0" collapsed="false">
      <c r="A268" s="6" t="s">
        <v>458</v>
      </c>
      <c r="B268" s="21"/>
      <c r="C268" s="34"/>
      <c r="D268" s="21"/>
      <c r="E268" s="21"/>
      <c r="F268" s="34"/>
      <c r="G268" s="34"/>
      <c r="H268" s="34"/>
      <c r="I268" s="34"/>
      <c r="J268" s="31" t="str">
        <f aca="false">IF(OR(G268="",H268="",I268=""),"",IF(H268=G268,"",MAX(0,MIN(1,(I268-G268)/(H268-G268)))))</f>
        <v/>
      </c>
      <c r="K268" s="34"/>
      <c r="L268" s="35"/>
      <c r="M268" s="33" t="str">
        <f aca="true">IF(L268="","",L268-TODAY())</f>
        <v/>
      </c>
      <c r="N268" s="34"/>
      <c r="O268" s="21"/>
      <c r="P268" s="35"/>
      <c r="Q268" s="21"/>
    </row>
    <row r="269" customFormat="false" ht="15" hidden="false" customHeight="false" outlineLevel="0" collapsed="false">
      <c r="A269" s="6" t="s">
        <v>459</v>
      </c>
      <c r="B269" s="21"/>
      <c r="C269" s="34"/>
      <c r="D269" s="21"/>
      <c r="E269" s="21"/>
      <c r="F269" s="34"/>
      <c r="G269" s="34"/>
      <c r="H269" s="34"/>
      <c r="I269" s="34"/>
      <c r="J269" s="31" t="str">
        <f aca="false">IF(OR(G269="",H269="",I269=""),"",IF(H269=G269,"",MAX(0,MIN(1,(I269-G269)/(H269-G269)))))</f>
        <v/>
      </c>
      <c r="K269" s="34"/>
      <c r="L269" s="35"/>
      <c r="M269" s="33" t="str">
        <f aca="true">IF(L269="","",L269-TODAY())</f>
        <v/>
      </c>
      <c r="N269" s="34"/>
      <c r="O269" s="21"/>
      <c r="P269" s="35"/>
      <c r="Q269" s="21"/>
    </row>
    <row r="270" customFormat="false" ht="15" hidden="false" customHeight="false" outlineLevel="0" collapsed="false">
      <c r="A270" s="6" t="s">
        <v>460</v>
      </c>
      <c r="B270" s="21"/>
      <c r="C270" s="34"/>
      <c r="D270" s="21"/>
      <c r="E270" s="21"/>
      <c r="F270" s="34"/>
      <c r="G270" s="34"/>
      <c r="H270" s="34"/>
      <c r="I270" s="34"/>
      <c r="J270" s="31" t="str">
        <f aca="false">IF(OR(G270="",H270="",I270=""),"",IF(H270=G270,"",MAX(0,MIN(1,(I270-G270)/(H270-G270)))))</f>
        <v/>
      </c>
      <c r="K270" s="34"/>
      <c r="L270" s="35"/>
      <c r="M270" s="33" t="str">
        <f aca="true">IF(L270="","",L270-TODAY())</f>
        <v/>
      </c>
      <c r="N270" s="34"/>
      <c r="O270" s="21"/>
      <c r="P270" s="35"/>
      <c r="Q270" s="21"/>
    </row>
    <row r="271" customFormat="false" ht="15" hidden="false" customHeight="false" outlineLevel="0" collapsed="false">
      <c r="A271" s="6" t="s">
        <v>461</v>
      </c>
      <c r="B271" s="21"/>
      <c r="C271" s="34"/>
      <c r="D271" s="21"/>
      <c r="E271" s="21"/>
      <c r="F271" s="34"/>
      <c r="G271" s="34"/>
      <c r="H271" s="34"/>
      <c r="I271" s="34"/>
      <c r="J271" s="31" t="str">
        <f aca="false">IF(OR(G271="",H271="",I271=""),"",IF(H271=G271,"",MAX(0,MIN(1,(I271-G271)/(H271-G271)))))</f>
        <v/>
      </c>
      <c r="K271" s="34"/>
      <c r="L271" s="35"/>
      <c r="M271" s="33" t="str">
        <f aca="true">IF(L271="","",L271-TODAY())</f>
        <v/>
      </c>
      <c r="N271" s="34"/>
      <c r="O271" s="21"/>
      <c r="P271" s="35"/>
      <c r="Q271" s="21"/>
    </row>
    <row r="272" customFormat="false" ht="15" hidden="false" customHeight="false" outlineLevel="0" collapsed="false">
      <c r="A272" s="6" t="s">
        <v>462</v>
      </c>
      <c r="B272" s="21"/>
      <c r="C272" s="34"/>
      <c r="D272" s="21"/>
      <c r="E272" s="21"/>
      <c r="F272" s="34"/>
      <c r="G272" s="34"/>
      <c r="H272" s="34"/>
      <c r="I272" s="34"/>
      <c r="J272" s="31" t="str">
        <f aca="false">IF(OR(G272="",H272="",I272=""),"",IF(H272=G272,"",MAX(0,MIN(1,(I272-G272)/(H272-G272)))))</f>
        <v/>
      </c>
      <c r="K272" s="34"/>
      <c r="L272" s="35"/>
      <c r="M272" s="33" t="str">
        <f aca="true">IF(L272="","",L272-TODAY())</f>
        <v/>
      </c>
      <c r="N272" s="34"/>
      <c r="O272" s="21"/>
      <c r="P272" s="35"/>
      <c r="Q272" s="21"/>
    </row>
    <row r="273" customFormat="false" ht="15" hidden="false" customHeight="false" outlineLevel="0" collapsed="false">
      <c r="A273" s="6" t="s">
        <v>463</v>
      </c>
      <c r="B273" s="21"/>
      <c r="C273" s="34"/>
      <c r="D273" s="21"/>
      <c r="E273" s="21"/>
      <c r="F273" s="34"/>
      <c r="G273" s="34"/>
      <c r="H273" s="34"/>
      <c r="I273" s="34"/>
      <c r="J273" s="31" t="str">
        <f aca="false">IF(OR(G273="",H273="",I273=""),"",IF(H273=G273,"",MAX(0,MIN(1,(I273-G273)/(H273-G273)))))</f>
        <v/>
      </c>
      <c r="K273" s="34"/>
      <c r="L273" s="35"/>
      <c r="M273" s="33" t="str">
        <f aca="true">IF(L273="","",L273-TODAY())</f>
        <v/>
      </c>
      <c r="N273" s="34"/>
      <c r="O273" s="21"/>
      <c r="P273" s="35"/>
      <c r="Q273" s="21"/>
    </row>
    <row r="274" customFormat="false" ht="15" hidden="false" customHeight="false" outlineLevel="0" collapsed="false">
      <c r="A274" s="6" t="s">
        <v>464</v>
      </c>
      <c r="B274" s="21"/>
      <c r="C274" s="34"/>
      <c r="D274" s="21"/>
      <c r="E274" s="21"/>
      <c r="F274" s="34"/>
      <c r="G274" s="34"/>
      <c r="H274" s="34"/>
      <c r="I274" s="34"/>
      <c r="J274" s="31" t="str">
        <f aca="false">IF(OR(G274="",H274="",I274=""),"",IF(H274=G274,"",MAX(0,MIN(1,(I274-G274)/(H274-G274)))))</f>
        <v/>
      </c>
      <c r="K274" s="34"/>
      <c r="L274" s="35"/>
      <c r="M274" s="33" t="str">
        <f aca="true">IF(L274="","",L274-TODAY())</f>
        <v/>
      </c>
      <c r="N274" s="34"/>
      <c r="O274" s="21"/>
      <c r="P274" s="35"/>
      <c r="Q274" s="21"/>
    </row>
    <row r="275" customFormat="false" ht="15" hidden="false" customHeight="false" outlineLevel="0" collapsed="false">
      <c r="A275" s="6" t="s">
        <v>465</v>
      </c>
      <c r="B275" s="21"/>
      <c r="C275" s="34"/>
      <c r="D275" s="21"/>
      <c r="E275" s="21"/>
      <c r="F275" s="34"/>
      <c r="G275" s="34"/>
      <c r="H275" s="34"/>
      <c r="I275" s="34"/>
      <c r="J275" s="31" t="str">
        <f aca="false">IF(OR(G275="",H275="",I275=""),"",IF(H275=G275,"",MAX(0,MIN(1,(I275-G275)/(H275-G275)))))</f>
        <v/>
      </c>
      <c r="K275" s="34"/>
      <c r="L275" s="35"/>
      <c r="M275" s="33" t="str">
        <f aca="true">IF(L275="","",L275-TODAY())</f>
        <v/>
      </c>
      <c r="N275" s="34"/>
      <c r="O275" s="21"/>
      <c r="P275" s="35"/>
      <c r="Q275" s="21"/>
    </row>
    <row r="276" customFormat="false" ht="15" hidden="false" customHeight="false" outlineLevel="0" collapsed="false">
      <c r="A276" s="6" t="s">
        <v>466</v>
      </c>
      <c r="B276" s="21"/>
      <c r="C276" s="34"/>
      <c r="D276" s="21"/>
      <c r="E276" s="21"/>
      <c r="F276" s="34"/>
      <c r="G276" s="34"/>
      <c r="H276" s="34"/>
      <c r="I276" s="34"/>
      <c r="J276" s="31" t="str">
        <f aca="false">IF(OR(G276="",H276="",I276=""),"",IF(H276=G276,"",MAX(0,MIN(1,(I276-G276)/(H276-G276)))))</f>
        <v/>
      </c>
      <c r="K276" s="34"/>
      <c r="L276" s="35"/>
      <c r="M276" s="33" t="str">
        <f aca="true">IF(L276="","",L276-TODAY())</f>
        <v/>
      </c>
      <c r="N276" s="34"/>
      <c r="O276" s="21"/>
      <c r="P276" s="35"/>
      <c r="Q276" s="21"/>
    </row>
    <row r="277" customFormat="false" ht="15" hidden="false" customHeight="false" outlineLevel="0" collapsed="false">
      <c r="A277" s="6" t="s">
        <v>467</v>
      </c>
      <c r="B277" s="21"/>
      <c r="C277" s="34"/>
      <c r="D277" s="21"/>
      <c r="E277" s="21"/>
      <c r="F277" s="34"/>
      <c r="G277" s="34"/>
      <c r="H277" s="34"/>
      <c r="I277" s="34"/>
      <c r="J277" s="31" t="str">
        <f aca="false">IF(OR(G277="",H277="",I277=""),"",IF(H277=G277,"",MAX(0,MIN(1,(I277-G277)/(H277-G277)))))</f>
        <v/>
      </c>
      <c r="K277" s="34"/>
      <c r="L277" s="35"/>
      <c r="M277" s="33" t="str">
        <f aca="true">IF(L277="","",L277-TODAY())</f>
        <v/>
      </c>
      <c r="N277" s="34"/>
      <c r="O277" s="21"/>
      <c r="P277" s="35"/>
      <c r="Q277" s="21"/>
    </row>
    <row r="278" customFormat="false" ht="15" hidden="false" customHeight="false" outlineLevel="0" collapsed="false">
      <c r="A278" s="6" t="s">
        <v>468</v>
      </c>
      <c r="B278" s="21"/>
      <c r="C278" s="34"/>
      <c r="D278" s="21"/>
      <c r="E278" s="21"/>
      <c r="F278" s="34"/>
      <c r="G278" s="34"/>
      <c r="H278" s="34"/>
      <c r="I278" s="34"/>
      <c r="J278" s="31" t="str">
        <f aca="false">IF(OR(G278="",H278="",I278=""),"",IF(H278=G278,"",MAX(0,MIN(1,(I278-G278)/(H278-G278)))))</f>
        <v/>
      </c>
      <c r="K278" s="34"/>
      <c r="L278" s="35"/>
      <c r="M278" s="33" t="str">
        <f aca="true">IF(L278="","",L278-TODAY())</f>
        <v/>
      </c>
      <c r="N278" s="34"/>
      <c r="O278" s="21"/>
      <c r="P278" s="35"/>
      <c r="Q278" s="21"/>
    </row>
    <row r="279" customFormat="false" ht="15" hidden="false" customHeight="false" outlineLevel="0" collapsed="false">
      <c r="A279" s="6" t="s">
        <v>469</v>
      </c>
      <c r="B279" s="21"/>
      <c r="C279" s="34"/>
      <c r="D279" s="21"/>
      <c r="E279" s="21"/>
      <c r="F279" s="34"/>
      <c r="G279" s="34"/>
      <c r="H279" s="34"/>
      <c r="I279" s="34"/>
      <c r="J279" s="31" t="str">
        <f aca="false">IF(OR(G279="",H279="",I279=""),"",IF(H279=G279,"",MAX(0,MIN(1,(I279-G279)/(H279-G279)))))</f>
        <v/>
      </c>
      <c r="K279" s="34"/>
      <c r="L279" s="35"/>
      <c r="M279" s="33" t="str">
        <f aca="true">IF(L279="","",L279-TODAY())</f>
        <v/>
      </c>
      <c r="N279" s="34"/>
      <c r="O279" s="21"/>
      <c r="P279" s="35"/>
      <c r="Q279" s="21"/>
    </row>
    <row r="280" customFormat="false" ht="15" hidden="false" customHeight="false" outlineLevel="0" collapsed="false">
      <c r="A280" s="6" t="s">
        <v>470</v>
      </c>
      <c r="B280" s="21"/>
      <c r="C280" s="34"/>
      <c r="D280" s="21"/>
      <c r="E280" s="21"/>
      <c r="F280" s="34"/>
      <c r="G280" s="34"/>
      <c r="H280" s="34"/>
      <c r="I280" s="34"/>
      <c r="J280" s="31" t="str">
        <f aca="false">IF(OR(G280="",H280="",I280=""),"",IF(H280=G280,"",MAX(0,MIN(1,(I280-G280)/(H280-G280)))))</f>
        <v/>
      </c>
      <c r="K280" s="34"/>
      <c r="L280" s="35"/>
      <c r="M280" s="33" t="str">
        <f aca="true">IF(L280="","",L280-TODAY())</f>
        <v/>
      </c>
      <c r="N280" s="34"/>
      <c r="O280" s="21"/>
      <c r="P280" s="35"/>
      <c r="Q280" s="21"/>
    </row>
    <row r="281" customFormat="false" ht="15" hidden="false" customHeight="false" outlineLevel="0" collapsed="false">
      <c r="A281" s="6" t="s">
        <v>471</v>
      </c>
      <c r="B281" s="21"/>
      <c r="C281" s="34"/>
      <c r="D281" s="21"/>
      <c r="E281" s="21"/>
      <c r="F281" s="34"/>
      <c r="G281" s="34"/>
      <c r="H281" s="34"/>
      <c r="I281" s="34"/>
      <c r="J281" s="31" t="str">
        <f aca="false">IF(OR(G281="",H281="",I281=""),"",IF(H281=G281,"",MAX(0,MIN(1,(I281-G281)/(H281-G281)))))</f>
        <v/>
      </c>
      <c r="K281" s="34"/>
      <c r="L281" s="35"/>
      <c r="M281" s="33" t="str">
        <f aca="true">IF(L281="","",L281-TODAY())</f>
        <v/>
      </c>
      <c r="N281" s="34"/>
      <c r="O281" s="21"/>
      <c r="P281" s="35"/>
      <c r="Q281" s="21"/>
    </row>
    <row r="282" customFormat="false" ht="15" hidden="false" customHeight="false" outlineLevel="0" collapsed="false">
      <c r="A282" s="6" t="s">
        <v>472</v>
      </c>
      <c r="B282" s="21"/>
      <c r="C282" s="34"/>
      <c r="D282" s="21"/>
      <c r="E282" s="21"/>
      <c r="F282" s="34"/>
      <c r="G282" s="34"/>
      <c r="H282" s="34"/>
      <c r="I282" s="34"/>
      <c r="J282" s="31" t="str">
        <f aca="false">IF(OR(G282="",H282="",I282=""),"",IF(H282=G282,"",MAX(0,MIN(1,(I282-G282)/(H282-G282)))))</f>
        <v/>
      </c>
      <c r="K282" s="34"/>
      <c r="L282" s="35"/>
      <c r="M282" s="33" t="str">
        <f aca="true">IF(L282="","",L282-TODAY())</f>
        <v/>
      </c>
      <c r="N282" s="34"/>
      <c r="O282" s="21"/>
      <c r="P282" s="35"/>
      <c r="Q282" s="21"/>
    </row>
    <row r="283" customFormat="false" ht="15" hidden="false" customHeight="false" outlineLevel="0" collapsed="false">
      <c r="A283" s="6" t="s">
        <v>473</v>
      </c>
      <c r="B283" s="21"/>
      <c r="C283" s="34"/>
      <c r="D283" s="21"/>
      <c r="E283" s="21"/>
      <c r="F283" s="34"/>
      <c r="G283" s="34"/>
      <c r="H283" s="34"/>
      <c r="I283" s="34"/>
      <c r="J283" s="31" t="str">
        <f aca="false">IF(OR(G283="",H283="",I283=""),"",IF(H283=G283,"",MAX(0,MIN(1,(I283-G283)/(H283-G283)))))</f>
        <v/>
      </c>
      <c r="K283" s="34"/>
      <c r="L283" s="35"/>
      <c r="M283" s="33" t="str">
        <f aca="true">IF(L283="","",L283-TODAY())</f>
        <v/>
      </c>
      <c r="N283" s="34"/>
      <c r="O283" s="21"/>
      <c r="P283" s="35"/>
      <c r="Q283" s="21"/>
    </row>
    <row r="284" customFormat="false" ht="15" hidden="false" customHeight="false" outlineLevel="0" collapsed="false">
      <c r="A284" s="6" t="s">
        <v>474</v>
      </c>
      <c r="B284" s="21"/>
      <c r="C284" s="34"/>
      <c r="D284" s="21"/>
      <c r="E284" s="21"/>
      <c r="F284" s="34"/>
      <c r="G284" s="34"/>
      <c r="H284" s="34"/>
      <c r="I284" s="34"/>
      <c r="J284" s="31" t="str">
        <f aca="false">IF(OR(G284="",H284="",I284=""),"",IF(H284=G284,"",MAX(0,MIN(1,(I284-G284)/(H284-G284)))))</f>
        <v/>
      </c>
      <c r="K284" s="34"/>
      <c r="L284" s="35"/>
      <c r="M284" s="33" t="str">
        <f aca="true">IF(L284="","",L284-TODAY())</f>
        <v/>
      </c>
      <c r="N284" s="34"/>
      <c r="O284" s="21"/>
      <c r="P284" s="35"/>
      <c r="Q284" s="21"/>
    </row>
    <row r="285" customFormat="false" ht="15" hidden="false" customHeight="false" outlineLevel="0" collapsed="false">
      <c r="A285" s="6" t="s">
        <v>475</v>
      </c>
      <c r="B285" s="21"/>
      <c r="C285" s="34"/>
      <c r="D285" s="21"/>
      <c r="E285" s="21"/>
      <c r="F285" s="34"/>
      <c r="G285" s="34"/>
      <c r="H285" s="34"/>
      <c r="I285" s="34"/>
      <c r="J285" s="31" t="str">
        <f aca="false">IF(OR(G285="",H285="",I285=""),"",IF(H285=G285,"",MAX(0,MIN(1,(I285-G285)/(H285-G285)))))</f>
        <v/>
      </c>
      <c r="K285" s="34"/>
      <c r="L285" s="35"/>
      <c r="M285" s="33" t="str">
        <f aca="true">IF(L285="","",L285-TODAY())</f>
        <v/>
      </c>
      <c r="N285" s="34"/>
      <c r="O285" s="21"/>
      <c r="P285" s="35"/>
      <c r="Q285" s="21"/>
    </row>
    <row r="286" customFormat="false" ht="15" hidden="false" customHeight="false" outlineLevel="0" collapsed="false">
      <c r="A286" s="6" t="s">
        <v>476</v>
      </c>
      <c r="B286" s="21"/>
      <c r="C286" s="34"/>
      <c r="D286" s="21"/>
      <c r="E286" s="21"/>
      <c r="F286" s="34"/>
      <c r="G286" s="34"/>
      <c r="H286" s="34"/>
      <c r="I286" s="34"/>
      <c r="J286" s="31" t="str">
        <f aca="false">IF(OR(G286="",H286="",I286=""),"",IF(H286=G286,"",MAX(0,MIN(1,(I286-G286)/(H286-G286)))))</f>
        <v/>
      </c>
      <c r="K286" s="34"/>
      <c r="L286" s="35"/>
      <c r="M286" s="33" t="str">
        <f aca="true">IF(L286="","",L286-TODAY())</f>
        <v/>
      </c>
      <c r="N286" s="34"/>
      <c r="O286" s="21"/>
      <c r="P286" s="35"/>
      <c r="Q286" s="21"/>
    </row>
    <row r="287" customFormat="false" ht="15" hidden="false" customHeight="false" outlineLevel="0" collapsed="false">
      <c r="A287" s="6" t="s">
        <v>477</v>
      </c>
      <c r="B287" s="21"/>
      <c r="C287" s="34"/>
      <c r="D287" s="21"/>
      <c r="E287" s="21"/>
      <c r="F287" s="34"/>
      <c r="G287" s="34"/>
      <c r="H287" s="34"/>
      <c r="I287" s="34"/>
      <c r="J287" s="31" t="str">
        <f aca="false">IF(OR(G287="",H287="",I287=""),"",IF(H287=G287,"",MAX(0,MIN(1,(I287-G287)/(H287-G287)))))</f>
        <v/>
      </c>
      <c r="K287" s="34"/>
      <c r="L287" s="35"/>
      <c r="M287" s="33" t="str">
        <f aca="true">IF(L287="","",L287-TODAY())</f>
        <v/>
      </c>
      <c r="N287" s="34"/>
      <c r="O287" s="21"/>
      <c r="P287" s="35"/>
      <c r="Q287" s="21"/>
    </row>
    <row r="288" customFormat="false" ht="15" hidden="false" customHeight="false" outlineLevel="0" collapsed="false">
      <c r="A288" s="6" t="s">
        <v>478</v>
      </c>
      <c r="B288" s="21"/>
      <c r="C288" s="34"/>
      <c r="D288" s="21"/>
      <c r="E288" s="21"/>
      <c r="F288" s="34"/>
      <c r="G288" s="34"/>
      <c r="H288" s="34"/>
      <c r="I288" s="34"/>
      <c r="J288" s="31" t="str">
        <f aca="false">IF(OR(G288="",H288="",I288=""),"",IF(H288=G288,"",MAX(0,MIN(1,(I288-G288)/(H288-G288)))))</f>
        <v/>
      </c>
      <c r="K288" s="34"/>
      <c r="L288" s="35"/>
      <c r="M288" s="33" t="str">
        <f aca="true">IF(L288="","",L288-TODAY())</f>
        <v/>
      </c>
      <c r="N288" s="34"/>
      <c r="O288" s="21"/>
      <c r="P288" s="35"/>
      <c r="Q288" s="21"/>
    </row>
    <row r="289" customFormat="false" ht="15" hidden="false" customHeight="false" outlineLevel="0" collapsed="false">
      <c r="A289" s="6" t="s">
        <v>479</v>
      </c>
      <c r="B289" s="21"/>
      <c r="C289" s="34"/>
      <c r="D289" s="21"/>
      <c r="E289" s="21"/>
      <c r="F289" s="34"/>
      <c r="G289" s="34"/>
      <c r="H289" s="34"/>
      <c r="I289" s="34"/>
      <c r="J289" s="31" t="str">
        <f aca="false">IF(OR(G289="",H289="",I289=""),"",IF(H289=G289,"",MAX(0,MIN(1,(I289-G289)/(H289-G289)))))</f>
        <v/>
      </c>
      <c r="K289" s="34"/>
      <c r="L289" s="35"/>
      <c r="M289" s="33" t="str">
        <f aca="true">IF(L289="","",L289-TODAY())</f>
        <v/>
      </c>
      <c r="N289" s="34"/>
      <c r="O289" s="21"/>
      <c r="P289" s="35"/>
      <c r="Q289" s="21"/>
    </row>
    <row r="290" customFormat="false" ht="15" hidden="false" customHeight="false" outlineLevel="0" collapsed="false">
      <c r="A290" s="6" t="s">
        <v>480</v>
      </c>
      <c r="B290" s="21"/>
      <c r="C290" s="34"/>
      <c r="D290" s="21"/>
      <c r="E290" s="21"/>
      <c r="F290" s="34"/>
      <c r="G290" s="34"/>
      <c r="H290" s="34"/>
      <c r="I290" s="34"/>
      <c r="J290" s="31" t="str">
        <f aca="false">IF(OR(G290="",H290="",I290=""),"",IF(H290=G290,"",MAX(0,MIN(1,(I290-G290)/(H290-G290)))))</f>
        <v/>
      </c>
      <c r="K290" s="34"/>
      <c r="L290" s="35"/>
      <c r="M290" s="33" t="str">
        <f aca="true">IF(L290="","",L290-TODAY())</f>
        <v/>
      </c>
      <c r="N290" s="34"/>
      <c r="O290" s="21"/>
      <c r="P290" s="35"/>
      <c r="Q290" s="21"/>
    </row>
    <row r="291" customFormat="false" ht="15" hidden="false" customHeight="false" outlineLevel="0" collapsed="false">
      <c r="A291" s="6" t="s">
        <v>481</v>
      </c>
      <c r="B291" s="21"/>
      <c r="C291" s="34"/>
      <c r="D291" s="21"/>
      <c r="E291" s="21"/>
      <c r="F291" s="34"/>
      <c r="G291" s="34"/>
      <c r="H291" s="34"/>
      <c r="I291" s="34"/>
      <c r="J291" s="31" t="str">
        <f aca="false">IF(OR(G291="",H291="",I291=""),"",IF(H291=G291,"",MAX(0,MIN(1,(I291-G291)/(H291-G291)))))</f>
        <v/>
      </c>
      <c r="K291" s="34"/>
      <c r="L291" s="35"/>
      <c r="M291" s="33" t="str">
        <f aca="true">IF(L291="","",L291-TODAY())</f>
        <v/>
      </c>
      <c r="N291" s="34"/>
      <c r="O291" s="21"/>
      <c r="P291" s="35"/>
      <c r="Q291" s="21"/>
    </row>
    <row r="292" customFormat="false" ht="15" hidden="false" customHeight="false" outlineLevel="0" collapsed="false">
      <c r="A292" s="6" t="s">
        <v>482</v>
      </c>
      <c r="B292" s="21"/>
      <c r="C292" s="34"/>
      <c r="D292" s="21"/>
      <c r="E292" s="21"/>
      <c r="F292" s="34"/>
      <c r="G292" s="34"/>
      <c r="H292" s="34"/>
      <c r="I292" s="34"/>
      <c r="J292" s="31" t="str">
        <f aca="false">IF(OR(G292="",H292="",I292=""),"",IF(H292=G292,"",MAX(0,MIN(1,(I292-G292)/(H292-G292)))))</f>
        <v/>
      </c>
      <c r="K292" s="34"/>
      <c r="L292" s="35"/>
      <c r="M292" s="33" t="str">
        <f aca="true">IF(L292="","",L292-TODAY())</f>
        <v/>
      </c>
      <c r="N292" s="34"/>
      <c r="O292" s="21"/>
      <c r="P292" s="35"/>
      <c r="Q292" s="21"/>
    </row>
    <row r="293" customFormat="false" ht="15" hidden="false" customHeight="false" outlineLevel="0" collapsed="false">
      <c r="A293" s="6" t="s">
        <v>483</v>
      </c>
      <c r="B293" s="21"/>
      <c r="C293" s="34"/>
      <c r="D293" s="21"/>
      <c r="E293" s="21"/>
      <c r="F293" s="34"/>
      <c r="G293" s="34"/>
      <c r="H293" s="34"/>
      <c r="I293" s="34"/>
      <c r="J293" s="31" t="str">
        <f aca="false">IF(OR(G293="",H293="",I293=""),"",IF(H293=G293,"",MAX(0,MIN(1,(I293-G293)/(H293-G293)))))</f>
        <v/>
      </c>
      <c r="K293" s="34"/>
      <c r="L293" s="35"/>
      <c r="M293" s="33" t="str">
        <f aca="true">IF(L293="","",L293-TODAY())</f>
        <v/>
      </c>
      <c r="N293" s="34"/>
      <c r="O293" s="21"/>
      <c r="P293" s="35"/>
      <c r="Q293" s="21"/>
    </row>
    <row r="294" customFormat="false" ht="15" hidden="false" customHeight="false" outlineLevel="0" collapsed="false">
      <c r="A294" s="6" t="s">
        <v>484</v>
      </c>
      <c r="B294" s="21"/>
      <c r="C294" s="34"/>
      <c r="D294" s="21"/>
      <c r="E294" s="21"/>
      <c r="F294" s="34"/>
      <c r="G294" s="34"/>
      <c r="H294" s="34"/>
      <c r="I294" s="34"/>
      <c r="J294" s="31" t="str">
        <f aca="false">IF(OR(G294="",H294="",I294=""),"",IF(H294=G294,"",MAX(0,MIN(1,(I294-G294)/(H294-G294)))))</f>
        <v/>
      </c>
      <c r="K294" s="34"/>
      <c r="L294" s="35"/>
      <c r="M294" s="33" t="str">
        <f aca="true">IF(L294="","",L294-TODAY())</f>
        <v/>
      </c>
      <c r="N294" s="34"/>
      <c r="O294" s="21"/>
      <c r="P294" s="35"/>
      <c r="Q294" s="21"/>
    </row>
    <row r="295" customFormat="false" ht="15" hidden="false" customHeight="false" outlineLevel="0" collapsed="false">
      <c r="A295" s="6" t="s">
        <v>485</v>
      </c>
      <c r="B295" s="21"/>
      <c r="C295" s="34"/>
      <c r="D295" s="21"/>
      <c r="E295" s="21"/>
      <c r="F295" s="34"/>
      <c r="G295" s="34"/>
      <c r="H295" s="34"/>
      <c r="I295" s="34"/>
      <c r="J295" s="31" t="str">
        <f aca="false">IF(OR(G295="",H295="",I295=""),"",IF(H295=G295,"",MAX(0,MIN(1,(I295-G295)/(H295-G295)))))</f>
        <v/>
      </c>
      <c r="K295" s="34"/>
      <c r="L295" s="35"/>
      <c r="M295" s="33" t="str">
        <f aca="true">IF(L295="","",L295-TODAY())</f>
        <v/>
      </c>
      <c r="N295" s="34"/>
      <c r="O295" s="21"/>
      <c r="P295" s="35"/>
      <c r="Q295" s="21"/>
    </row>
    <row r="296" customFormat="false" ht="15" hidden="false" customHeight="false" outlineLevel="0" collapsed="false">
      <c r="A296" s="6" t="s">
        <v>486</v>
      </c>
      <c r="B296" s="21"/>
      <c r="C296" s="34"/>
      <c r="D296" s="21"/>
      <c r="E296" s="21"/>
      <c r="F296" s="34"/>
      <c r="G296" s="34"/>
      <c r="H296" s="34"/>
      <c r="I296" s="34"/>
      <c r="J296" s="31" t="str">
        <f aca="false">IF(OR(G296="",H296="",I296=""),"",IF(H296=G296,"",MAX(0,MIN(1,(I296-G296)/(H296-G296)))))</f>
        <v/>
      </c>
      <c r="K296" s="34"/>
      <c r="L296" s="35"/>
      <c r="M296" s="33" t="str">
        <f aca="true">IF(L296="","",L296-TODAY())</f>
        <v/>
      </c>
      <c r="N296" s="34"/>
      <c r="O296" s="21"/>
      <c r="P296" s="35"/>
      <c r="Q296" s="21"/>
    </row>
    <row r="297" customFormat="false" ht="15" hidden="false" customHeight="false" outlineLevel="0" collapsed="false">
      <c r="A297" s="6" t="s">
        <v>487</v>
      </c>
      <c r="B297" s="21"/>
      <c r="C297" s="34"/>
      <c r="D297" s="21"/>
      <c r="E297" s="21"/>
      <c r="F297" s="34"/>
      <c r="G297" s="34"/>
      <c r="H297" s="34"/>
      <c r="I297" s="34"/>
      <c r="J297" s="31" t="str">
        <f aca="false">IF(OR(G297="",H297="",I297=""),"",IF(H297=G297,"",MAX(0,MIN(1,(I297-G297)/(H297-G297)))))</f>
        <v/>
      </c>
      <c r="K297" s="34"/>
      <c r="L297" s="35"/>
      <c r="M297" s="33" t="str">
        <f aca="true">IF(L297="","",L297-TODAY())</f>
        <v/>
      </c>
      <c r="N297" s="34"/>
      <c r="O297" s="21"/>
      <c r="P297" s="35"/>
      <c r="Q297" s="21"/>
    </row>
    <row r="298" customFormat="false" ht="15" hidden="false" customHeight="false" outlineLevel="0" collapsed="false">
      <c r="A298" s="6" t="s">
        <v>488</v>
      </c>
      <c r="B298" s="21"/>
      <c r="C298" s="34"/>
      <c r="D298" s="21"/>
      <c r="E298" s="21"/>
      <c r="F298" s="34"/>
      <c r="G298" s="34"/>
      <c r="H298" s="34"/>
      <c r="I298" s="34"/>
      <c r="J298" s="31" t="str">
        <f aca="false">IF(OR(G298="",H298="",I298=""),"",IF(H298=G298,"",MAX(0,MIN(1,(I298-G298)/(H298-G298)))))</f>
        <v/>
      </c>
      <c r="K298" s="34"/>
      <c r="L298" s="35"/>
      <c r="M298" s="33" t="str">
        <f aca="true">IF(L298="","",L298-TODAY())</f>
        <v/>
      </c>
      <c r="N298" s="34"/>
      <c r="O298" s="21"/>
      <c r="P298" s="35"/>
      <c r="Q298" s="21"/>
    </row>
    <row r="299" customFormat="false" ht="15" hidden="false" customHeight="false" outlineLevel="0" collapsed="false">
      <c r="A299" s="6" t="s">
        <v>489</v>
      </c>
      <c r="B299" s="21"/>
      <c r="C299" s="34"/>
      <c r="D299" s="21"/>
      <c r="E299" s="21"/>
      <c r="F299" s="34"/>
      <c r="G299" s="34"/>
      <c r="H299" s="34"/>
      <c r="I299" s="34"/>
      <c r="J299" s="31" t="str">
        <f aca="false">IF(OR(G299="",H299="",I299=""),"",IF(H299=G299,"",MAX(0,MIN(1,(I299-G299)/(H299-G299)))))</f>
        <v/>
      </c>
      <c r="K299" s="34"/>
      <c r="L299" s="35"/>
      <c r="M299" s="33" t="str">
        <f aca="true">IF(L299="","",L299-TODAY())</f>
        <v/>
      </c>
      <c r="N299" s="34"/>
      <c r="O299" s="21"/>
      <c r="P299" s="35"/>
      <c r="Q299" s="21"/>
    </row>
    <row r="300" customFormat="false" ht="15" hidden="false" customHeight="false" outlineLevel="0" collapsed="false">
      <c r="A300" s="6" t="s">
        <v>490</v>
      </c>
      <c r="B300" s="21"/>
      <c r="C300" s="34"/>
      <c r="D300" s="21"/>
      <c r="E300" s="21"/>
      <c r="F300" s="34"/>
      <c r="G300" s="34"/>
      <c r="H300" s="34"/>
      <c r="I300" s="34"/>
      <c r="J300" s="31" t="str">
        <f aca="false">IF(OR(G300="",H300="",I300=""),"",IF(H300=G300,"",MAX(0,MIN(1,(I300-G300)/(H300-G300)))))</f>
        <v/>
      </c>
      <c r="K300" s="34"/>
      <c r="L300" s="35"/>
      <c r="M300" s="33" t="str">
        <f aca="true">IF(L300="","",L300-TODAY())</f>
        <v/>
      </c>
      <c r="N300" s="34"/>
      <c r="O300" s="21"/>
      <c r="P300" s="35"/>
      <c r="Q300" s="21"/>
    </row>
    <row r="301" customFormat="false" ht="15" hidden="false" customHeight="false" outlineLevel="0" collapsed="false">
      <c r="A301" s="6" t="s">
        <v>491</v>
      </c>
      <c r="B301" s="21"/>
      <c r="C301" s="34"/>
      <c r="D301" s="21"/>
      <c r="E301" s="21"/>
      <c r="F301" s="34"/>
      <c r="G301" s="34"/>
      <c r="H301" s="34"/>
      <c r="I301" s="34"/>
      <c r="J301" s="31" t="str">
        <f aca="false">IF(OR(G301="",H301="",I301=""),"",IF(H301=G301,"",MAX(0,MIN(1,(I301-G301)/(H301-G301)))))</f>
        <v/>
      </c>
      <c r="K301" s="34"/>
      <c r="L301" s="35"/>
      <c r="M301" s="33" t="str">
        <f aca="true">IF(L301="","",L301-TODAY())</f>
        <v/>
      </c>
      <c r="N301" s="34"/>
      <c r="O301" s="21"/>
      <c r="P301" s="35"/>
      <c r="Q301" s="21"/>
    </row>
    <row r="302" customFormat="false" ht="15" hidden="false" customHeight="false" outlineLevel="0" collapsed="false">
      <c r="A302" s="6" t="s">
        <v>492</v>
      </c>
      <c r="B302" s="21"/>
      <c r="C302" s="34"/>
      <c r="D302" s="21"/>
      <c r="E302" s="21"/>
      <c r="F302" s="34"/>
      <c r="G302" s="34"/>
      <c r="H302" s="34"/>
      <c r="I302" s="34"/>
      <c r="J302" s="31" t="str">
        <f aca="false">IF(OR(G302="",H302="",I302=""),"",IF(H302=G302,"",MAX(0,MIN(1,(I302-G302)/(H302-G302)))))</f>
        <v/>
      </c>
      <c r="K302" s="34"/>
      <c r="L302" s="35"/>
      <c r="M302" s="33" t="str">
        <f aca="true">IF(L302="","",L302-TODAY())</f>
        <v/>
      </c>
      <c r="N302" s="34"/>
      <c r="O302" s="21"/>
      <c r="P302" s="35"/>
      <c r="Q302" s="21"/>
    </row>
    <row r="303" customFormat="false" ht="15" hidden="false" customHeight="false" outlineLevel="0" collapsed="false">
      <c r="A303" s="6" t="s">
        <v>493</v>
      </c>
      <c r="B303" s="21"/>
      <c r="C303" s="34"/>
      <c r="D303" s="21"/>
      <c r="E303" s="21"/>
      <c r="F303" s="34"/>
      <c r="G303" s="34"/>
      <c r="H303" s="34"/>
      <c r="I303" s="34"/>
      <c r="J303" s="31" t="str">
        <f aca="false">IF(OR(G303="",H303="",I303=""),"",IF(H303=G303,"",MAX(0,MIN(1,(I303-G303)/(H303-G303)))))</f>
        <v/>
      </c>
      <c r="K303" s="34"/>
      <c r="L303" s="35"/>
      <c r="M303" s="33" t="str">
        <f aca="true">IF(L303="","",L303-TODAY())</f>
        <v/>
      </c>
      <c r="N303" s="34"/>
      <c r="O303" s="21"/>
      <c r="P303" s="35"/>
      <c r="Q303" s="21"/>
    </row>
    <row r="304" customFormat="false" ht="15" hidden="false" customHeight="false" outlineLevel="0" collapsed="false">
      <c r="A304" s="6" t="s">
        <v>494</v>
      </c>
      <c r="B304" s="21"/>
      <c r="C304" s="34"/>
      <c r="D304" s="21"/>
      <c r="E304" s="21"/>
      <c r="F304" s="34"/>
      <c r="G304" s="34"/>
      <c r="H304" s="34"/>
      <c r="I304" s="34"/>
      <c r="J304" s="31" t="str">
        <f aca="false">IF(OR(G304="",H304="",I304=""),"",IF(H304=G304,"",MAX(0,MIN(1,(I304-G304)/(H304-G304)))))</f>
        <v/>
      </c>
      <c r="K304" s="34"/>
      <c r="L304" s="35"/>
      <c r="M304" s="33" t="str">
        <f aca="true">IF(L304="","",L304-TODAY())</f>
        <v/>
      </c>
      <c r="N304" s="34"/>
      <c r="O304" s="21"/>
      <c r="P304" s="35"/>
      <c r="Q304" s="21"/>
    </row>
  </sheetData>
  <autoFilter ref="A4:Q304"/>
  <conditionalFormatting sqref="N5:N304">
    <cfRule type="cellIs" priority="2" operator="equal" aboveAverage="0" equalAverage="0" bottom="0" percent="0" rank="0" text="" dxfId="1">
      <formula>"Completed"</formula>
    </cfRule>
    <cfRule type="cellIs" priority="3" operator="equal" aboveAverage="0" equalAverage="0" bottom="0" percent="0" rank="0" text="" dxfId="1">
      <formula>"Achieved"</formula>
    </cfRule>
    <cfRule type="cellIs" priority="4" operator="equal" aboveAverage="0" equalAverage="0" bottom="0" percent="0" rank="0" text="" dxfId="1">
      <formula>"Remediated"</formula>
    </cfRule>
    <cfRule type="cellIs" priority="5" operator="equal" aboveAverage="0" equalAverage="0" bottom="0" percent="0" rank="0" text="" dxfId="1">
      <formula>"Responded"</formula>
    </cfRule>
    <cfRule type="cellIs" priority="6" operator="equal" aboveAverage="0" equalAverage="0" bottom="0" percent="0" rank="0" text="" dxfId="1">
      <formula>"Closed"</formula>
    </cfRule>
    <cfRule type="cellIs" priority="7" operator="equal" aboveAverage="0" equalAverage="0" bottom="0" percent="0" rank="0" text="" dxfId="2">
      <formula>"In Progress"</formula>
    </cfRule>
    <cfRule type="cellIs" priority="8" operator="equal" aboveAverage="0" equalAverage="0" bottom="0" percent="0" rank="0" text="" dxfId="2">
      <formula>"Remediation In Progress"</formula>
    </cfRule>
    <cfRule type="cellIs" priority="9" operator="equal" aboveAverage="0" equalAverage="0" bottom="0" percent="0" rank="0" text="" dxfId="2">
      <formula>"At Risk"</formula>
    </cfRule>
    <cfRule type="cellIs" priority="10" operator="equal" aboveAverage="0" equalAverage="0" bottom="0" percent="0" rank="0" text="" dxfId="2">
      <formula>"Validating"</formula>
    </cfRule>
    <cfRule type="cellIs" priority="11" operator="equal" aboveAverage="0" equalAverage="0" bottom="0" percent="0" rank="0" text="" dxfId="2">
      <formula>"Awaiting Response"</formula>
    </cfRule>
    <cfRule type="cellIs" priority="12" operator="equal" aboveAverage="0" equalAverage="0" bottom="0" percent="0" rank="0" text="" dxfId="3">
      <formula>"Blocked"</formula>
    </cfRule>
    <cfRule type="cellIs" priority="13" operator="equal" aboveAverage="0" equalAverage="0" bottom="0" percent="0" rank="0" text="" dxfId="3">
      <formula>"Off Track"</formula>
    </cfRule>
    <cfRule type="cellIs" priority="14" operator="equal" aboveAverage="0" equalAverage="0" bottom="0" percent="0" rank="0" text="" dxfId="3">
      <formula>"Escalated"</formula>
    </cfRule>
    <cfRule type="cellIs" priority="15" operator="equal" aboveAverage="0" equalAverage="0" bottom="0" percent="0" rank="0" text="" dxfId="3">
      <formula>"Confirmed"</formula>
    </cfRule>
    <cfRule type="cellIs" priority="16" operator="equal" aboveAverage="0" equalAverage="0" bottom="0" percent="0" rank="0" text="" dxfId="3">
      <formula>"Delayed"</formula>
    </cfRule>
    <cfRule type="cellIs" priority="17" operator="equal" aboveAverage="0" equalAverage="0" bottom="0" percent="0" rank="0" text="" dxfId="4">
      <formula>"Cancelled"</formula>
    </cfRule>
    <cfRule type="cellIs" priority="18" operator="equal" aboveAverage="0" equalAverage="0" bottom="0" percent="0" rank="0" text="" dxfId="4">
      <formula>"False Positive"</formula>
    </cfRule>
    <cfRule type="cellIs" priority="19" operator="equal" aboveAverage="0" equalAverage="0" bottom="0" percent="0" rank="0" text="" dxfId="4">
      <formula>"Deferred"</formula>
    </cfRule>
    <cfRule type="cellIs" priority="20" operator="equal" aboveAverage="0" equalAverage="0" bottom="0" percent="0" rank="0" text="" dxfId="4">
      <formula>"On Hold"</formula>
    </cfRule>
  </conditionalFormatting>
  <conditionalFormatting sqref="J5:J304">
    <cfRule type="dataBar" priority="21">
      <dataBar showValue="1" minLength="10" maxLength="90">
        <cfvo type="num" val="0"/>
        <cfvo type="num" val="1"/>
        <color rgb="FF70AD47"/>
      </dataBar>
      <extLst>
        <ext xmlns:x14="http://schemas.microsoft.com/office/spreadsheetml/2009/9/main" uri="{B025F937-C7B1-47D3-B67F-A62EFF666E3E}">
          <x14:id>{5DBE3812-6874-477D-AB8D-5DF7E8A35D9A}</x14:id>
        </ext>
      </extLst>
    </cfRule>
  </conditionalFormatting>
  <dataValidations count="4">
    <dataValidation allowBlank="true" error="Value not in the standard list. Keep it anyway?" errorStyle="warning" errorTitle="Not in list" operator="between" showDropDown="false" showErrorMessage="true" showInputMessage="false" sqref="C5:C304" type="list">
      <formula1>Lists!$F$4:$F$14</formula1>
      <formula2>0</formula2>
    </dataValidation>
    <dataValidation allowBlank="true" error="Enter a valid date (e.g. 19-Oct-2026)." errorStyle="stop" operator="greaterThan" showDropDown="false" showErrorMessage="true" showInputMessage="false" sqref="L5:L304" type="date">
      <formula1>DATE(2000,1,1)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N5:N304" type="list">
      <formula1>Lists!$L$4:$L$8</formula1>
      <formula2>0</formula2>
    </dataValidation>
    <dataValidation allowBlank="true" error="Enter a valid date (e.g. 19-Oct-2026)." errorStyle="stop" operator="greaterThan" showDropDown="false" showErrorMessage="true" showInputMessage="false" sqref="P5:P304" type="date">
      <formula1>DATE(2000,1,1)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BE3812-6874-477D-AB8D-5DF7E8A35D9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70AD47"/>
              <x14:axisColor rgb="FF000000"/>
            </x14:dataBar>
          </x14:cfRule>
          <xm:sqref>J5:J304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W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4" min="3" style="0" width="9"/>
    <col collapsed="false" customWidth="true" hidden="false" outlineLevel="0" max="5" min="5" style="0" width="20"/>
    <col collapsed="false" customWidth="true" hidden="false" outlineLevel="0" max="6" min="6" style="0" width="22"/>
    <col collapsed="false" customWidth="true" hidden="false" outlineLevel="0" max="7" min="7" style="0" width="34"/>
    <col collapsed="false" customWidth="true" hidden="false" outlineLevel="0" max="8" min="8" style="0" width="16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34"/>
    <col collapsed="false" customWidth="true" hidden="false" outlineLevel="0" max="12" min="12" style="0" width="40"/>
    <col collapsed="false" customWidth="true" hidden="false" outlineLevel="0" max="15" min="13" style="0" width="34"/>
    <col collapsed="false" customWidth="true" hidden="false" outlineLevel="0" max="16" min="16" style="0" width="16"/>
    <col collapsed="false" customWidth="true" hidden="false" outlineLevel="0" max="17" min="17" style="0" width="11"/>
    <col collapsed="false" customWidth="true" hidden="false" outlineLevel="0" max="18" min="18" style="0" width="13"/>
    <col collapsed="false" customWidth="true" hidden="false" outlineLevel="0" max="19" min="19" style="0" width="11"/>
    <col collapsed="false" customWidth="true" hidden="false" outlineLevel="0" max="20" min="20" style="0" width="13"/>
    <col collapsed="false" customWidth="true" hidden="false" outlineLevel="0" max="21" min="21" style="0" width="26"/>
    <col collapsed="false" customWidth="true" hidden="false" outlineLevel="0" max="22" min="22" style="0" width="15"/>
    <col collapsed="false" customWidth="true" hidden="false" outlineLevel="0" max="23" min="23" style="0" width="30"/>
  </cols>
  <sheetData>
    <row r="1" customFormat="false" ht="19.7" hidden="false" customHeight="false" outlineLevel="0" collapsed="false">
      <c r="A1" s="9" t="s">
        <v>495</v>
      </c>
    </row>
    <row r="2" customFormat="false" ht="15" hidden="false" customHeight="false" outlineLevel="0" collapsed="false">
      <c r="A2" s="2" t="s">
        <v>496</v>
      </c>
    </row>
    <row r="3" customFormat="false" ht="15" hidden="false" customHeight="false" outlineLevel="0" collapsed="false">
      <c r="A3" s="27" t="s">
        <v>170</v>
      </c>
    </row>
    <row r="4" customFormat="false" ht="42" hidden="false" customHeight="true" outlineLevel="0" collapsed="false">
      <c r="A4" s="28" t="s">
        <v>497</v>
      </c>
      <c r="B4" s="28" t="s">
        <v>498</v>
      </c>
      <c r="C4" s="28" t="s">
        <v>499</v>
      </c>
      <c r="D4" s="28" t="s">
        <v>500</v>
      </c>
      <c r="E4" s="28" t="s">
        <v>501</v>
      </c>
      <c r="F4" s="28" t="s">
        <v>173</v>
      </c>
      <c r="G4" s="28" t="s">
        <v>502</v>
      </c>
      <c r="H4" s="28" t="s">
        <v>503</v>
      </c>
      <c r="I4" s="28" t="s">
        <v>504</v>
      </c>
      <c r="J4" s="28" t="s">
        <v>505</v>
      </c>
      <c r="K4" s="28" t="s">
        <v>506</v>
      </c>
      <c r="L4" s="28" t="s">
        <v>507</v>
      </c>
      <c r="M4" s="28" t="s">
        <v>508</v>
      </c>
      <c r="N4" s="28" t="s">
        <v>509</v>
      </c>
      <c r="O4" s="28" t="s">
        <v>510</v>
      </c>
      <c r="P4" s="28" t="s">
        <v>511</v>
      </c>
      <c r="Q4" s="28" t="s">
        <v>512</v>
      </c>
      <c r="R4" s="28" t="s">
        <v>513</v>
      </c>
      <c r="S4" s="28" t="s">
        <v>514</v>
      </c>
      <c r="T4" s="28" t="s">
        <v>515</v>
      </c>
      <c r="U4" s="28" t="s">
        <v>516</v>
      </c>
      <c r="V4" s="28" t="s">
        <v>517</v>
      </c>
      <c r="W4" s="28" t="s">
        <v>518</v>
      </c>
    </row>
    <row r="5" customFormat="false" ht="35.05" hidden="false" customHeight="false" outlineLevel="0" collapsed="false">
      <c r="A5" s="6" t="s">
        <v>519</v>
      </c>
      <c r="B5" s="32" t="n">
        <v>46307</v>
      </c>
      <c r="C5" s="36" t="n">
        <v>0.416666666666667</v>
      </c>
      <c r="D5" s="37" t="n">
        <v>60</v>
      </c>
      <c r="E5" s="30" t="s">
        <v>110</v>
      </c>
      <c r="F5" s="30" t="s">
        <v>520</v>
      </c>
      <c r="G5" s="29" t="s">
        <v>521</v>
      </c>
      <c r="H5" s="30" t="s">
        <v>193</v>
      </c>
      <c r="I5" s="29" t="s">
        <v>522</v>
      </c>
      <c r="J5" s="30" t="s">
        <v>523</v>
      </c>
      <c r="K5" s="29" t="s">
        <v>524</v>
      </c>
      <c r="L5" s="29" t="s">
        <v>525</v>
      </c>
      <c r="M5" s="29" t="s">
        <v>526</v>
      </c>
      <c r="N5" s="29" t="s">
        <v>527</v>
      </c>
      <c r="O5" s="29" t="s">
        <v>528</v>
      </c>
      <c r="P5" s="30" t="s">
        <v>529</v>
      </c>
      <c r="Q5" s="30" t="s">
        <v>530</v>
      </c>
      <c r="R5" s="32" t="n">
        <v>46325</v>
      </c>
      <c r="S5" s="30" t="s">
        <v>531</v>
      </c>
      <c r="T5" s="38" t="str">
        <f aca="true">IF(Q5&lt;&gt;"Yes","",IF(S5="Yes","Done",IF(R5="","Date missing",IF(R5&lt;TODAY(),"OVERDUE","Scheduled"))))</f>
        <v>Scheduled</v>
      </c>
      <c r="U5" s="30" t="s">
        <v>532</v>
      </c>
      <c r="V5" s="30" t="s">
        <v>533</v>
      </c>
      <c r="W5" s="21"/>
    </row>
    <row r="6" customFormat="false" ht="15" hidden="false" customHeight="false" outlineLevel="0" collapsed="false">
      <c r="A6" s="6" t="s">
        <v>534</v>
      </c>
      <c r="B6" s="35"/>
      <c r="C6" s="39"/>
      <c r="D6" s="40"/>
      <c r="E6" s="34"/>
      <c r="F6" s="34"/>
      <c r="G6" s="21"/>
      <c r="H6" s="34"/>
      <c r="I6" s="21"/>
      <c r="J6" s="34"/>
      <c r="K6" s="21"/>
      <c r="L6" s="21"/>
      <c r="M6" s="21"/>
      <c r="N6" s="21"/>
      <c r="O6" s="21"/>
      <c r="P6" s="34"/>
      <c r="Q6" s="34"/>
      <c r="R6" s="35"/>
      <c r="S6" s="34"/>
      <c r="T6" s="38" t="str">
        <f aca="true">IF(Q6&lt;&gt;"Yes","",IF(S6="Yes","Done",IF(R6="","Date missing",IF(R6&lt;TODAY(),"OVERDUE","Scheduled"))))</f>
        <v/>
      </c>
      <c r="U6" s="34"/>
      <c r="V6" s="34"/>
      <c r="W6" s="21"/>
    </row>
    <row r="7" customFormat="false" ht="15" hidden="false" customHeight="false" outlineLevel="0" collapsed="false">
      <c r="A7" s="6" t="s">
        <v>535</v>
      </c>
      <c r="B7" s="35"/>
      <c r="C7" s="39"/>
      <c r="D7" s="40"/>
      <c r="E7" s="34"/>
      <c r="F7" s="34"/>
      <c r="G7" s="21"/>
      <c r="H7" s="34"/>
      <c r="I7" s="21"/>
      <c r="J7" s="34"/>
      <c r="K7" s="21"/>
      <c r="L7" s="21"/>
      <c r="M7" s="21"/>
      <c r="N7" s="21"/>
      <c r="O7" s="21"/>
      <c r="P7" s="34"/>
      <c r="Q7" s="34"/>
      <c r="R7" s="35"/>
      <c r="S7" s="34"/>
      <c r="T7" s="38" t="str">
        <f aca="true">IF(Q7&lt;&gt;"Yes","",IF(S7="Yes","Done",IF(R7="","Date missing",IF(R7&lt;TODAY(),"OVERDUE","Scheduled"))))</f>
        <v/>
      </c>
      <c r="U7" s="34"/>
      <c r="V7" s="34"/>
      <c r="W7" s="21"/>
    </row>
    <row r="8" customFormat="false" ht="15" hidden="false" customHeight="false" outlineLevel="0" collapsed="false">
      <c r="A8" s="6" t="s">
        <v>536</v>
      </c>
      <c r="B8" s="35"/>
      <c r="C8" s="39"/>
      <c r="D8" s="40"/>
      <c r="E8" s="34"/>
      <c r="F8" s="34"/>
      <c r="G8" s="21"/>
      <c r="H8" s="34"/>
      <c r="I8" s="21"/>
      <c r="J8" s="34"/>
      <c r="K8" s="21"/>
      <c r="L8" s="21"/>
      <c r="M8" s="21"/>
      <c r="N8" s="21"/>
      <c r="O8" s="21"/>
      <c r="P8" s="34"/>
      <c r="Q8" s="34"/>
      <c r="R8" s="35"/>
      <c r="S8" s="34"/>
      <c r="T8" s="38" t="str">
        <f aca="true">IF(Q8&lt;&gt;"Yes","",IF(S8="Yes","Done",IF(R8="","Date missing",IF(R8&lt;TODAY(),"OVERDUE","Scheduled"))))</f>
        <v/>
      </c>
      <c r="U8" s="34"/>
      <c r="V8" s="34"/>
      <c r="W8" s="21"/>
    </row>
    <row r="9" customFormat="false" ht="15" hidden="false" customHeight="false" outlineLevel="0" collapsed="false">
      <c r="A9" s="6" t="s">
        <v>537</v>
      </c>
      <c r="B9" s="35"/>
      <c r="C9" s="39"/>
      <c r="D9" s="40"/>
      <c r="E9" s="34"/>
      <c r="F9" s="34"/>
      <c r="G9" s="21"/>
      <c r="H9" s="34"/>
      <c r="I9" s="21"/>
      <c r="J9" s="34"/>
      <c r="K9" s="21"/>
      <c r="L9" s="21"/>
      <c r="M9" s="21"/>
      <c r="N9" s="21"/>
      <c r="O9" s="21"/>
      <c r="P9" s="34"/>
      <c r="Q9" s="34"/>
      <c r="R9" s="35"/>
      <c r="S9" s="34"/>
      <c r="T9" s="38" t="str">
        <f aca="true">IF(Q9&lt;&gt;"Yes","",IF(S9="Yes","Done",IF(R9="","Date missing",IF(R9&lt;TODAY(),"OVERDUE","Scheduled"))))</f>
        <v/>
      </c>
      <c r="U9" s="34"/>
      <c r="V9" s="34"/>
      <c r="W9" s="21"/>
    </row>
    <row r="10" customFormat="false" ht="15" hidden="false" customHeight="false" outlineLevel="0" collapsed="false">
      <c r="A10" s="6" t="s">
        <v>538</v>
      </c>
      <c r="B10" s="35"/>
      <c r="C10" s="39"/>
      <c r="D10" s="40"/>
      <c r="E10" s="34"/>
      <c r="F10" s="34"/>
      <c r="G10" s="21"/>
      <c r="H10" s="34"/>
      <c r="I10" s="21"/>
      <c r="J10" s="34"/>
      <c r="K10" s="21"/>
      <c r="L10" s="21"/>
      <c r="M10" s="21"/>
      <c r="N10" s="21"/>
      <c r="O10" s="21"/>
      <c r="P10" s="34"/>
      <c r="Q10" s="34"/>
      <c r="R10" s="35"/>
      <c r="S10" s="34"/>
      <c r="T10" s="38" t="str">
        <f aca="true">IF(Q10&lt;&gt;"Yes","",IF(S10="Yes","Done",IF(R10="","Date missing",IF(R10&lt;TODAY(),"OVERDUE","Scheduled"))))</f>
        <v/>
      </c>
      <c r="U10" s="34"/>
      <c r="V10" s="34"/>
      <c r="W10" s="21"/>
    </row>
    <row r="11" customFormat="false" ht="15" hidden="false" customHeight="false" outlineLevel="0" collapsed="false">
      <c r="A11" s="6" t="s">
        <v>539</v>
      </c>
      <c r="B11" s="35"/>
      <c r="C11" s="39"/>
      <c r="D11" s="40"/>
      <c r="E11" s="34"/>
      <c r="F11" s="34"/>
      <c r="G11" s="21"/>
      <c r="H11" s="34"/>
      <c r="I11" s="21"/>
      <c r="J11" s="34"/>
      <c r="K11" s="21"/>
      <c r="L11" s="21"/>
      <c r="M11" s="21"/>
      <c r="N11" s="21"/>
      <c r="O11" s="21"/>
      <c r="P11" s="34"/>
      <c r="Q11" s="34"/>
      <c r="R11" s="35"/>
      <c r="S11" s="34"/>
      <c r="T11" s="38" t="str">
        <f aca="true">IF(Q11&lt;&gt;"Yes","",IF(S11="Yes","Done",IF(R11="","Date missing",IF(R11&lt;TODAY(),"OVERDUE","Scheduled"))))</f>
        <v/>
      </c>
      <c r="U11" s="34"/>
      <c r="V11" s="34"/>
      <c r="W11" s="21"/>
    </row>
    <row r="12" customFormat="false" ht="15" hidden="false" customHeight="false" outlineLevel="0" collapsed="false">
      <c r="A12" s="6" t="s">
        <v>540</v>
      </c>
      <c r="B12" s="35"/>
      <c r="C12" s="39"/>
      <c r="D12" s="40"/>
      <c r="E12" s="34"/>
      <c r="F12" s="34"/>
      <c r="G12" s="21"/>
      <c r="H12" s="34"/>
      <c r="I12" s="21"/>
      <c r="J12" s="34"/>
      <c r="K12" s="21"/>
      <c r="L12" s="21"/>
      <c r="M12" s="21"/>
      <c r="N12" s="21"/>
      <c r="O12" s="21"/>
      <c r="P12" s="34"/>
      <c r="Q12" s="34"/>
      <c r="R12" s="35"/>
      <c r="S12" s="34"/>
      <c r="T12" s="38" t="str">
        <f aca="true">IF(Q12&lt;&gt;"Yes","",IF(S12="Yes","Done",IF(R12="","Date missing",IF(R12&lt;TODAY(),"OVERDUE","Scheduled"))))</f>
        <v/>
      </c>
      <c r="U12" s="34"/>
      <c r="V12" s="34"/>
      <c r="W12" s="21"/>
    </row>
    <row r="13" customFormat="false" ht="15" hidden="false" customHeight="false" outlineLevel="0" collapsed="false">
      <c r="A13" s="6" t="s">
        <v>541</v>
      </c>
      <c r="B13" s="35"/>
      <c r="C13" s="39"/>
      <c r="D13" s="40"/>
      <c r="E13" s="34"/>
      <c r="F13" s="34"/>
      <c r="G13" s="21"/>
      <c r="H13" s="34"/>
      <c r="I13" s="21"/>
      <c r="J13" s="34"/>
      <c r="K13" s="21"/>
      <c r="L13" s="21"/>
      <c r="M13" s="21"/>
      <c r="N13" s="21"/>
      <c r="O13" s="21"/>
      <c r="P13" s="34"/>
      <c r="Q13" s="34"/>
      <c r="R13" s="35"/>
      <c r="S13" s="34"/>
      <c r="T13" s="38" t="str">
        <f aca="true">IF(Q13&lt;&gt;"Yes","",IF(S13="Yes","Done",IF(R13="","Date missing",IF(R13&lt;TODAY(),"OVERDUE","Scheduled"))))</f>
        <v/>
      </c>
      <c r="U13" s="34"/>
      <c r="V13" s="34"/>
      <c r="W13" s="21"/>
    </row>
    <row r="14" customFormat="false" ht="15" hidden="false" customHeight="false" outlineLevel="0" collapsed="false">
      <c r="A14" s="6" t="s">
        <v>542</v>
      </c>
      <c r="B14" s="35"/>
      <c r="C14" s="39"/>
      <c r="D14" s="40"/>
      <c r="E14" s="34"/>
      <c r="F14" s="34"/>
      <c r="G14" s="21"/>
      <c r="H14" s="34"/>
      <c r="I14" s="21"/>
      <c r="J14" s="34"/>
      <c r="K14" s="21"/>
      <c r="L14" s="21"/>
      <c r="M14" s="21"/>
      <c r="N14" s="21"/>
      <c r="O14" s="21"/>
      <c r="P14" s="34"/>
      <c r="Q14" s="34"/>
      <c r="R14" s="35"/>
      <c r="S14" s="34"/>
      <c r="T14" s="38" t="str">
        <f aca="true">IF(Q14&lt;&gt;"Yes","",IF(S14="Yes","Done",IF(R14="","Date missing",IF(R14&lt;TODAY(),"OVERDUE","Scheduled"))))</f>
        <v/>
      </c>
      <c r="U14" s="34"/>
      <c r="V14" s="34"/>
      <c r="W14" s="21"/>
    </row>
    <row r="15" customFormat="false" ht="15" hidden="false" customHeight="false" outlineLevel="0" collapsed="false">
      <c r="A15" s="6" t="s">
        <v>543</v>
      </c>
      <c r="B15" s="35"/>
      <c r="C15" s="39"/>
      <c r="D15" s="40"/>
      <c r="E15" s="34"/>
      <c r="F15" s="34"/>
      <c r="G15" s="21"/>
      <c r="H15" s="34"/>
      <c r="I15" s="21"/>
      <c r="J15" s="34"/>
      <c r="K15" s="21"/>
      <c r="L15" s="21"/>
      <c r="M15" s="21"/>
      <c r="N15" s="21"/>
      <c r="O15" s="21"/>
      <c r="P15" s="34"/>
      <c r="Q15" s="34"/>
      <c r="R15" s="35"/>
      <c r="S15" s="34"/>
      <c r="T15" s="38" t="str">
        <f aca="true">IF(Q15&lt;&gt;"Yes","",IF(S15="Yes","Done",IF(R15="","Date missing",IF(R15&lt;TODAY(),"OVERDUE","Scheduled"))))</f>
        <v/>
      </c>
      <c r="U15" s="34"/>
      <c r="V15" s="34"/>
      <c r="W15" s="21"/>
    </row>
    <row r="16" customFormat="false" ht="15" hidden="false" customHeight="false" outlineLevel="0" collapsed="false">
      <c r="A16" s="6" t="s">
        <v>544</v>
      </c>
      <c r="B16" s="35"/>
      <c r="C16" s="39"/>
      <c r="D16" s="40"/>
      <c r="E16" s="34"/>
      <c r="F16" s="34"/>
      <c r="G16" s="21"/>
      <c r="H16" s="34"/>
      <c r="I16" s="21"/>
      <c r="J16" s="34"/>
      <c r="K16" s="21"/>
      <c r="L16" s="21"/>
      <c r="M16" s="21"/>
      <c r="N16" s="21"/>
      <c r="O16" s="21"/>
      <c r="P16" s="34"/>
      <c r="Q16" s="34"/>
      <c r="R16" s="35"/>
      <c r="S16" s="34"/>
      <c r="T16" s="38" t="str">
        <f aca="true">IF(Q16&lt;&gt;"Yes","",IF(S16="Yes","Done",IF(R16="","Date missing",IF(R16&lt;TODAY(),"OVERDUE","Scheduled"))))</f>
        <v/>
      </c>
      <c r="U16" s="34"/>
      <c r="V16" s="34"/>
      <c r="W16" s="21"/>
    </row>
    <row r="17" customFormat="false" ht="15" hidden="false" customHeight="false" outlineLevel="0" collapsed="false">
      <c r="A17" s="6" t="s">
        <v>545</v>
      </c>
      <c r="B17" s="35"/>
      <c r="C17" s="39"/>
      <c r="D17" s="40"/>
      <c r="E17" s="34"/>
      <c r="F17" s="34"/>
      <c r="G17" s="21"/>
      <c r="H17" s="34"/>
      <c r="I17" s="21"/>
      <c r="J17" s="34"/>
      <c r="K17" s="21"/>
      <c r="L17" s="21"/>
      <c r="M17" s="21"/>
      <c r="N17" s="21"/>
      <c r="O17" s="21"/>
      <c r="P17" s="34"/>
      <c r="Q17" s="34"/>
      <c r="R17" s="35"/>
      <c r="S17" s="34"/>
      <c r="T17" s="38" t="str">
        <f aca="true">IF(Q17&lt;&gt;"Yes","",IF(S17="Yes","Done",IF(R17="","Date missing",IF(R17&lt;TODAY(),"OVERDUE","Scheduled"))))</f>
        <v/>
      </c>
      <c r="U17" s="34"/>
      <c r="V17" s="34"/>
      <c r="W17" s="21"/>
    </row>
    <row r="18" customFormat="false" ht="15" hidden="false" customHeight="false" outlineLevel="0" collapsed="false">
      <c r="A18" s="6" t="s">
        <v>546</v>
      </c>
      <c r="B18" s="35"/>
      <c r="C18" s="39"/>
      <c r="D18" s="40"/>
      <c r="E18" s="34"/>
      <c r="F18" s="34"/>
      <c r="G18" s="21"/>
      <c r="H18" s="34"/>
      <c r="I18" s="21"/>
      <c r="J18" s="34"/>
      <c r="K18" s="21"/>
      <c r="L18" s="21"/>
      <c r="M18" s="21"/>
      <c r="N18" s="21"/>
      <c r="O18" s="21"/>
      <c r="P18" s="34"/>
      <c r="Q18" s="34"/>
      <c r="R18" s="35"/>
      <c r="S18" s="34"/>
      <c r="T18" s="38" t="str">
        <f aca="true">IF(Q18&lt;&gt;"Yes","",IF(S18="Yes","Done",IF(R18="","Date missing",IF(R18&lt;TODAY(),"OVERDUE","Scheduled"))))</f>
        <v/>
      </c>
      <c r="U18" s="34"/>
      <c r="V18" s="34"/>
      <c r="W18" s="21"/>
    </row>
    <row r="19" customFormat="false" ht="15" hidden="false" customHeight="false" outlineLevel="0" collapsed="false">
      <c r="A19" s="6" t="s">
        <v>547</v>
      </c>
      <c r="B19" s="35"/>
      <c r="C19" s="39"/>
      <c r="D19" s="40"/>
      <c r="E19" s="34"/>
      <c r="F19" s="34"/>
      <c r="G19" s="21"/>
      <c r="H19" s="34"/>
      <c r="I19" s="21"/>
      <c r="J19" s="34"/>
      <c r="K19" s="21"/>
      <c r="L19" s="21"/>
      <c r="M19" s="21"/>
      <c r="N19" s="21"/>
      <c r="O19" s="21"/>
      <c r="P19" s="34"/>
      <c r="Q19" s="34"/>
      <c r="R19" s="35"/>
      <c r="S19" s="34"/>
      <c r="T19" s="38" t="str">
        <f aca="true">IF(Q19&lt;&gt;"Yes","",IF(S19="Yes","Done",IF(R19="","Date missing",IF(R19&lt;TODAY(),"OVERDUE","Scheduled"))))</f>
        <v/>
      </c>
      <c r="U19" s="34"/>
      <c r="V19" s="34"/>
      <c r="W19" s="21"/>
    </row>
    <row r="20" customFormat="false" ht="15" hidden="false" customHeight="false" outlineLevel="0" collapsed="false">
      <c r="A20" s="6" t="s">
        <v>548</v>
      </c>
      <c r="B20" s="35"/>
      <c r="C20" s="39"/>
      <c r="D20" s="40"/>
      <c r="E20" s="34"/>
      <c r="F20" s="34"/>
      <c r="G20" s="21"/>
      <c r="H20" s="34"/>
      <c r="I20" s="21"/>
      <c r="J20" s="34"/>
      <c r="K20" s="21"/>
      <c r="L20" s="21"/>
      <c r="M20" s="21"/>
      <c r="N20" s="21"/>
      <c r="O20" s="21"/>
      <c r="P20" s="34"/>
      <c r="Q20" s="34"/>
      <c r="R20" s="35"/>
      <c r="S20" s="34"/>
      <c r="T20" s="38" t="str">
        <f aca="true">IF(Q20&lt;&gt;"Yes","",IF(S20="Yes","Done",IF(R20="","Date missing",IF(R20&lt;TODAY(),"OVERDUE","Scheduled"))))</f>
        <v/>
      </c>
      <c r="U20" s="34"/>
      <c r="V20" s="34"/>
      <c r="W20" s="21"/>
    </row>
    <row r="21" customFormat="false" ht="15" hidden="false" customHeight="false" outlineLevel="0" collapsed="false">
      <c r="A21" s="6" t="s">
        <v>549</v>
      </c>
      <c r="B21" s="35"/>
      <c r="C21" s="39"/>
      <c r="D21" s="40"/>
      <c r="E21" s="34"/>
      <c r="F21" s="34"/>
      <c r="G21" s="21"/>
      <c r="H21" s="34"/>
      <c r="I21" s="21"/>
      <c r="J21" s="34"/>
      <c r="K21" s="21"/>
      <c r="L21" s="21"/>
      <c r="M21" s="21"/>
      <c r="N21" s="21"/>
      <c r="O21" s="21"/>
      <c r="P21" s="34"/>
      <c r="Q21" s="34"/>
      <c r="R21" s="35"/>
      <c r="S21" s="34"/>
      <c r="T21" s="38" t="str">
        <f aca="true">IF(Q21&lt;&gt;"Yes","",IF(S21="Yes","Done",IF(R21="","Date missing",IF(R21&lt;TODAY(),"OVERDUE","Scheduled"))))</f>
        <v/>
      </c>
      <c r="U21" s="34"/>
      <c r="V21" s="34"/>
      <c r="W21" s="21"/>
    </row>
    <row r="22" customFormat="false" ht="15" hidden="false" customHeight="false" outlineLevel="0" collapsed="false">
      <c r="A22" s="6" t="s">
        <v>550</v>
      </c>
      <c r="B22" s="35"/>
      <c r="C22" s="39"/>
      <c r="D22" s="40"/>
      <c r="E22" s="34"/>
      <c r="F22" s="34"/>
      <c r="G22" s="21"/>
      <c r="H22" s="34"/>
      <c r="I22" s="21"/>
      <c r="J22" s="34"/>
      <c r="K22" s="21"/>
      <c r="L22" s="21"/>
      <c r="M22" s="21"/>
      <c r="N22" s="21"/>
      <c r="O22" s="21"/>
      <c r="P22" s="34"/>
      <c r="Q22" s="34"/>
      <c r="R22" s="35"/>
      <c r="S22" s="34"/>
      <c r="T22" s="38" t="str">
        <f aca="true">IF(Q22&lt;&gt;"Yes","",IF(S22="Yes","Done",IF(R22="","Date missing",IF(R22&lt;TODAY(),"OVERDUE","Scheduled"))))</f>
        <v/>
      </c>
      <c r="U22" s="34"/>
      <c r="V22" s="34"/>
      <c r="W22" s="21"/>
    </row>
    <row r="23" customFormat="false" ht="15" hidden="false" customHeight="false" outlineLevel="0" collapsed="false">
      <c r="A23" s="6" t="s">
        <v>551</v>
      </c>
      <c r="B23" s="35"/>
      <c r="C23" s="39"/>
      <c r="D23" s="40"/>
      <c r="E23" s="34"/>
      <c r="F23" s="34"/>
      <c r="G23" s="21"/>
      <c r="H23" s="34"/>
      <c r="I23" s="21"/>
      <c r="J23" s="34"/>
      <c r="K23" s="21"/>
      <c r="L23" s="21"/>
      <c r="M23" s="21"/>
      <c r="N23" s="21"/>
      <c r="O23" s="21"/>
      <c r="P23" s="34"/>
      <c r="Q23" s="34"/>
      <c r="R23" s="35"/>
      <c r="S23" s="34"/>
      <c r="T23" s="38" t="str">
        <f aca="true">IF(Q23&lt;&gt;"Yes","",IF(S23="Yes","Done",IF(R23="","Date missing",IF(R23&lt;TODAY(),"OVERDUE","Scheduled"))))</f>
        <v/>
      </c>
      <c r="U23" s="34"/>
      <c r="V23" s="34"/>
      <c r="W23" s="21"/>
    </row>
    <row r="24" customFormat="false" ht="15" hidden="false" customHeight="false" outlineLevel="0" collapsed="false">
      <c r="A24" s="6" t="s">
        <v>552</v>
      </c>
      <c r="B24" s="35"/>
      <c r="C24" s="39"/>
      <c r="D24" s="40"/>
      <c r="E24" s="34"/>
      <c r="F24" s="34"/>
      <c r="G24" s="21"/>
      <c r="H24" s="34"/>
      <c r="I24" s="21"/>
      <c r="J24" s="34"/>
      <c r="K24" s="21"/>
      <c r="L24" s="21"/>
      <c r="M24" s="21"/>
      <c r="N24" s="21"/>
      <c r="O24" s="21"/>
      <c r="P24" s="34"/>
      <c r="Q24" s="34"/>
      <c r="R24" s="35"/>
      <c r="S24" s="34"/>
      <c r="T24" s="38" t="str">
        <f aca="true">IF(Q24&lt;&gt;"Yes","",IF(S24="Yes","Done",IF(R24="","Date missing",IF(R24&lt;TODAY(),"OVERDUE","Scheduled"))))</f>
        <v/>
      </c>
      <c r="U24" s="34"/>
      <c r="V24" s="34"/>
      <c r="W24" s="21"/>
    </row>
    <row r="25" customFormat="false" ht="15" hidden="false" customHeight="false" outlineLevel="0" collapsed="false">
      <c r="A25" s="6" t="s">
        <v>553</v>
      </c>
      <c r="B25" s="35"/>
      <c r="C25" s="39"/>
      <c r="D25" s="40"/>
      <c r="E25" s="34"/>
      <c r="F25" s="34"/>
      <c r="G25" s="21"/>
      <c r="H25" s="34"/>
      <c r="I25" s="21"/>
      <c r="J25" s="34"/>
      <c r="K25" s="21"/>
      <c r="L25" s="21"/>
      <c r="M25" s="21"/>
      <c r="N25" s="21"/>
      <c r="O25" s="21"/>
      <c r="P25" s="34"/>
      <c r="Q25" s="34"/>
      <c r="R25" s="35"/>
      <c r="S25" s="34"/>
      <c r="T25" s="38" t="str">
        <f aca="true">IF(Q25&lt;&gt;"Yes","",IF(S25="Yes","Done",IF(R25="","Date missing",IF(R25&lt;TODAY(),"OVERDUE","Scheduled"))))</f>
        <v/>
      </c>
      <c r="U25" s="34"/>
      <c r="V25" s="34"/>
      <c r="W25" s="21"/>
    </row>
    <row r="26" customFormat="false" ht="15" hidden="false" customHeight="false" outlineLevel="0" collapsed="false">
      <c r="A26" s="6" t="s">
        <v>554</v>
      </c>
      <c r="B26" s="35"/>
      <c r="C26" s="39"/>
      <c r="D26" s="40"/>
      <c r="E26" s="34"/>
      <c r="F26" s="34"/>
      <c r="G26" s="21"/>
      <c r="H26" s="34"/>
      <c r="I26" s="21"/>
      <c r="J26" s="34"/>
      <c r="K26" s="21"/>
      <c r="L26" s="21"/>
      <c r="M26" s="21"/>
      <c r="N26" s="21"/>
      <c r="O26" s="21"/>
      <c r="P26" s="34"/>
      <c r="Q26" s="34"/>
      <c r="R26" s="35"/>
      <c r="S26" s="34"/>
      <c r="T26" s="38" t="str">
        <f aca="true">IF(Q26&lt;&gt;"Yes","",IF(S26="Yes","Done",IF(R26="","Date missing",IF(R26&lt;TODAY(),"OVERDUE","Scheduled"))))</f>
        <v/>
      </c>
      <c r="U26" s="34"/>
      <c r="V26" s="34"/>
      <c r="W26" s="21"/>
    </row>
    <row r="27" customFormat="false" ht="15" hidden="false" customHeight="false" outlineLevel="0" collapsed="false">
      <c r="A27" s="6" t="s">
        <v>555</v>
      </c>
      <c r="B27" s="35"/>
      <c r="C27" s="39"/>
      <c r="D27" s="40"/>
      <c r="E27" s="34"/>
      <c r="F27" s="34"/>
      <c r="G27" s="21"/>
      <c r="H27" s="34"/>
      <c r="I27" s="21"/>
      <c r="J27" s="34"/>
      <c r="K27" s="21"/>
      <c r="L27" s="21"/>
      <c r="M27" s="21"/>
      <c r="N27" s="21"/>
      <c r="O27" s="21"/>
      <c r="P27" s="34"/>
      <c r="Q27" s="34"/>
      <c r="R27" s="35"/>
      <c r="S27" s="34"/>
      <c r="T27" s="38" t="str">
        <f aca="true">IF(Q27&lt;&gt;"Yes","",IF(S27="Yes","Done",IF(R27="","Date missing",IF(R27&lt;TODAY(),"OVERDUE","Scheduled"))))</f>
        <v/>
      </c>
      <c r="U27" s="34"/>
      <c r="V27" s="34"/>
      <c r="W27" s="21"/>
    </row>
    <row r="28" customFormat="false" ht="15" hidden="false" customHeight="false" outlineLevel="0" collapsed="false">
      <c r="A28" s="6" t="s">
        <v>556</v>
      </c>
      <c r="B28" s="35"/>
      <c r="C28" s="39"/>
      <c r="D28" s="40"/>
      <c r="E28" s="34"/>
      <c r="F28" s="34"/>
      <c r="G28" s="21"/>
      <c r="H28" s="34"/>
      <c r="I28" s="21"/>
      <c r="J28" s="34"/>
      <c r="K28" s="21"/>
      <c r="L28" s="21"/>
      <c r="M28" s="21"/>
      <c r="N28" s="21"/>
      <c r="O28" s="21"/>
      <c r="P28" s="34"/>
      <c r="Q28" s="34"/>
      <c r="R28" s="35"/>
      <c r="S28" s="34"/>
      <c r="T28" s="38" t="str">
        <f aca="true">IF(Q28&lt;&gt;"Yes","",IF(S28="Yes","Done",IF(R28="","Date missing",IF(R28&lt;TODAY(),"OVERDUE","Scheduled"))))</f>
        <v/>
      </c>
      <c r="U28" s="34"/>
      <c r="V28" s="34"/>
      <c r="W28" s="21"/>
    </row>
    <row r="29" customFormat="false" ht="15" hidden="false" customHeight="false" outlineLevel="0" collapsed="false">
      <c r="A29" s="6" t="s">
        <v>557</v>
      </c>
      <c r="B29" s="35"/>
      <c r="C29" s="39"/>
      <c r="D29" s="40"/>
      <c r="E29" s="34"/>
      <c r="F29" s="34"/>
      <c r="G29" s="21"/>
      <c r="H29" s="34"/>
      <c r="I29" s="21"/>
      <c r="J29" s="34"/>
      <c r="K29" s="21"/>
      <c r="L29" s="21"/>
      <c r="M29" s="21"/>
      <c r="N29" s="21"/>
      <c r="O29" s="21"/>
      <c r="P29" s="34"/>
      <c r="Q29" s="34"/>
      <c r="R29" s="35"/>
      <c r="S29" s="34"/>
      <c r="T29" s="38" t="str">
        <f aca="true">IF(Q29&lt;&gt;"Yes","",IF(S29="Yes","Done",IF(R29="","Date missing",IF(R29&lt;TODAY(),"OVERDUE","Scheduled"))))</f>
        <v/>
      </c>
      <c r="U29" s="34"/>
      <c r="V29" s="34"/>
      <c r="W29" s="21"/>
    </row>
    <row r="30" customFormat="false" ht="15" hidden="false" customHeight="false" outlineLevel="0" collapsed="false">
      <c r="A30" s="6" t="s">
        <v>558</v>
      </c>
      <c r="B30" s="35"/>
      <c r="C30" s="39"/>
      <c r="D30" s="40"/>
      <c r="E30" s="34"/>
      <c r="F30" s="34"/>
      <c r="G30" s="21"/>
      <c r="H30" s="34"/>
      <c r="I30" s="21"/>
      <c r="J30" s="34"/>
      <c r="K30" s="21"/>
      <c r="L30" s="21"/>
      <c r="M30" s="21"/>
      <c r="N30" s="21"/>
      <c r="O30" s="21"/>
      <c r="P30" s="34"/>
      <c r="Q30" s="34"/>
      <c r="R30" s="35"/>
      <c r="S30" s="34"/>
      <c r="T30" s="38" t="str">
        <f aca="true">IF(Q30&lt;&gt;"Yes","",IF(S30="Yes","Done",IF(R30="","Date missing",IF(R30&lt;TODAY(),"OVERDUE","Scheduled"))))</f>
        <v/>
      </c>
      <c r="U30" s="34"/>
      <c r="V30" s="34"/>
      <c r="W30" s="21"/>
    </row>
    <row r="31" customFormat="false" ht="15" hidden="false" customHeight="false" outlineLevel="0" collapsed="false">
      <c r="A31" s="6" t="s">
        <v>559</v>
      </c>
      <c r="B31" s="35"/>
      <c r="C31" s="39"/>
      <c r="D31" s="40"/>
      <c r="E31" s="34"/>
      <c r="F31" s="34"/>
      <c r="G31" s="21"/>
      <c r="H31" s="34"/>
      <c r="I31" s="21"/>
      <c r="J31" s="34"/>
      <c r="K31" s="21"/>
      <c r="L31" s="21"/>
      <c r="M31" s="21"/>
      <c r="N31" s="21"/>
      <c r="O31" s="21"/>
      <c r="P31" s="34"/>
      <c r="Q31" s="34"/>
      <c r="R31" s="35"/>
      <c r="S31" s="34"/>
      <c r="T31" s="38" t="str">
        <f aca="true">IF(Q31&lt;&gt;"Yes","",IF(S31="Yes","Done",IF(R31="","Date missing",IF(R31&lt;TODAY(),"OVERDUE","Scheduled"))))</f>
        <v/>
      </c>
      <c r="U31" s="34"/>
      <c r="V31" s="34"/>
      <c r="W31" s="21"/>
    </row>
    <row r="32" customFormat="false" ht="15" hidden="false" customHeight="false" outlineLevel="0" collapsed="false">
      <c r="A32" s="6" t="s">
        <v>560</v>
      </c>
      <c r="B32" s="35"/>
      <c r="C32" s="39"/>
      <c r="D32" s="40"/>
      <c r="E32" s="34"/>
      <c r="F32" s="34"/>
      <c r="G32" s="21"/>
      <c r="H32" s="34"/>
      <c r="I32" s="21"/>
      <c r="J32" s="34"/>
      <c r="K32" s="21"/>
      <c r="L32" s="21"/>
      <c r="M32" s="21"/>
      <c r="N32" s="21"/>
      <c r="O32" s="21"/>
      <c r="P32" s="34"/>
      <c r="Q32" s="34"/>
      <c r="R32" s="35"/>
      <c r="S32" s="34"/>
      <c r="T32" s="38" t="str">
        <f aca="true">IF(Q32&lt;&gt;"Yes","",IF(S32="Yes","Done",IF(R32="","Date missing",IF(R32&lt;TODAY(),"OVERDUE","Scheduled"))))</f>
        <v/>
      </c>
      <c r="U32" s="34"/>
      <c r="V32" s="34"/>
      <c r="W32" s="21"/>
    </row>
    <row r="33" customFormat="false" ht="15" hidden="false" customHeight="false" outlineLevel="0" collapsed="false">
      <c r="A33" s="6" t="s">
        <v>561</v>
      </c>
      <c r="B33" s="35"/>
      <c r="C33" s="39"/>
      <c r="D33" s="40"/>
      <c r="E33" s="34"/>
      <c r="F33" s="34"/>
      <c r="G33" s="21"/>
      <c r="H33" s="34"/>
      <c r="I33" s="21"/>
      <c r="J33" s="34"/>
      <c r="K33" s="21"/>
      <c r="L33" s="21"/>
      <c r="M33" s="21"/>
      <c r="N33" s="21"/>
      <c r="O33" s="21"/>
      <c r="P33" s="34"/>
      <c r="Q33" s="34"/>
      <c r="R33" s="35"/>
      <c r="S33" s="34"/>
      <c r="T33" s="38" t="str">
        <f aca="true">IF(Q33&lt;&gt;"Yes","",IF(S33="Yes","Done",IF(R33="","Date missing",IF(R33&lt;TODAY(),"OVERDUE","Scheduled"))))</f>
        <v/>
      </c>
      <c r="U33" s="34"/>
      <c r="V33" s="34"/>
      <c r="W33" s="21"/>
    </row>
    <row r="34" customFormat="false" ht="15" hidden="false" customHeight="false" outlineLevel="0" collapsed="false">
      <c r="A34" s="6" t="s">
        <v>562</v>
      </c>
      <c r="B34" s="35"/>
      <c r="C34" s="39"/>
      <c r="D34" s="40"/>
      <c r="E34" s="34"/>
      <c r="F34" s="34"/>
      <c r="G34" s="21"/>
      <c r="H34" s="34"/>
      <c r="I34" s="21"/>
      <c r="J34" s="34"/>
      <c r="K34" s="21"/>
      <c r="L34" s="21"/>
      <c r="M34" s="21"/>
      <c r="N34" s="21"/>
      <c r="O34" s="21"/>
      <c r="P34" s="34"/>
      <c r="Q34" s="34"/>
      <c r="R34" s="35"/>
      <c r="S34" s="34"/>
      <c r="T34" s="38" t="str">
        <f aca="true">IF(Q34&lt;&gt;"Yes","",IF(S34="Yes","Done",IF(R34="","Date missing",IF(R34&lt;TODAY(),"OVERDUE","Scheduled"))))</f>
        <v/>
      </c>
      <c r="U34" s="34"/>
      <c r="V34" s="34"/>
      <c r="W34" s="21"/>
    </row>
    <row r="35" customFormat="false" ht="15" hidden="false" customHeight="false" outlineLevel="0" collapsed="false">
      <c r="A35" s="6" t="s">
        <v>563</v>
      </c>
      <c r="B35" s="35"/>
      <c r="C35" s="39"/>
      <c r="D35" s="40"/>
      <c r="E35" s="34"/>
      <c r="F35" s="34"/>
      <c r="G35" s="21"/>
      <c r="H35" s="34"/>
      <c r="I35" s="21"/>
      <c r="J35" s="34"/>
      <c r="K35" s="21"/>
      <c r="L35" s="21"/>
      <c r="M35" s="21"/>
      <c r="N35" s="21"/>
      <c r="O35" s="21"/>
      <c r="P35" s="34"/>
      <c r="Q35" s="34"/>
      <c r="R35" s="35"/>
      <c r="S35" s="34"/>
      <c r="T35" s="38" t="str">
        <f aca="true">IF(Q35&lt;&gt;"Yes","",IF(S35="Yes","Done",IF(R35="","Date missing",IF(R35&lt;TODAY(),"OVERDUE","Scheduled"))))</f>
        <v/>
      </c>
      <c r="U35" s="34"/>
      <c r="V35" s="34"/>
      <c r="W35" s="21"/>
    </row>
    <row r="36" customFormat="false" ht="15" hidden="false" customHeight="false" outlineLevel="0" collapsed="false">
      <c r="A36" s="6" t="s">
        <v>564</v>
      </c>
      <c r="B36" s="35"/>
      <c r="C36" s="39"/>
      <c r="D36" s="40"/>
      <c r="E36" s="34"/>
      <c r="F36" s="34"/>
      <c r="G36" s="21"/>
      <c r="H36" s="34"/>
      <c r="I36" s="21"/>
      <c r="J36" s="34"/>
      <c r="K36" s="21"/>
      <c r="L36" s="21"/>
      <c r="M36" s="21"/>
      <c r="N36" s="21"/>
      <c r="O36" s="21"/>
      <c r="P36" s="34"/>
      <c r="Q36" s="34"/>
      <c r="R36" s="35"/>
      <c r="S36" s="34"/>
      <c r="T36" s="38" t="str">
        <f aca="true">IF(Q36&lt;&gt;"Yes","",IF(S36="Yes","Done",IF(R36="","Date missing",IF(R36&lt;TODAY(),"OVERDUE","Scheduled"))))</f>
        <v/>
      </c>
      <c r="U36" s="34"/>
      <c r="V36" s="34"/>
      <c r="W36" s="21"/>
    </row>
    <row r="37" customFormat="false" ht="15" hidden="false" customHeight="false" outlineLevel="0" collapsed="false">
      <c r="A37" s="6" t="s">
        <v>565</v>
      </c>
      <c r="B37" s="35"/>
      <c r="C37" s="39"/>
      <c r="D37" s="40"/>
      <c r="E37" s="34"/>
      <c r="F37" s="34"/>
      <c r="G37" s="21"/>
      <c r="H37" s="34"/>
      <c r="I37" s="21"/>
      <c r="J37" s="34"/>
      <c r="K37" s="21"/>
      <c r="L37" s="21"/>
      <c r="M37" s="21"/>
      <c r="N37" s="21"/>
      <c r="O37" s="21"/>
      <c r="P37" s="34"/>
      <c r="Q37" s="34"/>
      <c r="R37" s="35"/>
      <c r="S37" s="34"/>
      <c r="T37" s="38" t="str">
        <f aca="true">IF(Q37&lt;&gt;"Yes","",IF(S37="Yes","Done",IF(R37="","Date missing",IF(R37&lt;TODAY(),"OVERDUE","Scheduled"))))</f>
        <v/>
      </c>
      <c r="U37" s="34"/>
      <c r="V37" s="34"/>
      <c r="W37" s="21"/>
    </row>
    <row r="38" customFormat="false" ht="15" hidden="false" customHeight="false" outlineLevel="0" collapsed="false">
      <c r="A38" s="6" t="s">
        <v>566</v>
      </c>
      <c r="B38" s="35"/>
      <c r="C38" s="39"/>
      <c r="D38" s="40"/>
      <c r="E38" s="34"/>
      <c r="F38" s="34"/>
      <c r="G38" s="21"/>
      <c r="H38" s="34"/>
      <c r="I38" s="21"/>
      <c r="J38" s="34"/>
      <c r="K38" s="21"/>
      <c r="L38" s="21"/>
      <c r="M38" s="21"/>
      <c r="N38" s="21"/>
      <c r="O38" s="21"/>
      <c r="P38" s="34"/>
      <c r="Q38" s="34"/>
      <c r="R38" s="35"/>
      <c r="S38" s="34"/>
      <c r="T38" s="38" t="str">
        <f aca="true">IF(Q38&lt;&gt;"Yes","",IF(S38="Yes","Done",IF(R38="","Date missing",IF(R38&lt;TODAY(),"OVERDUE","Scheduled"))))</f>
        <v/>
      </c>
      <c r="U38" s="34"/>
      <c r="V38" s="34"/>
      <c r="W38" s="21"/>
    </row>
    <row r="39" customFormat="false" ht="15" hidden="false" customHeight="false" outlineLevel="0" collapsed="false">
      <c r="A39" s="6" t="s">
        <v>567</v>
      </c>
      <c r="B39" s="35"/>
      <c r="C39" s="39"/>
      <c r="D39" s="40"/>
      <c r="E39" s="34"/>
      <c r="F39" s="34"/>
      <c r="G39" s="21"/>
      <c r="H39" s="34"/>
      <c r="I39" s="21"/>
      <c r="J39" s="34"/>
      <c r="K39" s="21"/>
      <c r="L39" s="21"/>
      <c r="M39" s="21"/>
      <c r="N39" s="21"/>
      <c r="O39" s="21"/>
      <c r="P39" s="34"/>
      <c r="Q39" s="34"/>
      <c r="R39" s="35"/>
      <c r="S39" s="34"/>
      <c r="T39" s="38" t="str">
        <f aca="true">IF(Q39&lt;&gt;"Yes","",IF(S39="Yes","Done",IF(R39="","Date missing",IF(R39&lt;TODAY(),"OVERDUE","Scheduled"))))</f>
        <v/>
      </c>
      <c r="U39" s="34"/>
      <c r="V39" s="34"/>
      <c r="W39" s="21"/>
    </row>
    <row r="40" customFormat="false" ht="15" hidden="false" customHeight="false" outlineLevel="0" collapsed="false">
      <c r="A40" s="6" t="s">
        <v>568</v>
      </c>
      <c r="B40" s="35"/>
      <c r="C40" s="39"/>
      <c r="D40" s="40"/>
      <c r="E40" s="34"/>
      <c r="F40" s="34"/>
      <c r="G40" s="21"/>
      <c r="H40" s="34"/>
      <c r="I40" s="21"/>
      <c r="J40" s="34"/>
      <c r="K40" s="21"/>
      <c r="L40" s="21"/>
      <c r="M40" s="21"/>
      <c r="N40" s="21"/>
      <c r="O40" s="21"/>
      <c r="P40" s="34"/>
      <c r="Q40" s="34"/>
      <c r="R40" s="35"/>
      <c r="S40" s="34"/>
      <c r="T40" s="38" t="str">
        <f aca="true">IF(Q40&lt;&gt;"Yes","",IF(S40="Yes","Done",IF(R40="","Date missing",IF(R40&lt;TODAY(),"OVERDUE","Scheduled"))))</f>
        <v/>
      </c>
      <c r="U40" s="34"/>
      <c r="V40" s="34"/>
      <c r="W40" s="21"/>
    </row>
    <row r="41" customFormat="false" ht="15" hidden="false" customHeight="false" outlineLevel="0" collapsed="false">
      <c r="A41" s="6" t="s">
        <v>569</v>
      </c>
      <c r="B41" s="35"/>
      <c r="C41" s="39"/>
      <c r="D41" s="40"/>
      <c r="E41" s="34"/>
      <c r="F41" s="34"/>
      <c r="G41" s="21"/>
      <c r="H41" s="34"/>
      <c r="I41" s="21"/>
      <c r="J41" s="34"/>
      <c r="K41" s="21"/>
      <c r="L41" s="21"/>
      <c r="M41" s="21"/>
      <c r="N41" s="21"/>
      <c r="O41" s="21"/>
      <c r="P41" s="34"/>
      <c r="Q41" s="34"/>
      <c r="R41" s="35"/>
      <c r="S41" s="34"/>
      <c r="T41" s="38" t="str">
        <f aca="true">IF(Q41&lt;&gt;"Yes","",IF(S41="Yes","Done",IF(R41="","Date missing",IF(R41&lt;TODAY(),"OVERDUE","Scheduled"))))</f>
        <v/>
      </c>
      <c r="U41" s="34"/>
      <c r="V41" s="34"/>
      <c r="W41" s="21"/>
    </row>
    <row r="42" customFormat="false" ht="15" hidden="false" customHeight="false" outlineLevel="0" collapsed="false">
      <c r="A42" s="6" t="s">
        <v>570</v>
      </c>
      <c r="B42" s="35"/>
      <c r="C42" s="39"/>
      <c r="D42" s="40"/>
      <c r="E42" s="34"/>
      <c r="F42" s="34"/>
      <c r="G42" s="21"/>
      <c r="H42" s="34"/>
      <c r="I42" s="21"/>
      <c r="J42" s="34"/>
      <c r="K42" s="21"/>
      <c r="L42" s="21"/>
      <c r="M42" s="21"/>
      <c r="N42" s="21"/>
      <c r="O42" s="21"/>
      <c r="P42" s="34"/>
      <c r="Q42" s="34"/>
      <c r="R42" s="35"/>
      <c r="S42" s="34"/>
      <c r="T42" s="38" t="str">
        <f aca="true">IF(Q42&lt;&gt;"Yes","",IF(S42="Yes","Done",IF(R42="","Date missing",IF(R42&lt;TODAY(),"OVERDUE","Scheduled"))))</f>
        <v/>
      </c>
      <c r="U42" s="34"/>
      <c r="V42" s="34"/>
      <c r="W42" s="21"/>
    </row>
    <row r="43" customFormat="false" ht="15" hidden="false" customHeight="false" outlineLevel="0" collapsed="false">
      <c r="A43" s="6" t="s">
        <v>571</v>
      </c>
      <c r="B43" s="35"/>
      <c r="C43" s="39"/>
      <c r="D43" s="40"/>
      <c r="E43" s="34"/>
      <c r="F43" s="34"/>
      <c r="G43" s="21"/>
      <c r="H43" s="34"/>
      <c r="I43" s="21"/>
      <c r="J43" s="34"/>
      <c r="K43" s="21"/>
      <c r="L43" s="21"/>
      <c r="M43" s="21"/>
      <c r="N43" s="21"/>
      <c r="O43" s="21"/>
      <c r="P43" s="34"/>
      <c r="Q43" s="34"/>
      <c r="R43" s="35"/>
      <c r="S43" s="34"/>
      <c r="T43" s="38" t="str">
        <f aca="true">IF(Q43&lt;&gt;"Yes","",IF(S43="Yes","Done",IF(R43="","Date missing",IF(R43&lt;TODAY(),"OVERDUE","Scheduled"))))</f>
        <v/>
      </c>
      <c r="U43" s="34"/>
      <c r="V43" s="34"/>
      <c r="W43" s="21"/>
    </row>
    <row r="44" customFormat="false" ht="15" hidden="false" customHeight="false" outlineLevel="0" collapsed="false">
      <c r="A44" s="6" t="s">
        <v>572</v>
      </c>
      <c r="B44" s="35"/>
      <c r="C44" s="39"/>
      <c r="D44" s="40"/>
      <c r="E44" s="34"/>
      <c r="F44" s="34"/>
      <c r="G44" s="21"/>
      <c r="H44" s="34"/>
      <c r="I44" s="21"/>
      <c r="J44" s="34"/>
      <c r="K44" s="21"/>
      <c r="L44" s="21"/>
      <c r="M44" s="21"/>
      <c r="N44" s="21"/>
      <c r="O44" s="21"/>
      <c r="P44" s="34"/>
      <c r="Q44" s="34"/>
      <c r="R44" s="35"/>
      <c r="S44" s="34"/>
      <c r="T44" s="38" t="str">
        <f aca="true">IF(Q44&lt;&gt;"Yes","",IF(S44="Yes","Done",IF(R44="","Date missing",IF(R44&lt;TODAY(),"OVERDUE","Scheduled"))))</f>
        <v/>
      </c>
      <c r="U44" s="34"/>
      <c r="V44" s="34"/>
      <c r="W44" s="21"/>
    </row>
    <row r="45" customFormat="false" ht="15" hidden="false" customHeight="false" outlineLevel="0" collapsed="false">
      <c r="A45" s="6" t="s">
        <v>573</v>
      </c>
      <c r="B45" s="35"/>
      <c r="C45" s="39"/>
      <c r="D45" s="40"/>
      <c r="E45" s="34"/>
      <c r="F45" s="34"/>
      <c r="G45" s="21"/>
      <c r="H45" s="34"/>
      <c r="I45" s="21"/>
      <c r="J45" s="34"/>
      <c r="K45" s="21"/>
      <c r="L45" s="21"/>
      <c r="M45" s="21"/>
      <c r="N45" s="21"/>
      <c r="O45" s="21"/>
      <c r="P45" s="34"/>
      <c r="Q45" s="34"/>
      <c r="R45" s="35"/>
      <c r="S45" s="34"/>
      <c r="T45" s="38" t="str">
        <f aca="true">IF(Q45&lt;&gt;"Yes","",IF(S45="Yes","Done",IF(R45="","Date missing",IF(R45&lt;TODAY(),"OVERDUE","Scheduled"))))</f>
        <v/>
      </c>
      <c r="U45" s="34"/>
      <c r="V45" s="34"/>
      <c r="W45" s="21"/>
    </row>
    <row r="46" customFormat="false" ht="15" hidden="false" customHeight="false" outlineLevel="0" collapsed="false">
      <c r="A46" s="6" t="s">
        <v>574</v>
      </c>
      <c r="B46" s="35"/>
      <c r="C46" s="39"/>
      <c r="D46" s="40"/>
      <c r="E46" s="34"/>
      <c r="F46" s="34"/>
      <c r="G46" s="21"/>
      <c r="H46" s="34"/>
      <c r="I46" s="21"/>
      <c r="J46" s="34"/>
      <c r="K46" s="21"/>
      <c r="L46" s="21"/>
      <c r="M46" s="21"/>
      <c r="N46" s="21"/>
      <c r="O46" s="21"/>
      <c r="P46" s="34"/>
      <c r="Q46" s="34"/>
      <c r="R46" s="35"/>
      <c r="S46" s="34"/>
      <c r="T46" s="38" t="str">
        <f aca="true">IF(Q46&lt;&gt;"Yes","",IF(S46="Yes","Done",IF(R46="","Date missing",IF(R46&lt;TODAY(),"OVERDUE","Scheduled"))))</f>
        <v/>
      </c>
      <c r="U46" s="34"/>
      <c r="V46" s="34"/>
      <c r="W46" s="21"/>
    </row>
    <row r="47" customFormat="false" ht="15" hidden="false" customHeight="false" outlineLevel="0" collapsed="false">
      <c r="A47" s="6" t="s">
        <v>575</v>
      </c>
      <c r="B47" s="35"/>
      <c r="C47" s="39"/>
      <c r="D47" s="40"/>
      <c r="E47" s="34"/>
      <c r="F47" s="34"/>
      <c r="G47" s="21"/>
      <c r="H47" s="34"/>
      <c r="I47" s="21"/>
      <c r="J47" s="34"/>
      <c r="K47" s="21"/>
      <c r="L47" s="21"/>
      <c r="M47" s="21"/>
      <c r="N47" s="21"/>
      <c r="O47" s="21"/>
      <c r="P47" s="34"/>
      <c r="Q47" s="34"/>
      <c r="R47" s="35"/>
      <c r="S47" s="34"/>
      <c r="T47" s="38" t="str">
        <f aca="true">IF(Q47&lt;&gt;"Yes","",IF(S47="Yes","Done",IF(R47="","Date missing",IF(R47&lt;TODAY(),"OVERDUE","Scheduled"))))</f>
        <v/>
      </c>
      <c r="U47" s="34"/>
      <c r="V47" s="34"/>
      <c r="W47" s="21"/>
    </row>
    <row r="48" customFormat="false" ht="15" hidden="false" customHeight="false" outlineLevel="0" collapsed="false">
      <c r="A48" s="6" t="s">
        <v>576</v>
      </c>
      <c r="B48" s="35"/>
      <c r="C48" s="39"/>
      <c r="D48" s="40"/>
      <c r="E48" s="34"/>
      <c r="F48" s="34"/>
      <c r="G48" s="21"/>
      <c r="H48" s="34"/>
      <c r="I48" s="21"/>
      <c r="J48" s="34"/>
      <c r="K48" s="21"/>
      <c r="L48" s="21"/>
      <c r="M48" s="21"/>
      <c r="N48" s="21"/>
      <c r="O48" s="21"/>
      <c r="P48" s="34"/>
      <c r="Q48" s="34"/>
      <c r="R48" s="35"/>
      <c r="S48" s="34"/>
      <c r="T48" s="38" t="str">
        <f aca="true">IF(Q48&lt;&gt;"Yes","",IF(S48="Yes","Done",IF(R48="","Date missing",IF(R48&lt;TODAY(),"OVERDUE","Scheduled"))))</f>
        <v/>
      </c>
      <c r="U48" s="34"/>
      <c r="V48" s="34"/>
      <c r="W48" s="21"/>
    </row>
    <row r="49" customFormat="false" ht="15" hidden="false" customHeight="false" outlineLevel="0" collapsed="false">
      <c r="A49" s="6" t="s">
        <v>577</v>
      </c>
      <c r="B49" s="35"/>
      <c r="C49" s="39"/>
      <c r="D49" s="40"/>
      <c r="E49" s="34"/>
      <c r="F49" s="34"/>
      <c r="G49" s="21"/>
      <c r="H49" s="34"/>
      <c r="I49" s="21"/>
      <c r="J49" s="34"/>
      <c r="K49" s="21"/>
      <c r="L49" s="21"/>
      <c r="M49" s="21"/>
      <c r="N49" s="21"/>
      <c r="O49" s="21"/>
      <c r="P49" s="34"/>
      <c r="Q49" s="34"/>
      <c r="R49" s="35"/>
      <c r="S49" s="34"/>
      <c r="T49" s="38" t="str">
        <f aca="true">IF(Q49&lt;&gt;"Yes","",IF(S49="Yes","Done",IF(R49="","Date missing",IF(R49&lt;TODAY(),"OVERDUE","Scheduled"))))</f>
        <v/>
      </c>
      <c r="U49" s="34"/>
      <c r="V49" s="34"/>
      <c r="W49" s="21"/>
    </row>
    <row r="50" customFormat="false" ht="15" hidden="false" customHeight="false" outlineLevel="0" collapsed="false">
      <c r="A50" s="6" t="s">
        <v>578</v>
      </c>
      <c r="B50" s="35"/>
      <c r="C50" s="39"/>
      <c r="D50" s="40"/>
      <c r="E50" s="34"/>
      <c r="F50" s="34"/>
      <c r="G50" s="21"/>
      <c r="H50" s="34"/>
      <c r="I50" s="21"/>
      <c r="J50" s="34"/>
      <c r="K50" s="21"/>
      <c r="L50" s="21"/>
      <c r="M50" s="21"/>
      <c r="N50" s="21"/>
      <c r="O50" s="21"/>
      <c r="P50" s="34"/>
      <c r="Q50" s="34"/>
      <c r="R50" s="35"/>
      <c r="S50" s="34"/>
      <c r="T50" s="38" t="str">
        <f aca="true">IF(Q50&lt;&gt;"Yes","",IF(S50="Yes","Done",IF(R50="","Date missing",IF(R50&lt;TODAY(),"OVERDUE","Scheduled"))))</f>
        <v/>
      </c>
      <c r="U50" s="34"/>
      <c r="V50" s="34"/>
      <c r="W50" s="21"/>
    </row>
    <row r="51" customFormat="false" ht="15" hidden="false" customHeight="false" outlineLevel="0" collapsed="false">
      <c r="A51" s="6" t="s">
        <v>579</v>
      </c>
      <c r="B51" s="35"/>
      <c r="C51" s="39"/>
      <c r="D51" s="40"/>
      <c r="E51" s="34"/>
      <c r="F51" s="34"/>
      <c r="G51" s="21"/>
      <c r="H51" s="34"/>
      <c r="I51" s="21"/>
      <c r="J51" s="34"/>
      <c r="K51" s="21"/>
      <c r="L51" s="21"/>
      <c r="M51" s="21"/>
      <c r="N51" s="21"/>
      <c r="O51" s="21"/>
      <c r="P51" s="34"/>
      <c r="Q51" s="34"/>
      <c r="R51" s="35"/>
      <c r="S51" s="34"/>
      <c r="T51" s="38" t="str">
        <f aca="true">IF(Q51&lt;&gt;"Yes","",IF(S51="Yes","Done",IF(R51="","Date missing",IF(R51&lt;TODAY(),"OVERDUE","Scheduled"))))</f>
        <v/>
      </c>
      <c r="U51" s="34"/>
      <c r="V51" s="34"/>
      <c r="W51" s="21"/>
    </row>
    <row r="52" customFormat="false" ht="15" hidden="false" customHeight="false" outlineLevel="0" collapsed="false">
      <c r="A52" s="6" t="s">
        <v>580</v>
      </c>
      <c r="B52" s="35"/>
      <c r="C52" s="39"/>
      <c r="D52" s="40"/>
      <c r="E52" s="34"/>
      <c r="F52" s="34"/>
      <c r="G52" s="21"/>
      <c r="H52" s="34"/>
      <c r="I52" s="21"/>
      <c r="J52" s="34"/>
      <c r="K52" s="21"/>
      <c r="L52" s="21"/>
      <c r="M52" s="21"/>
      <c r="N52" s="21"/>
      <c r="O52" s="21"/>
      <c r="P52" s="34"/>
      <c r="Q52" s="34"/>
      <c r="R52" s="35"/>
      <c r="S52" s="34"/>
      <c r="T52" s="38" t="str">
        <f aca="true">IF(Q52&lt;&gt;"Yes","",IF(S52="Yes","Done",IF(R52="","Date missing",IF(R52&lt;TODAY(),"OVERDUE","Scheduled"))))</f>
        <v/>
      </c>
      <c r="U52" s="34"/>
      <c r="V52" s="34"/>
      <c r="W52" s="21"/>
    </row>
    <row r="53" customFormat="false" ht="15" hidden="false" customHeight="false" outlineLevel="0" collapsed="false">
      <c r="A53" s="6" t="s">
        <v>581</v>
      </c>
      <c r="B53" s="35"/>
      <c r="C53" s="39"/>
      <c r="D53" s="40"/>
      <c r="E53" s="34"/>
      <c r="F53" s="34"/>
      <c r="G53" s="21"/>
      <c r="H53" s="34"/>
      <c r="I53" s="21"/>
      <c r="J53" s="34"/>
      <c r="K53" s="21"/>
      <c r="L53" s="21"/>
      <c r="M53" s="21"/>
      <c r="N53" s="21"/>
      <c r="O53" s="21"/>
      <c r="P53" s="34"/>
      <c r="Q53" s="34"/>
      <c r="R53" s="35"/>
      <c r="S53" s="34"/>
      <c r="T53" s="38" t="str">
        <f aca="true">IF(Q53&lt;&gt;"Yes","",IF(S53="Yes","Done",IF(R53="","Date missing",IF(R53&lt;TODAY(),"OVERDUE","Scheduled"))))</f>
        <v/>
      </c>
      <c r="U53" s="34"/>
      <c r="V53" s="34"/>
      <c r="W53" s="21"/>
    </row>
    <row r="54" customFormat="false" ht="15" hidden="false" customHeight="false" outlineLevel="0" collapsed="false">
      <c r="A54" s="6" t="s">
        <v>582</v>
      </c>
      <c r="B54" s="35"/>
      <c r="C54" s="39"/>
      <c r="D54" s="40"/>
      <c r="E54" s="34"/>
      <c r="F54" s="34"/>
      <c r="G54" s="21"/>
      <c r="H54" s="34"/>
      <c r="I54" s="21"/>
      <c r="J54" s="34"/>
      <c r="K54" s="21"/>
      <c r="L54" s="21"/>
      <c r="M54" s="21"/>
      <c r="N54" s="21"/>
      <c r="O54" s="21"/>
      <c r="P54" s="34"/>
      <c r="Q54" s="34"/>
      <c r="R54" s="35"/>
      <c r="S54" s="34"/>
      <c r="T54" s="38" t="str">
        <f aca="true">IF(Q54&lt;&gt;"Yes","",IF(S54="Yes","Done",IF(R54="","Date missing",IF(R54&lt;TODAY(),"OVERDUE","Scheduled"))))</f>
        <v/>
      </c>
      <c r="U54" s="34"/>
      <c r="V54" s="34"/>
      <c r="W54" s="21"/>
    </row>
    <row r="55" customFormat="false" ht="15" hidden="false" customHeight="false" outlineLevel="0" collapsed="false">
      <c r="A55" s="6" t="s">
        <v>583</v>
      </c>
      <c r="B55" s="35"/>
      <c r="C55" s="39"/>
      <c r="D55" s="40"/>
      <c r="E55" s="34"/>
      <c r="F55" s="34"/>
      <c r="G55" s="21"/>
      <c r="H55" s="34"/>
      <c r="I55" s="21"/>
      <c r="J55" s="34"/>
      <c r="K55" s="21"/>
      <c r="L55" s="21"/>
      <c r="M55" s="21"/>
      <c r="N55" s="21"/>
      <c r="O55" s="21"/>
      <c r="P55" s="34"/>
      <c r="Q55" s="34"/>
      <c r="R55" s="35"/>
      <c r="S55" s="34"/>
      <c r="T55" s="38" t="str">
        <f aca="true">IF(Q55&lt;&gt;"Yes","",IF(S55="Yes","Done",IF(R55="","Date missing",IF(R55&lt;TODAY(),"OVERDUE","Scheduled"))))</f>
        <v/>
      </c>
      <c r="U55" s="34"/>
      <c r="V55" s="34"/>
      <c r="W55" s="21"/>
    </row>
    <row r="56" customFormat="false" ht="15" hidden="false" customHeight="false" outlineLevel="0" collapsed="false">
      <c r="A56" s="6" t="s">
        <v>584</v>
      </c>
      <c r="B56" s="35"/>
      <c r="C56" s="39"/>
      <c r="D56" s="40"/>
      <c r="E56" s="34"/>
      <c r="F56" s="34"/>
      <c r="G56" s="21"/>
      <c r="H56" s="34"/>
      <c r="I56" s="21"/>
      <c r="J56" s="34"/>
      <c r="K56" s="21"/>
      <c r="L56" s="21"/>
      <c r="M56" s="21"/>
      <c r="N56" s="21"/>
      <c r="O56" s="21"/>
      <c r="P56" s="34"/>
      <c r="Q56" s="34"/>
      <c r="R56" s="35"/>
      <c r="S56" s="34"/>
      <c r="T56" s="38" t="str">
        <f aca="true">IF(Q56&lt;&gt;"Yes","",IF(S56="Yes","Done",IF(R56="","Date missing",IF(R56&lt;TODAY(),"OVERDUE","Scheduled"))))</f>
        <v/>
      </c>
      <c r="U56" s="34"/>
      <c r="V56" s="34"/>
      <c r="W56" s="21"/>
    </row>
    <row r="57" customFormat="false" ht="15" hidden="false" customHeight="false" outlineLevel="0" collapsed="false">
      <c r="A57" s="6" t="s">
        <v>585</v>
      </c>
      <c r="B57" s="35"/>
      <c r="C57" s="39"/>
      <c r="D57" s="40"/>
      <c r="E57" s="34"/>
      <c r="F57" s="34"/>
      <c r="G57" s="21"/>
      <c r="H57" s="34"/>
      <c r="I57" s="21"/>
      <c r="J57" s="34"/>
      <c r="K57" s="21"/>
      <c r="L57" s="21"/>
      <c r="M57" s="21"/>
      <c r="N57" s="21"/>
      <c r="O57" s="21"/>
      <c r="P57" s="34"/>
      <c r="Q57" s="34"/>
      <c r="R57" s="35"/>
      <c r="S57" s="34"/>
      <c r="T57" s="38" t="str">
        <f aca="true">IF(Q57&lt;&gt;"Yes","",IF(S57="Yes","Done",IF(R57="","Date missing",IF(R57&lt;TODAY(),"OVERDUE","Scheduled"))))</f>
        <v/>
      </c>
      <c r="U57" s="34"/>
      <c r="V57" s="34"/>
      <c r="W57" s="21"/>
    </row>
    <row r="58" customFormat="false" ht="15" hidden="false" customHeight="false" outlineLevel="0" collapsed="false">
      <c r="A58" s="6" t="s">
        <v>586</v>
      </c>
      <c r="B58" s="35"/>
      <c r="C58" s="39"/>
      <c r="D58" s="40"/>
      <c r="E58" s="34"/>
      <c r="F58" s="34"/>
      <c r="G58" s="21"/>
      <c r="H58" s="34"/>
      <c r="I58" s="21"/>
      <c r="J58" s="34"/>
      <c r="K58" s="21"/>
      <c r="L58" s="21"/>
      <c r="M58" s="21"/>
      <c r="N58" s="21"/>
      <c r="O58" s="21"/>
      <c r="P58" s="34"/>
      <c r="Q58" s="34"/>
      <c r="R58" s="35"/>
      <c r="S58" s="34"/>
      <c r="T58" s="38" t="str">
        <f aca="true">IF(Q58&lt;&gt;"Yes","",IF(S58="Yes","Done",IF(R58="","Date missing",IF(R58&lt;TODAY(),"OVERDUE","Scheduled"))))</f>
        <v/>
      </c>
      <c r="U58" s="34"/>
      <c r="V58" s="34"/>
      <c r="W58" s="21"/>
    </row>
    <row r="59" customFormat="false" ht="15" hidden="false" customHeight="false" outlineLevel="0" collapsed="false">
      <c r="A59" s="6" t="s">
        <v>587</v>
      </c>
      <c r="B59" s="35"/>
      <c r="C59" s="39"/>
      <c r="D59" s="40"/>
      <c r="E59" s="34"/>
      <c r="F59" s="34"/>
      <c r="G59" s="21"/>
      <c r="H59" s="34"/>
      <c r="I59" s="21"/>
      <c r="J59" s="34"/>
      <c r="K59" s="21"/>
      <c r="L59" s="21"/>
      <c r="M59" s="21"/>
      <c r="N59" s="21"/>
      <c r="O59" s="21"/>
      <c r="P59" s="34"/>
      <c r="Q59" s="34"/>
      <c r="R59" s="35"/>
      <c r="S59" s="34"/>
      <c r="T59" s="38" t="str">
        <f aca="true">IF(Q59&lt;&gt;"Yes","",IF(S59="Yes","Done",IF(R59="","Date missing",IF(R59&lt;TODAY(),"OVERDUE","Scheduled"))))</f>
        <v/>
      </c>
      <c r="U59" s="34"/>
      <c r="V59" s="34"/>
      <c r="W59" s="21"/>
    </row>
    <row r="60" customFormat="false" ht="15" hidden="false" customHeight="false" outlineLevel="0" collapsed="false">
      <c r="A60" s="6" t="s">
        <v>588</v>
      </c>
      <c r="B60" s="35"/>
      <c r="C60" s="39"/>
      <c r="D60" s="40"/>
      <c r="E60" s="34"/>
      <c r="F60" s="34"/>
      <c r="G60" s="21"/>
      <c r="H60" s="34"/>
      <c r="I60" s="21"/>
      <c r="J60" s="34"/>
      <c r="K60" s="21"/>
      <c r="L60" s="21"/>
      <c r="M60" s="21"/>
      <c r="N60" s="21"/>
      <c r="O60" s="21"/>
      <c r="P60" s="34"/>
      <c r="Q60" s="34"/>
      <c r="R60" s="35"/>
      <c r="S60" s="34"/>
      <c r="T60" s="38" t="str">
        <f aca="true">IF(Q60&lt;&gt;"Yes","",IF(S60="Yes","Done",IF(R60="","Date missing",IF(R60&lt;TODAY(),"OVERDUE","Scheduled"))))</f>
        <v/>
      </c>
      <c r="U60" s="34"/>
      <c r="V60" s="34"/>
      <c r="W60" s="21"/>
    </row>
    <row r="61" customFormat="false" ht="15" hidden="false" customHeight="false" outlineLevel="0" collapsed="false">
      <c r="A61" s="6" t="s">
        <v>589</v>
      </c>
      <c r="B61" s="35"/>
      <c r="C61" s="39"/>
      <c r="D61" s="40"/>
      <c r="E61" s="34"/>
      <c r="F61" s="34"/>
      <c r="G61" s="21"/>
      <c r="H61" s="34"/>
      <c r="I61" s="21"/>
      <c r="J61" s="34"/>
      <c r="K61" s="21"/>
      <c r="L61" s="21"/>
      <c r="M61" s="21"/>
      <c r="N61" s="21"/>
      <c r="O61" s="21"/>
      <c r="P61" s="34"/>
      <c r="Q61" s="34"/>
      <c r="R61" s="35"/>
      <c r="S61" s="34"/>
      <c r="T61" s="38" t="str">
        <f aca="true">IF(Q61&lt;&gt;"Yes","",IF(S61="Yes","Done",IF(R61="","Date missing",IF(R61&lt;TODAY(),"OVERDUE","Scheduled"))))</f>
        <v/>
      </c>
      <c r="U61" s="34"/>
      <c r="V61" s="34"/>
      <c r="W61" s="21"/>
    </row>
    <row r="62" customFormat="false" ht="15" hidden="false" customHeight="false" outlineLevel="0" collapsed="false">
      <c r="A62" s="6" t="s">
        <v>590</v>
      </c>
      <c r="B62" s="35"/>
      <c r="C62" s="39"/>
      <c r="D62" s="40"/>
      <c r="E62" s="34"/>
      <c r="F62" s="34"/>
      <c r="G62" s="21"/>
      <c r="H62" s="34"/>
      <c r="I62" s="21"/>
      <c r="J62" s="34"/>
      <c r="K62" s="21"/>
      <c r="L62" s="21"/>
      <c r="M62" s="21"/>
      <c r="N62" s="21"/>
      <c r="O62" s="21"/>
      <c r="P62" s="34"/>
      <c r="Q62" s="34"/>
      <c r="R62" s="35"/>
      <c r="S62" s="34"/>
      <c r="T62" s="38" t="str">
        <f aca="true">IF(Q62&lt;&gt;"Yes","",IF(S62="Yes","Done",IF(R62="","Date missing",IF(R62&lt;TODAY(),"OVERDUE","Scheduled"))))</f>
        <v/>
      </c>
      <c r="U62" s="34"/>
      <c r="V62" s="34"/>
      <c r="W62" s="21"/>
    </row>
    <row r="63" customFormat="false" ht="15" hidden="false" customHeight="false" outlineLevel="0" collapsed="false">
      <c r="A63" s="6" t="s">
        <v>591</v>
      </c>
      <c r="B63" s="35"/>
      <c r="C63" s="39"/>
      <c r="D63" s="40"/>
      <c r="E63" s="34"/>
      <c r="F63" s="34"/>
      <c r="G63" s="21"/>
      <c r="H63" s="34"/>
      <c r="I63" s="21"/>
      <c r="J63" s="34"/>
      <c r="K63" s="21"/>
      <c r="L63" s="21"/>
      <c r="M63" s="21"/>
      <c r="N63" s="21"/>
      <c r="O63" s="21"/>
      <c r="P63" s="34"/>
      <c r="Q63" s="34"/>
      <c r="R63" s="35"/>
      <c r="S63" s="34"/>
      <c r="T63" s="38" t="str">
        <f aca="true">IF(Q63&lt;&gt;"Yes","",IF(S63="Yes","Done",IF(R63="","Date missing",IF(R63&lt;TODAY(),"OVERDUE","Scheduled"))))</f>
        <v/>
      </c>
      <c r="U63" s="34"/>
      <c r="V63" s="34"/>
      <c r="W63" s="21"/>
    </row>
    <row r="64" customFormat="false" ht="15" hidden="false" customHeight="false" outlineLevel="0" collapsed="false">
      <c r="A64" s="6" t="s">
        <v>592</v>
      </c>
      <c r="B64" s="35"/>
      <c r="C64" s="39"/>
      <c r="D64" s="40"/>
      <c r="E64" s="34"/>
      <c r="F64" s="34"/>
      <c r="G64" s="21"/>
      <c r="H64" s="34"/>
      <c r="I64" s="21"/>
      <c r="J64" s="34"/>
      <c r="K64" s="21"/>
      <c r="L64" s="21"/>
      <c r="M64" s="21"/>
      <c r="N64" s="21"/>
      <c r="O64" s="21"/>
      <c r="P64" s="34"/>
      <c r="Q64" s="34"/>
      <c r="R64" s="35"/>
      <c r="S64" s="34"/>
      <c r="T64" s="38" t="str">
        <f aca="true">IF(Q64&lt;&gt;"Yes","",IF(S64="Yes","Done",IF(R64="","Date missing",IF(R64&lt;TODAY(),"OVERDUE","Scheduled"))))</f>
        <v/>
      </c>
      <c r="U64" s="34"/>
      <c r="V64" s="34"/>
      <c r="W64" s="21"/>
    </row>
    <row r="65" customFormat="false" ht="15" hidden="false" customHeight="false" outlineLevel="0" collapsed="false">
      <c r="A65" s="6" t="s">
        <v>593</v>
      </c>
      <c r="B65" s="35"/>
      <c r="C65" s="39"/>
      <c r="D65" s="40"/>
      <c r="E65" s="34"/>
      <c r="F65" s="34"/>
      <c r="G65" s="21"/>
      <c r="H65" s="34"/>
      <c r="I65" s="21"/>
      <c r="J65" s="34"/>
      <c r="K65" s="21"/>
      <c r="L65" s="21"/>
      <c r="M65" s="21"/>
      <c r="N65" s="21"/>
      <c r="O65" s="21"/>
      <c r="P65" s="34"/>
      <c r="Q65" s="34"/>
      <c r="R65" s="35"/>
      <c r="S65" s="34"/>
      <c r="T65" s="38" t="str">
        <f aca="true">IF(Q65&lt;&gt;"Yes","",IF(S65="Yes","Done",IF(R65="","Date missing",IF(R65&lt;TODAY(),"OVERDUE","Scheduled"))))</f>
        <v/>
      </c>
      <c r="U65" s="34"/>
      <c r="V65" s="34"/>
      <c r="W65" s="21"/>
    </row>
    <row r="66" customFormat="false" ht="15" hidden="false" customHeight="false" outlineLevel="0" collapsed="false">
      <c r="A66" s="6" t="s">
        <v>594</v>
      </c>
      <c r="B66" s="35"/>
      <c r="C66" s="39"/>
      <c r="D66" s="40"/>
      <c r="E66" s="34"/>
      <c r="F66" s="34"/>
      <c r="G66" s="21"/>
      <c r="H66" s="34"/>
      <c r="I66" s="21"/>
      <c r="J66" s="34"/>
      <c r="K66" s="21"/>
      <c r="L66" s="21"/>
      <c r="M66" s="21"/>
      <c r="N66" s="21"/>
      <c r="O66" s="21"/>
      <c r="P66" s="34"/>
      <c r="Q66" s="34"/>
      <c r="R66" s="35"/>
      <c r="S66" s="34"/>
      <c r="T66" s="38" t="str">
        <f aca="true">IF(Q66&lt;&gt;"Yes","",IF(S66="Yes","Done",IF(R66="","Date missing",IF(R66&lt;TODAY(),"OVERDUE","Scheduled"))))</f>
        <v/>
      </c>
      <c r="U66" s="34"/>
      <c r="V66" s="34"/>
      <c r="W66" s="21"/>
    </row>
    <row r="67" customFormat="false" ht="15" hidden="false" customHeight="false" outlineLevel="0" collapsed="false">
      <c r="A67" s="6" t="s">
        <v>595</v>
      </c>
      <c r="B67" s="35"/>
      <c r="C67" s="39"/>
      <c r="D67" s="40"/>
      <c r="E67" s="34"/>
      <c r="F67" s="34"/>
      <c r="G67" s="21"/>
      <c r="H67" s="34"/>
      <c r="I67" s="21"/>
      <c r="J67" s="34"/>
      <c r="K67" s="21"/>
      <c r="L67" s="21"/>
      <c r="M67" s="21"/>
      <c r="N67" s="21"/>
      <c r="O67" s="21"/>
      <c r="P67" s="34"/>
      <c r="Q67" s="34"/>
      <c r="R67" s="35"/>
      <c r="S67" s="34"/>
      <c r="T67" s="38" t="str">
        <f aca="true">IF(Q67&lt;&gt;"Yes","",IF(S67="Yes","Done",IF(R67="","Date missing",IF(R67&lt;TODAY(),"OVERDUE","Scheduled"))))</f>
        <v/>
      </c>
      <c r="U67" s="34"/>
      <c r="V67" s="34"/>
      <c r="W67" s="21"/>
    </row>
    <row r="68" customFormat="false" ht="15" hidden="false" customHeight="false" outlineLevel="0" collapsed="false">
      <c r="A68" s="6" t="s">
        <v>596</v>
      </c>
      <c r="B68" s="35"/>
      <c r="C68" s="39"/>
      <c r="D68" s="40"/>
      <c r="E68" s="34"/>
      <c r="F68" s="34"/>
      <c r="G68" s="21"/>
      <c r="H68" s="34"/>
      <c r="I68" s="21"/>
      <c r="J68" s="34"/>
      <c r="K68" s="21"/>
      <c r="L68" s="21"/>
      <c r="M68" s="21"/>
      <c r="N68" s="21"/>
      <c r="O68" s="21"/>
      <c r="P68" s="34"/>
      <c r="Q68" s="34"/>
      <c r="R68" s="35"/>
      <c r="S68" s="34"/>
      <c r="T68" s="38" t="str">
        <f aca="true">IF(Q68&lt;&gt;"Yes","",IF(S68="Yes","Done",IF(R68="","Date missing",IF(R68&lt;TODAY(),"OVERDUE","Scheduled"))))</f>
        <v/>
      </c>
      <c r="U68" s="34"/>
      <c r="V68" s="34"/>
      <c r="W68" s="21"/>
    </row>
    <row r="69" customFormat="false" ht="15" hidden="false" customHeight="false" outlineLevel="0" collapsed="false">
      <c r="A69" s="6" t="s">
        <v>597</v>
      </c>
      <c r="B69" s="35"/>
      <c r="C69" s="39"/>
      <c r="D69" s="40"/>
      <c r="E69" s="34"/>
      <c r="F69" s="34"/>
      <c r="G69" s="21"/>
      <c r="H69" s="34"/>
      <c r="I69" s="21"/>
      <c r="J69" s="34"/>
      <c r="K69" s="21"/>
      <c r="L69" s="21"/>
      <c r="M69" s="21"/>
      <c r="N69" s="21"/>
      <c r="O69" s="21"/>
      <c r="P69" s="34"/>
      <c r="Q69" s="34"/>
      <c r="R69" s="35"/>
      <c r="S69" s="34"/>
      <c r="T69" s="38" t="str">
        <f aca="true">IF(Q69&lt;&gt;"Yes","",IF(S69="Yes","Done",IF(R69="","Date missing",IF(R69&lt;TODAY(),"OVERDUE","Scheduled"))))</f>
        <v/>
      </c>
      <c r="U69" s="34"/>
      <c r="V69" s="34"/>
      <c r="W69" s="21"/>
    </row>
    <row r="70" customFormat="false" ht="15" hidden="false" customHeight="false" outlineLevel="0" collapsed="false">
      <c r="A70" s="6" t="s">
        <v>598</v>
      </c>
      <c r="B70" s="35"/>
      <c r="C70" s="39"/>
      <c r="D70" s="40"/>
      <c r="E70" s="34"/>
      <c r="F70" s="34"/>
      <c r="G70" s="21"/>
      <c r="H70" s="34"/>
      <c r="I70" s="21"/>
      <c r="J70" s="34"/>
      <c r="K70" s="21"/>
      <c r="L70" s="21"/>
      <c r="M70" s="21"/>
      <c r="N70" s="21"/>
      <c r="O70" s="21"/>
      <c r="P70" s="34"/>
      <c r="Q70" s="34"/>
      <c r="R70" s="35"/>
      <c r="S70" s="34"/>
      <c r="T70" s="38" t="str">
        <f aca="true">IF(Q70&lt;&gt;"Yes","",IF(S70="Yes","Done",IF(R70="","Date missing",IF(R70&lt;TODAY(),"OVERDUE","Scheduled"))))</f>
        <v/>
      </c>
      <c r="U70" s="34"/>
      <c r="V70" s="34"/>
      <c r="W70" s="21"/>
    </row>
    <row r="71" customFormat="false" ht="15" hidden="false" customHeight="false" outlineLevel="0" collapsed="false">
      <c r="A71" s="6" t="s">
        <v>599</v>
      </c>
      <c r="B71" s="35"/>
      <c r="C71" s="39"/>
      <c r="D71" s="40"/>
      <c r="E71" s="34"/>
      <c r="F71" s="34"/>
      <c r="G71" s="21"/>
      <c r="H71" s="34"/>
      <c r="I71" s="21"/>
      <c r="J71" s="34"/>
      <c r="K71" s="21"/>
      <c r="L71" s="21"/>
      <c r="M71" s="21"/>
      <c r="N71" s="21"/>
      <c r="O71" s="21"/>
      <c r="P71" s="34"/>
      <c r="Q71" s="34"/>
      <c r="R71" s="35"/>
      <c r="S71" s="34"/>
      <c r="T71" s="38" t="str">
        <f aca="true">IF(Q71&lt;&gt;"Yes","",IF(S71="Yes","Done",IF(R71="","Date missing",IF(R71&lt;TODAY(),"OVERDUE","Scheduled"))))</f>
        <v/>
      </c>
      <c r="U71" s="34"/>
      <c r="V71" s="34"/>
      <c r="W71" s="21"/>
    </row>
    <row r="72" customFormat="false" ht="15" hidden="false" customHeight="false" outlineLevel="0" collapsed="false">
      <c r="A72" s="6" t="s">
        <v>600</v>
      </c>
      <c r="B72" s="35"/>
      <c r="C72" s="39"/>
      <c r="D72" s="40"/>
      <c r="E72" s="34"/>
      <c r="F72" s="34"/>
      <c r="G72" s="21"/>
      <c r="H72" s="34"/>
      <c r="I72" s="21"/>
      <c r="J72" s="34"/>
      <c r="K72" s="21"/>
      <c r="L72" s="21"/>
      <c r="M72" s="21"/>
      <c r="N72" s="21"/>
      <c r="O72" s="21"/>
      <c r="P72" s="34"/>
      <c r="Q72" s="34"/>
      <c r="R72" s="35"/>
      <c r="S72" s="34"/>
      <c r="T72" s="38" t="str">
        <f aca="true">IF(Q72&lt;&gt;"Yes","",IF(S72="Yes","Done",IF(R72="","Date missing",IF(R72&lt;TODAY(),"OVERDUE","Scheduled"))))</f>
        <v/>
      </c>
      <c r="U72" s="34"/>
      <c r="V72" s="34"/>
      <c r="W72" s="21"/>
    </row>
    <row r="73" customFormat="false" ht="15" hidden="false" customHeight="false" outlineLevel="0" collapsed="false">
      <c r="A73" s="6" t="s">
        <v>601</v>
      </c>
      <c r="B73" s="35"/>
      <c r="C73" s="39"/>
      <c r="D73" s="40"/>
      <c r="E73" s="34"/>
      <c r="F73" s="34"/>
      <c r="G73" s="21"/>
      <c r="H73" s="34"/>
      <c r="I73" s="21"/>
      <c r="J73" s="34"/>
      <c r="K73" s="21"/>
      <c r="L73" s="21"/>
      <c r="M73" s="21"/>
      <c r="N73" s="21"/>
      <c r="O73" s="21"/>
      <c r="P73" s="34"/>
      <c r="Q73" s="34"/>
      <c r="R73" s="35"/>
      <c r="S73" s="34"/>
      <c r="T73" s="38" t="str">
        <f aca="true">IF(Q73&lt;&gt;"Yes","",IF(S73="Yes","Done",IF(R73="","Date missing",IF(R73&lt;TODAY(),"OVERDUE","Scheduled"))))</f>
        <v/>
      </c>
      <c r="U73" s="34"/>
      <c r="V73" s="34"/>
      <c r="W73" s="21"/>
    </row>
    <row r="74" customFormat="false" ht="15" hidden="false" customHeight="false" outlineLevel="0" collapsed="false">
      <c r="A74" s="6" t="s">
        <v>602</v>
      </c>
      <c r="B74" s="35"/>
      <c r="C74" s="39"/>
      <c r="D74" s="40"/>
      <c r="E74" s="34"/>
      <c r="F74" s="34"/>
      <c r="G74" s="21"/>
      <c r="H74" s="34"/>
      <c r="I74" s="21"/>
      <c r="J74" s="34"/>
      <c r="K74" s="21"/>
      <c r="L74" s="21"/>
      <c r="M74" s="21"/>
      <c r="N74" s="21"/>
      <c r="O74" s="21"/>
      <c r="P74" s="34"/>
      <c r="Q74" s="34"/>
      <c r="R74" s="35"/>
      <c r="S74" s="34"/>
      <c r="T74" s="38" t="str">
        <f aca="true">IF(Q74&lt;&gt;"Yes","",IF(S74="Yes","Done",IF(R74="","Date missing",IF(R74&lt;TODAY(),"OVERDUE","Scheduled"))))</f>
        <v/>
      </c>
      <c r="U74" s="34"/>
      <c r="V74" s="34"/>
      <c r="W74" s="21"/>
    </row>
    <row r="75" customFormat="false" ht="15" hidden="false" customHeight="false" outlineLevel="0" collapsed="false">
      <c r="A75" s="6" t="s">
        <v>603</v>
      </c>
      <c r="B75" s="35"/>
      <c r="C75" s="39"/>
      <c r="D75" s="40"/>
      <c r="E75" s="34"/>
      <c r="F75" s="34"/>
      <c r="G75" s="21"/>
      <c r="H75" s="34"/>
      <c r="I75" s="21"/>
      <c r="J75" s="34"/>
      <c r="K75" s="21"/>
      <c r="L75" s="21"/>
      <c r="M75" s="21"/>
      <c r="N75" s="21"/>
      <c r="O75" s="21"/>
      <c r="P75" s="34"/>
      <c r="Q75" s="34"/>
      <c r="R75" s="35"/>
      <c r="S75" s="34"/>
      <c r="T75" s="38" t="str">
        <f aca="true">IF(Q75&lt;&gt;"Yes","",IF(S75="Yes","Done",IF(R75="","Date missing",IF(R75&lt;TODAY(),"OVERDUE","Scheduled"))))</f>
        <v/>
      </c>
      <c r="U75" s="34"/>
      <c r="V75" s="34"/>
      <c r="W75" s="21"/>
    </row>
    <row r="76" customFormat="false" ht="15" hidden="false" customHeight="false" outlineLevel="0" collapsed="false">
      <c r="A76" s="6" t="s">
        <v>604</v>
      </c>
      <c r="B76" s="35"/>
      <c r="C76" s="39"/>
      <c r="D76" s="40"/>
      <c r="E76" s="34"/>
      <c r="F76" s="34"/>
      <c r="G76" s="21"/>
      <c r="H76" s="34"/>
      <c r="I76" s="21"/>
      <c r="J76" s="34"/>
      <c r="K76" s="21"/>
      <c r="L76" s="21"/>
      <c r="M76" s="21"/>
      <c r="N76" s="21"/>
      <c r="O76" s="21"/>
      <c r="P76" s="34"/>
      <c r="Q76" s="34"/>
      <c r="R76" s="35"/>
      <c r="S76" s="34"/>
      <c r="T76" s="38" t="str">
        <f aca="true">IF(Q76&lt;&gt;"Yes","",IF(S76="Yes","Done",IF(R76="","Date missing",IF(R76&lt;TODAY(),"OVERDUE","Scheduled"))))</f>
        <v/>
      </c>
      <c r="U76" s="34"/>
      <c r="V76" s="34"/>
      <c r="W76" s="21"/>
    </row>
    <row r="77" customFormat="false" ht="15" hidden="false" customHeight="false" outlineLevel="0" collapsed="false">
      <c r="A77" s="6" t="s">
        <v>605</v>
      </c>
      <c r="B77" s="35"/>
      <c r="C77" s="39"/>
      <c r="D77" s="40"/>
      <c r="E77" s="34"/>
      <c r="F77" s="34"/>
      <c r="G77" s="21"/>
      <c r="H77" s="34"/>
      <c r="I77" s="21"/>
      <c r="J77" s="34"/>
      <c r="K77" s="21"/>
      <c r="L77" s="21"/>
      <c r="M77" s="21"/>
      <c r="N77" s="21"/>
      <c r="O77" s="21"/>
      <c r="P77" s="34"/>
      <c r="Q77" s="34"/>
      <c r="R77" s="35"/>
      <c r="S77" s="34"/>
      <c r="T77" s="38" t="str">
        <f aca="true">IF(Q77&lt;&gt;"Yes","",IF(S77="Yes","Done",IF(R77="","Date missing",IF(R77&lt;TODAY(),"OVERDUE","Scheduled"))))</f>
        <v/>
      </c>
      <c r="U77" s="34"/>
      <c r="V77" s="34"/>
      <c r="W77" s="21"/>
    </row>
    <row r="78" customFormat="false" ht="15" hidden="false" customHeight="false" outlineLevel="0" collapsed="false">
      <c r="A78" s="6" t="s">
        <v>606</v>
      </c>
      <c r="B78" s="35"/>
      <c r="C78" s="39"/>
      <c r="D78" s="40"/>
      <c r="E78" s="34"/>
      <c r="F78" s="34"/>
      <c r="G78" s="21"/>
      <c r="H78" s="34"/>
      <c r="I78" s="21"/>
      <c r="J78" s="34"/>
      <c r="K78" s="21"/>
      <c r="L78" s="21"/>
      <c r="M78" s="21"/>
      <c r="N78" s="21"/>
      <c r="O78" s="21"/>
      <c r="P78" s="34"/>
      <c r="Q78" s="34"/>
      <c r="R78" s="35"/>
      <c r="S78" s="34"/>
      <c r="T78" s="38" t="str">
        <f aca="true">IF(Q78&lt;&gt;"Yes","",IF(S78="Yes","Done",IF(R78="","Date missing",IF(R78&lt;TODAY(),"OVERDUE","Scheduled"))))</f>
        <v/>
      </c>
      <c r="U78" s="34"/>
      <c r="V78" s="34"/>
      <c r="W78" s="21"/>
    </row>
    <row r="79" customFormat="false" ht="15" hidden="false" customHeight="false" outlineLevel="0" collapsed="false">
      <c r="A79" s="6" t="s">
        <v>607</v>
      </c>
      <c r="B79" s="35"/>
      <c r="C79" s="39"/>
      <c r="D79" s="40"/>
      <c r="E79" s="34"/>
      <c r="F79" s="34"/>
      <c r="G79" s="21"/>
      <c r="H79" s="34"/>
      <c r="I79" s="21"/>
      <c r="J79" s="34"/>
      <c r="K79" s="21"/>
      <c r="L79" s="21"/>
      <c r="M79" s="21"/>
      <c r="N79" s="21"/>
      <c r="O79" s="21"/>
      <c r="P79" s="34"/>
      <c r="Q79" s="34"/>
      <c r="R79" s="35"/>
      <c r="S79" s="34"/>
      <c r="T79" s="38" t="str">
        <f aca="true">IF(Q79&lt;&gt;"Yes","",IF(S79="Yes","Done",IF(R79="","Date missing",IF(R79&lt;TODAY(),"OVERDUE","Scheduled"))))</f>
        <v/>
      </c>
      <c r="U79" s="34"/>
      <c r="V79" s="34"/>
      <c r="W79" s="21"/>
    </row>
    <row r="80" customFormat="false" ht="15" hidden="false" customHeight="false" outlineLevel="0" collapsed="false">
      <c r="A80" s="6" t="s">
        <v>608</v>
      </c>
      <c r="B80" s="35"/>
      <c r="C80" s="39"/>
      <c r="D80" s="40"/>
      <c r="E80" s="34"/>
      <c r="F80" s="34"/>
      <c r="G80" s="21"/>
      <c r="H80" s="34"/>
      <c r="I80" s="21"/>
      <c r="J80" s="34"/>
      <c r="K80" s="21"/>
      <c r="L80" s="21"/>
      <c r="M80" s="21"/>
      <c r="N80" s="21"/>
      <c r="O80" s="21"/>
      <c r="P80" s="34"/>
      <c r="Q80" s="34"/>
      <c r="R80" s="35"/>
      <c r="S80" s="34"/>
      <c r="T80" s="38" t="str">
        <f aca="true">IF(Q80&lt;&gt;"Yes","",IF(S80="Yes","Done",IF(R80="","Date missing",IF(R80&lt;TODAY(),"OVERDUE","Scheduled"))))</f>
        <v/>
      </c>
      <c r="U80" s="34"/>
      <c r="V80" s="34"/>
      <c r="W80" s="21"/>
    </row>
    <row r="81" customFormat="false" ht="15" hidden="false" customHeight="false" outlineLevel="0" collapsed="false">
      <c r="A81" s="6" t="s">
        <v>609</v>
      </c>
      <c r="B81" s="35"/>
      <c r="C81" s="39"/>
      <c r="D81" s="40"/>
      <c r="E81" s="34"/>
      <c r="F81" s="34"/>
      <c r="G81" s="21"/>
      <c r="H81" s="34"/>
      <c r="I81" s="21"/>
      <c r="J81" s="34"/>
      <c r="K81" s="21"/>
      <c r="L81" s="21"/>
      <c r="M81" s="21"/>
      <c r="N81" s="21"/>
      <c r="O81" s="21"/>
      <c r="P81" s="34"/>
      <c r="Q81" s="34"/>
      <c r="R81" s="35"/>
      <c r="S81" s="34"/>
      <c r="T81" s="38" t="str">
        <f aca="true">IF(Q81&lt;&gt;"Yes","",IF(S81="Yes","Done",IF(R81="","Date missing",IF(R81&lt;TODAY(),"OVERDUE","Scheduled"))))</f>
        <v/>
      </c>
      <c r="U81" s="34"/>
      <c r="V81" s="34"/>
      <c r="W81" s="21"/>
    </row>
    <row r="82" customFormat="false" ht="15" hidden="false" customHeight="false" outlineLevel="0" collapsed="false">
      <c r="A82" s="6" t="s">
        <v>610</v>
      </c>
      <c r="B82" s="35"/>
      <c r="C82" s="39"/>
      <c r="D82" s="40"/>
      <c r="E82" s="34"/>
      <c r="F82" s="34"/>
      <c r="G82" s="21"/>
      <c r="H82" s="34"/>
      <c r="I82" s="21"/>
      <c r="J82" s="34"/>
      <c r="K82" s="21"/>
      <c r="L82" s="21"/>
      <c r="M82" s="21"/>
      <c r="N82" s="21"/>
      <c r="O82" s="21"/>
      <c r="P82" s="34"/>
      <c r="Q82" s="34"/>
      <c r="R82" s="35"/>
      <c r="S82" s="34"/>
      <c r="T82" s="38" t="str">
        <f aca="true">IF(Q82&lt;&gt;"Yes","",IF(S82="Yes","Done",IF(R82="","Date missing",IF(R82&lt;TODAY(),"OVERDUE","Scheduled"))))</f>
        <v/>
      </c>
      <c r="U82" s="34"/>
      <c r="V82" s="34"/>
      <c r="W82" s="21"/>
    </row>
    <row r="83" customFormat="false" ht="15" hidden="false" customHeight="false" outlineLevel="0" collapsed="false">
      <c r="A83" s="6" t="s">
        <v>611</v>
      </c>
      <c r="B83" s="35"/>
      <c r="C83" s="39"/>
      <c r="D83" s="40"/>
      <c r="E83" s="34"/>
      <c r="F83" s="34"/>
      <c r="G83" s="21"/>
      <c r="H83" s="34"/>
      <c r="I83" s="21"/>
      <c r="J83" s="34"/>
      <c r="K83" s="21"/>
      <c r="L83" s="21"/>
      <c r="M83" s="21"/>
      <c r="N83" s="21"/>
      <c r="O83" s="21"/>
      <c r="P83" s="34"/>
      <c r="Q83" s="34"/>
      <c r="R83" s="35"/>
      <c r="S83" s="34"/>
      <c r="T83" s="38" t="str">
        <f aca="true">IF(Q83&lt;&gt;"Yes","",IF(S83="Yes","Done",IF(R83="","Date missing",IF(R83&lt;TODAY(),"OVERDUE","Scheduled"))))</f>
        <v/>
      </c>
      <c r="U83" s="34"/>
      <c r="V83" s="34"/>
      <c r="W83" s="21"/>
    </row>
    <row r="84" customFormat="false" ht="15" hidden="false" customHeight="false" outlineLevel="0" collapsed="false">
      <c r="A84" s="6" t="s">
        <v>612</v>
      </c>
      <c r="B84" s="35"/>
      <c r="C84" s="39"/>
      <c r="D84" s="40"/>
      <c r="E84" s="34"/>
      <c r="F84" s="34"/>
      <c r="G84" s="21"/>
      <c r="H84" s="34"/>
      <c r="I84" s="21"/>
      <c r="J84" s="34"/>
      <c r="K84" s="21"/>
      <c r="L84" s="21"/>
      <c r="M84" s="21"/>
      <c r="N84" s="21"/>
      <c r="O84" s="21"/>
      <c r="P84" s="34"/>
      <c r="Q84" s="34"/>
      <c r="R84" s="35"/>
      <c r="S84" s="34"/>
      <c r="T84" s="38" t="str">
        <f aca="true">IF(Q84&lt;&gt;"Yes","",IF(S84="Yes","Done",IF(R84="","Date missing",IF(R84&lt;TODAY(),"OVERDUE","Scheduled"))))</f>
        <v/>
      </c>
      <c r="U84" s="34"/>
      <c r="V84" s="34"/>
      <c r="W84" s="21"/>
    </row>
    <row r="85" customFormat="false" ht="15" hidden="false" customHeight="false" outlineLevel="0" collapsed="false">
      <c r="A85" s="6" t="s">
        <v>613</v>
      </c>
      <c r="B85" s="35"/>
      <c r="C85" s="39"/>
      <c r="D85" s="40"/>
      <c r="E85" s="34"/>
      <c r="F85" s="34"/>
      <c r="G85" s="21"/>
      <c r="H85" s="34"/>
      <c r="I85" s="21"/>
      <c r="J85" s="34"/>
      <c r="K85" s="21"/>
      <c r="L85" s="21"/>
      <c r="M85" s="21"/>
      <c r="N85" s="21"/>
      <c r="O85" s="21"/>
      <c r="P85" s="34"/>
      <c r="Q85" s="34"/>
      <c r="R85" s="35"/>
      <c r="S85" s="34"/>
      <c r="T85" s="38" t="str">
        <f aca="true">IF(Q85&lt;&gt;"Yes","",IF(S85="Yes","Done",IF(R85="","Date missing",IF(R85&lt;TODAY(),"OVERDUE","Scheduled"))))</f>
        <v/>
      </c>
      <c r="U85" s="34"/>
      <c r="V85" s="34"/>
      <c r="W85" s="21"/>
    </row>
    <row r="86" customFormat="false" ht="15" hidden="false" customHeight="false" outlineLevel="0" collapsed="false">
      <c r="A86" s="6" t="s">
        <v>614</v>
      </c>
      <c r="B86" s="35"/>
      <c r="C86" s="39"/>
      <c r="D86" s="40"/>
      <c r="E86" s="34"/>
      <c r="F86" s="34"/>
      <c r="G86" s="21"/>
      <c r="H86" s="34"/>
      <c r="I86" s="21"/>
      <c r="J86" s="34"/>
      <c r="K86" s="21"/>
      <c r="L86" s="21"/>
      <c r="M86" s="21"/>
      <c r="N86" s="21"/>
      <c r="O86" s="21"/>
      <c r="P86" s="34"/>
      <c r="Q86" s="34"/>
      <c r="R86" s="35"/>
      <c r="S86" s="34"/>
      <c r="T86" s="38" t="str">
        <f aca="true">IF(Q86&lt;&gt;"Yes","",IF(S86="Yes","Done",IF(R86="","Date missing",IF(R86&lt;TODAY(),"OVERDUE","Scheduled"))))</f>
        <v/>
      </c>
      <c r="U86" s="34"/>
      <c r="V86" s="34"/>
      <c r="W86" s="21"/>
    </row>
    <row r="87" customFormat="false" ht="15" hidden="false" customHeight="false" outlineLevel="0" collapsed="false">
      <c r="A87" s="6" t="s">
        <v>615</v>
      </c>
      <c r="B87" s="35"/>
      <c r="C87" s="39"/>
      <c r="D87" s="40"/>
      <c r="E87" s="34"/>
      <c r="F87" s="34"/>
      <c r="G87" s="21"/>
      <c r="H87" s="34"/>
      <c r="I87" s="21"/>
      <c r="J87" s="34"/>
      <c r="K87" s="21"/>
      <c r="L87" s="21"/>
      <c r="M87" s="21"/>
      <c r="N87" s="21"/>
      <c r="O87" s="21"/>
      <c r="P87" s="34"/>
      <c r="Q87" s="34"/>
      <c r="R87" s="35"/>
      <c r="S87" s="34"/>
      <c r="T87" s="38" t="str">
        <f aca="true">IF(Q87&lt;&gt;"Yes","",IF(S87="Yes","Done",IF(R87="","Date missing",IF(R87&lt;TODAY(),"OVERDUE","Scheduled"))))</f>
        <v/>
      </c>
      <c r="U87" s="34"/>
      <c r="V87" s="34"/>
      <c r="W87" s="21"/>
    </row>
    <row r="88" customFormat="false" ht="15" hidden="false" customHeight="false" outlineLevel="0" collapsed="false">
      <c r="A88" s="6" t="s">
        <v>616</v>
      </c>
      <c r="B88" s="35"/>
      <c r="C88" s="39"/>
      <c r="D88" s="40"/>
      <c r="E88" s="34"/>
      <c r="F88" s="34"/>
      <c r="G88" s="21"/>
      <c r="H88" s="34"/>
      <c r="I88" s="21"/>
      <c r="J88" s="34"/>
      <c r="K88" s="21"/>
      <c r="L88" s="21"/>
      <c r="M88" s="21"/>
      <c r="N88" s="21"/>
      <c r="O88" s="21"/>
      <c r="P88" s="34"/>
      <c r="Q88" s="34"/>
      <c r="R88" s="35"/>
      <c r="S88" s="34"/>
      <c r="T88" s="38" t="str">
        <f aca="true">IF(Q88&lt;&gt;"Yes","",IF(S88="Yes","Done",IF(R88="","Date missing",IF(R88&lt;TODAY(),"OVERDUE","Scheduled"))))</f>
        <v/>
      </c>
      <c r="U88" s="34"/>
      <c r="V88" s="34"/>
      <c r="W88" s="21"/>
    </row>
    <row r="89" customFormat="false" ht="15" hidden="false" customHeight="false" outlineLevel="0" collapsed="false">
      <c r="A89" s="6" t="s">
        <v>617</v>
      </c>
      <c r="B89" s="35"/>
      <c r="C89" s="39"/>
      <c r="D89" s="40"/>
      <c r="E89" s="34"/>
      <c r="F89" s="34"/>
      <c r="G89" s="21"/>
      <c r="H89" s="34"/>
      <c r="I89" s="21"/>
      <c r="J89" s="34"/>
      <c r="K89" s="21"/>
      <c r="L89" s="21"/>
      <c r="M89" s="21"/>
      <c r="N89" s="21"/>
      <c r="O89" s="21"/>
      <c r="P89" s="34"/>
      <c r="Q89" s="34"/>
      <c r="R89" s="35"/>
      <c r="S89" s="34"/>
      <c r="T89" s="38" t="str">
        <f aca="true">IF(Q89&lt;&gt;"Yes","",IF(S89="Yes","Done",IF(R89="","Date missing",IF(R89&lt;TODAY(),"OVERDUE","Scheduled"))))</f>
        <v/>
      </c>
      <c r="U89" s="34"/>
      <c r="V89" s="34"/>
      <c r="W89" s="21"/>
    </row>
    <row r="90" customFormat="false" ht="15" hidden="false" customHeight="false" outlineLevel="0" collapsed="false">
      <c r="A90" s="6" t="s">
        <v>618</v>
      </c>
      <c r="B90" s="35"/>
      <c r="C90" s="39"/>
      <c r="D90" s="40"/>
      <c r="E90" s="34"/>
      <c r="F90" s="34"/>
      <c r="G90" s="21"/>
      <c r="H90" s="34"/>
      <c r="I90" s="21"/>
      <c r="J90" s="34"/>
      <c r="K90" s="21"/>
      <c r="L90" s="21"/>
      <c r="M90" s="21"/>
      <c r="N90" s="21"/>
      <c r="O90" s="21"/>
      <c r="P90" s="34"/>
      <c r="Q90" s="34"/>
      <c r="R90" s="35"/>
      <c r="S90" s="34"/>
      <c r="T90" s="38" t="str">
        <f aca="true">IF(Q90&lt;&gt;"Yes","",IF(S90="Yes","Done",IF(R90="","Date missing",IF(R90&lt;TODAY(),"OVERDUE","Scheduled"))))</f>
        <v/>
      </c>
      <c r="U90" s="34"/>
      <c r="V90" s="34"/>
      <c r="W90" s="21"/>
    </row>
    <row r="91" customFormat="false" ht="15" hidden="false" customHeight="false" outlineLevel="0" collapsed="false">
      <c r="A91" s="6" t="s">
        <v>619</v>
      </c>
      <c r="B91" s="35"/>
      <c r="C91" s="39"/>
      <c r="D91" s="40"/>
      <c r="E91" s="34"/>
      <c r="F91" s="34"/>
      <c r="G91" s="21"/>
      <c r="H91" s="34"/>
      <c r="I91" s="21"/>
      <c r="J91" s="34"/>
      <c r="K91" s="21"/>
      <c r="L91" s="21"/>
      <c r="M91" s="21"/>
      <c r="N91" s="21"/>
      <c r="O91" s="21"/>
      <c r="P91" s="34"/>
      <c r="Q91" s="34"/>
      <c r="R91" s="35"/>
      <c r="S91" s="34"/>
      <c r="T91" s="38" t="str">
        <f aca="true">IF(Q91&lt;&gt;"Yes","",IF(S91="Yes","Done",IF(R91="","Date missing",IF(R91&lt;TODAY(),"OVERDUE","Scheduled"))))</f>
        <v/>
      </c>
      <c r="U91" s="34"/>
      <c r="V91" s="34"/>
      <c r="W91" s="21"/>
    </row>
    <row r="92" customFormat="false" ht="15" hidden="false" customHeight="false" outlineLevel="0" collapsed="false">
      <c r="A92" s="6" t="s">
        <v>620</v>
      </c>
      <c r="B92" s="35"/>
      <c r="C92" s="39"/>
      <c r="D92" s="40"/>
      <c r="E92" s="34"/>
      <c r="F92" s="34"/>
      <c r="G92" s="21"/>
      <c r="H92" s="34"/>
      <c r="I92" s="21"/>
      <c r="J92" s="34"/>
      <c r="K92" s="21"/>
      <c r="L92" s="21"/>
      <c r="M92" s="21"/>
      <c r="N92" s="21"/>
      <c r="O92" s="21"/>
      <c r="P92" s="34"/>
      <c r="Q92" s="34"/>
      <c r="R92" s="35"/>
      <c r="S92" s="34"/>
      <c r="T92" s="38" t="str">
        <f aca="true">IF(Q92&lt;&gt;"Yes","",IF(S92="Yes","Done",IF(R92="","Date missing",IF(R92&lt;TODAY(),"OVERDUE","Scheduled"))))</f>
        <v/>
      </c>
      <c r="U92" s="34"/>
      <c r="V92" s="34"/>
      <c r="W92" s="21"/>
    </row>
    <row r="93" customFormat="false" ht="15" hidden="false" customHeight="false" outlineLevel="0" collapsed="false">
      <c r="A93" s="6" t="s">
        <v>621</v>
      </c>
      <c r="B93" s="35"/>
      <c r="C93" s="39"/>
      <c r="D93" s="40"/>
      <c r="E93" s="34"/>
      <c r="F93" s="34"/>
      <c r="G93" s="21"/>
      <c r="H93" s="34"/>
      <c r="I93" s="21"/>
      <c r="J93" s="34"/>
      <c r="K93" s="21"/>
      <c r="L93" s="21"/>
      <c r="M93" s="21"/>
      <c r="N93" s="21"/>
      <c r="O93" s="21"/>
      <c r="P93" s="34"/>
      <c r="Q93" s="34"/>
      <c r="R93" s="35"/>
      <c r="S93" s="34"/>
      <c r="T93" s="38" t="str">
        <f aca="true">IF(Q93&lt;&gt;"Yes","",IF(S93="Yes","Done",IF(R93="","Date missing",IF(R93&lt;TODAY(),"OVERDUE","Scheduled"))))</f>
        <v/>
      </c>
      <c r="U93" s="34"/>
      <c r="V93" s="34"/>
      <c r="W93" s="21"/>
    </row>
    <row r="94" customFormat="false" ht="15" hidden="false" customHeight="false" outlineLevel="0" collapsed="false">
      <c r="A94" s="6" t="s">
        <v>622</v>
      </c>
      <c r="B94" s="35"/>
      <c r="C94" s="39"/>
      <c r="D94" s="40"/>
      <c r="E94" s="34"/>
      <c r="F94" s="34"/>
      <c r="G94" s="21"/>
      <c r="H94" s="34"/>
      <c r="I94" s="21"/>
      <c r="J94" s="34"/>
      <c r="K94" s="21"/>
      <c r="L94" s="21"/>
      <c r="M94" s="21"/>
      <c r="N94" s="21"/>
      <c r="O94" s="21"/>
      <c r="P94" s="34"/>
      <c r="Q94" s="34"/>
      <c r="R94" s="35"/>
      <c r="S94" s="34"/>
      <c r="T94" s="38" t="str">
        <f aca="true">IF(Q94&lt;&gt;"Yes","",IF(S94="Yes","Done",IF(R94="","Date missing",IF(R94&lt;TODAY(),"OVERDUE","Scheduled"))))</f>
        <v/>
      </c>
      <c r="U94" s="34"/>
      <c r="V94" s="34"/>
      <c r="W94" s="21"/>
    </row>
    <row r="95" customFormat="false" ht="15" hidden="false" customHeight="false" outlineLevel="0" collapsed="false">
      <c r="A95" s="6" t="s">
        <v>623</v>
      </c>
      <c r="B95" s="35"/>
      <c r="C95" s="39"/>
      <c r="D95" s="40"/>
      <c r="E95" s="34"/>
      <c r="F95" s="34"/>
      <c r="G95" s="21"/>
      <c r="H95" s="34"/>
      <c r="I95" s="21"/>
      <c r="J95" s="34"/>
      <c r="K95" s="21"/>
      <c r="L95" s="21"/>
      <c r="M95" s="21"/>
      <c r="N95" s="21"/>
      <c r="O95" s="21"/>
      <c r="P95" s="34"/>
      <c r="Q95" s="34"/>
      <c r="R95" s="35"/>
      <c r="S95" s="34"/>
      <c r="T95" s="38" t="str">
        <f aca="true">IF(Q95&lt;&gt;"Yes","",IF(S95="Yes","Done",IF(R95="","Date missing",IF(R95&lt;TODAY(),"OVERDUE","Scheduled"))))</f>
        <v/>
      </c>
      <c r="U95" s="34"/>
      <c r="V95" s="34"/>
      <c r="W95" s="21"/>
    </row>
    <row r="96" customFormat="false" ht="15" hidden="false" customHeight="false" outlineLevel="0" collapsed="false">
      <c r="A96" s="6" t="s">
        <v>624</v>
      </c>
      <c r="B96" s="35"/>
      <c r="C96" s="39"/>
      <c r="D96" s="40"/>
      <c r="E96" s="34"/>
      <c r="F96" s="34"/>
      <c r="G96" s="21"/>
      <c r="H96" s="34"/>
      <c r="I96" s="21"/>
      <c r="J96" s="34"/>
      <c r="K96" s="21"/>
      <c r="L96" s="21"/>
      <c r="M96" s="21"/>
      <c r="N96" s="21"/>
      <c r="O96" s="21"/>
      <c r="P96" s="34"/>
      <c r="Q96" s="34"/>
      <c r="R96" s="35"/>
      <c r="S96" s="34"/>
      <c r="T96" s="38" t="str">
        <f aca="true">IF(Q96&lt;&gt;"Yes","",IF(S96="Yes","Done",IF(R96="","Date missing",IF(R96&lt;TODAY(),"OVERDUE","Scheduled"))))</f>
        <v/>
      </c>
      <c r="U96" s="34"/>
      <c r="V96" s="34"/>
      <c r="W96" s="21"/>
    </row>
    <row r="97" customFormat="false" ht="15" hidden="false" customHeight="false" outlineLevel="0" collapsed="false">
      <c r="A97" s="6" t="s">
        <v>625</v>
      </c>
      <c r="B97" s="35"/>
      <c r="C97" s="39"/>
      <c r="D97" s="40"/>
      <c r="E97" s="34"/>
      <c r="F97" s="34"/>
      <c r="G97" s="21"/>
      <c r="H97" s="34"/>
      <c r="I97" s="21"/>
      <c r="J97" s="34"/>
      <c r="K97" s="21"/>
      <c r="L97" s="21"/>
      <c r="M97" s="21"/>
      <c r="N97" s="21"/>
      <c r="O97" s="21"/>
      <c r="P97" s="34"/>
      <c r="Q97" s="34"/>
      <c r="R97" s="35"/>
      <c r="S97" s="34"/>
      <c r="T97" s="38" t="str">
        <f aca="true">IF(Q97&lt;&gt;"Yes","",IF(S97="Yes","Done",IF(R97="","Date missing",IF(R97&lt;TODAY(),"OVERDUE","Scheduled"))))</f>
        <v/>
      </c>
      <c r="U97" s="34"/>
      <c r="V97" s="34"/>
      <c r="W97" s="21"/>
    </row>
    <row r="98" customFormat="false" ht="15" hidden="false" customHeight="false" outlineLevel="0" collapsed="false">
      <c r="A98" s="6" t="s">
        <v>626</v>
      </c>
      <c r="B98" s="35"/>
      <c r="C98" s="39"/>
      <c r="D98" s="40"/>
      <c r="E98" s="34"/>
      <c r="F98" s="34"/>
      <c r="G98" s="21"/>
      <c r="H98" s="34"/>
      <c r="I98" s="21"/>
      <c r="J98" s="34"/>
      <c r="K98" s="21"/>
      <c r="L98" s="21"/>
      <c r="M98" s="21"/>
      <c r="N98" s="21"/>
      <c r="O98" s="21"/>
      <c r="P98" s="34"/>
      <c r="Q98" s="34"/>
      <c r="R98" s="35"/>
      <c r="S98" s="34"/>
      <c r="T98" s="38" t="str">
        <f aca="true">IF(Q98&lt;&gt;"Yes","",IF(S98="Yes","Done",IF(R98="","Date missing",IF(R98&lt;TODAY(),"OVERDUE","Scheduled"))))</f>
        <v/>
      </c>
      <c r="U98" s="34"/>
      <c r="V98" s="34"/>
      <c r="W98" s="21"/>
    </row>
    <row r="99" customFormat="false" ht="15" hidden="false" customHeight="false" outlineLevel="0" collapsed="false">
      <c r="A99" s="6" t="s">
        <v>627</v>
      </c>
      <c r="B99" s="35"/>
      <c r="C99" s="39"/>
      <c r="D99" s="40"/>
      <c r="E99" s="34"/>
      <c r="F99" s="34"/>
      <c r="G99" s="21"/>
      <c r="H99" s="34"/>
      <c r="I99" s="21"/>
      <c r="J99" s="34"/>
      <c r="K99" s="21"/>
      <c r="L99" s="21"/>
      <c r="M99" s="21"/>
      <c r="N99" s="21"/>
      <c r="O99" s="21"/>
      <c r="P99" s="34"/>
      <c r="Q99" s="34"/>
      <c r="R99" s="35"/>
      <c r="S99" s="34"/>
      <c r="T99" s="38" t="str">
        <f aca="true">IF(Q99&lt;&gt;"Yes","",IF(S99="Yes","Done",IF(R99="","Date missing",IF(R99&lt;TODAY(),"OVERDUE","Scheduled"))))</f>
        <v/>
      </c>
      <c r="U99" s="34"/>
      <c r="V99" s="34"/>
      <c r="W99" s="21"/>
    </row>
    <row r="100" customFormat="false" ht="15" hidden="false" customHeight="false" outlineLevel="0" collapsed="false">
      <c r="A100" s="6" t="s">
        <v>628</v>
      </c>
      <c r="B100" s="35"/>
      <c r="C100" s="39"/>
      <c r="D100" s="40"/>
      <c r="E100" s="34"/>
      <c r="F100" s="34"/>
      <c r="G100" s="21"/>
      <c r="H100" s="34"/>
      <c r="I100" s="21"/>
      <c r="J100" s="34"/>
      <c r="K100" s="21"/>
      <c r="L100" s="21"/>
      <c r="M100" s="21"/>
      <c r="N100" s="21"/>
      <c r="O100" s="21"/>
      <c r="P100" s="34"/>
      <c r="Q100" s="34"/>
      <c r="R100" s="35"/>
      <c r="S100" s="34"/>
      <c r="T100" s="38" t="str">
        <f aca="true">IF(Q100&lt;&gt;"Yes","",IF(S100="Yes","Done",IF(R100="","Date missing",IF(R100&lt;TODAY(),"OVERDUE","Scheduled"))))</f>
        <v/>
      </c>
      <c r="U100" s="34"/>
      <c r="V100" s="34"/>
      <c r="W100" s="21"/>
    </row>
    <row r="101" customFormat="false" ht="15" hidden="false" customHeight="false" outlineLevel="0" collapsed="false">
      <c r="A101" s="6" t="s">
        <v>629</v>
      </c>
      <c r="B101" s="35"/>
      <c r="C101" s="39"/>
      <c r="D101" s="40"/>
      <c r="E101" s="34"/>
      <c r="F101" s="34"/>
      <c r="G101" s="21"/>
      <c r="H101" s="34"/>
      <c r="I101" s="21"/>
      <c r="J101" s="34"/>
      <c r="K101" s="21"/>
      <c r="L101" s="21"/>
      <c r="M101" s="21"/>
      <c r="N101" s="21"/>
      <c r="O101" s="21"/>
      <c r="P101" s="34"/>
      <c r="Q101" s="34"/>
      <c r="R101" s="35"/>
      <c r="S101" s="34"/>
      <c r="T101" s="38" t="str">
        <f aca="true">IF(Q101&lt;&gt;"Yes","",IF(S101="Yes","Done",IF(R101="","Date missing",IF(R101&lt;TODAY(),"OVERDUE","Scheduled"))))</f>
        <v/>
      </c>
      <c r="U101" s="34"/>
      <c r="V101" s="34"/>
      <c r="W101" s="21"/>
    </row>
    <row r="102" customFormat="false" ht="15" hidden="false" customHeight="false" outlineLevel="0" collapsed="false">
      <c r="A102" s="6" t="s">
        <v>630</v>
      </c>
      <c r="B102" s="35"/>
      <c r="C102" s="39"/>
      <c r="D102" s="40"/>
      <c r="E102" s="34"/>
      <c r="F102" s="34"/>
      <c r="G102" s="21"/>
      <c r="H102" s="34"/>
      <c r="I102" s="21"/>
      <c r="J102" s="34"/>
      <c r="K102" s="21"/>
      <c r="L102" s="21"/>
      <c r="M102" s="21"/>
      <c r="N102" s="21"/>
      <c r="O102" s="21"/>
      <c r="P102" s="34"/>
      <c r="Q102" s="34"/>
      <c r="R102" s="35"/>
      <c r="S102" s="34"/>
      <c r="T102" s="38" t="str">
        <f aca="true">IF(Q102&lt;&gt;"Yes","",IF(S102="Yes","Done",IF(R102="","Date missing",IF(R102&lt;TODAY(),"OVERDUE","Scheduled"))))</f>
        <v/>
      </c>
      <c r="U102" s="34"/>
      <c r="V102" s="34"/>
      <c r="W102" s="21"/>
    </row>
    <row r="103" customFormat="false" ht="15" hidden="false" customHeight="false" outlineLevel="0" collapsed="false">
      <c r="A103" s="6" t="s">
        <v>631</v>
      </c>
      <c r="B103" s="35"/>
      <c r="C103" s="39"/>
      <c r="D103" s="40"/>
      <c r="E103" s="34"/>
      <c r="F103" s="34"/>
      <c r="G103" s="21"/>
      <c r="H103" s="34"/>
      <c r="I103" s="21"/>
      <c r="J103" s="34"/>
      <c r="K103" s="21"/>
      <c r="L103" s="21"/>
      <c r="M103" s="21"/>
      <c r="N103" s="21"/>
      <c r="O103" s="21"/>
      <c r="P103" s="34"/>
      <c r="Q103" s="34"/>
      <c r="R103" s="35"/>
      <c r="S103" s="34"/>
      <c r="T103" s="38" t="str">
        <f aca="true">IF(Q103&lt;&gt;"Yes","",IF(S103="Yes","Done",IF(R103="","Date missing",IF(R103&lt;TODAY(),"OVERDUE","Scheduled"))))</f>
        <v/>
      </c>
      <c r="U103" s="34"/>
      <c r="V103" s="34"/>
      <c r="W103" s="21"/>
    </row>
    <row r="104" customFormat="false" ht="15" hidden="false" customHeight="false" outlineLevel="0" collapsed="false">
      <c r="A104" s="6" t="s">
        <v>632</v>
      </c>
      <c r="B104" s="35"/>
      <c r="C104" s="39"/>
      <c r="D104" s="40"/>
      <c r="E104" s="34"/>
      <c r="F104" s="34"/>
      <c r="G104" s="21"/>
      <c r="H104" s="34"/>
      <c r="I104" s="21"/>
      <c r="J104" s="34"/>
      <c r="K104" s="21"/>
      <c r="L104" s="21"/>
      <c r="M104" s="21"/>
      <c r="N104" s="21"/>
      <c r="O104" s="21"/>
      <c r="P104" s="34"/>
      <c r="Q104" s="34"/>
      <c r="R104" s="35"/>
      <c r="S104" s="34"/>
      <c r="T104" s="38" t="str">
        <f aca="true">IF(Q104&lt;&gt;"Yes","",IF(S104="Yes","Done",IF(R104="","Date missing",IF(R104&lt;TODAY(),"OVERDUE","Scheduled"))))</f>
        <v/>
      </c>
      <c r="U104" s="34"/>
      <c r="V104" s="34"/>
      <c r="W104" s="21"/>
    </row>
    <row r="105" customFormat="false" ht="15" hidden="false" customHeight="false" outlineLevel="0" collapsed="false">
      <c r="A105" s="6" t="s">
        <v>633</v>
      </c>
      <c r="B105" s="35"/>
      <c r="C105" s="39"/>
      <c r="D105" s="40"/>
      <c r="E105" s="34"/>
      <c r="F105" s="34"/>
      <c r="G105" s="21"/>
      <c r="H105" s="34"/>
      <c r="I105" s="21"/>
      <c r="J105" s="34"/>
      <c r="K105" s="21"/>
      <c r="L105" s="21"/>
      <c r="M105" s="21"/>
      <c r="N105" s="21"/>
      <c r="O105" s="21"/>
      <c r="P105" s="34"/>
      <c r="Q105" s="34"/>
      <c r="R105" s="35"/>
      <c r="S105" s="34"/>
      <c r="T105" s="38" t="str">
        <f aca="true">IF(Q105&lt;&gt;"Yes","",IF(S105="Yes","Done",IF(R105="","Date missing",IF(R105&lt;TODAY(),"OVERDUE","Scheduled"))))</f>
        <v/>
      </c>
      <c r="U105" s="34"/>
      <c r="V105" s="34"/>
      <c r="W105" s="21"/>
    </row>
    <row r="106" customFormat="false" ht="15" hidden="false" customHeight="false" outlineLevel="0" collapsed="false">
      <c r="A106" s="6" t="s">
        <v>634</v>
      </c>
      <c r="B106" s="35"/>
      <c r="C106" s="39"/>
      <c r="D106" s="40"/>
      <c r="E106" s="34"/>
      <c r="F106" s="34"/>
      <c r="G106" s="21"/>
      <c r="H106" s="34"/>
      <c r="I106" s="21"/>
      <c r="J106" s="34"/>
      <c r="K106" s="21"/>
      <c r="L106" s="21"/>
      <c r="M106" s="21"/>
      <c r="N106" s="21"/>
      <c r="O106" s="21"/>
      <c r="P106" s="34"/>
      <c r="Q106" s="34"/>
      <c r="R106" s="35"/>
      <c r="S106" s="34"/>
      <c r="T106" s="38" t="str">
        <f aca="true">IF(Q106&lt;&gt;"Yes","",IF(S106="Yes","Done",IF(R106="","Date missing",IF(R106&lt;TODAY(),"OVERDUE","Scheduled"))))</f>
        <v/>
      </c>
      <c r="U106" s="34"/>
      <c r="V106" s="34"/>
      <c r="W106" s="21"/>
    </row>
    <row r="107" customFormat="false" ht="15" hidden="false" customHeight="false" outlineLevel="0" collapsed="false">
      <c r="A107" s="6" t="s">
        <v>635</v>
      </c>
      <c r="B107" s="35"/>
      <c r="C107" s="39"/>
      <c r="D107" s="40"/>
      <c r="E107" s="34"/>
      <c r="F107" s="34"/>
      <c r="G107" s="21"/>
      <c r="H107" s="34"/>
      <c r="I107" s="21"/>
      <c r="J107" s="34"/>
      <c r="K107" s="21"/>
      <c r="L107" s="21"/>
      <c r="M107" s="21"/>
      <c r="N107" s="21"/>
      <c r="O107" s="21"/>
      <c r="P107" s="34"/>
      <c r="Q107" s="34"/>
      <c r="R107" s="35"/>
      <c r="S107" s="34"/>
      <c r="T107" s="38" t="str">
        <f aca="true">IF(Q107&lt;&gt;"Yes","",IF(S107="Yes","Done",IF(R107="","Date missing",IF(R107&lt;TODAY(),"OVERDUE","Scheduled"))))</f>
        <v/>
      </c>
      <c r="U107" s="34"/>
      <c r="V107" s="34"/>
      <c r="W107" s="21"/>
    </row>
    <row r="108" customFormat="false" ht="15" hidden="false" customHeight="false" outlineLevel="0" collapsed="false">
      <c r="A108" s="6" t="s">
        <v>636</v>
      </c>
      <c r="B108" s="35"/>
      <c r="C108" s="39"/>
      <c r="D108" s="40"/>
      <c r="E108" s="34"/>
      <c r="F108" s="34"/>
      <c r="G108" s="21"/>
      <c r="H108" s="34"/>
      <c r="I108" s="21"/>
      <c r="J108" s="34"/>
      <c r="K108" s="21"/>
      <c r="L108" s="21"/>
      <c r="M108" s="21"/>
      <c r="N108" s="21"/>
      <c r="O108" s="21"/>
      <c r="P108" s="34"/>
      <c r="Q108" s="34"/>
      <c r="R108" s="35"/>
      <c r="S108" s="34"/>
      <c r="T108" s="38" t="str">
        <f aca="true">IF(Q108&lt;&gt;"Yes","",IF(S108="Yes","Done",IF(R108="","Date missing",IF(R108&lt;TODAY(),"OVERDUE","Scheduled"))))</f>
        <v/>
      </c>
      <c r="U108" s="34"/>
      <c r="V108" s="34"/>
      <c r="W108" s="21"/>
    </row>
    <row r="109" customFormat="false" ht="15" hidden="false" customHeight="false" outlineLevel="0" collapsed="false">
      <c r="A109" s="6" t="s">
        <v>637</v>
      </c>
      <c r="B109" s="35"/>
      <c r="C109" s="39"/>
      <c r="D109" s="40"/>
      <c r="E109" s="34"/>
      <c r="F109" s="34"/>
      <c r="G109" s="21"/>
      <c r="H109" s="34"/>
      <c r="I109" s="21"/>
      <c r="J109" s="34"/>
      <c r="K109" s="21"/>
      <c r="L109" s="21"/>
      <c r="M109" s="21"/>
      <c r="N109" s="21"/>
      <c r="O109" s="21"/>
      <c r="P109" s="34"/>
      <c r="Q109" s="34"/>
      <c r="R109" s="35"/>
      <c r="S109" s="34"/>
      <c r="T109" s="38" t="str">
        <f aca="true">IF(Q109&lt;&gt;"Yes","",IF(S109="Yes","Done",IF(R109="","Date missing",IF(R109&lt;TODAY(),"OVERDUE","Scheduled"))))</f>
        <v/>
      </c>
      <c r="U109" s="34"/>
      <c r="V109" s="34"/>
      <c r="W109" s="21"/>
    </row>
    <row r="110" customFormat="false" ht="15" hidden="false" customHeight="false" outlineLevel="0" collapsed="false">
      <c r="A110" s="6" t="s">
        <v>638</v>
      </c>
      <c r="B110" s="35"/>
      <c r="C110" s="39"/>
      <c r="D110" s="40"/>
      <c r="E110" s="34"/>
      <c r="F110" s="34"/>
      <c r="G110" s="21"/>
      <c r="H110" s="34"/>
      <c r="I110" s="21"/>
      <c r="J110" s="34"/>
      <c r="K110" s="21"/>
      <c r="L110" s="21"/>
      <c r="M110" s="21"/>
      <c r="N110" s="21"/>
      <c r="O110" s="21"/>
      <c r="P110" s="34"/>
      <c r="Q110" s="34"/>
      <c r="R110" s="35"/>
      <c r="S110" s="34"/>
      <c r="T110" s="38" t="str">
        <f aca="true">IF(Q110&lt;&gt;"Yes","",IF(S110="Yes","Done",IF(R110="","Date missing",IF(R110&lt;TODAY(),"OVERDUE","Scheduled"))))</f>
        <v/>
      </c>
      <c r="U110" s="34"/>
      <c r="V110" s="34"/>
      <c r="W110" s="21"/>
    </row>
    <row r="111" customFormat="false" ht="15" hidden="false" customHeight="false" outlineLevel="0" collapsed="false">
      <c r="A111" s="6" t="s">
        <v>639</v>
      </c>
      <c r="B111" s="35"/>
      <c r="C111" s="39"/>
      <c r="D111" s="40"/>
      <c r="E111" s="34"/>
      <c r="F111" s="34"/>
      <c r="G111" s="21"/>
      <c r="H111" s="34"/>
      <c r="I111" s="21"/>
      <c r="J111" s="34"/>
      <c r="K111" s="21"/>
      <c r="L111" s="21"/>
      <c r="M111" s="21"/>
      <c r="N111" s="21"/>
      <c r="O111" s="21"/>
      <c r="P111" s="34"/>
      <c r="Q111" s="34"/>
      <c r="R111" s="35"/>
      <c r="S111" s="34"/>
      <c r="T111" s="38" t="str">
        <f aca="true">IF(Q111&lt;&gt;"Yes","",IF(S111="Yes","Done",IF(R111="","Date missing",IF(R111&lt;TODAY(),"OVERDUE","Scheduled"))))</f>
        <v/>
      </c>
      <c r="U111" s="34"/>
      <c r="V111" s="34"/>
      <c r="W111" s="21"/>
    </row>
    <row r="112" customFormat="false" ht="15" hidden="false" customHeight="false" outlineLevel="0" collapsed="false">
      <c r="A112" s="6" t="s">
        <v>640</v>
      </c>
      <c r="B112" s="35"/>
      <c r="C112" s="39"/>
      <c r="D112" s="40"/>
      <c r="E112" s="34"/>
      <c r="F112" s="34"/>
      <c r="G112" s="21"/>
      <c r="H112" s="34"/>
      <c r="I112" s="21"/>
      <c r="J112" s="34"/>
      <c r="K112" s="21"/>
      <c r="L112" s="21"/>
      <c r="M112" s="21"/>
      <c r="N112" s="21"/>
      <c r="O112" s="21"/>
      <c r="P112" s="34"/>
      <c r="Q112" s="34"/>
      <c r="R112" s="35"/>
      <c r="S112" s="34"/>
      <c r="T112" s="38" t="str">
        <f aca="true">IF(Q112&lt;&gt;"Yes","",IF(S112="Yes","Done",IF(R112="","Date missing",IF(R112&lt;TODAY(),"OVERDUE","Scheduled"))))</f>
        <v/>
      </c>
      <c r="U112" s="34"/>
      <c r="V112" s="34"/>
      <c r="W112" s="21"/>
    </row>
    <row r="113" customFormat="false" ht="15" hidden="false" customHeight="false" outlineLevel="0" collapsed="false">
      <c r="A113" s="6" t="s">
        <v>641</v>
      </c>
      <c r="B113" s="35"/>
      <c r="C113" s="39"/>
      <c r="D113" s="40"/>
      <c r="E113" s="34"/>
      <c r="F113" s="34"/>
      <c r="G113" s="21"/>
      <c r="H113" s="34"/>
      <c r="I113" s="21"/>
      <c r="J113" s="34"/>
      <c r="K113" s="21"/>
      <c r="L113" s="21"/>
      <c r="M113" s="21"/>
      <c r="N113" s="21"/>
      <c r="O113" s="21"/>
      <c r="P113" s="34"/>
      <c r="Q113" s="34"/>
      <c r="R113" s="35"/>
      <c r="S113" s="34"/>
      <c r="T113" s="38" t="str">
        <f aca="true">IF(Q113&lt;&gt;"Yes","",IF(S113="Yes","Done",IF(R113="","Date missing",IF(R113&lt;TODAY(),"OVERDUE","Scheduled"))))</f>
        <v/>
      </c>
      <c r="U113" s="34"/>
      <c r="V113" s="34"/>
      <c r="W113" s="21"/>
    </row>
    <row r="114" customFormat="false" ht="15" hidden="false" customHeight="false" outlineLevel="0" collapsed="false">
      <c r="A114" s="6" t="s">
        <v>642</v>
      </c>
      <c r="B114" s="35"/>
      <c r="C114" s="39"/>
      <c r="D114" s="40"/>
      <c r="E114" s="34"/>
      <c r="F114" s="34"/>
      <c r="G114" s="21"/>
      <c r="H114" s="34"/>
      <c r="I114" s="21"/>
      <c r="J114" s="34"/>
      <c r="K114" s="21"/>
      <c r="L114" s="21"/>
      <c r="M114" s="21"/>
      <c r="N114" s="21"/>
      <c r="O114" s="21"/>
      <c r="P114" s="34"/>
      <c r="Q114" s="34"/>
      <c r="R114" s="35"/>
      <c r="S114" s="34"/>
      <c r="T114" s="38" t="str">
        <f aca="true">IF(Q114&lt;&gt;"Yes","",IF(S114="Yes","Done",IF(R114="","Date missing",IF(R114&lt;TODAY(),"OVERDUE","Scheduled"))))</f>
        <v/>
      </c>
      <c r="U114" s="34"/>
      <c r="V114" s="34"/>
      <c r="W114" s="21"/>
    </row>
    <row r="115" customFormat="false" ht="15" hidden="false" customHeight="false" outlineLevel="0" collapsed="false">
      <c r="A115" s="6" t="s">
        <v>643</v>
      </c>
      <c r="B115" s="35"/>
      <c r="C115" s="39"/>
      <c r="D115" s="40"/>
      <c r="E115" s="34"/>
      <c r="F115" s="34"/>
      <c r="G115" s="21"/>
      <c r="H115" s="34"/>
      <c r="I115" s="21"/>
      <c r="J115" s="34"/>
      <c r="K115" s="21"/>
      <c r="L115" s="21"/>
      <c r="M115" s="21"/>
      <c r="N115" s="21"/>
      <c r="O115" s="21"/>
      <c r="P115" s="34"/>
      <c r="Q115" s="34"/>
      <c r="R115" s="35"/>
      <c r="S115" s="34"/>
      <c r="T115" s="38" t="str">
        <f aca="true">IF(Q115&lt;&gt;"Yes","",IF(S115="Yes","Done",IF(R115="","Date missing",IF(R115&lt;TODAY(),"OVERDUE","Scheduled"))))</f>
        <v/>
      </c>
      <c r="U115" s="34"/>
      <c r="V115" s="34"/>
      <c r="W115" s="21"/>
    </row>
    <row r="116" customFormat="false" ht="15" hidden="false" customHeight="false" outlineLevel="0" collapsed="false">
      <c r="A116" s="6" t="s">
        <v>644</v>
      </c>
      <c r="B116" s="35"/>
      <c r="C116" s="39"/>
      <c r="D116" s="40"/>
      <c r="E116" s="34"/>
      <c r="F116" s="34"/>
      <c r="G116" s="21"/>
      <c r="H116" s="34"/>
      <c r="I116" s="21"/>
      <c r="J116" s="34"/>
      <c r="K116" s="21"/>
      <c r="L116" s="21"/>
      <c r="M116" s="21"/>
      <c r="N116" s="21"/>
      <c r="O116" s="21"/>
      <c r="P116" s="34"/>
      <c r="Q116" s="34"/>
      <c r="R116" s="35"/>
      <c r="S116" s="34"/>
      <c r="T116" s="38" t="str">
        <f aca="true">IF(Q116&lt;&gt;"Yes","",IF(S116="Yes","Done",IF(R116="","Date missing",IF(R116&lt;TODAY(),"OVERDUE","Scheduled"))))</f>
        <v/>
      </c>
      <c r="U116" s="34"/>
      <c r="V116" s="34"/>
      <c r="W116" s="21"/>
    </row>
    <row r="117" customFormat="false" ht="15" hidden="false" customHeight="false" outlineLevel="0" collapsed="false">
      <c r="A117" s="6" t="s">
        <v>645</v>
      </c>
      <c r="B117" s="35"/>
      <c r="C117" s="39"/>
      <c r="D117" s="40"/>
      <c r="E117" s="34"/>
      <c r="F117" s="34"/>
      <c r="G117" s="21"/>
      <c r="H117" s="34"/>
      <c r="I117" s="21"/>
      <c r="J117" s="34"/>
      <c r="K117" s="21"/>
      <c r="L117" s="21"/>
      <c r="M117" s="21"/>
      <c r="N117" s="21"/>
      <c r="O117" s="21"/>
      <c r="P117" s="34"/>
      <c r="Q117" s="34"/>
      <c r="R117" s="35"/>
      <c r="S117" s="34"/>
      <c r="T117" s="38" t="str">
        <f aca="true">IF(Q117&lt;&gt;"Yes","",IF(S117="Yes","Done",IF(R117="","Date missing",IF(R117&lt;TODAY(),"OVERDUE","Scheduled"))))</f>
        <v/>
      </c>
      <c r="U117" s="34"/>
      <c r="V117" s="34"/>
      <c r="W117" s="21"/>
    </row>
    <row r="118" customFormat="false" ht="15" hidden="false" customHeight="false" outlineLevel="0" collapsed="false">
      <c r="A118" s="6" t="s">
        <v>646</v>
      </c>
      <c r="B118" s="35"/>
      <c r="C118" s="39"/>
      <c r="D118" s="40"/>
      <c r="E118" s="34"/>
      <c r="F118" s="34"/>
      <c r="G118" s="21"/>
      <c r="H118" s="34"/>
      <c r="I118" s="21"/>
      <c r="J118" s="34"/>
      <c r="K118" s="21"/>
      <c r="L118" s="21"/>
      <c r="M118" s="21"/>
      <c r="N118" s="21"/>
      <c r="O118" s="21"/>
      <c r="P118" s="34"/>
      <c r="Q118" s="34"/>
      <c r="R118" s="35"/>
      <c r="S118" s="34"/>
      <c r="T118" s="38" t="str">
        <f aca="true">IF(Q118&lt;&gt;"Yes","",IF(S118="Yes","Done",IF(R118="","Date missing",IF(R118&lt;TODAY(),"OVERDUE","Scheduled"))))</f>
        <v/>
      </c>
      <c r="U118" s="34"/>
      <c r="V118" s="34"/>
      <c r="W118" s="21"/>
    </row>
    <row r="119" customFormat="false" ht="15" hidden="false" customHeight="false" outlineLevel="0" collapsed="false">
      <c r="A119" s="6" t="s">
        <v>647</v>
      </c>
      <c r="B119" s="35"/>
      <c r="C119" s="39"/>
      <c r="D119" s="40"/>
      <c r="E119" s="34"/>
      <c r="F119" s="34"/>
      <c r="G119" s="21"/>
      <c r="H119" s="34"/>
      <c r="I119" s="21"/>
      <c r="J119" s="34"/>
      <c r="K119" s="21"/>
      <c r="L119" s="21"/>
      <c r="M119" s="21"/>
      <c r="N119" s="21"/>
      <c r="O119" s="21"/>
      <c r="P119" s="34"/>
      <c r="Q119" s="34"/>
      <c r="R119" s="35"/>
      <c r="S119" s="34"/>
      <c r="T119" s="38" t="str">
        <f aca="true">IF(Q119&lt;&gt;"Yes","",IF(S119="Yes","Done",IF(R119="","Date missing",IF(R119&lt;TODAY(),"OVERDUE","Scheduled"))))</f>
        <v/>
      </c>
      <c r="U119" s="34"/>
      <c r="V119" s="34"/>
      <c r="W119" s="21"/>
    </row>
    <row r="120" customFormat="false" ht="15" hidden="false" customHeight="false" outlineLevel="0" collapsed="false">
      <c r="A120" s="6" t="s">
        <v>648</v>
      </c>
      <c r="B120" s="35"/>
      <c r="C120" s="39"/>
      <c r="D120" s="40"/>
      <c r="E120" s="34"/>
      <c r="F120" s="34"/>
      <c r="G120" s="21"/>
      <c r="H120" s="34"/>
      <c r="I120" s="21"/>
      <c r="J120" s="34"/>
      <c r="K120" s="21"/>
      <c r="L120" s="21"/>
      <c r="M120" s="21"/>
      <c r="N120" s="21"/>
      <c r="O120" s="21"/>
      <c r="P120" s="34"/>
      <c r="Q120" s="34"/>
      <c r="R120" s="35"/>
      <c r="S120" s="34"/>
      <c r="T120" s="38" t="str">
        <f aca="true">IF(Q120&lt;&gt;"Yes","",IF(S120="Yes","Done",IF(R120="","Date missing",IF(R120&lt;TODAY(),"OVERDUE","Scheduled"))))</f>
        <v/>
      </c>
      <c r="U120" s="34"/>
      <c r="V120" s="34"/>
      <c r="W120" s="21"/>
    </row>
    <row r="121" customFormat="false" ht="15" hidden="false" customHeight="false" outlineLevel="0" collapsed="false">
      <c r="A121" s="6" t="s">
        <v>649</v>
      </c>
      <c r="B121" s="35"/>
      <c r="C121" s="39"/>
      <c r="D121" s="40"/>
      <c r="E121" s="34"/>
      <c r="F121" s="34"/>
      <c r="G121" s="21"/>
      <c r="H121" s="34"/>
      <c r="I121" s="21"/>
      <c r="J121" s="34"/>
      <c r="K121" s="21"/>
      <c r="L121" s="21"/>
      <c r="M121" s="21"/>
      <c r="N121" s="21"/>
      <c r="O121" s="21"/>
      <c r="P121" s="34"/>
      <c r="Q121" s="34"/>
      <c r="R121" s="35"/>
      <c r="S121" s="34"/>
      <c r="T121" s="38" t="str">
        <f aca="true">IF(Q121&lt;&gt;"Yes","",IF(S121="Yes","Done",IF(R121="","Date missing",IF(R121&lt;TODAY(),"OVERDUE","Scheduled"))))</f>
        <v/>
      </c>
      <c r="U121" s="34"/>
      <c r="V121" s="34"/>
      <c r="W121" s="21"/>
    </row>
    <row r="122" customFormat="false" ht="15" hidden="false" customHeight="false" outlineLevel="0" collapsed="false">
      <c r="A122" s="6" t="s">
        <v>650</v>
      </c>
      <c r="B122" s="35"/>
      <c r="C122" s="39"/>
      <c r="D122" s="40"/>
      <c r="E122" s="34"/>
      <c r="F122" s="34"/>
      <c r="G122" s="21"/>
      <c r="H122" s="34"/>
      <c r="I122" s="21"/>
      <c r="J122" s="34"/>
      <c r="K122" s="21"/>
      <c r="L122" s="21"/>
      <c r="M122" s="21"/>
      <c r="N122" s="21"/>
      <c r="O122" s="21"/>
      <c r="P122" s="34"/>
      <c r="Q122" s="34"/>
      <c r="R122" s="35"/>
      <c r="S122" s="34"/>
      <c r="T122" s="38" t="str">
        <f aca="true">IF(Q122&lt;&gt;"Yes","",IF(S122="Yes","Done",IF(R122="","Date missing",IF(R122&lt;TODAY(),"OVERDUE","Scheduled"))))</f>
        <v/>
      </c>
      <c r="U122" s="34"/>
      <c r="V122" s="34"/>
      <c r="W122" s="21"/>
    </row>
    <row r="123" customFormat="false" ht="15" hidden="false" customHeight="false" outlineLevel="0" collapsed="false">
      <c r="A123" s="6" t="s">
        <v>651</v>
      </c>
      <c r="B123" s="35"/>
      <c r="C123" s="39"/>
      <c r="D123" s="40"/>
      <c r="E123" s="34"/>
      <c r="F123" s="34"/>
      <c r="G123" s="21"/>
      <c r="H123" s="34"/>
      <c r="I123" s="21"/>
      <c r="J123" s="34"/>
      <c r="K123" s="21"/>
      <c r="L123" s="21"/>
      <c r="M123" s="21"/>
      <c r="N123" s="21"/>
      <c r="O123" s="21"/>
      <c r="P123" s="34"/>
      <c r="Q123" s="34"/>
      <c r="R123" s="35"/>
      <c r="S123" s="34"/>
      <c r="T123" s="38" t="str">
        <f aca="true">IF(Q123&lt;&gt;"Yes","",IF(S123="Yes","Done",IF(R123="","Date missing",IF(R123&lt;TODAY(),"OVERDUE","Scheduled"))))</f>
        <v/>
      </c>
      <c r="U123" s="34"/>
      <c r="V123" s="34"/>
      <c r="W123" s="21"/>
    </row>
    <row r="124" customFormat="false" ht="15" hidden="false" customHeight="false" outlineLevel="0" collapsed="false">
      <c r="A124" s="6" t="s">
        <v>652</v>
      </c>
      <c r="B124" s="35"/>
      <c r="C124" s="39"/>
      <c r="D124" s="40"/>
      <c r="E124" s="34"/>
      <c r="F124" s="34"/>
      <c r="G124" s="21"/>
      <c r="H124" s="34"/>
      <c r="I124" s="21"/>
      <c r="J124" s="34"/>
      <c r="K124" s="21"/>
      <c r="L124" s="21"/>
      <c r="M124" s="21"/>
      <c r="N124" s="21"/>
      <c r="O124" s="21"/>
      <c r="P124" s="34"/>
      <c r="Q124" s="34"/>
      <c r="R124" s="35"/>
      <c r="S124" s="34"/>
      <c r="T124" s="38" t="str">
        <f aca="true">IF(Q124&lt;&gt;"Yes","",IF(S124="Yes","Done",IF(R124="","Date missing",IF(R124&lt;TODAY(),"OVERDUE","Scheduled"))))</f>
        <v/>
      </c>
      <c r="U124" s="34"/>
      <c r="V124" s="34"/>
      <c r="W124" s="21"/>
    </row>
    <row r="125" customFormat="false" ht="15" hidden="false" customHeight="false" outlineLevel="0" collapsed="false">
      <c r="A125" s="6" t="s">
        <v>653</v>
      </c>
      <c r="B125" s="35"/>
      <c r="C125" s="39"/>
      <c r="D125" s="40"/>
      <c r="E125" s="34"/>
      <c r="F125" s="34"/>
      <c r="G125" s="21"/>
      <c r="H125" s="34"/>
      <c r="I125" s="21"/>
      <c r="J125" s="34"/>
      <c r="K125" s="21"/>
      <c r="L125" s="21"/>
      <c r="M125" s="21"/>
      <c r="N125" s="21"/>
      <c r="O125" s="21"/>
      <c r="P125" s="34"/>
      <c r="Q125" s="34"/>
      <c r="R125" s="35"/>
      <c r="S125" s="34"/>
      <c r="T125" s="38" t="str">
        <f aca="true">IF(Q125&lt;&gt;"Yes","",IF(S125="Yes","Done",IF(R125="","Date missing",IF(R125&lt;TODAY(),"OVERDUE","Scheduled"))))</f>
        <v/>
      </c>
      <c r="U125" s="34"/>
      <c r="V125" s="34"/>
      <c r="W125" s="21"/>
    </row>
    <row r="126" customFormat="false" ht="15" hidden="false" customHeight="false" outlineLevel="0" collapsed="false">
      <c r="A126" s="6" t="s">
        <v>654</v>
      </c>
      <c r="B126" s="35"/>
      <c r="C126" s="39"/>
      <c r="D126" s="40"/>
      <c r="E126" s="34"/>
      <c r="F126" s="34"/>
      <c r="G126" s="21"/>
      <c r="H126" s="34"/>
      <c r="I126" s="21"/>
      <c r="J126" s="34"/>
      <c r="K126" s="21"/>
      <c r="L126" s="21"/>
      <c r="M126" s="21"/>
      <c r="N126" s="21"/>
      <c r="O126" s="21"/>
      <c r="P126" s="34"/>
      <c r="Q126" s="34"/>
      <c r="R126" s="35"/>
      <c r="S126" s="34"/>
      <c r="T126" s="38" t="str">
        <f aca="true">IF(Q126&lt;&gt;"Yes","",IF(S126="Yes","Done",IF(R126="","Date missing",IF(R126&lt;TODAY(),"OVERDUE","Scheduled"))))</f>
        <v/>
      </c>
      <c r="U126" s="34"/>
      <c r="V126" s="34"/>
      <c r="W126" s="21"/>
    </row>
    <row r="127" customFormat="false" ht="15" hidden="false" customHeight="false" outlineLevel="0" collapsed="false">
      <c r="A127" s="6" t="s">
        <v>655</v>
      </c>
      <c r="B127" s="35"/>
      <c r="C127" s="39"/>
      <c r="D127" s="40"/>
      <c r="E127" s="34"/>
      <c r="F127" s="34"/>
      <c r="G127" s="21"/>
      <c r="H127" s="34"/>
      <c r="I127" s="21"/>
      <c r="J127" s="34"/>
      <c r="K127" s="21"/>
      <c r="L127" s="21"/>
      <c r="M127" s="21"/>
      <c r="N127" s="21"/>
      <c r="O127" s="21"/>
      <c r="P127" s="34"/>
      <c r="Q127" s="34"/>
      <c r="R127" s="35"/>
      <c r="S127" s="34"/>
      <c r="T127" s="38" t="str">
        <f aca="true">IF(Q127&lt;&gt;"Yes","",IF(S127="Yes","Done",IF(R127="","Date missing",IF(R127&lt;TODAY(),"OVERDUE","Scheduled"))))</f>
        <v/>
      </c>
      <c r="U127" s="34"/>
      <c r="V127" s="34"/>
      <c r="W127" s="21"/>
    </row>
    <row r="128" customFormat="false" ht="15" hidden="false" customHeight="false" outlineLevel="0" collapsed="false">
      <c r="A128" s="6" t="s">
        <v>656</v>
      </c>
      <c r="B128" s="35"/>
      <c r="C128" s="39"/>
      <c r="D128" s="40"/>
      <c r="E128" s="34"/>
      <c r="F128" s="34"/>
      <c r="G128" s="21"/>
      <c r="H128" s="34"/>
      <c r="I128" s="21"/>
      <c r="J128" s="34"/>
      <c r="K128" s="21"/>
      <c r="L128" s="21"/>
      <c r="M128" s="21"/>
      <c r="N128" s="21"/>
      <c r="O128" s="21"/>
      <c r="P128" s="34"/>
      <c r="Q128" s="34"/>
      <c r="R128" s="35"/>
      <c r="S128" s="34"/>
      <c r="T128" s="38" t="str">
        <f aca="true">IF(Q128&lt;&gt;"Yes","",IF(S128="Yes","Done",IF(R128="","Date missing",IF(R128&lt;TODAY(),"OVERDUE","Scheduled"))))</f>
        <v/>
      </c>
      <c r="U128" s="34"/>
      <c r="V128" s="34"/>
      <c r="W128" s="21"/>
    </row>
    <row r="129" customFormat="false" ht="15" hidden="false" customHeight="false" outlineLevel="0" collapsed="false">
      <c r="A129" s="6" t="s">
        <v>657</v>
      </c>
      <c r="B129" s="35"/>
      <c r="C129" s="39"/>
      <c r="D129" s="40"/>
      <c r="E129" s="34"/>
      <c r="F129" s="34"/>
      <c r="G129" s="21"/>
      <c r="H129" s="34"/>
      <c r="I129" s="21"/>
      <c r="J129" s="34"/>
      <c r="K129" s="21"/>
      <c r="L129" s="21"/>
      <c r="M129" s="21"/>
      <c r="N129" s="21"/>
      <c r="O129" s="21"/>
      <c r="P129" s="34"/>
      <c r="Q129" s="34"/>
      <c r="R129" s="35"/>
      <c r="S129" s="34"/>
      <c r="T129" s="38" t="str">
        <f aca="true">IF(Q129&lt;&gt;"Yes","",IF(S129="Yes","Done",IF(R129="","Date missing",IF(R129&lt;TODAY(),"OVERDUE","Scheduled"))))</f>
        <v/>
      </c>
      <c r="U129" s="34"/>
      <c r="V129" s="34"/>
      <c r="W129" s="21"/>
    </row>
    <row r="130" customFormat="false" ht="15" hidden="false" customHeight="false" outlineLevel="0" collapsed="false">
      <c r="A130" s="6" t="s">
        <v>658</v>
      </c>
      <c r="B130" s="35"/>
      <c r="C130" s="39"/>
      <c r="D130" s="40"/>
      <c r="E130" s="34"/>
      <c r="F130" s="34"/>
      <c r="G130" s="21"/>
      <c r="H130" s="34"/>
      <c r="I130" s="21"/>
      <c r="J130" s="34"/>
      <c r="K130" s="21"/>
      <c r="L130" s="21"/>
      <c r="M130" s="21"/>
      <c r="N130" s="21"/>
      <c r="O130" s="21"/>
      <c r="P130" s="34"/>
      <c r="Q130" s="34"/>
      <c r="R130" s="35"/>
      <c r="S130" s="34"/>
      <c r="T130" s="38" t="str">
        <f aca="true">IF(Q130&lt;&gt;"Yes","",IF(S130="Yes","Done",IF(R130="","Date missing",IF(R130&lt;TODAY(),"OVERDUE","Scheduled"))))</f>
        <v/>
      </c>
      <c r="U130" s="34"/>
      <c r="V130" s="34"/>
      <c r="W130" s="21"/>
    </row>
    <row r="131" customFormat="false" ht="15" hidden="false" customHeight="false" outlineLevel="0" collapsed="false">
      <c r="A131" s="6" t="s">
        <v>659</v>
      </c>
      <c r="B131" s="35"/>
      <c r="C131" s="39"/>
      <c r="D131" s="40"/>
      <c r="E131" s="34"/>
      <c r="F131" s="34"/>
      <c r="G131" s="21"/>
      <c r="H131" s="34"/>
      <c r="I131" s="21"/>
      <c r="J131" s="34"/>
      <c r="K131" s="21"/>
      <c r="L131" s="21"/>
      <c r="M131" s="21"/>
      <c r="N131" s="21"/>
      <c r="O131" s="21"/>
      <c r="P131" s="34"/>
      <c r="Q131" s="34"/>
      <c r="R131" s="35"/>
      <c r="S131" s="34"/>
      <c r="T131" s="38" t="str">
        <f aca="true">IF(Q131&lt;&gt;"Yes","",IF(S131="Yes","Done",IF(R131="","Date missing",IF(R131&lt;TODAY(),"OVERDUE","Scheduled"))))</f>
        <v/>
      </c>
      <c r="U131" s="34"/>
      <c r="V131" s="34"/>
      <c r="W131" s="21"/>
    </row>
    <row r="132" customFormat="false" ht="15" hidden="false" customHeight="false" outlineLevel="0" collapsed="false">
      <c r="A132" s="6" t="s">
        <v>660</v>
      </c>
      <c r="B132" s="35"/>
      <c r="C132" s="39"/>
      <c r="D132" s="40"/>
      <c r="E132" s="34"/>
      <c r="F132" s="34"/>
      <c r="G132" s="21"/>
      <c r="H132" s="34"/>
      <c r="I132" s="21"/>
      <c r="J132" s="34"/>
      <c r="K132" s="21"/>
      <c r="L132" s="21"/>
      <c r="M132" s="21"/>
      <c r="N132" s="21"/>
      <c r="O132" s="21"/>
      <c r="P132" s="34"/>
      <c r="Q132" s="34"/>
      <c r="R132" s="35"/>
      <c r="S132" s="34"/>
      <c r="T132" s="38" t="str">
        <f aca="true">IF(Q132&lt;&gt;"Yes","",IF(S132="Yes","Done",IF(R132="","Date missing",IF(R132&lt;TODAY(),"OVERDUE","Scheduled"))))</f>
        <v/>
      </c>
      <c r="U132" s="34"/>
      <c r="V132" s="34"/>
      <c r="W132" s="21"/>
    </row>
    <row r="133" customFormat="false" ht="15" hidden="false" customHeight="false" outlineLevel="0" collapsed="false">
      <c r="A133" s="6" t="s">
        <v>661</v>
      </c>
      <c r="B133" s="35"/>
      <c r="C133" s="39"/>
      <c r="D133" s="40"/>
      <c r="E133" s="34"/>
      <c r="F133" s="34"/>
      <c r="G133" s="21"/>
      <c r="H133" s="34"/>
      <c r="I133" s="21"/>
      <c r="J133" s="34"/>
      <c r="K133" s="21"/>
      <c r="L133" s="21"/>
      <c r="M133" s="21"/>
      <c r="N133" s="21"/>
      <c r="O133" s="21"/>
      <c r="P133" s="34"/>
      <c r="Q133" s="34"/>
      <c r="R133" s="35"/>
      <c r="S133" s="34"/>
      <c r="T133" s="38" t="str">
        <f aca="true">IF(Q133&lt;&gt;"Yes","",IF(S133="Yes","Done",IF(R133="","Date missing",IF(R133&lt;TODAY(),"OVERDUE","Scheduled"))))</f>
        <v/>
      </c>
      <c r="U133" s="34"/>
      <c r="V133" s="34"/>
      <c r="W133" s="21"/>
    </row>
    <row r="134" customFormat="false" ht="15" hidden="false" customHeight="false" outlineLevel="0" collapsed="false">
      <c r="A134" s="6" t="s">
        <v>662</v>
      </c>
      <c r="B134" s="35"/>
      <c r="C134" s="39"/>
      <c r="D134" s="40"/>
      <c r="E134" s="34"/>
      <c r="F134" s="34"/>
      <c r="G134" s="21"/>
      <c r="H134" s="34"/>
      <c r="I134" s="21"/>
      <c r="J134" s="34"/>
      <c r="K134" s="21"/>
      <c r="L134" s="21"/>
      <c r="M134" s="21"/>
      <c r="N134" s="21"/>
      <c r="O134" s="21"/>
      <c r="P134" s="34"/>
      <c r="Q134" s="34"/>
      <c r="R134" s="35"/>
      <c r="S134" s="34"/>
      <c r="T134" s="38" t="str">
        <f aca="true">IF(Q134&lt;&gt;"Yes","",IF(S134="Yes","Done",IF(R134="","Date missing",IF(R134&lt;TODAY(),"OVERDUE","Scheduled"))))</f>
        <v/>
      </c>
      <c r="U134" s="34"/>
      <c r="V134" s="34"/>
      <c r="W134" s="21"/>
    </row>
    <row r="135" customFormat="false" ht="15" hidden="false" customHeight="false" outlineLevel="0" collapsed="false">
      <c r="A135" s="6" t="s">
        <v>663</v>
      </c>
      <c r="B135" s="35"/>
      <c r="C135" s="39"/>
      <c r="D135" s="40"/>
      <c r="E135" s="34"/>
      <c r="F135" s="34"/>
      <c r="G135" s="21"/>
      <c r="H135" s="34"/>
      <c r="I135" s="21"/>
      <c r="J135" s="34"/>
      <c r="K135" s="21"/>
      <c r="L135" s="21"/>
      <c r="M135" s="21"/>
      <c r="N135" s="21"/>
      <c r="O135" s="21"/>
      <c r="P135" s="34"/>
      <c r="Q135" s="34"/>
      <c r="R135" s="35"/>
      <c r="S135" s="34"/>
      <c r="T135" s="38" t="str">
        <f aca="true">IF(Q135&lt;&gt;"Yes","",IF(S135="Yes","Done",IF(R135="","Date missing",IF(R135&lt;TODAY(),"OVERDUE","Scheduled"))))</f>
        <v/>
      </c>
      <c r="U135" s="34"/>
      <c r="V135" s="34"/>
      <c r="W135" s="21"/>
    </row>
    <row r="136" customFormat="false" ht="15" hidden="false" customHeight="false" outlineLevel="0" collapsed="false">
      <c r="A136" s="6" t="s">
        <v>664</v>
      </c>
      <c r="B136" s="35"/>
      <c r="C136" s="39"/>
      <c r="D136" s="40"/>
      <c r="E136" s="34"/>
      <c r="F136" s="34"/>
      <c r="G136" s="21"/>
      <c r="H136" s="34"/>
      <c r="I136" s="21"/>
      <c r="J136" s="34"/>
      <c r="K136" s="21"/>
      <c r="L136" s="21"/>
      <c r="M136" s="21"/>
      <c r="N136" s="21"/>
      <c r="O136" s="21"/>
      <c r="P136" s="34"/>
      <c r="Q136" s="34"/>
      <c r="R136" s="35"/>
      <c r="S136" s="34"/>
      <c r="T136" s="38" t="str">
        <f aca="true">IF(Q136&lt;&gt;"Yes","",IF(S136="Yes","Done",IF(R136="","Date missing",IF(R136&lt;TODAY(),"OVERDUE","Scheduled"))))</f>
        <v/>
      </c>
      <c r="U136" s="34"/>
      <c r="V136" s="34"/>
      <c r="W136" s="21"/>
    </row>
    <row r="137" customFormat="false" ht="15" hidden="false" customHeight="false" outlineLevel="0" collapsed="false">
      <c r="A137" s="6" t="s">
        <v>665</v>
      </c>
      <c r="B137" s="35"/>
      <c r="C137" s="39"/>
      <c r="D137" s="40"/>
      <c r="E137" s="34"/>
      <c r="F137" s="34"/>
      <c r="G137" s="21"/>
      <c r="H137" s="34"/>
      <c r="I137" s="21"/>
      <c r="J137" s="34"/>
      <c r="K137" s="21"/>
      <c r="L137" s="21"/>
      <c r="M137" s="21"/>
      <c r="N137" s="21"/>
      <c r="O137" s="21"/>
      <c r="P137" s="34"/>
      <c r="Q137" s="34"/>
      <c r="R137" s="35"/>
      <c r="S137" s="34"/>
      <c r="T137" s="38" t="str">
        <f aca="true">IF(Q137&lt;&gt;"Yes","",IF(S137="Yes","Done",IF(R137="","Date missing",IF(R137&lt;TODAY(),"OVERDUE","Scheduled"))))</f>
        <v/>
      </c>
      <c r="U137" s="34"/>
      <c r="V137" s="34"/>
      <c r="W137" s="21"/>
    </row>
    <row r="138" customFormat="false" ht="15" hidden="false" customHeight="false" outlineLevel="0" collapsed="false">
      <c r="A138" s="6" t="s">
        <v>666</v>
      </c>
      <c r="B138" s="35"/>
      <c r="C138" s="39"/>
      <c r="D138" s="40"/>
      <c r="E138" s="34"/>
      <c r="F138" s="34"/>
      <c r="G138" s="21"/>
      <c r="H138" s="34"/>
      <c r="I138" s="21"/>
      <c r="J138" s="34"/>
      <c r="K138" s="21"/>
      <c r="L138" s="21"/>
      <c r="M138" s="21"/>
      <c r="N138" s="21"/>
      <c r="O138" s="21"/>
      <c r="P138" s="34"/>
      <c r="Q138" s="34"/>
      <c r="R138" s="35"/>
      <c r="S138" s="34"/>
      <c r="T138" s="38" t="str">
        <f aca="true">IF(Q138&lt;&gt;"Yes","",IF(S138="Yes","Done",IF(R138="","Date missing",IF(R138&lt;TODAY(),"OVERDUE","Scheduled"))))</f>
        <v/>
      </c>
      <c r="U138" s="34"/>
      <c r="V138" s="34"/>
      <c r="W138" s="21"/>
    </row>
    <row r="139" customFormat="false" ht="15" hidden="false" customHeight="false" outlineLevel="0" collapsed="false">
      <c r="A139" s="6" t="s">
        <v>667</v>
      </c>
      <c r="B139" s="35"/>
      <c r="C139" s="39"/>
      <c r="D139" s="40"/>
      <c r="E139" s="34"/>
      <c r="F139" s="34"/>
      <c r="G139" s="21"/>
      <c r="H139" s="34"/>
      <c r="I139" s="21"/>
      <c r="J139" s="34"/>
      <c r="K139" s="21"/>
      <c r="L139" s="21"/>
      <c r="M139" s="21"/>
      <c r="N139" s="21"/>
      <c r="O139" s="21"/>
      <c r="P139" s="34"/>
      <c r="Q139" s="34"/>
      <c r="R139" s="35"/>
      <c r="S139" s="34"/>
      <c r="T139" s="38" t="str">
        <f aca="true">IF(Q139&lt;&gt;"Yes","",IF(S139="Yes","Done",IF(R139="","Date missing",IF(R139&lt;TODAY(),"OVERDUE","Scheduled"))))</f>
        <v/>
      </c>
      <c r="U139" s="34"/>
      <c r="V139" s="34"/>
      <c r="W139" s="21"/>
    </row>
    <row r="140" customFormat="false" ht="15" hidden="false" customHeight="false" outlineLevel="0" collapsed="false">
      <c r="A140" s="6" t="s">
        <v>668</v>
      </c>
      <c r="B140" s="35"/>
      <c r="C140" s="39"/>
      <c r="D140" s="40"/>
      <c r="E140" s="34"/>
      <c r="F140" s="34"/>
      <c r="G140" s="21"/>
      <c r="H140" s="34"/>
      <c r="I140" s="21"/>
      <c r="J140" s="34"/>
      <c r="K140" s="21"/>
      <c r="L140" s="21"/>
      <c r="M140" s="21"/>
      <c r="N140" s="21"/>
      <c r="O140" s="21"/>
      <c r="P140" s="34"/>
      <c r="Q140" s="34"/>
      <c r="R140" s="35"/>
      <c r="S140" s="34"/>
      <c r="T140" s="38" t="str">
        <f aca="true">IF(Q140&lt;&gt;"Yes","",IF(S140="Yes","Done",IF(R140="","Date missing",IF(R140&lt;TODAY(),"OVERDUE","Scheduled"))))</f>
        <v/>
      </c>
      <c r="U140" s="34"/>
      <c r="V140" s="34"/>
      <c r="W140" s="21"/>
    </row>
    <row r="141" customFormat="false" ht="15" hidden="false" customHeight="false" outlineLevel="0" collapsed="false">
      <c r="A141" s="6" t="s">
        <v>669</v>
      </c>
      <c r="B141" s="35"/>
      <c r="C141" s="39"/>
      <c r="D141" s="40"/>
      <c r="E141" s="34"/>
      <c r="F141" s="34"/>
      <c r="G141" s="21"/>
      <c r="H141" s="34"/>
      <c r="I141" s="21"/>
      <c r="J141" s="34"/>
      <c r="K141" s="21"/>
      <c r="L141" s="21"/>
      <c r="M141" s="21"/>
      <c r="N141" s="21"/>
      <c r="O141" s="21"/>
      <c r="P141" s="34"/>
      <c r="Q141" s="34"/>
      <c r="R141" s="35"/>
      <c r="S141" s="34"/>
      <c r="T141" s="38" t="str">
        <f aca="true">IF(Q141&lt;&gt;"Yes","",IF(S141="Yes","Done",IF(R141="","Date missing",IF(R141&lt;TODAY(),"OVERDUE","Scheduled"))))</f>
        <v/>
      </c>
      <c r="U141" s="34"/>
      <c r="V141" s="34"/>
      <c r="W141" s="21"/>
    </row>
    <row r="142" customFormat="false" ht="15" hidden="false" customHeight="false" outlineLevel="0" collapsed="false">
      <c r="A142" s="6" t="s">
        <v>670</v>
      </c>
      <c r="B142" s="35"/>
      <c r="C142" s="39"/>
      <c r="D142" s="40"/>
      <c r="E142" s="34"/>
      <c r="F142" s="34"/>
      <c r="G142" s="21"/>
      <c r="H142" s="34"/>
      <c r="I142" s="21"/>
      <c r="J142" s="34"/>
      <c r="K142" s="21"/>
      <c r="L142" s="21"/>
      <c r="M142" s="21"/>
      <c r="N142" s="21"/>
      <c r="O142" s="21"/>
      <c r="P142" s="34"/>
      <c r="Q142" s="34"/>
      <c r="R142" s="35"/>
      <c r="S142" s="34"/>
      <c r="T142" s="38" t="str">
        <f aca="true">IF(Q142&lt;&gt;"Yes","",IF(S142="Yes","Done",IF(R142="","Date missing",IF(R142&lt;TODAY(),"OVERDUE","Scheduled"))))</f>
        <v/>
      </c>
      <c r="U142" s="34"/>
      <c r="V142" s="34"/>
      <c r="W142" s="21"/>
    </row>
    <row r="143" customFormat="false" ht="15" hidden="false" customHeight="false" outlineLevel="0" collapsed="false">
      <c r="A143" s="6" t="s">
        <v>671</v>
      </c>
      <c r="B143" s="35"/>
      <c r="C143" s="39"/>
      <c r="D143" s="40"/>
      <c r="E143" s="34"/>
      <c r="F143" s="34"/>
      <c r="G143" s="21"/>
      <c r="H143" s="34"/>
      <c r="I143" s="21"/>
      <c r="J143" s="34"/>
      <c r="K143" s="21"/>
      <c r="L143" s="21"/>
      <c r="M143" s="21"/>
      <c r="N143" s="21"/>
      <c r="O143" s="21"/>
      <c r="P143" s="34"/>
      <c r="Q143" s="34"/>
      <c r="R143" s="35"/>
      <c r="S143" s="34"/>
      <c r="T143" s="38" t="str">
        <f aca="true">IF(Q143&lt;&gt;"Yes","",IF(S143="Yes","Done",IF(R143="","Date missing",IF(R143&lt;TODAY(),"OVERDUE","Scheduled"))))</f>
        <v/>
      </c>
      <c r="U143" s="34"/>
      <c r="V143" s="34"/>
      <c r="W143" s="21"/>
    </row>
    <row r="144" customFormat="false" ht="15" hidden="false" customHeight="false" outlineLevel="0" collapsed="false">
      <c r="A144" s="6" t="s">
        <v>672</v>
      </c>
      <c r="B144" s="35"/>
      <c r="C144" s="39"/>
      <c r="D144" s="40"/>
      <c r="E144" s="34"/>
      <c r="F144" s="34"/>
      <c r="G144" s="21"/>
      <c r="H144" s="34"/>
      <c r="I144" s="21"/>
      <c r="J144" s="34"/>
      <c r="K144" s="21"/>
      <c r="L144" s="21"/>
      <c r="M144" s="21"/>
      <c r="N144" s="21"/>
      <c r="O144" s="21"/>
      <c r="P144" s="34"/>
      <c r="Q144" s="34"/>
      <c r="R144" s="35"/>
      <c r="S144" s="34"/>
      <c r="T144" s="38" t="str">
        <f aca="true">IF(Q144&lt;&gt;"Yes","",IF(S144="Yes","Done",IF(R144="","Date missing",IF(R144&lt;TODAY(),"OVERDUE","Scheduled"))))</f>
        <v/>
      </c>
      <c r="U144" s="34"/>
      <c r="V144" s="34"/>
      <c r="W144" s="21"/>
    </row>
    <row r="145" customFormat="false" ht="15" hidden="false" customHeight="false" outlineLevel="0" collapsed="false">
      <c r="A145" s="6" t="s">
        <v>673</v>
      </c>
      <c r="B145" s="35"/>
      <c r="C145" s="39"/>
      <c r="D145" s="40"/>
      <c r="E145" s="34"/>
      <c r="F145" s="34"/>
      <c r="G145" s="21"/>
      <c r="H145" s="34"/>
      <c r="I145" s="21"/>
      <c r="J145" s="34"/>
      <c r="K145" s="21"/>
      <c r="L145" s="21"/>
      <c r="M145" s="21"/>
      <c r="N145" s="21"/>
      <c r="O145" s="21"/>
      <c r="P145" s="34"/>
      <c r="Q145" s="34"/>
      <c r="R145" s="35"/>
      <c r="S145" s="34"/>
      <c r="T145" s="38" t="str">
        <f aca="true">IF(Q145&lt;&gt;"Yes","",IF(S145="Yes","Done",IF(R145="","Date missing",IF(R145&lt;TODAY(),"OVERDUE","Scheduled"))))</f>
        <v/>
      </c>
      <c r="U145" s="34"/>
      <c r="V145" s="34"/>
      <c r="W145" s="21"/>
    </row>
    <row r="146" customFormat="false" ht="15" hidden="false" customHeight="false" outlineLevel="0" collapsed="false">
      <c r="A146" s="6" t="s">
        <v>674</v>
      </c>
      <c r="B146" s="35"/>
      <c r="C146" s="39"/>
      <c r="D146" s="40"/>
      <c r="E146" s="34"/>
      <c r="F146" s="34"/>
      <c r="G146" s="21"/>
      <c r="H146" s="34"/>
      <c r="I146" s="21"/>
      <c r="J146" s="34"/>
      <c r="K146" s="21"/>
      <c r="L146" s="21"/>
      <c r="M146" s="21"/>
      <c r="N146" s="21"/>
      <c r="O146" s="21"/>
      <c r="P146" s="34"/>
      <c r="Q146" s="34"/>
      <c r="R146" s="35"/>
      <c r="S146" s="34"/>
      <c r="T146" s="38" t="str">
        <f aca="true">IF(Q146&lt;&gt;"Yes","",IF(S146="Yes","Done",IF(R146="","Date missing",IF(R146&lt;TODAY(),"OVERDUE","Scheduled"))))</f>
        <v/>
      </c>
      <c r="U146" s="34"/>
      <c r="V146" s="34"/>
      <c r="W146" s="21"/>
    </row>
    <row r="147" customFormat="false" ht="15" hidden="false" customHeight="false" outlineLevel="0" collapsed="false">
      <c r="A147" s="6" t="s">
        <v>675</v>
      </c>
      <c r="B147" s="35"/>
      <c r="C147" s="39"/>
      <c r="D147" s="40"/>
      <c r="E147" s="34"/>
      <c r="F147" s="34"/>
      <c r="G147" s="21"/>
      <c r="H147" s="34"/>
      <c r="I147" s="21"/>
      <c r="J147" s="34"/>
      <c r="K147" s="21"/>
      <c r="L147" s="21"/>
      <c r="M147" s="21"/>
      <c r="N147" s="21"/>
      <c r="O147" s="21"/>
      <c r="P147" s="34"/>
      <c r="Q147" s="34"/>
      <c r="R147" s="35"/>
      <c r="S147" s="34"/>
      <c r="T147" s="38" t="str">
        <f aca="true">IF(Q147&lt;&gt;"Yes","",IF(S147="Yes","Done",IF(R147="","Date missing",IF(R147&lt;TODAY(),"OVERDUE","Scheduled"))))</f>
        <v/>
      </c>
      <c r="U147" s="34"/>
      <c r="V147" s="34"/>
      <c r="W147" s="21"/>
    </row>
    <row r="148" customFormat="false" ht="15" hidden="false" customHeight="false" outlineLevel="0" collapsed="false">
      <c r="A148" s="6" t="s">
        <v>676</v>
      </c>
      <c r="B148" s="35"/>
      <c r="C148" s="39"/>
      <c r="D148" s="40"/>
      <c r="E148" s="34"/>
      <c r="F148" s="34"/>
      <c r="G148" s="21"/>
      <c r="H148" s="34"/>
      <c r="I148" s="21"/>
      <c r="J148" s="34"/>
      <c r="K148" s="21"/>
      <c r="L148" s="21"/>
      <c r="M148" s="21"/>
      <c r="N148" s="21"/>
      <c r="O148" s="21"/>
      <c r="P148" s="34"/>
      <c r="Q148" s="34"/>
      <c r="R148" s="35"/>
      <c r="S148" s="34"/>
      <c r="T148" s="38" t="str">
        <f aca="true">IF(Q148&lt;&gt;"Yes","",IF(S148="Yes","Done",IF(R148="","Date missing",IF(R148&lt;TODAY(),"OVERDUE","Scheduled"))))</f>
        <v/>
      </c>
      <c r="U148" s="34"/>
      <c r="V148" s="34"/>
      <c r="W148" s="21"/>
    </row>
    <row r="149" customFormat="false" ht="15" hidden="false" customHeight="false" outlineLevel="0" collapsed="false">
      <c r="A149" s="6" t="s">
        <v>677</v>
      </c>
      <c r="B149" s="35"/>
      <c r="C149" s="39"/>
      <c r="D149" s="40"/>
      <c r="E149" s="34"/>
      <c r="F149" s="34"/>
      <c r="G149" s="21"/>
      <c r="H149" s="34"/>
      <c r="I149" s="21"/>
      <c r="J149" s="34"/>
      <c r="K149" s="21"/>
      <c r="L149" s="21"/>
      <c r="M149" s="21"/>
      <c r="N149" s="21"/>
      <c r="O149" s="21"/>
      <c r="P149" s="34"/>
      <c r="Q149" s="34"/>
      <c r="R149" s="35"/>
      <c r="S149" s="34"/>
      <c r="T149" s="38" t="str">
        <f aca="true">IF(Q149&lt;&gt;"Yes","",IF(S149="Yes","Done",IF(R149="","Date missing",IF(R149&lt;TODAY(),"OVERDUE","Scheduled"))))</f>
        <v/>
      </c>
      <c r="U149" s="34"/>
      <c r="V149" s="34"/>
      <c r="W149" s="21"/>
    </row>
    <row r="150" customFormat="false" ht="15" hidden="false" customHeight="false" outlineLevel="0" collapsed="false">
      <c r="A150" s="6" t="s">
        <v>678</v>
      </c>
      <c r="B150" s="35"/>
      <c r="C150" s="39"/>
      <c r="D150" s="40"/>
      <c r="E150" s="34"/>
      <c r="F150" s="34"/>
      <c r="G150" s="21"/>
      <c r="H150" s="34"/>
      <c r="I150" s="21"/>
      <c r="J150" s="34"/>
      <c r="K150" s="21"/>
      <c r="L150" s="21"/>
      <c r="M150" s="21"/>
      <c r="N150" s="21"/>
      <c r="O150" s="21"/>
      <c r="P150" s="34"/>
      <c r="Q150" s="34"/>
      <c r="R150" s="35"/>
      <c r="S150" s="34"/>
      <c r="T150" s="38" t="str">
        <f aca="true">IF(Q150&lt;&gt;"Yes","",IF(S150="Yes","Done",IF(R150="","Date missing",IF(R150&lt;TODAY(),"OVERDUE","Scheduled"))))</f>
        <v/>
      </c>
      <c r="U150" s="34"/>
      <c r="V150" s="34"/>
      <c r="W150" s="21"/>
    </row>
    <row r="151" customFormat="false" ht="15" hidden="false" customHeight="false" outlineLevel="0" collapsed="false">
      <c r="A151" s="6" t="s">
        <v>679</v>
      </c>
      <c r="B151" s="35"/>
      <c r="C151" s="39"/>
      <c r="D151" s="40"/>
      <c r="E151" s="34"/>
      <c r="F151" s="34"/>
      <c r="G151" s="21"/>
      <c r="H151" s="34"/>
      <c r="I151" s="21"/>
      <c r="J151" s="34"/>
      <c r="K151" s="21"/>
      <c r="L151" s="21"/>
      <c r="M151" s="21"/>
      <c r="N151" s="21"/>
      <c r="O151" s="21"/>
      <c r="P151" s="34"/>
      <c r="Q151" s="34"/>
      <c r="R151" s="35"/>
      <c r="S151" s="34"/>
      <c r="T151" s="38" t="str">
        <f aca="true">IF(Q151&lt;&gt;"Yes","",IF(S151="Yes","Done",IF(R151="","Date missing",IF(R151&lt;TODAY(),"OVERDUE","Scheduled"))))</f>
        <v/>
      </c>
      <c r="U151" s="34"/>
      <c r="V151" s="34"/>
      <c r="W151" s="21"/>
    </row>
    <row r="152" customFormat="false" ht="15" hidden="false" customHeight="false" outlineLevel="0" collapsed="false">
      <c r="A152" s="6" t="s">
        <v>680</v>
      </c>
      <c r="B152" s="35"/>
      <c r="C152" s="39"/>
      <c r="D152" s="40"/>
      <c r="E152" s="34"/>
      <c r="F152" s="34"/>
      <c r="G152" s="21"/>
      <c r="H152" s="34"/>
      <c r="I152" s="21"/>
      <c r="J152" s="34"/>
      <c r="K152" s="21"/>
      <c r="L152" s="21"/>
      <c r="M152" s="21"/>
      <c r="N152" s="21"/>
      <c r="O152" s="21"/>
      <c r="P152" s="34"/>
      <c r="Q152" s="34"/>
      <c r="R152" s="35"/>
      <c r="S152" s="34"/>
      <c r="T152" s="38" t="str">
        <f aca="true">IF(Q152&lt;&gt;"Yes","",IF(S152="Yes","Done",IF(R152="","Date missing",IF(R152&lt;TODAY(),"OVERDUE","Scheduled"))))</f>
        <v/>
      </c>
      <c r="U152" s="34"/>
      <c r="V152" s="34"/>
      <c r="W152" s="21"/>
    </row>
    <row r="153" customFormat="false" ht="15" hidden="false" customHeight="false" outlineLevel="0" collapsed="false">
      <c r="A153" s="6" t="s">
        <v>681</v>
      </c>
      <c r="B153" s="35"/>
      <c r="C153" s="39"/>
      <c r="D153" s="40"/>
      <c r="E153" s="34"/>
      <c r="F153" s="34"/>
      <c r="G153" s="21"/>
      <c r="H153" s="34"/>
      <c r="I153" s="21"/>
      <c r="J153" s="34"/>
      <c r="K153" s="21"/>
      <c r="L153" s="21"/>
      <c r="M153" s="21"/>
      <c r="N153" s="21"/>
      <c r="O153" s="21"/>
      <c r="P153" s="34"/>
      <c r="Q153" s="34"/>
      <c r="R153" s="35"/>
      <c r="S153" s="34"/>
      <c r="T153" s="38" t="str">
        <f aca="true">IF(Q153&lt;&gt;"Yes","",IF(S153="Yes","Done",IF(R153="","Date missing",IF(R153&lt;TODAY(),"OVERDUE","Scheduled"))))</f>
        <v/>
      </c>
      <c r="U153" s="34"/>
      <c r="V153" s="34"/>
      <c r="W153" s="21"/>
    </row>
    <row r="154" customFormat="false" ht="15" hidden="false" customHeight="false" outlineLevel="0" collapsed="false">
      <c r="A154" s="6" t="s">
        <v>682</v>
      </c>
      <c r="B154" s="35"/>
      <c r="C154" s="39"/>
      <c r="D154" s="40"/>
      <c r="E154" s="34"/>
      <c r="F154" s="34"/>
      <c r="G154" s="21"/>
      <c r="H154" s="34"/>
      <c r="I154" s="21"/>
      <c r="J154" s="34"/>
      <c r="K154" s="21"/>
      <c r="L154" s="21"/>
      <c r="M154" s="21"/>
      <c r="N154" s="21"/>
      <c r="O154" s="21"/>
      <c r="P154" s="34"/>
      <c r="Q154" s="34"/>
      <c r="R154" s="35"/>
      <c r="S154" s="34"/>
      <c r="T154" s="38" t="str">
        <f aca="true">IF(Q154&lt;&gt;"Yes","",IF(S154="Yes","Done",IF(R154="","Date missing",IF(R154&lt;TODAY(),"OVERDUE","Scheduled"))))</f>
        <v/>
      </c>
      <c r="U154" s="34"/>
      <c r="V154" s="34"/>
      <c r="W154" s="21"/>
    </row>
    <row r="155" customFormat="false" ht="15" hidden="false" customHeight="false" outlineLevel="0" collapsed="false">
      <c r="A155" s="6" t="s">
        <v>683</v>
      </c>
      <c r="B155" s="35"/>
      <c r="C155" s="39"/>
      <c r="D155" s="40"/>
      <c r="E155" s="34"/>
      <c r="F155" s="34"/>
      <c r="G155" s="21"/>
      <c r="H155" s="34"/>
      <c r="I155" s="21"/>
      <c r="J155" s="34"/>
      <c r="K155" s="21"/>
      <c r="L155" s="21"/>
      <c r="M155" s="21"/>
      <c r="N155" s="21"/>
      <c r="O155" s="21"/>
      <c r="P155" s="34"/>
      <c r="Q155" s="34"/>
      <c r="R155" s="35"/>
      <c r="S155" s="34"/>
      <c r="T155" s="38" t="str">
        <f aca="true">IF(Q155&lt;&gt;"Yes","",IF(S155="Yes","Done",IF(R155="","Date missing",IF(R155&lt;TODAY(),"OVERDUE","Scheduled"))))</f>
        <v/>
      </c>
      <c r="U155" s="34"/>
      <c r="V155" s="34"/>
      <c r="W155" s="21"/>
    </row>
    <row r="156" customFormat="false" ht="15" hidden="false" customHeight="false" outlineLevel="0" collapsed="false">
      <c r="A156" s="6" t="s">
        <v>684</v>
      </c>
      <c r="B156" s="35"/>
      <c r="C156" s="39"/>
      <c r="D156" s="40"/>
      <c r="E156" s="34"/>
      <c r="F156" s="34"/>
      <c r="G156" s="21"/>
      <c r="H156" s="34"/>
      <c r="I156" s="21"/>
      <c r="J156" s="34"/>
      <c r="K156" s="21"/>
      <c r="L156" s="21"/>
      <c r="M156" s="21"/>
      <c r="N156" s="21"/>
      <c r="O156" s="21"/>
      <c r="P156" s="34"/>
      <c r="Q156" s="34"/>
      <c r="R156" s="35"/>
      <c r="S156" s="34"/>
      <c r="T156" s="38" t="str">
        <f aca="true">IF(Q156&lt;&gt;"Yes","",IF(S156="Yes","Done",IF(R156="","Date missing",IF(R156&lt;TODAY(),"OVERDUE","Scheduled"))))</f>
        <v/>
      </c>
      <c r="U156" s="34"/>
      <c r="V156" s="34"/>
      <c r="W156" s="21"/>
    </row>
    <row r="157" customFormat="false" ht="15" hidden="false" customHeight="false" outlineLevel="0" collapsed="false">
      <c r="A157" s="6" t="s">
        <v>685</v>
      </c>
      <c r="B157" s="35"/>
      <c r="C157" s="39"/>
      <c r="D157" s="40"/>
      <c r="E157" s="34"/>
      <c r="F157" s="34"/>
      <c r="G157" s="21"/>
      <c r="H157" s="34"/>
      <c r="I157" s="21"/>
      <c r="J157" s="34"/>
      <c r="K157" s="21"/>
      <c r="L157" s="21"/>
      <c r="M157" s="21"/>
      <c r="N157" s="21"/>
      <c r="O157" s="21"/>
      <c r="P157" s="34"/>
      <c r="Q157" s="34"/>
      <c r="R157" s="35"/>
      <c r="S157" s="34"/>
      <c r="T157" s="38" t="str">
        <f aca="true">IF(Q157&lt;&gt;"Yes","",IF(S157="Yes","Done",IF(R157="","Date missing",IF(R157&lt;TODAY(),"OVERDUE","Scheduled"))))</f>
        <v/>
      </c>
      <c r="U157" s="34"/>
      <c r="V157" s="34"/>
      <c r="W157" s="21"/>
    </row>
    <row r="158" customFormat="false" ht="15" hidden="false" customHeight="false" outlineLevel="0" collapsed="false">
      <c r="A158" s="6" t="s">
        <v>686</v>
      </c>
      <c r="B158" s="35"/>
      <c r="C158" s="39"/>
      <c r="D158" s="40"/>
      <c r="E158" s="34"/>
      <c r="F158" s="34"/>
      <c r="G158" s="21"/>
      <c r="H158" s="34"/>
      <c r="I158" s="21"/>
      <c r="J158" s="34"/>
      <c r="K158" s="21"/>
      <c r="L158" s="21"/>
      <c r="M158" s="21"/>
      <c r="N158" s="21"/>
      <c r="O158" s="21"/>
      <c r="P158" s="34"/>
      <c r="Q158" s="34"/>
      <c r="R158" s="35"/>
      <c r="S158" s="34"/>
      <c r="T158" s="38" t="str">
        <f aca="true">IF(Q158&lt;&gt;"Yes","",IF(S158="Yes","Done",IF(R158="","Date missing",IF(R158&lt;TODAY(),"OVERDUE","Scheduled"))))</f>
        <v/>
      </c>
      <c r="U158" s="34"/>
      <c r="V158" s="34"/>
      <c r="W158" s="21"/>
    </row>
    <row r="159" customFormat="false" ht="15" hidden="false" customHeight="false" outlineLevel="0" collapsed="false">
      <c r="A159" s="6" t="s">
        <v>687</v>
      </c>
      <c r="B159" s="35"/>
      <c r="C159" s="39"/>
      <c r="D159" s="40"/>
      <c r="E159" s="34"/>
      <c r="F159" s="34"/>
      <c r="G159" s="21"/>
      <c r="H159" s="34"/>
      <c r="I159" s="21"/>
      <c r="J159" s="34"/>
      <c r="K159" s="21"/>
      <c r="L159" s="21"/>
      <c r="M159" s="21"/>
      <c r="N159" s="21"/>
      <c r="O159" s="21"/>
      <c r="P159" s="34"/>
      <c r="Q159" s="34"/>
      <c r="R159" s="35"/>
      <c r="S159" s="34"/>
      <c r="T159" s="38" t="str">
        <f aca="true">IF(Q159&lt;&gt;"Yes","",IF(S159="Yes","Done",IF(R159="","Date missing",IF(R159&lt;TODAY(),"OVERDUE","Scheduled"))))</f>
        <v/>
      </c>
      <c r="U159" s="34"/>
      <c r="V159" s="34"/>
      <c r="W159" s="21"/>
    </row>
    <row r="160" customFormat="false" ht="15" hidden="false" customHeight="false" outlineLevel="0" collapsed="false">
      <c r="A160" s="6" t="s">
        <v>688</v>
      </c>
      <c r="B160" s="35"/>
      <c r="C160" s="39"/>
      <c r="D160" s="40"/>
      <c r="E160" s="34"/>
      <c r="F160" s="34"/>
      <c r="G160" s="21"/>
      <c r="H160" s="34"/>
      <c r="I160" s="21"/>
      <c r="J160" s="34"/>
      <c r="K160" s="21"/>
      <c r="L160" s="21"/>
      <c r="M160" s="21"/>
      <c r="N160" s="21"/>
      <c r="O160" s="21"/>
      <c r="P160" s="34"/>
      <c r="Q160" s="34"/>
      <c r="R160" s="35"/>
      <c r="S160" s="34"/>
      <c r="T160" s="38" t="str">
        <f aca="true">IF(Q160&lt;&gt;"Yes","",IF(S160="Yes","Done",IF(R160="","Date missing",IF(R160&lt;TODAY(),"OVERDUE","Scheduled"))))</f>
        <v/>
      </c>
      <c r="U160" s="34"/>
      <c r="V160" s="34"/>
      <c r="W160" s="21"/>
    </row>
    <row r="161" customFormat="false" ht="15" hidden="false" customHeight="false" outlineLevel="0" collapsed="false">
      <c r="A161" s="6" t="s">
        <v>689</v>
      </c>
      <c r="B161" s="35"/>
      <c r="C161" s="39"/>
      <c r="D161" s="40"/>
      <c r="E161" s="34"/>
      <c r="F161" s="34"/>
      <c r="G161" s="21"/>
      <c r="H161" s="34"/>
      <c r="I161" s="21"/>
      <c r="J161" s="34"/>
      <c r="K161" s="21"/>
      <c r="L161" s="21"/>
      <c r="M161" s="21"/>
      <c r="N161" s="21"/>
      <c r="O161" s="21"/>
      <c r="P161" s="34"/>
      <c r="Q161" s="34"/>
      <c r="R161" s="35"/>
      <c r="S161" s="34"/>
      <c r="T161" s="38" t="str">
        <f aca="true">IF(Q161&lt;&gt;"Yes","",IF(S161="Yes","Done",IF(R161="","Date missing",IF(R161&lt;TODAY(),"OVERDUE","Scheduled"))))</f>
        <v/>
      </c>
      <c r="U161" s="34"/>
      <c r="V161" s="34"/>
      <c r="W161" s="21"/>
    </row>
    <row r="162" customFormat="false" ht="15" hidden="false" customHeight="false" outlineLevel="0" collapsed="false">
      <c r="A162" s="6" t="s">
        <v>690</v>
      </c>
      <c r="B162" s="35"/>
      <c r="C162" s="39"/>
      <c r="D162" s="40"/>
      <c r="E162" s="34"/>
      <c r="F162" s="34"/>
      <c r="G162" s="21"/>
      <c r="H162" s="34"/>
      <c r="I162" s="21"/>
      <c r="J162" s="34"/>
      <c r="K162" s="21"/>
      <c r="L162" s="21"/>
      <c r="M162" s="21"/>
      <c r="N162" s="21"/>
      <c r="O162" s="21"/>
      <c r="P162" s="34"/>
      <c r="Q162" s="34"/>
      <c r="R162" s="35"/>
      <c r="S162" s="34"/>
      <c r="T162" s="38" t="str">
        <f aca="true">IF(Q162&lt;&gt;"Yes","",IF(S162="Yes","Done",IF(R162="","Date missing",IF(R162&lt;TODAY(),"OVERDUE","Scheduled"))))</f>
        <v/>
      </c>
      <c r="U162" s="34"/>
      <c r="V162" s="34"/>
      <c r="W162" s="21"/>
    </row>
    <row r="163" customFormat="false" ht="15" hidden="false" customHeight="false" outlineLevel="0" collapsed="false">
      <c r="A163" s="6" t="s">
        <v>691</v>
      </c>
      <c r="B163" s="35"/>
      <c r="C163" s="39"/>
      <c r="D163" s="40"/>
      <c r="E163" s="34"/>
      <c r="F163" s="34"/>
      <c r="G163" s="21"/>
      <c r="H163" s="34"/>
      <c r="I163" s="21"/>
      <c r="J163" s="34"/>
      <c r="K163" s="21"/>
      <c r="L163" s="21"/>
      <c r="M163" s="21"/>
      <c r="N163" s="21"/>
      <c r="O163" s="21"/>
      <c r="P163" s="34"/>
      <c r="Q163" s="34"/>
      <c r="R163" s="35"/>
      <c r="S163" s="34"/>
      <c r="T163" s="38" t="str">
        <f aca="true">IF(Q163&lt;&gt;"Yes","",IF(S163="Yes","Done",IF(R163="","Date missing",IF(R163&lt;TODAY(),"OVERDUE","Scheduled"))))</f>
        <v/>
      </c>
      <c r="U163" s="34"/>
      <c r="V163" s="34"/>
      <c r="W163" s="21"/>
    </row>
    <row r="164" customFormat="false" ht="15" hidden="false" customHeight="false" outlineLevel="0" collapsed="false">
      <c r="A164" s="6" t="s">
        <v>692</v>
      </c>
      <c r="B164" s="35"/>
      <c r="C164" s="39"/>
      <c r="D164" s="40"/>
      <c r="E164" s="34"/>
      <c r="F164" s="34"/>
      <c r="G164" s="21"/>
      <c r="H164" s="34"/>
      <c r="I164" s="21"/>
      <c r="J164" s="34"/>
      <c r="K164" s="21"/>
      <c r="L164" s="21"/>
      <c r="M164" s="21"/>
      <c r="N164" s="21"/>
      <c r="O164" s="21"/>
      <c r="P164" s="34"/>
      <c r="Q164" s="34"/>
      <c r="R164" s="35"/>
      <c r="S164" s="34"/>
      <c r="T164" s="38" t="str">
        <f aca="true">IF(Q164&lt;&gt;"Yes","",IF(S164="Yes","Done",IF(R164="","Date missing",IF(R164&lt;TODAY(),"OVERDUE","Scheduled"))))</f>
        <v/>
      </c>
      <c r="U164" s="34"/>
      <c r="V164" s="34"/>
      <c r="W164" s="21"/>
    </row>
    <row r="165" customFormat="false" ht="15" hidden="false" customHeight="false" outlineLevel="0" collapsed="false">
      <c r="A165" s="6" t="s">
        <v>693</v>
      </c>
      <c r="B165" s="35"/>
      <c r="C165" s="39"/>
      <c r="D165" s="40"/>
      <c r="E165" s="34"/>
      <c r="F165" s="34"/>
      <c r="G165" s="21"/>
      <c r="H165" s="34"/>
      <c r="I165" s="21"/>
      <c r="J165" s="34"/>
      <c r="K165" s="21"/>
      <c r="L165" s="21"/>
      <c r="M165" s="21"/>
      <c r="N165" s="21"/>
      <c r="O165" s="21"/>
      <c r="P165" s="34"/>
      <c r="Q165" s="34"/>
      <c r="R165" s="35"/>
      <c r="S165" s="34"/>
      <c r="T165" s="38" t="str">
        <f aca="true">IF(Q165&lt;&gt;"Yes","",IF(S165="Yes","Done",IF(R165="","Date missing",IF(R165&lt;TODAY(),"OVERDUE","Scheduled"))))</f>
        <v/>
      </c>
      <c r="U165" s="34"/>
      <c r="V165" s="34"/>
      <c r="W165" s="21"/>
    </row>
    <row r="166" customFormat="false" ht="15" hidden="false" customHeight="false" outlineLevel="0" collapsed="false">
      <c r="A166" s="6" t="s">
        <v>694</v>
      </c>
      <c r="B166" s="35"/>
      <c r="C166" s="39"/>
      <c r="D166" s="40"/>
      <c r="E166" s="34"/>
      <c r="F166" s="34"/>
      <c r="G166" s="21"/>
      <c r="H166" s="34"/>
      <c r="I166" s="21"/>
      <c r="J166" s="34"/>
      <c r="K166" s="21"/>
      <c r="L166" s="21"/>
      <c r="M166" s="21"/>
      <c r="N166" s="21"/>
      <c r="O166" s="21"/>
      <c r="P166" s="34"/>
      <c r="Q166" s="34"/>
      <c r="R166" s="35"/>
      <c r="S166" s="34"/>
      <c r="T166" s="38" t="str">
        <f aca="true">IF(Q166&lt;&gt;"Yes","",IF(S166="Yes","Done",IF(R166="","Date missing",IF(R166&lt;TODAY(),"OVERDUE","Scheduled"))))</f>
        <v/>
      </c>
      <c r="U166" s="34"/>
      <c r="V166" s="34"/>
      <c r="W166" s="21"/>
    </row>
    <row r="167" customFormat="false" ht="15" hidden="false" customHeight="false" outlineLevel="0" collapsed="false">
      <c r="A167" s="6" t="s">
        <v>695</v>
      </c>
      <c r="B167" s="35"/>
      <c r="C167" s="39"/>
      <c r="D167" s="40"/>
      <c r="E167" s="34"/>
      <c r="F167" s="34"/>
      <c r="G167" s="21"/>
      <c r="H167" s="34"/>
      <c r="I167" s="21"/>
      <c r="J167" s="34"/>
      <c r="K167" s="21"/>
      <c r="L167" s="21"/>
      <c r="M167" s="21"/>
      <c r="N167" s="21"/>
      <c r="O167" s="21"/>
      <c r="P167" s="34"/>
      <c r="Q167" s="34"/>
      <c r="R167" s="35"/>
      <c r="S167" s="34"/>
      <c r="T167" s="38" t="str">
        <f aca="true">IF(Q167&lt;&gt;"Yes","",IF(S167="Yes","Done",IF(R167="","Date missing",IF(R167&lt;TODAY(),"OVERDUE","Scheduled"))))</f>
        <v/>
      </c>
      <c r="U167" s="34"/>
      <c r="V167" s="34"/>
      <c r="W167" s="21"/>
    </row>
    <row r="168" customFormat="false" ht="15" hidden="false" customHeight="false" outlineLevel="0" collapsed="false">
      <c r="A168" s="6" t="s">
        <v>696</v>
      </c>
      <c r="B168" s="35"/>
      <c r="C168" s="39"/>
      <c r="D168" s="40"/>
      <c r="E168" s="34"/>
      <c r="F168" s="34"/>
      <c r="G168" s="21"/>
      <c r="H168" s="34"/>
      <c r="I168" s="21"/>
      <c r="J168" s="34"/>
      <c r="K168" s="21"/>
      <c r="L168" s="21"/>
      <c r="M168" s="21"/>
      <c r="N168" s="21"/>
      <c r="O168" s="21"/>
      <c r="P168" s="34"/>
      <c r="Q168" s="34"/>
      <c r="R168" s="35"/>
      <c r="S168" s="34"/>
      <c r="T168" s="38" t="str">
        <f aca="true">IF(Q168&lt;&gt;"Yes","",IF(S168="Yes","Done",IF(R168="","Date missing",IF(R168&lt;TODAY(),"OVERDUE","Scheduled"))))</f>
        <v/>
      </c>
      <c r="U168" s="34"/>
      <c r="V168" s="34"/>
      <c r="W168" s="21"/>
    </row>
    <row r="169" customFormat="false" ht="15" hidden="false" customHeight="false" outlineLevel="0" collapsed="false">
      <c r="A169" s="6" t="s">
        <v>697</v>
      </c>
      <c r="B169" s="35"/>
      <c r="C169" s="39"/>
      <c r="D169" s="40"/>
      <c r="E169" s="34"/>
      <c r="F169" s="34"/>
      <c r="G169" s="21"/>
      <c r="H169" s="34"/>
      <c r="I169" s="21"/>
      <c r="J169" s="34"/>
      <c r="K169" s="21"/>
      <c r="L169" s="21"/>
      <c r="M169" s="21"/>
      <c r="N169" s="21"/>
      <c r="O169" s="21"/>
      <c r="P169" s="34"/>
      <c r="Q169" s="34"/>
      <c r="R169" s="35"/>
      <c r="S169" s="34"/>
      <c r="T169" s="38" t="str">
        <f aca="true">IF(Q169&lt;&gt;"Yes","",IF(S169="Yes","Done",IF(R169="","Date missing",IF(R169&lt;TODAY(),"OVERDUE","Scheduled"))))</f>
        <v/>
      </c>
      <c r="U169" s="34"/>
      <c r="V169" s="34"/>
      <c r="W169" s="21"/>
    </row>
    <row r="170" customFormat="false" ht="15" hidden="false" customHeight="false" outlineLevel="0" collapsed="false">
      <c r="A170" s="6" t="s">
        <v>698</v>
      </c>
      <c r="B170" s="35"/>
      <c r="C170" s="39"/>
      <c r="D170" s="40"/>
      <c r="E170" s="34"/>
      <c r="F170" s="34"/>
      <c r="G170" s="21"/>
      <c r="H170" s="34"/>
      <c r="I170" s="21"/>
      <c r="J170" s="34"/>
      <c r="K170" s="21"/>
      <c r="L170" s="21"/>
      <c r="M170" s="21"/>
      <c r="N170" s="21"/>
      <c r="O170" s="21"/>
      <c r="P170" s="34"/>
      <c r="Q170" s="34"/>
      <c r="R170" s="35"/>
      <c r="S170" s="34"/>
      <c r="T170" s="38" t="str">
        <f aca="true">IF(Q170&lt;&gt;"Yes","",IF(S170="Yes","Done",IF(R170="","Date missing",IF(R170&lt;TODAY(),"OVERDUE","Scheduled"))))</f>
        <v/>
      </c>
      <c r="U170" s="34"/>
      <c r="V170" s="34"/>
      <c r="W170" s="21"/>
    </row>
    <row r="171" customFormat="false" ht="15" hidden="false" customHeight="false" outlineLevel="0" collapsed="false">
      <c r="A171" s="6" t="s">
        <v>699</v>
      </c>
      <c r="B171" s="35"/>
      <c r="C171" s="39"/>
      <c r="D171" s="40"/>
      <c r="E171" s="34"/>
      <c r="F171" s="34"/>
      <c r="G171" s="21"/>
      <c r="H171" s="34"/>
      <c r="I171" s="21"/>
      <c r="J171" s="34"/>
      <c r="K171" s="21"/>
      <c r="L171" s="21"/>
      <c r="M171" s="21"/>
      <c r="N171" s="21"/>
      <c r="O171" s="21"/>
      <c r="P171" s="34"/>
      <c r="Q171" s="34"/>
      <c r="R171" s="35"/>
      <c r="S171" s="34"/>
      <c r="T171" s="38" t="str">
        <f aca="true">IF(Q171&lt;&gt;"Yes","",IF(S171="Yes","Done",IF(R171="","Date missing",IF(R171&lt;TODAY(),"OVERDUE","Scheduled"))))</f>
        <v/>
      </c>
      <c r="U171" s="34"/>
      <c r="V171" s="34"/>
      <c r="W171" s="21"/>
    </row>
    <row r="172" customFormat="false" ht="15" hidden="false" customHeight="false" outlineLevel="0" collapsed="false">
      <c r="A172" s="6" t="s">
        <v>700</v>
      </c>
      <c r="B172" s="35"/>
      <c r="C172" s="39"/>
      <c r="D172" s="40"/>
      <c r="E172" s="34"/>
      <c r="F172" s="34"/>
      <c r="G172" s="21"/>
      <c r="H172" s="34"/>
      <c r="I172" s="21"/>
      <c r="J172" s="34"/>
      <c r="K172" s="21"/>
      <c r="L172" s="21"/>
      <c r="M172" s="21"/>
      <c r="N172" s="21"/>
      <c r="O172" s="21"/>
      <c r="P172" s="34"/>
      <c r="Q172" s="34"/>
      <c r="R172" s="35"/>
      <c r="S172" s="34"/>
      <c r="T172" s="38" t="str">
        <f aca="true">IF(Q172&lt;&gt;"Yes","",IF(S172="Yes","Done",IF(R172="","Date missing",IF(R172&lt;TODAY(),"OVERDUE","Scheduled"))))</f>
        <v/>
      </c>
      <c r="U172" s="34"/>
      <c r="V172" s="34"/>
      <c r="W172" s="21"/>
    </row>
    <row r="173" customFormat="false" ht="15" hidden="false" customHeight="false" outlineLevel="0" collapsed="false">
      <c r="A173" s="6" t="s">
        <v>701</v>
      </c>
      <c r="B173" s="35"/>
      <c r="C173" s="39"/>
      <c r="D173" s="40"/>
      <c r="E173" s="34"/>
      <c r="F173" s="34"/>
      <c r="G173" s="21"/>
      <c r="H173" s="34"/>
      <c r="I173" s="21"/>
      <c r="J173" s="34"/>
      <c r="K173" s="21"/>
      <c r="L173" s="21"/>
      <c r="M173" s="21"/>
      <c r="N173" s="21"/>
      <c r="O173" s="21"/>
      <c r="P173" s="34"/>
      <c r="Q173" s="34"/>
      <c r="R173" s="35"/>
      <c r="S173" s="34"/>
      <c r="T173" s="38" t="str">
        <f aca="true">IF(Q173&lt;&gt;"Yes","",IF(S173="Yes","Done",IF(R173="","Date missing",IF(R173&lt;TODAY(),"OVERDUE","Scheduled"))))</f>
        <v/>
      </c>
      <c r="U173" s="34"/>
      <c r="V173" s="34"/>
      <c r="W173" s="21"/>
    </row>
    <row r="174" customFormat="false" ht="15" hidden="false" customHeight="false" outlineLevel="0" collapsed="false">
      <c r="A174" s="6" t="s">
        <v>702</v>
      </c>
      <c r="B174" s="35"/>
      <c r="C174" s="39"/>
      <c r="D174" s="40"/>
      <c r="E174" s="34"/>
      <c r="F174" s="34"/>
      <c r="G174" s="21"/>
      <c r="H174" s="34"/>
      <c r="I174" s="21"/>
      <c r="J174" s="34"/>
      <c r="K174" s="21"/>
      <c r="L174" s="21"/>
      <c r="M174" s="21"/>
      <c r="N174" s="21"/>
      <c r="O174" s="21"/>
      <c r="P174" s="34"/>
      <c r="Q174" s="34"/>
      <c r="R174" s="35"/>
      <c r="S174" s="34"/>
      <c r="T174" s="38" t="str">
        <f aca="true">IF(Q174&lt;&gt;"Yes","",IF(S174="Yes","Done",IF(R174="","Date missing",IF(R174&lt;TODAY(),"OVERDUE","Scheduled"))))</f>
        <v/>
      </c>
      <c r="U174" s="34"/>
      <c r="V174" s="34"/>
      <c r="W174" s="21"/>
    </row>
    <row r="175" customFormat="false" ht="15" hidden="false" customHeight="false" outlineLevel="0" collapsed="false">
      <c r="A175" s="6" t="s">
        <v>703</v>
      </c>
      <c r="B175" s="35"/>
      <c r="C175" s="39"/>
      <c r="D175" s="40"/>
      <c r="E175" s="34"/>
      <c r="F175" s="34"/>
      <c r="G175" s="21"/>
      <c r="H175" s="34"/>
      <c r="I175" s="21"/>
      <c r="J175" s="34"/>
      <c r="K175" s="21"/>
      <c r="L175" s="21"/>
      <c r="M175" s="21"/>
      <c r="N175" s="21"/>
      <c r="O175" s="21"/>
      <c r="P175" s="34"/>
      <c r="Q175" s="34"/>
      <c r="R175" s="35"/>
      <c r="S175" s="34"/>
      <c r="T175" s="38" t="str">
        <f aca="true">IF(Q175&lt;&gt;"Yes","",IF(S175="Yes","Done",IF(R175="","Date missing",IF(R175&lt;TODAY(),"OVERDUE","Scheduled"))))</f>
        <v/>
      </c>
      <c r="U175" s="34"/>
      <c r="V175" s="34"/>
      <c r="W175" s="21"/>
    </row>
    <row r="176" customFormat="false" ht="15" hidden="false" customHeight="false" outlineLevel="0" collapsed="false">
      <c r="A176" s="6" t="s">
        <v>704</v>
      </c>
      <c r="B176" s="35"/>
      <c r="C176" s="39"/>
      <c r="D176" s="40"/>
      <c r="E176" s="34"/>
      <c r="F176" s="34"/>
      <c r="G176" s="21"/>
      <c r="H176" s="34"/>
      <c r="I176" s="21"/>
      <c r="J176" s="34"/>
      <c r="K176" s="21"/>
      <c r="L176" s="21"/>
      <c r="M176" s="21"/>
      <c r="N176" s="21"/>
      <c r="O176" s="21"/>
      <c r="P176" s="34"/>
      <c r="Q176" s="34"/>
      <c r="R176" s="35"/>
      <c r="S176" s="34"/>
      <c r="T176" s="38" t="str">
        <f aca="true">IF(Q176&lt;&gt;"Yes","",IF(S176="Yes","Done",IF(R176="","Date missing",IF(R176&lt;TODAY(),"OVERDUE","Scheduled"))))</f>
        <v/>
      </c>
      <c r="U176" s="34"/>
      <c r="V176" s="34"/>
      <c r="W176" s="21"/>
    </row>
    <row r="177" customFormat="false" ht="15" hidden="false" customHeight="false" outlineLevel="0" collapsed="false">
      <c r="A177" s="6" t="s">
        <v>705</v>
      </c>
      <c r="B177" s="35"/>
      <c r="C177" s="39"/>
      <c r="D177" s="40"/>
      <c r="E177" s="34"/>
      <c r="F177" s="34"/>
      <c r="G177" s="21"/>
      <c r="H177" s="34"/>
      <c r="I177" s="21"/>
      <c r="J177" s="34"/>
      <c r="K177" s="21"/>
      <c r="L177" s="21"/>
      <c r="M177" s="21"/>
      <c r="N177" s="21"/>
      <c r="O177" s="21"/>
      <c r="P177" s="34"/>
      <c r="Q177" s="34"/>
      <c r="R177" s="35"/>
      <c r="S177" s="34"/>
      <c r="T177" s="38" t="str">
        <f aca="true">IF(Q177&lt;&gt;"Yes","",IF(S177="Yes","Done",IF(R177="","Date missing",IF(R177&lt;TODAY(),"OVERDUE","Scheduled"))))</f>
        <v/>
      </c>
      <c r="U177" s="34"/>
      <c r="V177" s="34"/>
      <c r="W177" s="21"/>
    </row>
    <row r="178" customFormat="false" ht="15" hidden="false" customHeight="false" outlineLevel="0" collapsed="false">
      <c r="A178" s="6" t="s">
        <v>706</v>
      </c>
      <c r="B178" s="35"/>
      <c r="C178" s="39"/>
      <c r="D178" s="40"/>
      <c r="E178" s="34"/>
      <c r="F178" s="34"/>
      <c r="G178" s="21"/>
      <c r="H178" s="34"/>
      <c r="I178" s="21"/>
      <c r="J178" s="34"/>
      <c r="K178" s="21"/>
      <c r="L178" s="21"/>
      <c r="M178" s="21"/>
      <c r="N178" s="21"/>
      <c r="O178" s="21"/>
      <c r="P178" s="34"/>
      <c r="Q178" s="34"/>
      <c r="R178" s="35"/>
      <c r="S178" s="34"/>
      <c r="T178" s="38" t="str">
        <f aca="true">IF(Q178&lt;&gt;"Yes","",IF(S178="Yes","Done",IF(R178="","Date missing",IF(R178&lt;TODAY(),"OVERDUE","Scheduled"))))</f>
        <v/>
      </c>
      <c r="U178" s="34"/>
      <c r="V178" s="34"/>
      <c r="W178" s="21"/>
    </row>
    <row r="179" customFormat="false" ht="15" hidden="false" customHeight="false" outlineLevel="0" collapsed="false">
      <c r="A179" s="6" t="s">
        <v>707</v>
      </c>
      <c r="B179" s="35"/>
      <c r="C179" s="39"/>
      <c r="D179" s="40"/>
      <c r="E179" s="34"/>
      <c r="F179" s="34"/>
      <c r="G179" s="21"/>
      <c r="H179" s="34"/>
      <c r="I179" s="21"/>
      <c r="J179" s="34"/>
      <c r="K179" s="21"/>
      <c r="L179" s="21"/>
      <c r="M179" s="21"/>
      <c r="N179" s="21"/>
      <c r="O179" s="21"/>
      <c r="P179" s="34"/>
      <c r="Q179" s="34"/>
      <c r="R179" s="35"/>
      <c r="S179" s="34"/>
      <c r="T179" s="38" t="str">
        <f aca="true">IF(Q179&lt;&gt;"Yes","",IF(S179="Yes","Done",IF(R179="","Date missing",IF(R179&lt;TODAY(),"OVERDUE","Scheduled"))))</f>
        <v/>
      </c>
      <c r="U179" s="34"/>
      <c r="V179" s="34"/>
      <c r="W179" s="21"/>
    </row>
    <row r="180" customFormat="false" ht="15" hidden="false" customHeight="false" outlineLevel="0" collapsed="false">
      <c r="A180" s="6" t="s">
        <v>708</v>
      </c>
      <c r="B180" s="35"/>
      <c r="C180" s="39"/>
      <c r="D180" s="40"/>
      <c r="E180" s="34"/>
      <c r="F180" s="34"/>
      <c r="G180" s="21"/>
      <c r="H180" s="34"/>
      <c r="I180" s="21"/>
      <c r="J180" s="34"/>
      <c r="K180" s="21"/>
      <c r="L180" s="21"/>
      <c r="M180" s="21"/>
      <c r="N180" s="21"/>
      <c r="O180" s="21"/>
      <c r="P180" s="34"/>
      <c r="Q180" s="34"/>
      <c r="R180" s="35"/>
      <c r="S180" s="34"/>
      <c r="T180" s="38" t="str">
        <f aca="true">IF(Q180&lt;&gt;"Yes","",IF(S180="Yes","Done",IF(R180="","Date missing",IF(R180&lt;TODAY(),"OVERDUE","Scheduled"))))</f>
        <v/>
      </c>
      <c r="U180" s="34"/>
      <c r="V180" s="34"/>
      <c r="W180" s="21"/>
    </row>
    <row r="181" customFormat="false" ht="15" hidden="false" customHeight="false" outlineLevel="0" collapsed="false">
      <c r="A181" s="6" t="s">
        <v>709</v>
      </c>
      <c r="B181" s="35"/>
      <c r="C181" s="39"/>
      <c r="D181" s="40"/>
      <c r="E181" s="34"/>
      <c r="F181" s="34"/>
      <c r="G181" s="21"/>
      <c r="H181" s="34"/>
      <c r="I181" s="21"/>
      <c r="J181" s="34"/>
      <c r="K181" s="21"/>
      <c r="L181" s="21"/>
      <c r="M181" s="21"/>
      <c r="N181" s="21"/>
      <c r="O181" s="21"/>
      <c r="P181" s="34"/>
      <c r="Q181" s="34"/>
      <c r="R181" s="35"/>
      <c r="S181" s="34"/>
      <c r="T181" s="38" t="str">
        <f aca="true">IF(Q181&lt;&gt;"Yes","",IF(S181="Yes","Done",IF(R181="","Date missing",IF(R181&lt;TODAY(),"OVERDUE","Scheduled"))))</f>
        <v/>
      </c>
      <c r="U181" s="34"/>
      <c r="V181" s="34"/>
      <c r="W181" s="21"/>
    </row>
    <row r="182" customFormat="false" ht="15" hidden="false" customHeight="false" outlineLevel="0" collapsed="false">
      <c r="A182" s="6" t="s">
        <v>710</v>
      </c>
      <c r="B182" s="35"/>
      <c r="C182" s="39"/>
      <c r="D182" s="40"/>
      <c r="E182" s="34"/>
      <c r="F182" s="34"/>
      <c r="G182" s="21"/>
      <c r="H182" s="34"/>
      <c r="I182" s="21"/>
      <c r="J182" s="34"/>
      <c r="K182" s="21"/>
      <c r="L182" s="21"/>
      <c r="M182" s="21"/>
      <c r="N182" s="21"/>
      <c r="O182" s="21"/>
      <c r="P182" s="34"/>
      <c r="Q182" s="34"/>
      <c r="R182" s="35"/>
      <c r="S182" s="34"/>
      <c r="T182" s="38" t="str">
        <f aca="true">IF(Q182&lt;&gt;"Yes","",IF(S182="Yes","Done",IF(R182="","Date missing",IF(R182&lt;TODAY(),"OVERDUE","Scheduled"))))</f>
        <v/>
      </c>
      <c r="U182" s="34"/>
      <c r="V182" s="34"/>
      <c r="W182" s="21"/>
    </row>
    <row r="183" customFormat="false" ht="15" hidden="false" customHeight="false" outlineLevel="0" collapsed="false">
      <c r="A183" s="6" t="s">
        <v>711</v>
      </c>
      <c r="B183" s="35"/>
      <c r="C183" s="39"/>
      <c r="D183" s="40"/>
      <c r="E183" s="34"/>
      <c r="F183" s="34"/>
      <c r="G183" s="21"/>
      <c r="H183" s="34"/>
      <c r="I183" s="21"/>
      <c r="J183" s="34"/>
      <c r="K183" s="21"/>
      <c r="L183" s="21"/>
      <c r="M183" s="21"/>
      <c r="N183" s="21"/>
      <c r="O183" s="21"/>
      <c r="P183" s="34"/>
      <c r="Q183" s="34"/>
      <c r="R183" s="35"/>
      <c r="S183" s="34"/>
      <c r="T183" s="38" t="str">
        <f aca="true">IF(Q183&lt;&gt;"Yes","",IF(S183="Yes","Done",IF(R183="","Date missing",IF(R183&lt;TODAY(),"OVERDUE","Scheduled"))))</f>
        <v/>
      </c>
      <c r="U183" s="34"/>
      <c r="V183" s="34"/>
      <c r="W183" s="21"/>
    </row>
    <row r="184" customFormat="false" ht="15" hidden="false" customHeight="false" outlineLevel="0" collapsed="false">
      <c r="A184" s="6" t="s">
        <v>712</v>
      </c>
      <c r="B184" s="35"/>
      <c r="C184" s="39"/>
      <c r="D184" s="40"/>
      <c r="E184" s="34"/>
      <c r="F184" s="34"/>
      <c r="G184" s="21"/>
      <c r="H184" s="34"/>
      <c r="I184" s="21"/>
      <c r="J184" s="34"/>
      <c r="K184" s="21"/>
      <c r="L184" s="21"/>
      <c r="M184" s="21"/>
      <c r="N184" s="21"/>
      <c r="O184" s="21"/>
      <c r="P184" s="34"/>
      <c r="Q184" s="34"/>
      <c r="R184" s="35"/>
      <c r="S184" s="34"/>
      <c r="T184" s="38" t="str">
        <f aca="true">IF(Q184&lt;&gt;"Yes","",IF(S184="Yes","Done",IF(R184="","Date missing",IF(R184&lt;TODAY(),"OVERDUE","Scheduled"))))</f>
        <v/>
      </c>
      <c r="U184" s="34"/>
      <c r="V184" s="34"/>
      <c r="W184" s="21"/>
    </row>
    <row r="185" customFormat="false" ht="15" hidden="false" customHeight="false" outlineLevel="0" collapsed="false">
      <c r="A185" s="6" t="s">
        <v>713</v>
      </c>
      <c r="B185" s="35"/>
      <c r="C185" s="39"/>
      <c r="D185" s="40"/>
      <c r="E185" s="34"/>
      <c r="F185" s="34"/>
      <c r="G185" s="21"/>
      <c r="H185" s="34"/>
      <c r="I185" s="21"/>
      <c r="J185" s="34"/>
      <c r="K185" s="21"/>
      <c r="L185" s="21"/>
      <c r="M185" s="21"/>
      <c r="N185" s="21"/>
      <c r="O185" s="21"/>
      <c r="P185" s="34"/>
      <c r="Q185" s="34"/>
      <c r="R185" s="35"/>
      <c r="S185" s="34"/>
      <c r="T185" s="38" t="str">
        <f aca="true">IF(Q185&lt;&gt;"Yes","",IF(S185="Yes","Done",IF(R185="","Date missing",IF(R185&lt;TODAY(),"OVERDUE","Scheduled"))))</f>
        <v/>
      </c>
      <c r="U185" s="34"/>
      <c r="V185" s="34"/>
      <c r="W185" s="21"/>
    </row>
    <row r="186" customFormat="false" ht="15" hidden="false" customHeight="false" outlineLevel="0" collapsed="false">
      <c r="A186" s="6" t="s">
        <v>714</v>
      </c>
      <c r="B186" s="35"/>
      <c r="C186" s="39"/>
      <c r="D186" s="40"/>
      <c r="E186" s="34"/>
      <c r="F186" s="34"/>
      <c r="G186" s="21"/>
      <c r="H186" s="34"/>
      <c r="I186" s="21"/>
      <c r="J186" s="34"/>
      <c r="K186" s="21"/>
      <c r="L186" s="21"/>
      <c r="M186" s="21"/>
      <c r="N186" s="21"/>
      <c r="O186" s="21"/>
      <c r="P186" s="34"/>
      <c r="Q186" s="34"/>
      <c r="R186" s="35"/>
      <c r="S186" s="34"/>
      <c r="T186" s="38" t="str">
        <f aca="true">IF(Q186&lt;&gt;"Yes","",IF(S186="Yes","Done",IF(R186="","Date missing",IF(R186&lt;TODAY(),"OVERDUE","Scheduled"))))</f>
        <v/>
      </c>
      <c r="U186" s="34"/>
      <c r="V186" s="34"/>
      <c r="W186" s="21"/>
    </row>
    <row r="187" customFormat="false" ht="15" hidden="false" customHeight="false" outlineLevel="0" collapsed="false">
      <c r="A187" s="6" t="s">
        <v>715</v>
      </c>
      <c r="B187" s="35"/>
      <c r="C187" s="39"/>
      <c r="D187" s="40"/>
      <c r="E187" s="34"/>
      <c r="F187" s="34"/>
      <c r="G187" s="21"/>
      <c r="H187" s="34"/>
      <c r="I187" s="21"/>
      <c r="J187" s="34"/>
      <c r="K187" s="21"/>
      <c r="L187" s="21"/>
      <c r="M187" s="21"/>
      <c r="N187" s="21"/>
      <c r="O187" s="21"/>
      <c r="P187" s="34"/>
      <c r="Q187" s="34"/>
      <c r="R187" s="35"/>
      <c r="S187" s="34"/>
      <c r="T187" s="38" t="str">
        <f aca="true">IF(Q187&lt;&gt;"Yes","",IF(S187="Yes","Done",IF(R187="","Date missing",IF(R187&lt;TODAY(),"OVERDUE","Scheduled"))))</f>
        <v/>
      </c>
      <c r="U187" s="34"/>
      <c r="V187" s="34"/>
      <c r="W187" s="21"/>
    </row>
    <row r="188" customFormat="false" ht="15" hidden="false" customHeight="false" outlineLevel="0" collapsed="false">
      <c r="A188" s="6" t="s">
        <v>716</v>
      </c>
      <c r="B188" s="35"/>
      <c r="C188" s="39"/>
      <c r="D188" s="40"/>
      <c r="E188" s="34"/>
      <c r="F188" s="34"/>
      <c r="G188" s="21"/>
      <c r="H188" s="34"/>
      <c r="I188" s="21"/>
      <c r="J188" s="34"/>
      <c r="K188" s="21"/>
      <c r="L188" s="21"/>
      <c r="M188" s="21"/>
      <c r="N188" s="21"/>
      <c r="O188" s="21"/>
      <c r="P188" s="34"/>
      <c r="Q188" s="34"/>
      <c r="R188" s="35"/>
      <c r="S188" s="34"/>
      <c r="T188" s="38" t="str">
        <f aca="true">IF(Q188&lt;&gt;"Yes","",IF(S188="Yes","Done",IF(R188="","Date missing",IF(R188&lt;TODAY(),"OVERDUE","Scheduled"))))</f>
        <v/>
      </c>
      <c r="U188" s="34"/>
      <c r="V188" s="34"/>
      <c r="W188" s="21"/>
    </row>
    <row r="189" customFormat="false" ht="15" hidden="false" customHeight="false" outlineLevel="0" collapsed="false">
      <c r="A189" s="6" t="s">
        <v>717</v>
      </c>
      <c r="B189" s="35"/>
      <c r="C189" s="39"/>
      <c r="D189" s="40"/>
      <c r="E189" s="34"/>
      <c r="F189" s="34"/>
      <c r="G189" s="21"/>
      <c r="H189" s="34"/>
      <c r="I189" s="21"/>
      <c r="J189" s="34"/>
      <c r="K189" s="21"/>
      <c r="L189" s="21"/>
      <c r="M189" s="21"/>
      <c r="N189" s="21"/>
      <c r="O189" s="21"/>
      <c r="P189" s="34"/>
      <c r="Q189" s="34"/>
      <c r="R189" s="35"/>
      <c r="S189" s="34"/>
      <c r="T189" s="38" t="str">
        <f aca="true">IF(Q189&lt;&gt;"Yes","",IF(S189="Yes","Done",IF(R189="","Date missing",IF(R189&lt;TODAY(),"OVERDUE","Scheduled"))))</f>
        <v/>
      </c>
      <c r="U189" s="34"/>
      <c r="V189" s="34"/>
      <c r="W189" s="21"/>
    </row>
    <row r="190" customFormat="false" ht="15" hidden="false" customHeight="false" outlineLevel="0" collapsed="false">
      <c r="A190" s="6" t="s">
        <v>718</v>
      </c>
      <c r="B190" s="35"/>
      <c r="C190" s="39"/>
      <c r="D190" s="40"/>
      <c r="E190" s="34"/>
      <c r="F190" s="34"/>
      <c r="G190" s="21"/>
      <c r="H190" s="34"/>
      <c r="I190" s="21"/>
      <c r="J190" s="34"/>
      <c r="K190" s="21"/>
      <c r="L190" s="21"/>
      <c r="M190" s="21"/>
      <c r="N190" s="21"/>
      <c r="O190" s="21"/>
      <c r="P190" s="34"/>
      <c r="Q190" s="34"/>
      <c r="R190" s="35"/>
      <c r="S190" s="34"/>
      <c r="T190" s="38" t="str">
        <f aca="true">IF(Q190&lt;&gt;"Yes","",IF(S190="Yes","Done",IF(R190="","Date missing",IF(R190&lt;TODAY(),"OVERDUE","Scheduled"))))</f>
        <v/>
      </c>
      <c r="U190" s="34"/>
      <c r="V190" s="34"/>
      <c r="W190" s="21"/>
    </row>
    <row r="191" customFormat="false" ht="15" hidden="false" customHeight="false" outlineLevel="0" collapsed="false">
      <c r="A191" s="6" t="s">
        <v>719</v>
      </c>
      <c r="B191" s="35"/>
      <c r="C191" s="39"/>
      <c r="D191" s="40"/>
      <c r="E191" s="34"/>
      <c r="F191" s="34"/>
      <c r="G191" s="21"/>
      <c r="H191" s="34"/>
      <c r="I191" s="21"/>
      <c r="J191" s="34"/>
      <c r="K191" s="21"/>
      <c r="L191" s="21"/>
      <c r="M191" s="21"/>
      <c r="N191" s="21"/>
      <c r="O191" s="21"/>
      <c r="P191" s="34"/>
      <c r="Q191" s="34"/>
      <c r="R191" s="35"/>
      <c r="S191" s="34"/>
      <c r="T191" s="38" t="str">
        <f aca="true">IF(Q191&lt;&gt;"Yes","",IF(S191="Yes","Done",IF(R191="","Date missing",IF(R191&lt;TODAY(),"OVERDUE","Scheduled"))))</f>
        <v/>
      </c>
      <c r="U191" s="34"/>
      <c r="V191" s="34"/>
      <c r="W191" s="21"/>
    </row>
    <row r="192" customFormat="false" ht="15" hidden="false" customHeight="false" outlineLevel="0" collapsed="false">
      <c r="A192" s="6" t="s">
        <v>720</v>
      </c>
      <c r="B192" s="35"/>
      <c r="C192" s="39"/>
      <c r="D192" s="40"/>
      <c r="E192" s="34"/>
      <c r="F192" s="34"/>
      <c r="G192" s="21"/>
      <c r="H192" s="34"/>
      <c r="I192" s="21"/>
      <c r="J192" s="34"/>
      <c r="K192" s="21"/>
      <c r="L192" s="21"/>
      <c r="M192" s="21"/>
      <c r="N192" s="21"/>
      <c r="O192" s="21"/>
      <c r="P192" s="34"/>
      <c r="Q192" s="34"/>
      <c r="R192" s="35"/>
      <c r="S192" s="34"/>
      <c r="T192" s="38" t="str">
        <f aca="true">IF(Q192&lt;&gt;"Yes","",IF(S192="Yes","Done",IF(R192="","Date missing",IF(R192&lt;TODAY(),"OVERDUE","Scheduled"))))</f>
        <v/>
      </c>
      <c r="U192" s="34"/>
      <c r="V192" s="34"/>
      <c r="W192" s="21"/>
    </row>
    <row r="193" customFormat="false" ht="15" hidden="false" customHeight="false" outlineLevel="0" collapsed="false">
      <c r="A193" s="6" t="s">
        <v>721</v>
      </c>
      <c r="B193" s="35"/>
      <c r="C193" s="39"/>
      <c r="D193" s="40"/>
      <c r="E193" s="34"/>
      <c r="F193" s="34"/>
      <c r="G193" s="21"/>
      <c r="H193" s="34"/>
      <c r="I193" s="21"/>
      <c r="J193" s="34"/>
      <c r="K193" s="21"/>
      <c r="L193" s="21"/>
      <c r="M193" s="21"/>
      <c r="N193" s="21"/>
      <c r="O193" s="21"/>
      <c r="P193" s="34"/>
      <c r="Q193" s="34"/>
      <c r="R193" s="35"/>
      <c r="S193" s="34"/>
      <c r="T193" s="38" t="str">
        <f aca="true">IF(Q193&lt;&gt;"Yes","",IF(S193="Yes","Done",IF(R193="","Date missing",IF(R193&lt;TODAY(),"OVERDUE","Scheduled"))))</f>
        <v/>
      </c>
      <c r="U193" s="34"/>
      <c r="V193" s="34"/>
      <c r="W193" s="21"/>
    </row>
    <row r="194" customFormat="false" ht="15" hidden="false" customHeight="false" outlineLevel="0" collapsed="false">
      <c r="A194" s="6" t="s">
        <v>722</v>
      </c>
      <c r="B194" s="35"/>
      <c r="C194" s="39"/>
      <c r="D194" s="40"/>
      <c r="E194" s="34"/>
      <c r="F194" s="34"/>
      <c r="G194" s="21"/>
      <c r="H194" s="34"/>
      <c r="I194" s="21"/>
      <c r="J194" s="34"/>
      <c r="K194" s="21"/>
      <c r="L194" s="21"/>
      <c r="M194" s="21"/>
      <c r="N194" s="21"/>
      <c r="O194" s="21"/>
      <c r="P194" s="34"/>
      <c r="Q194" s="34"/>
      <c r="R194" s="35"/>
      <c r="S194" s="34"/>
      <c r="T194" s="38" t="str">
        <f aca="true">IF(Q194&lt;&gt;"Yes","",IF(S194="Yes","Done",IF(R194="","Date missing",IF(R194&lt;TODAY(),"OVERDUE","Scheduled"))))</f>
        <v/>
      </c>
      <c r="U194" s="34"/>
      <c r="V194" s="34"/>
      <c r="W194" s="21"/>
    </row>
    <row r="195" customFormat="false" ht="15" hidden="false" customHeight="false" outlineLevel="0" collapsed="false">
      <c r="A195" s="6" t="s">
        <v>723</v>
      </c>
      <c r="B195" s="35"/>
      <c r="C195" s="39"/>
      <c r="D195" s="40"/>
      <c r="E195" s="34"/>
      <c r="F195" s="34"/>
      <c r="G195" s="21"/>
      <c r="H195" s="34"/>
      <c r="I195" s="21"/>
      <c r="J195" s="34"/>
      <c r="K195" s="21"/>
      <c r="L195" s="21"/>
      <c r="M195" s="21"/>
      <c r="N195" s="21"/>
      <c r="O195" s="21"/>
      <c r="P195" s="34"/>
      <c r="Q195" s="34"/>
      <c r="R195" s="35"/>
      <c r="S195" s="34"/>
      <c r="T195" s="38" t="str">
        <f aca="true">IF(Q195&lt;&gt;"Yes","",IF(S195="Yes","Done",IF(R195="","Date missing",IF(R195&lt;TODAY(),"OVERDUE","Scheduled"))))</f>
        <v/>
      </c>
      <c r="U195" s="34"/>
      <c r="V195" s="34"/>
      <c r="W195" s="21"/>
    </row>
    <row r="196" customFormat="false" ht="15" hidden="false" customHeight="false" outlineLevel="0" collapsed="false">
      <c r="A196" s="6" t="s">
        <v>724</v>
      </c>
      <c r="B196" s="35"/>
      <c r="C196" s="39"/>
      <c r="D196" s="40"/>
      <c r="E196" s="34"/>
      <c r="F196" s="34"/>
      <c r="G196" s="21"/>
      <c r="H196" s="34"/>
      <c r="I196" s="21"/>
      <c r="J196" s="34"/>
      <c r="K196" s="21"/>
      <c r="L196" s="21"/>
      <c r="M196" s="21"/>
      <c r="N196" s="21"/>
      <c r="O196" s="21"/>
      <c r="P196" s="34"/>
      <c r="Q196" s="34"/>
      <c r="R196" s="35"/>
      <c r="S196" s="34"/>
      <c r="T196" s="38" t="str">
        <f aca="true">IF(Q196&lt;&gt;"Yes","",IF(S196="Yes","Done",IF(R196="","Date missing",IF(R196&lt;TODAY(),"OVERDUE","Scheduled"))))</f>
        <v/>
      </c>
      <c r="U196" s="34"/>
      <c r="V196" s="34"/>
      <c r="W196" s="21"/>
    </row>
    <row r="197" customFormat="false" ht="15" hidden="false" customHeight="false" outlineLevel="0" collapsed="false">
      <c r="A197" s="6" t="s">
        <v>725</v>
      </c>
      <c r="B197" s="35"/>
      <c r="C197" s="39"/>
      <c r="D197" s="40"/>
      <c r="E197" s="34"/>
      <c r="F197" s="34"/>
      <c r="G197" s="21"/>
      <c r="H197" s="34"/>
      <c r="I197" s="21"/>
      <c r="J197" s="34"/>
      <c r="K197" s="21"/>
      <c r="L197" s="21"/>
      <c r="M197" s="21"/>
      <c r="N197" s="21"/>
      <c r="O197" s="21"/>
      <c r="P197" s="34"/>
      <c r="Q197" s="34"/>
      <c r="R197" s="35"/>
      <c r="S197" s="34"/>
      <c r="T197" s="38" t="str">
        <f aca="true">IF(Q197&lt;&gt;"Yes","",IF(S197="Yes","Done",IF(R197="","Date missing",IF(R197&lt;TODAY(),"OVERDUE","Scheduled"))))</f>
        <v/>
      </c>
      <c r="U197" s="34"/>
      <c r="V197" s="34"/>
      <c r="W197" s="21"/>
    </row>
    <row r="198" customFormat="false" ht="15" hidden="false" customHeight="false" outlineLevel="0" collapsed="false">
      <c r="A198" s="6" t="s">
        <v>726</v>
      </c>
      <c r="B198" s="35"/>
      <c r="C198" s="39"/>
      <c r="D198" s="40"/>
      <c r="E198" s="34"/>
      <c r="F198" s="34"/>
      <c r="G198" s="21"/>
      <c r="H198" s="34"/>
      <c r="I198" s="21"/>
      <c r="J198" s="34"/>
      <c r="K198" s="21"/>
      <c r="L198" s="21"/>
      <c r="M198" s="21"/>
      <c r="N198" s="21"/>
      <c r="O198" s="21"/>
      <c r="P198" s="34"/>
      <c r="Q198" s="34"/>
      <c r="R198" s="35"/>
      <c r="S198" s="34"/>
      <c r="T198" s="38" t="str">
        <f aca="true">IF(Q198&lt;&gt;"Yes","",IF(S198="Yes","Done",IF(R198="","Date missing",IF(R198&lt;TODAY(),"OVERDUE","Scheduled"))))</f>
        <v/>
      </c>
      <c r="U198" s="34"/>
      <c r="V198" s="34"/>
      <c r="W198" s="21"/>
    </row>
    <row r="199" customFormat="false" ht="15" hidden="false" customHeight="false" outlineLevel="0" collapsed="false">
      <c r="A199" s="6" t="s">
        <v>727</v>
      </c>
      <c r="B199" s="35"/>
      <c r="C199" s="39"/>
      <c r="D199" s="40"/>
      <c r="E199" s="34"/>
      <c r="F199" s="34"/>
      <c r="G199" s="21"/>
      <c r="H199" s="34"/>
      <c r="I199" s="21"/>
      <c r="J199" s="34"/>
      <c r="K199" s="21"/>
      <c r="L199" s="21"/>
      <c r="M199" s="21"/>
      <c r="N199" s="21"/>
      <c r="O199" s="21"/>
      <c r="P199" s="34"/>
      <c r="Q199" s="34"/>
      <c r="R199" s="35"/>
      <c r="S199" s="34"/>
      <c r="T199" s="38" t="str">
        <f aca="true">IF(Q199&lt;&gt;"Yes","",IF(S199="Yes","Done",IF(R199="","Date missing",IF(R199&lt;TODAY(),"OVERDUE","Scheduled"))))</f>
        <v/>
      </c>
      <c r="U199" s="34"/>
      <c r="V199" s="34"/>
      <c r="W199" s="21"/>
    </row>
    <row r="200" customFormat="false" ht="15" hidden="false" customHeight="false" outlineLevel="0" collapsed="false">
      <c r="A200" s="6" t="s">
        <v>728</v>
      </c>
      <c r="B200" s="35"/>
      <c r="C200" s="39"/>
      <c r="D200" s="40"/>
      <c r="E200" s="34"/>
      <c r="F200" s="34"/>
      <c r="G200" s="21"/>
      <c r="H200" s="34"/>
      <c r="I200" s="21"/>
      <c r="J200" s="34"/>
      <c r="K200" s="21"/>
      <c r="L200" s="21"/>
      <c r="M200" s="21"/>
      <c r="N200" s="21"/>
      <c r="O200" s="21"/>
      <c r="P200" s="34"/>
      <c r="Q200" s="34"/>
      <c r="R200" s="35"/>
      <c r="S200" s="34"/>
      <c r="T200" s="38" t="str">
        <f aca="true">IF(Q200&lt;&gt;"Yes","",IF(S200="Yes","Done",IF(R200="","Date missing",IF(R200&lt;TODAY(),"OVERDUE","Scheduled"))))</f>
        <v/>
      </c>
      <c r="U200" s="34"/>
      <c r="V200" s="34"/>
      <c r="W200" s="21"/>
    </row>
    <row r="201" customFormat="false" ht="15" hidden="false" customHeight="false" outlineLevel="0" collapsed="false">
      <c r="A201" s="6" t="s">
        <v>729</v>
      </c>
      <c r="B201" s="35"/>
      <c r="C201" s="39"/>
      <c r="D201" s="40"/>
      <c r="E201" s="34"/>
      <c r="F201" s="34"/>
      <c r="G201" s="21"/>
      <c r="H201" s="34"/>
      <c r="I201" s="21"/>
      <c r="J201" s="34"/>
      <c r="K201" s="21"/>
      <c r="L201" s="21"/>
      <c r="M201" s="21"/>
      <c r="N201" s="21"/>
      <c r="O201" s="21"/>
      <c r="P201" s="34"/>
      <c r="Q201" s="34"/>
      <c r="R201" s="35"/>
      <c r="S201" s="34"/>
      <c r="T201" s="38" t="str">
        <f aca="true">IF(Q201&lt;&gt;"Yes","",IF(S201="Yes","Done",IF(R201="","Date missing",IF(R201&lt;TODAY(),"OVERDUE","Scheduled"))))</f>
        <v/>
      </c>
      <c r="U201" s="34"/>
      <c r="V201" s="34"/>
      <c r="W201" s="21"/>
    </row>
    <row r="202" customFormat="false" ht="15" hidden="false" customHeight="false" outlineLevel="0" collapsed="false">
      <c r="A202" s="6" t="s">
        <v>730</v>
      </c>
      <c r="B202" s="35"/>
      <c r="C202" s="39"/>
      <c r="D202" s="40"/>
      <c r="E202" s="34"/>
      <c r="F202" s="34"/>
      <c r="G202" s="21"/>
      <c r="H202" s="34"/>
      <c r="I202" s="21"/>
      <c r="J202" s="34"/>
      <c r="K202" s="21"/>
      <c r="L202" s="21"/>
      <c r="M202" s="21"/>
      <c r="N202" s="21"/>
      <c r="O202" s="21"/>
      <c r="P202" s="34"/>
      <c r="Q202" s="34"/>
      <c r="R202" s="35"/>
      <c r="S202" s="34"/>
      <c r="T202" s="38" t="str">
        <f aca="true">IF(Q202&lt;&gt;"Yes","",IF(S202="Yes","Done",IF(R202="","Date missing",IF(R202&lt;TODAY(),"OVERDUE","Scheduled"))))</f>
        <v/>
      </c>
      <c r="U202" s="34"/>
      <c r="V202" s="34"/>
      <c r="W202" s="21"/>
    </row>
    <row r="203" customFormat="false" ht="15" hidden="false" customHeight="false" outlineLevel="0" collapsed="false">
      <c r="A203" s="6" t="s">
        <v>731</v>
      </c>
      <c r="B203" s="35"/>
      <c r="C203" s="39"/>
      <c r="D203" s="40"/>
      <c r="E203" s="34"/>
      <c r="F203" s="34"/>
      <c r="G203" s="21"/>
      <c r="H203" s="34"/>
      <c r="I203" s="21"/>
      <c r="J203" s="34"/>
      <c r="K203" s="21"/>
      <c r="L203" s="21"/>
      <c r="M203" s="21"/>
      <c r="N203" s="21"/>
      <c r="O203" s="21"/>
      <c r="P203" s="34"/>
      <c r="Q203" s="34"/>
      <c r="R203" s="35"/>
      <c r="S203" s="34"/>
      <c r="T203" s="38" t="str">
        <f aca="true">IF(Q203&lt;&gt;"Yes","",IF(S203="Yes","Done",IF(R203="","Date missing",IF(R203&lt;TODAY(),"OVERDUE","Scheduled"))))</f>
        <v/>
      </c>
      <c r="U203" s="34"/>
      <c r="V203" s="34"/>
      <c r="W203" s="21"/>
    </row>
    <row r="204" customFormat="false" ht="15" hidden="false" customHeight="false" outlineLevel="0" collapsed="false">
      <c r="A204" s="6" t="s">
        <v>732</v>
      </c>
      <c r="B204" s="35"/>
      <c r="C204" s="39"/>
      <c r="D204" s="40"/>
      <c r="E204" s="34"/>
      <c r="F204" s="34"/>
      <c r="G204" s="21"/>
      <c r="H204" s="34"/>
      <c r="I204" s="21"/>
      <c r="J204" s="34"/>
      <c r="K204" s="21"/>
      <c r="L204" s="21"/>
      <c r="M204" s="21"/>
      <c r="N204" s="21"/>
      <c r="O204" s="21"/>
      <c r="P204" s="34"/>
      <c r="Q204" s="34"/>
      <c r="R204" s="35"/>
      <c r="S204" s="34"/>
      <c r="T204" s="38" t="str">
        <f aca="true">IF(Q204&lt;&gt;"Yes","",IF(S204="Yes","Done",IF(R204="","Date missing",IF(R204&lt;TODAY(),"OVERDUE","Scheduled"))))</f>
        <v/>
      </c>
      <c r="U204" s="34"/>
      <c r="V204" s="34"/>
      <c r="W204" s="21"/>
    </row>
    <row r="205" customFormat="false" ht="15" hidden="false" customHeight="false" outlineLevel="0" collapsed="false">
      <c r="A205" s="6" t="s">
        <v>733</v>
      </c>
      <c r="B205" s="35"/>
      <c r="C205" s="39"/>
      <c r="D205" s="40"/>
      <c r="E205" s="34"/>
      <c r="F205" s="34"/>
      <c r="G205" s="21"/>
      <c r="H205" s="34"/>
      <c r="I205" s="21"/>
      <c r="J205" s="34"/>
      <c r="K205" s="21"/>
      <c r="L205" s="21"/>
      <c r="M205" s="21"/>
      <c r="N205" s="21"/>
      <c r="O205" s="21"/>
      <c r="P205" s="34"/>
      <c r="Q205" s="34"/>
      <c r="R205" s="35"/>
      <c r="S205" s="34"/>
      <c r="T205" s="38" t="str">
        <f aca="true">IF(Q205&lt;&gt;"Yes","",IF(S205="Yes","Done",IF(R205="","Date missing",IF(R205&lt;TODAY(),"OVERDUE","Scheduled"))))</f>
        <v/>
      </c>
      <c r="U205" s="34"/>
      <c r="V205" s="34"/>
      <c r="W205" s="21"/>
    </row>
    <row r="206" customFormat="false" ht="15" hidden="false" customHeight="false" outlineLevel="0" collapsed="false">
      <c r="A206" s="6" t="s">
        <v>734</v>
      </c>
      <c r="B206" s="35"/>
      <c r="C206" s="39"/>
      <c r="D206" s="40"/>
      <c r="E206" s="34"/>
      <c r="F206" s="34"/>
      <c r="G206" s="21"/>
      <c r="H206" s="34"/>
      <c r="I206" s="21"/>
      <c r="J206" s="34"/>
      <c r="K206" s="21"/>
      <c r="L206" s="21"/>
      <c r="M206" s="21"/>
      <c r="N206" s="21"/>
      <c r="O206" s="21"/>
      <c r="P206" s="34"/>
      <c r="Q206" s="34"/>
      <c r="R206" s="35"/>
      <c r="S206" s="34"/>
      <c r="T206" s="38" t="str">
        <f aca="true">IF(Q206&lt;&gt;"Yes","",IF(S206="Yes","Done",IF(R206="","Date missing",IF(R206&lt;TODAY(),"OVERDUE","Scheduled"))))</f>
        <v/>
      </c>
      <c r="U206" s="34"/>
      <c r="V206" s="34"/>
      <c r="W206" s="21"/>
    </row>
    <row r="207" customFormat="false" ht="15" hidden="false" customHeight="false" outlineLevel="0" collapsed="false">
      <c r="A207" s="6" t="s">
        <v>735</v>
      </c>
      <c r="B207" s="35"/>
      <c r="C207" s="39"/>
      <c r="D207" s="40"/>
      <c r="E207" s="34"/>
      <c r="F207" s="34"/>
      <c r="G207" s="21"/>
      <c r="H207" s="34"/>
      <c r="I207" s="21"/>
      <c r="J207" s="34"/>
      <c r="K207" s="21"/>
      <c r="L207" s="21"/>
      <c r="M207" s="21"/>
      <c r="N207" s="21"/>
      <c r="O207" s="21"/>
      <c r="P207" s="34"/>
      <c r="Q207" s="34"/>
      <c r="R207" s="35"/>
      <c r="S207" s="34"/>
      <c r="T207" s="38" t="str">
        <f aca="true">IF(Q207&lt;&gt;"Yes","",IF(S207="Yes","Done",IF(R207="","Date missing",IF(R207&lt;TODAY(),"OVERDUE","Scheduled"))))</f>
        <v/>
      </c>
      <c r="U207" s="34"/>
      <c r="V207" s="34"/>
      <c r="W207" s="21"/>
    </row>
    <row r="208" customFormat="false" ht="15" hidden="false" customHeight="false" outlineLevel="0" collapsed="false">
      <c r="A208" s="6" t="s">
        <v>736</v>
      </c>
      <c r="B208" s="35"/>
      <c r="C208" s="39"/>
      <c r="D208" s="40"/>
      <c r="E208" s="34"/>
      <c r="F208" s="34"/>
      <c r="G208" s="21"/>
      <c r="H208" s="34"/>
      <c r="I208" s="21"/>
      <c r="J208" s="34"/>
      <c r="K208" s="21"/>
      <c r="L208" s="21"/>
      <c r="M208" s="21"/>
      <c r="N208" s="21"/>
      <c r="O208" s="21"/>
      <c r="P208" s="34"/>
      <c r="Q208" s="34"/>
      <c r="R208" s="35"/>
      <c r="S208" s="34"/>
      <c r="T208" s="38" t="str">
        <f aca="true">IF(Q208&lt;&gt;"Yes","",IF(S208="Yes","Done",IF(R208="","Date missing",IF(R208&lt;TODAY(),"OVERDUE","Scheduled"))))</f>
        <v/>
      </c>
      <c r="U208" s="34"/>
      <c r="V208" s="34"/>
      <c r="W208" s="21"/>
    </row>
    <row r="209" customFormat="false" ht="15" hidden="false" customHeight="false" outlineLevel="0" collapsed="false">
      <c r="A209" s="6" t="s">
        <v>737</v>
      </c>
      <c r="B209" s="35"/>
      <c r="C209" s="39"/>
      <c r="D209" s="40"/>
      <c r="E209" s="34"/>
      <c r="F209" s="34"/>
      <c r="G209" s="21"/>
      <c r="H209" s="34"/>
      <c r="I209" s="21"/>
      <c r="J209" s="34"/>
      <c r="K209" s="21"/>
      <c r="L209" s="21"/>
      <c r="M209" s="21"/>
      <c r="N209" s="21"/>
      <c r="O209" s="21"/>
      <c r="P209" s="34"/>
      <c r="Q209" s="34"/>
      <c r="R209" s="35"/>
      <c r="S209" s="34"/>
      <c r="T209" s="38" t="str">
        <f aca="true">IF(Q209&lt;&gt;"Yes","",IF(S209="Yes","Done",IF(R209="","Date missing",IF(R209&lt;TODAY(),"OVERDUE","Scheduled"))))</f>
        <v/>
      </c>
      <c r="U209" s="34"/>
      <c r="V209" s="34"/>
      <c r="W209" s="21"/>
    </row>
    <row r="210" customFormat="false" ht="15" hidden="false" customHeight="false" outlineLevel="0" collapsed="false">
      <c r="A210" s="6" t="s">
        <v>738</v>
      </c>
      <c r="B210" s="35"/>
      <c r="C210" s="39"/>
      <c r="D210" s="40"/>
      <c r="E210" s="34"/>
      <c r="F210" s="34"/>
      <c r="G210" s="21"/>
      <c r="H210" s="34"/>
      <c r="I210" s="21"/>
      <c r="J210" s="34"/>
      <c r="K210" s="21"/>
      <c r="L210" s="21"/>
      <c r="M210" s="21"/>
      <c r="N210" s="21"/>
      <c r="O210" s="21"/>
      <c r="P210" s="34"/>
      <c r="Q210" s="34"/>
      <c r="R210" s="35"/>
      <c r="S210" s="34"/>
      <c r="T210" s="38" t="str">
        <f aca="true">IF(Q210&lt;&gt;"Yes","",IF(S210="Yes","Done",IF(R210="","Date missing",IF(R210&lt;TODAY(),"OVERDUE","Scheduled"))))</f>
        <v/>
      </c>
      <c r="U210" s="34"/>
      <c r="V210" s="34"/>
      <c r="W210" s="21"/>
    </row>
    <row r="211" customFormat="false" ht="15" hidden="false" customHeight="false" outlineLevel="0" collapsed="false">
      <c r="A211" s="6" t="s">
        <v>739</v>
      </c>
      <c r="B211" s="35"/>
      <c r="C211" s="39"/>
      <c r="D211" s="40"/>
      <c r="E211" s="34"/>
      <c r="F211" s="34"/>
      <c r="G211" s="21"/>
      <c r="H211" s="34"/>
      <c r="I211" s="21"/>
      <c r="J211" s="34"/>
      <c r="K211" s="21"/>
      <c r="L211" s="21"/>
      <c r="M211" s="21"/>
      <c r="N211" s="21"/>
      <c r="O211" s="21"/>
      <c r="P211" s="34"/>
      <c r="Q211" s="34"/>
      <c r="R211" s="35"/>
      <c r="S211" s="34"/>
      <c r="T211" s="38" t="str">
        <f aca="true">IF(Q211&lt;&gt;"Yes","",IF(S211="Yes","Done",IF(R211="","Date missing",IF(R211&lt;TODAY(),"OVERDUE","Scheduled"))))</f>
        <v/>
      </c>
      <c r="U211" s="34"/>
      <c r="V211" s="34"/>
      <c r="W211" s="21"/>
    </row>
    <row r="212" customFormat="false" ht="15" hidden="false" customHeight="false" outlineLevel="0" collapsed="false">
      <c r="A212" s="6" t="s">
        <v>740</v>
      </c>
      <c r="B212" s="35"/>
      <c r="C212" s="39"/>
      <c r="D212" s="40"/>
      <c r="E212" s="34"/>
      <c r="F212" s="34"/>
      <c r="G212" s="21"/>
      <c r="H212" s="34"/>
      <c r="I212" s="21"/>
      <c r="J212" s="34"/>
      <c r="K212" s="21"/>
      <c r="L212" s="21"/>
      <c r="M212" s="21"/>
      <c r="N212" s="21"/>
      <c r="O212" s="21"/>
      <c r="P212" s="34"/>
      <c r="Q212" s="34"/>
      <c r="R212" s="35"/>
      <c r="S212" s="34"/>
      <c r="T212" s="38" t="str">
        <f aca="true">IF(Q212&lt;&gt;"Yes","",IF(S212="Yes","Done",IF(R212="","Date missing",IF(R212&lt;TODAY(),"OVERDUE","Scheduled"))))</f>
        <v/>
      </c>
      <c r="U212" s="34"/>
      <c r="V212" s="34"/>
      <c r="W212" s="21"/>
    </row>
    <row r="213" customFormat="false" ht="15" hidden="false" customHeight="false" outlineLevel="0" collapsed="false">
      <c r="A213" s="6" t="s">
        <v>741</v>
      </c>
      <c r="B213" s="35"/>
      <c r="C213" s="39"/>
      <c r="D213" s="40"/>
      <c r="E213" s="34"/>
      <c r="F213" s="34"/>
      <c r="G213" s="21"/>
      <c r="H213" s="34"/>
      <c r="I213" s="21"/>
      <c r="J213" s="34"/>
      <c r="K213" s="21"/>
      <c r="L213" s="21"/>
      <c r="M213" s="21"/>
      <c r="N213" s="21"/>
      <c r="O213" s="21"/>
      <c r="P213" s="34"/>
      <c r="Q213" s="34"/>
      <c r="R213" s="35"/>
      <c r="S213" s="34"/>
      <c r="T213" s="38" t="str">
        <f aca="true">IF(Q213&lt;&gt;"Yes","",IF(S213="Yes","Done",IF(R213="","Date missing",IF(R213&lt;TODAY(),"OVERDUE","Scheduled"))))</f>
        <v/>
      </c>
      <c r="U213" s="34"/>
      <c r="V213" s="34"/>
      <c r="W213" s="21"/>
    </row>
    <row r="214" customFormat="false" ht="15" hidden="false" customHeight="false" outlineLevel="0" collapsed="false">
      <c r="A214" s="6" t="s">
        <v>742</v>
      </c>
      <c r="B214" s="35"/>
      <c r="C214" s="39"/>
      <c r="D214" s="40"/>
      <c r="E214" s="34"/>
      <c r="F214" s="34"/>
      <c r="G214" s="21"/>
      <c r="H214" s="34"/>
      <c r="I214" s="21"/>
      <c r="J214" s="34"/>
      <c r="K214" s="21"/>
      <c r="L214" s="21"/>
      <c r="M214" s="21"/>
      <c r="N214" s="21"/>
      <c r="O214" s="21"/>
      <c r="P214" s="34"/>
      <c r="Q214" s="34"/>
      <c r="R214" s="35"/>
      <c r="S214" s="34"/>
      <c r="T214" s="38" t="str">
        <f aca="true">IF(Q214&lt;&gt;"Yes","",IF(S214="Yes","Done",IF(R214="","Date missing",IF(R214&lt;TODAY(),"OVERDUE","Scheduled"))))</f>
        <v/>
      </c>
      <c r="U214" s="34"/>
      <c r="V214" s="34"/>
      <c r="W214" s="21"/>
    </row>
    <row r="215" customFormat="false" ht="15" hidden="false" customHeight="false" outlineLevel="0" collapsed="false">
      <c r="A215" s="6" t="s">
        <v>743</v>
      </c>
      <c r="B215" s="35"/>
      <c r="C215" s="39"/>
      <c r="D215" s="40"/>
      <c r="E215" s="34"/>
      <c r="F215" s="34"/>
      <c r="G215" s="21"/>
      <c r="H215" s="34"/>
      <c r="I215" s="21"/>
      <c r="J215" s="34"/>
      <c r="K215" s="21"/>
      <c r="L215" s="21"/>
      <c r="M215" s="21"/>
      <c r="N215" s="21"/>
      <c r="O215" s="21"/>
      <c r="P215" s="34"/>
      <c r="Q215" s="34"/>
      <c r="R215" s="35"/>
      <c r="S215" s="34"/>
      <c r="T215" s="38" t="str">
        <f aca="true">IF(Q215&lt;&gt;"Yes","",IF(S215="Yes","Done",IF(R215="","Date missing",IF(R215&lt;TODAY(),"OVERDUE","Scheduled"))))</f>
        <v/>
      </c>
      <c r="U215" s="34"/>
      <c r="V215" s="34"/>
      <c r="W215" s="21"/>
    </row>
    <row r="216" customFormat="false" ht="15" hidden="false" customHeight="false" outlineLevel="0" collapsed="false">
      <c r="A216" s="6" t="s">
        <v>744</v>
      </c>
      <c r="B216" s="35"/>
      <c r="C216" s="39"/>
      <c r="D216" s="40"/>
      <c r="E216" s="34"/>
      <c r="F216" s="34"/>
      <c r="G216" s="21"/>
      <c r="H216" s="34"/>
      <c r="I216" s="21"/>
      <c r="J216" s="34"/>
      <c r="K216" s="21"/>
      <c r="L216" s="21"/>
      <c r="M216" s="21"/>
      <c r="N216" s="21"/>
      <c r="O216" s="21"/>
      <c r="P216" s="34"/>
      <c r="Q216" s="34"/>
      <c r="R216" s="35"/>
      <c r="S216" s="34"/>
      <c r="T216" s="38" t="str">
        <f aca="true">IF(Q216&lt;&gt;"Yes","",IF(S216="Yes","Done",IF(R216="","Date missing",IF(R216&lt;TODAY(),"OVERDUE","Scheduled"))))</f>
        <v/>
      </c>
      <c r="U216" s="34"/>
      <c r="V216" s="34"/>
      <c r="W216" s="21"/>
    </row>
    <row r="217" customFormat="false" ht="15" hidden="false" customHeight="false" outlineLevel="0" collapsed="false">
      <c r="A217" s="6" t="s">
        <v>745</v>
      </c>
      <c r="B217" s="35"/>
      <c r="C217" s="39"/>
      <c r="D217" s="40"/>
      <c r="E217" s="34"/>
      <c r="F217" s="34"/>
      <c r="G217" s="21"/>
      <c r="H217" s="34"/>
      <c r="I217" s="21"/>
      <c r="J217" s="34"/>
      <c r="K217" s="21"/>
      <c r="L217" s="21"/>
      <c r="M217" s="21"/>
      <c r="N217" s="21"/>
      <c r="O217" s="21"/>
      <c r="P217" s="34"/>
      <c r="Q217" s="34"/>
      <c r="R217" s="35"/>
      <c r="S217" s="34"/>
      <c r="T217" s="38" t="str">
        <f aca="true">IF(Q217&lt;&gt;"Yes","",IF(S217="Yes","Done",IF(R217="","Date missing",IF(R217&lt;TODAY(),"OVERDUE","Scheduled"))))</f>
        <v/>
      </c>
      <c r="U217" s="34"/>
      <c r="V217" s="34"/>
      <c r="W217" s="21"/>
    </row>
    <row r="218" customFormat="false" ht="15" hidden="false" customHeight="false" outlineLevel="0" collapsed="false">
      <c r="A218" s="6" t="s">
        <v>746</v>
      </c>
      <c r="B218" s="35"/>
      <c r="C218" s="39"/>
      <c r="D218" s="40"/>
      <c r="E218" s="34"/>
      <c r="F218" s="34"/>
      <c r="G218" s="21"/>
      <c r="H218" s="34"/>
      <c r="I218" s="21"/>
      <c r="J218" s="34"/>
      <c r="K218" s="21"/>
      <c r="L218" s="21"/>
      <c r="M218" s="21"/>
      <c r="N218" s="21"/>
      <c r="O218" s="21"/>
      <c r="P218" s="34"/>
      <c r="Q218" s="34"/>
      <c r="R218" s="35"/>
      <c r="S218" s="34"/>
      <c r="T218" s="38" t="str">
        <f aca="true">IF(Q218&lt;&gt;"Yes","",IF(S218="Yes","Done",IF(R218="","Date missing",IF(R218&lt;TODAY(),"OVERDUE","Scheduled"))))</f>
        <v/>
      </c>
      <c r="U218" s="34"/>
      <c r="V218" s="34"/>
      <c r="W218" s="21"/>
    </row>
    <row r="219" customFormat="false" ht="15" hidden="false" customHeight="false" outlineLevel="0" collapsed="false">
      <c r="A219" s="6" t="s">
        <v>747</v>
      </c>
      <c r="B219" s="35"/>
      <c r="C219" s="39"/>
      <c r="D219" s="40"/>
      <c r="E219" s="34"/>
      <c r="F219" s="34"/>
      <c r="G219" s="21"/>
      <c r="H219" s="34"/>
      <c r="I219" s="21"/>
      <c r="J219" s="34"/>
      <c r="K219" s="21"/>
      <c r="L219" s="21"/>
      <c r="M219" s="21"/>
      <c r="N219" s="21"/>
      <c r="O219" s="21"/>
      <c r="P219" s="34"/>
      <c r="Q219" s="34"/>
      <c r="R219" s="35"/>
      <c r="S219" s="34"/>
      <c r="T219" s="38" t="str">
        <f aca="true">IF(Q219&lt;&gt;"Yes","",IF(S219="Yes","Done",IF(R219="","Date missing",IF(R219&lt;TODAY(),"OVERDUE","Scheduled"))))</f>
        <v/>
      </c>
      <c r="U219" s="34"/>
      <c r="V219" s="34"/>
      <c r="W219" s="21"/>
    </row>
    <row r="220" customFormat="false" ht="15" hidden="false" customHeight="false" outlineLevel="0" collapsed="false">
      <c r="A220" s="6" t="s">
        <v>748</v>
      </c>
      <c r="B220" s="35"/>
      <c r="C220" s="39"/>
      <c r="D220" s="40"/>
      <c r="E220" s="34"/>
      <c r="F220" s="34"/>
      <c r="G220" s="21"/>
      <c r="H220" s="34"/>
      <c r="I220" s="21"/>
      <c r="J220" s="34"/>
      <c r="K220" s="21"/>
      <c r="L220" s="21"/>
      <c r="M220" s="21"/>
      <c r="N220" s="21"/>
      <c r="O220" s="21"/>
      <c r="P220" s="34"/>
      <c r="Q220" s="34"/>
      <c r="R220" s="35"/>
      <c r="S220" s="34"/>
      <c r="T220" s="38" t="str">
        <f aca="true">IF(Q220&lt;&gt;"Yes","",IF(S220="Yes","Done",IF(R220="","Date missing",IF(R220&lt;TODAY(),"OVERDUE","Scheduled"))))</f>
        <v/>
      </c>
      <c r="U220" s="34"/>
      <c r="V220" s="34"/>
      <c r="W220" s="21"/>
    </row>
    <row r="221" customFormat="false" ht="15" hidden="false" customHeight="false" outlineLevel="0" collapsed="false">
      <c r="A221" s="6" t="s">
        <v>749</v>
      </c>
      <c r="B221" s="35"/>
      <c r="C221" s="39"/>
      <c r="D221" s="40"/>
      <c r="E221" s="34"/>
      <c r="F221" s="34"/>
      <c r="G221" s="21"/>
      <c r="H221" s="34"/>
      <c r="I221" s="21"/>
      <c r="J221" s="34"/>
      <c r="K221" s="21"/>
      <c r="L221" s="21"/>
      <c r="M221" s="21"/>
      <c r="N221" s="21"/>
      <c r="O221" s="21"/>
      <c r="P221" s="34"/>
      <c r="Q221" s="34"/>
      <c r="R221" s="35"/>
      <c r="S221" s="34"/>
      <c r="T221" s="38" t="str">
        <f aca="true">IF(Q221&lt;&gt;"Yes","",IF(S221="Yes","Done",IF(R221="","Date missing",IF(R221&lt;TODAY(),"OVERDUE","Scheduled"))))</f>
        <v/>
      </c>
      <c r="U221" s="34"/>
      <c r="V221" s="34"/>
      <c r="W221" s="21"/>
    </row>
    <row r="222" customFormat="false" ht="15" hidden="false" customHeight="false" outlineLevel="0" collapsed="false">
      <c r="A222" s="6" t="s">
        <v>750</v>
      </c>
      <c r="B222" s="35"/>
      <c r="C222" s="39"/>
      <c r="D222" s="40"/>
      <c r="E222" s="34"/>
      <c r="F222" s="34"/>
      <c r="G222" s="21"/>
      <c r="H222" s="34"/>
      <c r="I222" s="21"/>
      <c r="J222" s="34"/>
      <c r="K222" s="21"/>
      <c r="L222" s="21"/>
      <c r="M222" s="21"/>
      <c r="N222" s="21"/>
      <c r="O222" s="21"/>
      <c r="P222" s="34"/>
      <c r="Q222" s="34"/>
      <c r="R222" s="35"/>
      <c r="S222" s="34"/>
      <c r="T222" s="38" t="str">
        <f aca="true">IF(Q222&lt;&gt;"Yes","",IF(S222="Yes","Done",IF(R222="","Date missing",IF(R222&lt;TODAY(),"OVERDUE","Scheduled"))))</f>
        <v/>
      </c>
      <c r="U222" s="34"/>
      <c r="V222" s="34"/>
      <c r="W222" s="21"/>
    </row>
    <row r="223" customFormat="false" ht="15" hidden="false" customHeight="false" outlineLevel="0" collapsed="false">
      <c r="A223" s="6" t="s">
        <v>751</v>
      </c>
      <c r="B223" s="35"/>
      <c r="C223" s="39"/>
      <c r="D223" s="40"/>
      <c r="E223" s="34"/>
      <c r="F223" s="34"/>
      <c r="G223" s="21"/>
      <c r="H223" s="34"/>
      <c r="I223" s="21"/>
      <c r="J223" s="34"/>
      <c r="K223" s="21"/>
      <c r="L223" s="21"/>
      <c r="M223" s="21"/>
      <c r="N223" s="21"/>
      <c r="O223" s="21"/>
      <c r="P223" s="34"/>
      <c r="Q223" s="34"/>
      <c r="R223" s="35"/>
      <c r="S223" s="34"/>
      <c r="T223" s="38" t="str">
        <f aca="true">IF(Q223&lt;&gt;"Yes","",IF(S223="Yes","Done",IF(R223="","Date missing",IF(R223&lt;TODAY(),"OVERDUE","Scheduled"))))</f>
        <v/>
      </c>
      <c r="U223" s="34"/>
      <c r="V223" s="34"/>
      <c r="W223" s="21"/>
    </row>
    <row r="224" customFormat="false" ht="15" hidden="false" customHeight="false" outlineLevel="0" collapsed="false">
      <c r="A224" s="6" t="s">
        <v>752</v>
      </c>
      <c r="B224" s="35"/>
      <c r="C224" s="39"/>
      <c r="D224" s="40"/>
      <c r="E224" s="34"/>
      <c r="F224" s="34"/>
      <c r="G224" s="21"/>
      <c r="H224" s="34"/>
      <c r="I224" s="21"/>
      <c r="J224" s="34"/>
      <c r="K224" s="21"/>
      <c r="L224" s="21"/>
      <c r="M224" s="21"/>
      <c r="N224" s="21"/>
      <c r="O224" s="21"/>
      <c r="P224" s="34"/>
      <c r="Q224" s="34"/>
      <c r="R224" s="35"/>
      <c r="S224" s="34"/>
      <c r="T224" s="38" t="str">
        <f aca="true">IF(Q224&lt;&gt;"Yes","",IF(S224="Yes","Done",IF(R224="","Date missing",IF(R224&lt;TODAY(),"OVERDUE","Scheduled"))))</f>
        <v/>
      </c>
      <c r="U224" s="34"/>
      <c r="V224" s="34"/>
      <c r="W224" s="21"/>
    </row>
    <row r="225" customFormat="false" ht="15" hidden="false" customHeight="false" outlineLevel="0" collapsed="false">
      <c r="A225" s="6" t="s">
        <v>753</v>
      </c>
      <c r="B225" s="35"/>
      <c r="C225" s="39"/>
      <c r="D225" s="40"/>
      <c r="E225" s="34"/>
      <c r="F225" s="34"/>
      <c r="G225" s="21"/>
      <c r="H225" s="34"/>
      <c r="I225" s="21"/>
      <c r="J225" s="34"/>
      <c r="K225" s="21"/>
      <c r="L225" s="21"/>
      <c r="M225" s="21"/>
      <c r="N225" s="21"/>
      <c r="O225" s="21"/>
      <c r="P225" s="34"/>
      <c r="Q225" s="34"/>
      <c r="R225" s="35"/>
      <c r="S225" s="34"/>
      <c r="T225" s="38" t="str">
        <f aca="true">IF(Q225&lt;&gt;"Yes","",IF(S225="Yes","Done",IF(R225="","Date missing",IF(R225&lt;TODAY(),"OVERDUE","Scheduled"))))</f>
        <v/>
      </c>
      <c r="U225" s="34"/>
      <c r="V225" s="34"/>
      <c r="W225" s="21"/>
    </row>
    <row r="226" customFormat="false" ht="15" hidden="false" customHeight="false" outlineLevel="0" collapsed="false">
      <c r="A226" s="6" t="s">
        <v>754</v>
      </c>
      <c r="B226" s="35"/>
      <c r="C226" s="39"/>
      <c r="D226" s="40"/>
      <c r="E226" s="34"/>
      <c r="F226" s="34"/>
      <c r="G226" s="21"/>
      <c r="H226" s="34"/>
      <c r="I226" s="21"/>
      <c r="J226" s="34"/>
      <c r="K226" s="21"/>
      <c r="L226" s="21"/>
      <c r="M226" s="21"/>
      <c r="N226" s="21"/>
      <c r="O226" s="21"/>
      <c r="P226" s="34"/>
      <c r="Q226" s="34"/>
      <c r="R226" s="35"/>
      <c r="S226" s="34"/>
      <c r="T226" s="38" t="str">
        <f aca="true">IF(Q226&lt;&gt;"Yes","",IF(S226="Yes","Done",IF(R226="","Date missing",IF(R226&lt;TODAY(),"OVERDUE","Scheduled"))))</f>
        <v/>
      </c>
      <c r="U226" s="34"/>
      <c r="V226" s="34"/>
      <c r="W226" s="21"/>
    </row>
    <row r="227" customFormat="false" ht="15" hidden="false" customHeight="false" outlineLevel="0" collapsed="false">
      <c r="A227" s="6" t="s">
        <v>755</v>
      </c>
      <c r="B227" s="35"/>
      <c r="C227" s="39"/>
      <c r="D227" s="40"/>
      <c r="E227" s="34"/>
      <c r="F227" s="34"/>
      <c r="G227" s="21"/>
      <c r="H227" s="34"/>
      <c r="I227" s="21"/>
      <c r="J227" s="34"/>
      <c r="K227" s="21"/>
      <c r="L227" s="21"/>
      <c r="M227" s="21"/>
      <c r="N227" s="21"/>
      <c r="O227" s="21"/>
      <c r="P227" s="34"/>
      <c r="Q227" s="34"/>
      <c r="R227" s="35"/>
      <c r="S227" s="34"/>
      <c r="T227" s="38" t="str">
        <f aca="true">IF(Q227&lt;&gt;"Yes","",IF(S227="Yes","Done",IF(R227="","Date missing",IF(R227&lt;TODAY(),"OVERDUE","Scheduled"))))</f>
        <v/>
      </c>
      <c r="U227" s="34"/>
      <c r="V227" s="34"/>
      <c r="W227" s="21"/>
    </row>
    <row r="228" customFormat="false" ht="15" hidden="false" customHeight="false" outlineLevel="0" collapsed="false">
      <c r="A228" s="6" t="s">
        <v>756</v>
      </c>
      <c r="B228" s="35"/>
      <c r="C228" s="39"/>
      <c r="D228" s="40"/>
      <c r="E228" s="34"/>
      <c r="F228" s="34"/>
      <c r="G228" s="21"/>
      <c r="H228" s="34"/>
      <c r="I228" s="21"/>
      <c r="J228" s="34"/>
      <c r="K228" s="21"/>
      <c r="L228" s="21"/>
      <c r="M228" s="21"/>
      <c r="N228" s="21"/>
      <c r="O228" s="21"/>
      <c r="P228" s="34"/>
      <c r="Q228" s="34"/>
      <c r="R228" s="35"/>
      <c r="S228" s="34"/>
      <c r="T228" s="38" t="str">
        <f aca="true">IF(Q228&lt;&gt;"Yes","",IF(S228="Yes","Done",IF(R228="","Date missing",IF(R228&lt;TODAY(),"OVERDUE","Scheduled"))))</f>
        <v/>
      </c>
      <c r="U228" s="34"/>
      <c r="V228" s="34"/>
      <c r="W228" s="21"/>
    </row>
    <row r="229" customFormat="false" ht="15" hidden="false" customHeight="false" outlineLevel="0" collapsed="false">
      <c r="A229" s="6" t="s">
        <v>757</v>
      </c>
      <c r="B229" s="35"/>
      <c r="C229" s="39"/>
      <c r="D229" s="40"/>
      <c r="E229" s="34"/>
      <c r="F229" s="34"/>
      <c r="G229" s="21"/>
      <c r="H229" s="34"/>
      <c r="I229" s="21"/>
      <c r="J229" s="34"/>
      <c r="K229" s="21"/>
      <c r="L229" s="21"/>
      <c r="M229" s="21"/>
      <c r="N229" s="21"/>
      <c r="O229" s="21"/>
      <c r="P229" s="34"/>
      <c r="Q229" s="34"/>
      <c r="R229" s="35"/>
      <c r="S229" s="34"/>
      <c r="T229" s="38" t="str">
        <f aca="true">IF(Q229&lt;&gt;"Yes","",IF(S229="Yes","Done",IF(R229="","Date missing",IF(R229&lt;TODAY(),"OVERDUE","Scheduled"))))</f>
        <v/>
      </c>
      <c r="U229" s="34"/>
      <c r="V229" s="34"/>
      <c r="W229" s="21"/>
    </row>
    <row r="230" customFormat="false" ht="15" hidden="false" customHeight="false" outlineLevel="0" collapsed="false">
      <c r="A230" s="6" t="s">
        <v>758</v>
      </c>
      <c r="B230" s="35"/>
      <c r="C230" s="39"/>
      <c r="D230" s="40"/>
      <c r="E230" s="34"/>
      <c r="F230" s="34"/>
      <c r="G230" s="21"/>
      <c r="H230" s="34"/>
      <c r="I230" s="21"/>
      <c r="J230" s="34"/>
      <c r="K230" s="21"/>
      <c r="L230" s="21"/>
      <c r="M230" s="21"/>
      <c r="N230" s="21"/>
      <c r="O230" s="21"/>
      <c r="P230" s="34"/>
      <c r="Q230" s="34"/>
      <c r="R230" s="35"/>
      <c r="S230" s="34"/>
      <c r="T230" s="38" t="str">
        <f aca="true">IF(Q230&lt;&gt;"Yes","",IF(S230="Yes","Done",IF(R230="","Date missing",IF(R230&lt;TODAY(),"OVERDUE","Scheduled"))))</f>
        <v/>
      </c>
      <c r="U230" s="34"/>
      <c r="V230" s="34"/>
      <c r="W230" s="21"/>
    </row>
    <row r="231" customFormat="false" ht="15" hidden="false" customHeight="false" outlineLevel="0" collapsed="false">
      <c r="A231" s="6" t="s">
        <v>759</v>
      </c>
      <c r="B231" s="35"/>
      <c r="C231" s="39"/>
      <c r="D231" s="40"/>
      <c r="E231" s="34"/>
      <c r="F231" s="34"/>
      <c r="G231" s="21"/>
      <c r="H231" s="34"/>
      <c r="I231" s="21"/>
      <c r="J231" s="34"/>
      <c r="K231" s="21"/>
      <c r="L231" s="21"/>
      <c r="M231" s="21"/>
      <c r="N231" s="21"/>
      <c r="O231" s="21"/>
      <c r="P231" s="34"/>
      <c r="Q231" s="34"/>
      <c r="R231" s="35"/>
      <c r="S231" s="34"/>
      <c r="T231" s="38" t="str">
        <f aca="true">IF(Q231&lt;&gt;"Yes","",IF(S231="Yes","Done",IF(R231="","Date missing",IF(R231&lt;TODAY(),"OVERDUE","Scheduled"))))</f>
        <v/>
      </c>
      <c r="U231" s="34"/>
      <c r="V231" s="34"/>
      <c r="W231" s="21"/>
    </row>
    <row r="232" customFormat="false" ht="15" hidden="false" customHeight="false" outlineLevel="0" collapsed="false">
      <c r="A232" s="6" t="s">
        <v>760</v>
      </c>
      <c r="B232" s="35"/>
      <c r="C232" s="39"/>
      <c r="D232" s="40"/>
      <c r="E232" s="34"/>
      <c r="F232" s="34"/>
      <c r="G232" s="21"/>
      <c r="H232" s="34"/>
      <c r="I232" s="21"/>
      <c r="J232" s="34"/>
      <c r="K232" s="21"/>
      <c r="L232" s="21"/>
      <c r="M232" s="21"/>
      <c r="N232" s="21"/>
      <c r="O232" s="21"/>
      <c r="P232" s="34"/>
      <c r="Q232" s="34"/>
      <c r="R232" s="35"/>
      <c r="S232" s="34"/>
      <c r="T232" s="38" t="str">
        <f aca="true">IF(Q232&lt;&gt;"Yes","",IF(S232="Yes","Done",IF(R232="","Date missing",IF(R232&lt;TODAY(),"OVERDUE","Scheduled"))))</f>
        <v/>
      </c>
      <c r="U232" s="34"/>
      <c r="V232" s="34"/>
      <c r="W232" s="21"/>
    </row>
    <row r="233" customFormat="false" ht="15" hidden="false" customHeight="false" outlineLevel="0" collapsed="false">
      <c r="A233" s="6" t="s">
        <v>761</v>
      </c>
      <c r="B233" s="35"/>
      <c r="C233" s="39"/>
      <c r="D233" s="40"/>
      <c r="E233" s="34"/>
      <c r="F233" s="34"/>
      <c r="G233" s="21"/>
      <c r="H233" s="34"/>
      <c r="I233" s="21"/>
      <c r="J233" s="34"/>
      <c r="K233" s="21"/>
      <c r="L233" s="21"/>
      <c r="M233" s="21"/>
      <c r="N233" s="21"/>
      <c r="O233" s="21"/>
      <c r="P233" s="34"/>
      <c r="Q233" s="34"/>
      <c r="R233" s="35"/>
      <c r="S233" s="34"/>
      <c r="T233" s="38" t="str">
        <f aca="true">IF(Q233&lt;&gt;"Yes","",IF(S233="Yes","Done",IF(R233="","Date missing",IF(R233&lt;TODAY(),"OVERDUE","Scheduled"))))</f>
        <v/>
      </c>
      <c r="U233" s="34"/>
      <c r="V233" s="34"/>
      <c r="W233" s="21"/>
    </row>
    <row r="234" customFormat="false" ht="15" hidden="false" customHeight="false" outlineLevel="0" collapsed="false">
      <c r="A234" s="6" t="s">
        <v>762</v>
      </c>
      <c r="B234" s="35"/>
      <c r="C234" s="39"/>
      <c r="D234" s="40"/>
      <c r="E234" s="34"/>
      <c r="F234" s="34"/>
      <c r="G234" s="21"/>
      <c r="H234" s="34"/>
      <c r="I234" s="21"/>
      <c r="J234" s="34"/>
      <c r="K234" s="21"/>
      <c r="L234" s="21"/>
      <c r="M234" s="21"/>
      <c r="N234" s="21"/>
      <c r="O234" s="21"/>
      <c r="P234" s="34"/>
      <c r="Q234" s="34"/>
      <c r="R234" s="35"/>
      <c r="S234" s="34"/>
      <c r="T234" s="38" t="str">
        <f aca="true">IF(Q234&lt;&gt;"Yes","",IF(S234="Yes","Done",IF(R234="","Date missing",IF(R234&lt;TODAY(),"OVERDUE","Scheduled"))))</f>
        <v/>
      </c>
      <c r="U234" s="34"/>
      <c r="V234" s="34"/>
      <c r="W234" s="21"/>
    </row>
    <row r="235" customFormat="false" ht="15" hidden="false" customHeight="false" outlineLevel="0" collapsed="false">
      <c r="A235" s="6" t="s">
        <v>763</v>
      </c>
      <c r="B235" s="35"/>
      <c r="C235" s="39"/>
      <c r="D235" s="40"/>
      <c r="E235" s="34"/>
      <c r="F235" s="34"/>
      <c r="G235" s="21"/>
      <c r="H235" s="34"/>
      <c r="I235" s="21"/>
      <c r="J235" s="34"/>
      <c r="K235" s="21"/>
      <c r="L235" s="21"/>
      <c r="M235" s="21"/>
      <c r="N235" s="21"/>
      <c r="O235" s="21"/>
      <c r="P235" s="34"/>
      <c r="Q235" s="34"/>
      <c r="R235" s="35"/>
      <c r="S235" s="34"/>
      <c r="T235" s="38" t="str">
        <f aca="true">IF(Q235&lt;&gt;"Yes","",IF(S235="Yes","Done",IF(R235="","Date missing",IF(R235&lt;TODAY(),"OVERDUE","Scheduled"))))</f>
        <v/>
      </c>
      <c r="U235" s="34"/>
      <c r="V235" s="34"/>
      <c r="W235" s="21"/>
    </row>
    <row r="236" customFormat="false" ht="15" hidden="false" customHeight="false" outlineLevel="0" collapsed="false">
      <c r="A236" s="6" t="s">
        <v>764</v>
      </c>
      <c r="B236" s="35"/>
      <c r="C236" s="39"/>
      <c r="D236" s="40"/>
      <c r="E236" s="34"/>
      <c r="F236" s="34"/>
      <c r="G236" s="21"/>
      <c r="H236" s="34"/>
      <c r="I236" s="21"/>
      <c r="J236" s="34"/>
      <c r="K236" s="21"/>
      <c r="L236" s="21"/>
      <c r="M236" s="21"/>
      <c r="N236" s="21"/>
      <c r="O236" s="21"/>
      <c r="P236" s="34"/>
      <c r="Q236" s="34"/>
      <c r="R236" s="35"/>
      <c r="S236" s="34"/>
      <c r="T236" s="38" t="str">
        <f aca="true">IF(Q236&lt;&gt;"Yes","",IF(S236="Yes","Done",IF(R236="","Date missing",IF(R236&lt;TODAY(),"OVERDUE","Scheduled"))))</f>
        <v/>
      </c>
      <c r="U236" s="34"/>
      <c r="V236" s="34"/>
      <c r="W236" s="21"/>
    </row>
    <row r="237" customFormat="false" ht="15" hidden="false" customHeight="false" outlineLevel="0" collapsed="false">
      <c r="A237" s="6" t="s">
        <v>765</v>
      </c>
      <c r="B237" s="35"/>
      <c r="C237" s="39"/>
      <c r="D237" s="40"/>
      <c r="E237" s="34"/>
      <c r="F237" s="34"/>
      <c r="G237" s="21"/>
      <c r="H237" s="34"/>
      <c r="I237" s="21"/>
      <c r="J237" s="34"/>
      <c r="K237" s="21"/>
      <c r="L237" s="21"/>
      <c r="M237" s="21"/>
      <c r="N237" s="21"/>
      <c r="O237" s="21"/>
      <c r="P237" s="34"/>
      <c r="Q237" s="34"/>
      <c r="R237" s="35"/>
      <c r="S237" s="34"/>
      <c r="T237" s="38" t="str">
        <f aca="true">IF(Q237&lt;&gt;"Yes","",IF(S237="Yes","Done",IF(R237="","Date missing",IF(R237&lt;TODAY(),"OVERDUE","Scheduled"))))</f>
        <v/>
      </c>
      <c r="U237" s="34"/>
      <c r="V237" s="34"/>
      <c r="W237" s="21"/>
    </row>
    <row r="238" customFormat="false" ht="15" hidden="false" customHeight="false" outlineLevel="0" collapsed="false">
      <c r="A238" s="6" t="s">
        <v>766</v>
      </c>
      <c r="B238" s="35"/>
      <c r="C238" s="39"/>
      <c r="D238" s="40"/>
      <c r="E238" s="34"/>
      <c r="F238" s="34"/>
      <c r="G238" s="21"/>
      <c r="H238" s="34"/>
      <c r="I238" s="21"/>
      <c r="J238" s="34"/>
      <c r="K238" s="21"/>
      <c r="L238" s="21"/>
      <c r="M238" s="21"/>
      <c r="N238" s="21"/>
      <c r="O238" s="21"/>
      <c r="P238" s="34"/>
      <c r="Q238" s="34"/>
      <c r="R238" s="35"/>
      <c r="S238" s="34"/>
      <c r="T238" s="38" t="str">
        <f aca="true">IF(Q238&lt;&gt;"Yes","",IF(S238="Yes","Done",IF(R238="","Date missing",IF(R238&lt;TODAY(),"OVERDUE","Scheduled"))))</f>
        <v/>
      </c>
      <c r="U238" s="34"/>
      <c r="V238" s="34"/>
      <c r="W238" s="21"/>
    </row>
    <row r="239" customFormat="false" ht="15" hidden="false" customHeight="false" outlineLevel="0" collapsed="false">
      <c r="A239" s="6" t="s">
        <v>767</v>
      </c>
      <c r="B239" s="35"/>
      <c r="C239" s="39"/>
      <c r="D239" s="40"/>
      <c r="E239" s="34"/>
      <c r="F239" s="34"/>
      <c r="G239" s="21"/>
      <c r="H239" s="34"/>
      <c r="I239" s="21"/>
      <c r="J239" s="34"/>
      <c r="K239" s="21"/>
      <c r="L239" s="21"/>
      <c r="M239" s="21"/>
      <c r="N239" s="21"/>
      <c r="O239" s="21"/>
      <c r="P239" s="34"/>
      <c r="Q239" s="34"/>
      <c r="R239" s="35"/>
      <c r="S239" s="34"/>
      <c r="T239" s="38" t="str">
        <f aca="true">IF(Q239&lt;&gt;"Yes","",IF(S239="Yes","Done",IF(R239="","Date missing",IF(R239&lt;TODAY(),"OVERDUE","Scheduled"))))</f>
        <v/>
      </c>
      <c r="U239" s="34"/>
      <c r="V239" s="34"/>
      <c r="W239" s="21"/>
    </row>
    <row r="240" customFormat="false" ht="15" hidden="false" customHeight="false" outlineLevel="0" collapsed="false">
      <c r="A240" s="6" t="s">
        <v>768</v>
      </c>
      <c r="B240" s="35"/>
      <c r="C240" s="39"/>
      <c r="D240" s="40"/>
      <c r="E240" s="34"/>
      <c r="F240" s="34"/>
      <c r="G240" s="21"/>
      <c r="H240" s="34"/>
      <c r="I240" s="21"/>
      <c r="J240" s="34"/>
      <c r="K240" s="21"/>
      <c r="L240" s="21"/>
      <c r="M240" s="21"/>
      <c r="N240" s="21"/>
      <c r="O240" s="21"/>
      <c r="P240" s="34"/>
      <c r="Q240" s="34"/>
      <c r="R240" s="35"/>
      <c r="S240" s="34"/>
      <c r="T240" s="38" t="str">
        <f aca="true">IF(Q240&lt;&gt;"Yes","",IF(S240="Yes","Done",IF(R240="","Date missing",IF(R240&lt;TODAY(),"OVERDUE","Scheduled"))))</f>
        <v/>
      </c>
      <c r="U240" s="34"/>
      <c r="V240" s="34"/>
      <c r="W240" s="21"/>
    </row>
    <row r="241" customFormat="false" ht="15" hidden="false" customHeight="false" outlineLevel="0" collapsed="false">
      <c r="A241" s="6" t="s">
        <v>769</v>
      </c>
      <c r="B241" s="35"/>
      <c r="C241" s="39"/>
      <c r="D241" s="40"/>
      <c r="E241" s="34"/>
      <c r="F241" s="34"/>
      <c r="G241" s="21"/>
      <c r="H241" s="34"/>
      <c r="I241" s="21"/>
      <c r="J241" s="34"/>
      <c r="K241" s="21"/>
      <c r="L241" s="21"/>
      <c r="M241" s="21"/>
      <c r="N241" s="21"/>
      <c r="O241" s="21"/>
      <c r="P241" s="34"/>
      <c r="Q241" s="34"/>
      <c r="R241" s="35"/>
      <c r="S241" s="34"/>
      <c r="T241" s="38" t="str">
        <f aca="true">IF(Q241&lt;&gt;"Yes","",IF(S241="Yes","Done",IF(R241="","Date missing",IF(R241&lt;TODAY(),"OVERDUE","Scheduled"))))</f>
        <v/>
      </c>
      <c r="U241" s="34"/>
      <c r="V241" s="34"/>
      <c r="W241" s="21"/>
    </row>
    <row r="242" customFormat="false" ht="15" hidden="false" customHeight="false" outlineLevel="0" collapsed="false">
      <c r="A242" s="6" t="s">
        <v>770</v>
      </c>
      <c r="B242" s="35"/>
      <c r="C242" s="39"/>
      <c r="D242" s="40"/>
      <c r="E242" s="34"/>
      <c r="F242" s="34"/>
      <c r="G242" s="21"/>
      <c r="H242" s="34"/>
      <c r="I242" s="21"/>
      <c r="J242" s="34"/>
      <c r="K242" s="21"/>
      <c r="L242" s="21"/>
      <c r="M242" s="21"/>
      <c r="N242" s="21"/>
      <c r="O242" s="21"/>
      <c r="P242" s="34"/>
      <c r="Q242" s="34"/>
      <c r="R242" s="35"/>
      <c r="S242" s="34"/>
      <c r="T242" s="38" t="str">
        <f aca="true">IF(Q242&lt;&gt;"Yes","",IF(S242="Yes","Done",IF(R242="","Date missing",IF(R242&lt;TODAY(),"OVERDUE","Scheduled"))))</f>
        <v/>
      </c>
      <c r="U242" s="34"/>
      <c r="V242" s="34"/>
      <c r="W242" s="21"/>
    </row>
    <row r="243" customFormat="false" ht="15" hidden="false" customHeight="false" outlineLevel="0" collapsed="false">
      <c r="A243" s="6" t="s">
        <v>771</v>
      </c>
      <c r="B243" s="35"/>
      <c r="C243" s="39"/>
      <c r="D243" s="40"/>
      <c r="E243" s="34"/>
      <c r="F243" s="34"/>
      <c r="G243" s="21"/>
      <c r="H243" s="34"/>
      <c r="I243" s="21"/>
      <c r="J243" s="34"/>
      <c r="K243" s="21"/>
      <c r="L243" s="21"/>
      <c r="M243" s="21"/>
      <c r="N243" s="21"/>
      <c r="O243" s="21"/>
      <c r="P243" s="34"/>
      <c r="Q243" s="34"/>
      <c r="R243" s="35"/>
      <c r="S243" s="34"/>
      <c r="T243" s="38" t="str">
        <f aca="true">IF(Q243&lt;&gt;"Yes","",IF(S243="Yes","Done",IF(R243="","Date missing",IF(R243&lt;TODAY(),"OVERDUE","Scheduled"))))</f>
        <v/>
      </c>
      <c r="U243" s="34"/>
      <c r="V243" s="34"/>
      <c r="W243" s="21"/>
    </row>
    <row r="244" customFormat="false" ht="15" hidden="false" customHeight="false" outlineLevel="0" collapsed="false">
      <c r="A244" s="6" t="s">
        <v>772</v>
      </c>
      <c r="B244" s="35"/>
      <c r="C244" s="39"/>
      <c r="D244" s="40"/>
      <c r="E244" s="34"/>
      <c r="F244" s="34"/>
      <c r="G244" s="21"/>
      <c r="H244" s="34"/>
      <c r="I244" s="21"/>
      <c r="J244" s="34"/>
      <c r="K244" s="21"/>
      <c r="L244" s="21"/>
      <c r="M244" s="21"/>
      <c r="N244" s="21"/>
      <c r="O244" s="21"/>
      <c r="P244" s="34"/>
      <c r="Q244" s="34"/>
      <c r="R244" s="35"/>
      <c r="S244" s="34"/>
      <c r="T244" s="38" t="str">
        <f aca="true">IF(Q244&lt;&gt;"Yes","",IF(S244="Yes","Done",IF(R244="","Date missing",IF(R244&lt;TODAY(),"OVERDUE","Scheduled"))))</f>
        <v/>
      </c>
      <c r="U244" s="34"/>
      <c r="V244" s="34"/>
      <c r="W244" s="21"/>
    </row>
    <row r="245" customFormat="false" ht="15" hidden="false" customHeight="false" outlineLevel="0" collapsed="false">
      <c r="A245" s="6" t="s">
        <v>773</v>
      </c>
      <c r="B245" s="35"/>
      <c r="C245" s="39"/>
      <c r="D245" s="40"/>
      <c r="E245" s="34"/>
      <c r="F245" s="34"/>
      <c r="G245" s="21"/>
      <c r="H245" s="34"/>
      <c r="I245" s="21"/>
      <c r="J245" s="34"/>
      <c r="K245" s="21"/>
      <c r="L245" s="21"/>
      <c r="M245" s="21"/>
      <c r="N245" s="21"/>
      <c r="O245" s="21"/>
      <c r="P245" s="34"/>
      <c r="Q245" s="34"/>
      <c r="R245" s="35"/>
      <c r="S245" s="34"/>
      <c r="T245" s="38" t="str">
        <f aca="true">IF(Q245&lt;&gt;"Yes","",IF(S245="Yes","Done",IF(R245="","Date missing",IF(R245&lt;TODAY(),"OVERDUE","Scheduled"))))</f>
        <v/>
      </c>
      <c r="U245" s="34"/>
      <c r="V245" s="34"/>
      <c r="W245" s="21"/>
    </row>
    <row r="246" customFormat="false" ht="15" hidden="false" customHeight="false" outlineLevel="0" collapsed="false">
      <c r="A246" s="6" t="s">
        <v>774</v>
      </c>
      <c r="B246" s="35"/>
      <c r="C246" s="39"/>
      <c r="D246" s="40"/>
      <c r="E246" s="34"/>
      <c r="F246" s="34"/>
      <c r="G246" s="21"/>
      <c r="H246" s="34"/>
      <c r="I246" s="21"/>
      <c r="J246" s="34"/>
      <c r="K246" s="21"/>
      <c r="L246" s="21"/>
      <c r="M246" s="21"/>
      <c r="N246" s="21"/>
      <c r="O246" s="21"/>
      <c r="P246" s="34"/>
      <c r="Q246" s="34"/>
      <c r="R246" s="35"/>
      <c r="S246" s="34"/>
      <c r="T246" s="38" t="str">
        <f aca="true">IF(Q246&lt;&gt;"Yes","",IF(S246="Yes","Done",IF(R246="","Date missing",IF(R246&lt;TODAY(),"OVERDUE","Scheduled"))))</f>
        <v/>
      </c>
      <c r="U246" s="34"/>
      <c r="V246" s="34"/>
      <c r="W246" s="21"/>
    </row>
    <row r="247" customFormat="false" ht="15" hidden="false" customHeight="false" outlineLevel="0" collapsed="false">
      <c r="A247" s="6" t="s">
        <v>775</v>
      </c>
      <c r="B247" s="35"/>
      <c r="C247" s="39"/>
      <c r="D247" s="40"/>
      <c r="E247" s="34"/>
      <c r="F247" s="34"/>
      <c r="G247" s="21"/>
      <c r="H247" s="34"/>
      <c r="I247" s="21"/>
      <c r="J247" s="34"/>
      <c r="K247" s="21"/>
      <c r="L247" s="21"/>
      <c r="M247" s="21"/>
      <c r="N247" s="21"/>
      <c r="O247" s="21"/>
      <c r="P247" s="34"/>
      <c r="Q247" s="34"/>
      <c r="R247" s="35"/>
      <c r="S247" s="34"/>
      <c r="T247" s="38" t="str">
        <f aca="true">IF(Q247&lt;&gt;"Yes","",IF(S247="Yes","Done",IF(R247="","Date missing",IF(R247&lt;TODAY(),"OVERDUE","Scheduled"))))</f>
        <v/>
      </c>
      <c r="U247" s="34"/>
      <c r="V247" s="34"/>
      <c r="W247" s="21"/>
    </row>
    <row r="248" customFormat="false" ht="15" hidden="false" customHeight="false" outlineLevel="0" collapsed="false">
      <c r="A248" s="6" t="s">
        <v>776</v>
      </c>
      <c r="B248" s="35"/>
      <c r="C248" s="39"/>
      <c r="D248" s="40"/>
      <c r="E248" s="34"/>
      <c r="F248" s="34"/>
      <c r="G248" s="21"/>
      <c r="H248" s="34"/>
      <c r="I248" s="21"/>
      <c r="J248" s="34"/>
      <c r="K248" s="21"/>
      <c r="L248" s="21"/>
      <c r="M248" s="21"/>
      <c r="N248" s="21"/>
      <c r="O248" s="21"/>
      <c r="P248" s="34"/>
      <c r="Q248" s="34"/>
      <c r="R248" s="35"/>
      <c r="S248" s="34"/>
      <c r="T248" s="38" t="str">
        <f aca="true">IF(Q248&lt;&gt;"Yes","",IF(S248="Yes","Done",IF(R248="","Date missing",IF(R248&lt;TODAY(),"OVERDUE","Scheduled"))))</f>
        <v/>
      </c>
      <c r="U248" s="34"/>
      <c r="V248" s="34"/>
      <c r="W248" s="21"/>
    </row>
    <row r="249" customFormat="false" ht="15" hidden="false" customHeight="false" outlineLevel="0" collapsed="false">
      <c r="A249" s="6" t="s">
        <v>777</v>
      </c>
      <c r="B249" s="35"/>
      <c r="C249" s="39"/>
      <c r="D249" s="40"/>
      <c r="E249" s="34"/>
      <c r="F249" s="34"/>
      <c r="G249" s="21"/>
      <c r="H249" s="34"/>
      <c r="I249" s="21"/>
      <c r="J249" s="34"/>
      <c r="K249" s="21"/>
      <c r="L249" s="21"/>
      <c r="M249" s="21"/>
      <c r="N249" s="21"/>
      <c r="O249" s="21"/>
      <c r="P249" s="34"/>
      <c r="Q249" s="34"/>
      <c r="R249" s="35"/>
      <c r="S249" s="34"/>
      <c r="T249" s="38" t="str">
        <f aca="true">IF(Q249&lt;&gt;"Yes","",IF(S249="Yes","Done",IF(R249="","Date missing",IF(R249&lt;TODAY(),"OVERDUE","Scheduled"))))</f>
        <v/>
      </c>
      <c r="U249" s="34"/>
      <c r="V249" s="34"/>
      <c r="W249" s="21"/>
    </row>
    <row r="250" customFormat="false" ht="15" hidden="false" customHeight="false" outlineLevel="0" collapsed="false">
      <c r="A250" s="6" t="s">
        <v>778</v>
      </c>
      <c r="B250" s="35"/>
      <c r="C250" s="39"/>
      <c r="D250" s="40"/>
      <c r="E250" s="34"/>
      <c r="F250" s="34"/>
      <c r="G250" s="21"/>
      <c r="H250" s="34"/>
      <c r="I250" s="21"/>
      <c r="J250" s="34"/>
      <c r="K250" s="21"/>
      <c r="L250" s="21"/>
      <c r="M250" s="21"/>
      <c r="N250" s="21"/>
      <c r="O250" s="21"/>
      <c r="P250" s="34"/>
      <c r="Q250" s="34"/>
      <c r="R250" s="35"/>
      <c r="S250" s="34"/>
      <c r="T250" s="38" t="str">
        <f aca="true">IF(Q250&lt;&gt;"Yes","",IF(S250="Yes","Done",IF(R250="","Date missing",IF(R250&lt;TODAY(),"OVERDUE","Scheduled"))))</f>
        <v/>
      </c>
      <c r="U250" s="34"/>
      <c r="V250" s="34"/>
      <c r="W250" s="21"/>
    </row>
    <row r="251" customFormat="false" ht="15" hidden="false" customHeight="false" outlineLevel="0" collapsed="false">
      <c r="A251" s="6" t="s">
        <v>779</v>
      </c>
      <c r="B251" s="35"/>
      <c r="C251" s="39"/>
      <c r="D251" s="40"/>
      <c r="E251" s="34"/>
      <c r="F251" s="34"/>
      <c r="G251" s="21"/>
      <c r="H251" s="34"/>
      <c r="I251" s="21"/>
      <c r="J251" s="34"/>
      <c r="K251" s="21"/>
      <c r="L251" s="21"/>
      <c r="M251" s="21"/>
      <c r="N251" s="21"/>
      <c r="O251" s="21"/>
      <c r="P251" s="34"/>
      <c r="Q251" s="34"/>
      <c r="R251" s="35"/>
      <c r="S251" s="34"/>
      <c r="T251" s="38" t="str">
        <f aca="true">IF(Q251&lt;&gt;"Yes","",IF(S251="Yes","Done",IF(R251="","Date missing",IF(R251&lt;TODAY(),"OVERDUE","Scheduled"))))</f>
        <v/>
      </c>
      <c r="U251" s="34"/>
      <c r="V251" s="34"/>
      <c r="W251" s="21"/>
    </row>
    <row r="252" customFormat="false" ht="15" hidden="false" customHeight="false" outlineLevel="0" collapsed="false">
      <c r="A252" s="6" t="s">
        <v>780</v>
      </c>
      <c r="B252" s="35"/>
      <c r="C252" s="39"/>
      <c r="D252" s="40"/>
      <c r="E252" s="34"/>
      <c r="F252" s="34"/>
      <c r="G252" s="21"/>
      <c r="H252" s="34"/>
      <c r="I252" s="21"/>
      <c r="J252" s="34"/>
      <c r="K252" s="21"/>
      <c r="L252" s="21"/>
      <c r="M252" s="21"/>
      <c r="N252" s="21"/>
      <c r="O252" s="21"/>
      <c r="P252" s="34"/>
      <c r="Q252" s="34"/>
      <c r="R252" s="35"/>
      <c r="S252" s="34"/>
      <c r="T252" s="38" t="str">
        <f aca="true">IF(Q252&lt;&gt;"Yes","",IF(S252="Yes","Done",IF(R252="","Date missing",IF(R252&lt;TODAY(),"OVERDUE","Scheduled"))))</f>
        <v/>
      </c>
      <c r="U252" s="34"/>
      <c r="V252" s="34"/>
      <c r="W252" s="21"/>
    </row>
    <row r="253" customFormat="false" ht="15" hidden="false" customHeight="false" outlineLevel="0" collapsed="false">
      <c r="A253" s="6" t="s">
        <v>781</v>
      </c>
      <c r="B253" s="35"/>
      <c r="C253" s="39"/>
      <c r="D253" s="40"/>
      <c r="E253" s="34"/>
      <c r="F253" s="34"/>
      <c r="G253" s="21"/>
      <c r="H253" s="34"/>
      <c r="I253" s="21"/>
      <c r="J253" s="34"/>
      <c r="K253" s="21"/>
      <c r="L253" s="21"/>
      <c r="M253" s="21"/>
      <c r="N253" s="21"/>
      <c r="O253" s="21"/>
      <c r="P253" s="34"/>
      <c r="Q253" s="34"/>
      <c r="R253" s="35"/>
      <c r="S253" s="34"/>
      <c r="T253" s="38" t="str">
        <f aca="true">IF(Q253&lt;&gt;"Yes","",IF(S253="Yes","Done",IF(R253="","Date missing",IF(R253&lt;TODAY(),"OVERDUE","Scheduled"))))</f>
        <v/>
      </c>
      <c r="U253" s="34"/>
      <c r="V253" s="34"/>
      <c r="W253" s="21"/>
    </row>
    <row r="254" customFormat="false" ht="15" hidden="false" customHeight="false" outlineLevel="0" collapsed="false">
      <c r="A254" s="6" t="s">
        <v>782</v>
      </c>
      <c r="B254" s="35"/>
      <c r="C254" s="39"/>
      <c r="D254" s="40"/>
      <c r="E254" s="34"/>
      <c r="F254" s="34"/>
      <c r="G254" s="21"/>
      <c r="H254" s="34"/>
      <c r="I254" s="21"/>
      <c r="J254" s="34"/>
      <c r="K254" s="21"/>
      <c r="L254" s="21"/>
      <c r="M254" s="21"/>
      <c r="N254" s="21"/>
      <c r="O254" s="21"/>
      <c r="P254" s="34"/>
      <c r="Q254" s="34"/>
      <c r="R254" s="35"/>
      <c r="S254" s="34"/>
      <c r="T254" s="38" t="str">
        <f aca="true">IF(Q254&lt;&gt;"Yes","",IF(S254="Yes","Done",IF(R254="","Date missing",IF(R254&lt;TODAY(),"OVERDUE","Scheduled"))))</f>
        <v/>
      </c>
      <c r="U254" s="34"/>
      <c r="V254" s="34"/>
      <c r="W254" s="21"/>
    </row>
    <row r="255" customFormat="false" ht="15" hidden="false" customHeight="false" outlineLevel="0" collapsed="false">
      <c r="A255" s="6" t="s">
        <v>783</v>
      </c>
      <c r="B255" s="35"/>
      <c r="C255" s="39"/>
      <c r="D255" s="40"/>
      <c r="E255" s="34"/>
      <c r="F255" s="34"/>
      <c r="G255" s="21"/>
      <c r="H255" s="34"/>
      <c r="I255" s="21"/>
      <c r="J255" s="34"/>
      <c r="K255" s="21"/>
      <c r="L255" s="21"/>
      <c r="M255" s="21"/>
      <c r="N255" s="21"/>
      <c r="O255" s="21"/>
      <c r="P255" s="34"/>
      <c r="Q255" s="34"/>
      <c r="R255" s="35"/>
      <c r="S255" s="34"/>
      <c r="T255" s="38" t="str">
        <f aca="true">IF(Q255&lt;&gt;"Yes","",IF(S255="Yes","Done",IF(R255="","Date missing",IF(R255&lt;TODAY(),"OVERDUE","Scheduled"))))</f>
        <v/>
      </c>
      <c r="U255" s="34"/>
      <c r="V255" s="34"/>
      <c r="W255" s="21"/>
    </row>
    <row r="256" customFormat="false" ht="15" hidden="false" customHeight="false" outlineLevel="0" collapsed="false">
      <c r="A256" s="6" t="s">
        <v>784</v>
      </c>
      <c r="B256" s="35"/>
      <c r="C256" s="39"/>
      <c r="D256" s="40"/>
      <c r="E256" s="34"/>
      <c r="F256" s="34"/>
      <c r="G256" s="21"/>
      <c r="H256" s="34"/>
      <c r="I256" s="21"/>
      <c r="J256" s="34"/>
      <c r="K256" s="21"/>
      <c r="L256" s="21"/>
      <c r="M256" s="21"/>
      <c r="N256" s="21"/>
      <c r="O256" s="21"/>
      <c r="P256" s="34"/>
      <c r="Q256" s="34"/>
      <c r="R256" s="35"/>
      <c r="S256" s="34"/>
      <c r="T256" s="38" t="str">
        <f aca="true">IF(Q256&lt;&gt;"Yes","",IF(S256="Yes","Done",IF(R256="","Date missing",IF(R256&lt;TODAY(),"OVERDUE","Scheduled"))))</f>
        <v/>
      </c>
      <c r="U256" s="34"/>
      <c r="V256" s="34"/>
      <c r="W256" s="21"/>
    </row>
    <row r="257" customFormat="false" ht="15" hidden="false" customHeight="false" outlineLevel="0" collapsed="false">
      <c r="A257" s="6" t="s">
        <v>785</v>
      </c>
      <c r="B257" s="35"/>
      <c r="C257" s="39"/>
      <c r="D257" s="40"/>
      <c r="E257" s="34"/>
      <c r="F257" s="34"/>
      <c r="G257" s="21"/>
      <c r="H257" s="34"/>
      <c r="I257" s="21"/>
      <c r="J257" s="34"/>
      <c r="K257" s="21"/>
      <c r="L257" s="21"/>
      <c r="M257" s="21"/>
      <c r="N257" s="21"/>
      <c r="O257" s="21"/>
      <c r="P257" s="34"/>
      <c r="Q257" s="34"/>
      <c r="R257" s="35"/>
      <c r="S257" s="34"/>
      <c r="T257" s="38" t="str">
        <f aca="true">IF(Q257&lt;&gt;"Yes","",IF(S257="Yes","Done",IF(R257="","Date missing",IF(R257&lt;TODAY(),"OVERDUE","Scheduled"))))</f>
        <v/>
      </c>
      <c r="U257" s="34"/>
      <c r="V257" s="34"/>
      <c r="W257" s="21"/>
    </row>
    <row r="258" customFormat="false" ht="15" hidden="false" customHeight="false" outlineLevel="0" collapsed="false">
      <c r="A258" s="6" t="s">
        <v>786</v>
      </c>
      <c r="B258" s="35"/>
      <c r="C258" s="39"/>
      <c r="D258" s="40"/>
      <c r="E258" s="34"/>
      <c r="F258" s="34"/>
      <c r="G258" s="21"/>
      <c r="H258" s="34"/>
      <c r="I258" s="21"/>
      <c r="J258" s="34"/>
      <c r="K258" s="21"/>
      <c r="L258" s="21"/>
      <c r="M258" s="21"/>
      <c r="N258" s="21"/>
      <c r="O258" s="21"/>
      <c r="P258" s="34"/>
      <c r="Q258" s="34"/>
      <c r="R258" s="35"/>
      <c r="S258" s="34"/>
      <c r="T258" s="38" t="str">
        <f aca="true">IF(Q258&lt;&gt;"Yes","",IF(S258="Yes","Done",IF(R258="","Date missing",IF(R258&lt;TODAY(),"OVERDUE","Scheduled"))))</f>
        <v/>
      </c>
      <c r="U258" s="34"/>
      <c r="V258" s="34"/>
      <c r="W258" s="21"/>
    </row>
    <row r="259" customFormat="false" ht="15" hidden="false" customHeight="false" outlineLevel="0" collapsed="false">
      <c r="A259" s="6" t="s">
        <v>787</v>
      </c>
      <c r="B259" s="35"/>
      <c r="C259" s="39"/>
      <c r="D259" s="40"/>
      <c r="E259" s="34"/>
      <c r="F259" s="34"/>
      <c r="G259" s="21"/>
      <c r="H259" s="34"/>
      <c r="I259" s="21"/>
      <c r="J259" s="34"/>
      <c r="K259" s="21"/>
      <c r="L259" s="21"/>
      <c r="M259" s="21"/>
      <c r="N259" s="21"/>
      <c r="O259" s="21"/>
      <c r="P259" s="34"/>
      <c r="Q259" s="34"/>
      <c r="R259" s="35"/>
      <c r="S259" s="34"/>
      <c r="T259" s="38" t="str">
        <f aca="true">IF(Q259&lt;&gt;"Yes","",IF(S259="Yes","Done",IF(R259="","Date missing",IF(R259&lt;TODAY(),"OVERDUE","Scheduled"))))</f>
        <v/>
      </c>
      <c r="U259" s="34"/>
      <c r="V259" s="34"/>
      <c r="W259" s="21"/>
    </row>
    <row r="260" customFormat="false" ht="15" hidden="false" customHeight="false" outlineLevel="0" collapsed="false">
      <c r="A260" s="6" t="s">
        <v>788</v>
      </c>
      <c r="B260" s="35"/>
      <c r="C260" s="39"/>
      <c r="D260" s="40"/>
      <c r="E260" s="34"/>
      <c r="F260" s="34"/>
      <c r="G260" s="21"/>
      <c r="H260" s="34"/>
      <c r="I260" s="21"/>
      <c r="J260" s="34"/>
      <c r="K260" s="21"/>
      <c r="L260" s="21"/>
      <c r="M260" s="21"/>
      <c r="N260" s="21"/>
      <c r="O260" s="21"/>
      <c r="P260" s="34"/>
      <c r="Q260" s="34"/>
      <c r="R260" s="35"/>
      <c r="S260" s="34"/>
      <c r="T260" s="38" t="str">
        <f aca="true">IF(Q260&lt;&gt;"Yes","",IF(S260="Yes","Done",IF(R260="","Date missing",IF(R260&lt;TODAY(),"OVERDUE","Scheduled"))))</f>
        <v/>
      </c>
      <c r="U260" s="34"/>
      <c r="V260" s="34"/>
      <c r="W260" s="21"/>
    </row>
    <row r="261" customFormat="false" ht="15" hidden="false" customHeight="false" outlineLevel="0" collapsed="false">
      <c r="A261" s="6" t="s">
        <v>789</v>
      </c>
      <c r="B261" s="35"/>
      <c r="C261" s="39"/>
      <c r="D261" s="40"/>
      <c r="E261" s="34"/>
      <c r="F261" s="34"/>
      <c r="G261" s="21"/>
      <c r="H261" s="34"/>
      <c r="I261" s="21"/>
      <c r="J261" s="34"/>
      <c r="K261" s="21"/>
      <c r="L261" s="21"/>
      <c r="M261" s="21"/>
      <c r="N261" s="21"/>
      <c r="O261" s="21"/>
      <c r="P261" s="34"/>
      <c r="Q261" s="34"/>
      <c r="R261" s="35"/>
      <c r="S261" s="34"/>
      <c r="T261" s="38" t="str">
        <f aca="true">IF(Q261&lt;&gt;"Yes","",IF(S261="Yes","Done",IF(R261="","Date missing",IF(R261&lt;TODAY(),"OVERDUE","Scheduled"))))</f>
        <v/>
      </c>
      <c r="U261" s="34"/>
      <c r="V261" s="34"/>
      <c r="W261" s="21"/>
    </row>
    <row r="262" customFormat="false" ht="15" hidden="false" customHeight="false" outlineLevel="0" collapsed="false">
      <c r="A262" s="6" t="s">
        <v>790</v>
      </c>
      <c r="B262" s="35"/>
      <c r="C262" s="39"/>
      <c r="D262" s="40"/>
      <c r="E262" s="34"/>
      <c r="F262" s="34"/>
      <c r="G262" s="21"/>
      <c r="H262" s="34"/>
      <c r="I262" s="21"/>
      <c r="J262" s="34"/>
      <c r="K262" s="21"/>
      <c r="L262" s="21"/>
      <c r="M262" s="21"/>
      <c r="N262" s="21"/>
      <c r="O262" s="21"/>
      <c r="P262" s="34"/>
      <c r="Q262" s="34"/>
      <c r="R262" s="35"/>
      <c r="S262" s="34"/>
      <c r="T262" s="38" t="str">
        <f aca="true">IF(Q262&lt;&gt;"Yes","",IF(S262="Yes","Done",IF(R262="","Date missing",IF(R262&lt;TODAY(),"OVERDUE","Scheduled"))))</f>
        <v/>
      </c>
      <c r="U262" s="34"/>
      <c r="V262" s="34"/>
      <c r="W262" s="21"/>
    </row>
    <row r="263" customFormat="false" ht="15" hidden="false" customHeight="false" outlineLevel="0" collapsed="false">
      <c r="A263" s="6" t="s">
        <v>791</v>
      </c>
      <c r="B263" s="35"/>
      <c r="C263" s="39"/>
      <c r="D263" s="40"/>
      <c r="E263" s="34"/>
      <c r="F263" s="34"/>
      <c r="G263" s="21"/>
      <c r="H263" s="34"/>
      <c r="I263" s="21"/>
      <c r="J263" s="34"/>
      <c r="K263" s="21"/>
      <c r="L263" s="21"/>
      <c r="M263" s="21"/>
      <c r="N263" s="21"/>
      <c r="O263" s="21"/>
      <c r="P263" s="34"/>
      <c r="Q263" s="34"/>
      <c r="R263" s="35"/>
      <c r="S263" s="34"/>
      <c r="T263" s="38" t="str">
        <f aca="true">IF(Q263&lt;&gt;"Yes","",IF(S263="Yes","Done",IF(R263="","Date missing",IF(R263&lt;TODAY(),"OVERDUE","Scheduled"))))</f>
        <v/>
      </c>
      <c r="U263" s="34"/>
      <c r="V263" s="34"/>
      <c r="W263" s="21"/>
    </row>
    <row r="264" customFormat="false" ht="15" hidden="false" customHeight="false" outlineLevel="0" collapsed="false">
      <c r="A264" s="6" t="s">
        <v>792</v>
      </c>
      <c r="B264" s="35"/>
      <c r="C264" s="39"/>
      <c r="D264" s="40"/>
      <c r="E264" s="34"/>
      <c r="F264" s="34"/>
      <c r="G264" s="21"/>
      <c r="H264" s="34"/>
      <c r="I264" s="21"/>
      <c r="J264" s="34"/>
      <c r="K264" s="21"/>
      <c r="L264" s="21"/>
      <c r="M264" s="21"/>
      <c r="N264" s="21"/>
      <c r="O264" s="21"/>
      <c r="P264" s="34"/>
      <c r="Q264" s="34"/>
      <c r="R264" s="35"/>
      <c r="S264" s="34"/>
      <c r="T264" s="38" t="str">
        <f aca="true">IF(Q264&lt;&gt;"Yes","",IF(S264="Yes","Done",IF(R264="","Date missing",IF(R264&lt;TODAY(),"OVERDUE","Scheduled"))))</f>
        <v/>
      </c>
      <c r="U264" s="34"/>
      <c r="V264" s="34"/>
      <c r="W264" s="21"/>
    </row>
    <row r="265" customFormat="false" ht="15" hidden="false" customHeight="false" outlineLevel="0" collapsed="false">
      <c r="A265" s="6" t="s">
        <v>793</v>
      </c>
      <c r="B265" s="35"/>
      <c r="C265" s="39"/>
      <c r="D265" s="40"/>
      <c r="E265" s="34"/>
      <c r="F265" s="34"/>
      <c r="G265" s="21"/>
      <c r="H265" s="34"/>
      <c r="I265" s="21"/>
      <c r="J265" s="34"/>
      <c r="K265" s="21"/>
      <c r="L265" s="21"/>
      <c r="M265" s="21"/>
      <c r="N265" s="21"/>
      <c r="O265" s="21"/>
      <c r="P265" s="34"/>
      <c r="Q265" s="34"/>
      <c r="R265" s="35"/>
      <c r="S265" s="34"/>
      <c r="T265" s="38" t="str">
        <f aca="true">IF(Q265&lt;&gt;"Yes","",IF(S265="Yes","Done",IF(R265="","Date missing",IF(R265&lt;TODAY(),"OVERDUE","Scheduled"))))</f>
        <v/>
      </c>
      <c r="U265" s="34"/>
      <c r="V265" s="34"/>
      <c r="W265" s="21"/>
    </row>
    <row r="266" customFormat="false" ht="15" hidden="false" customHeight="false" outlineLevel="0" collapsed="false">
      <c r="A266" s="6" t="s">
        <v>794</v>
      </c>
      <c r="B266" s="35"/>
      <c r="C266" s="39"/>
      <c r="D266" s="40"/>
      <c r="E266" s="34"/>
      <c r="F266" s="34"/>
      <c r="G266" s="21"/>
      <c r="H266" s="34"/>
      <c r="I266" s="21"/>
      <c r="J266" s="34"/>
      <c r="K266" s="21"/>
      <c r="L266" s="21"/>
      <c r="M266" s="21"/>
      <c r="N266" s="21"/>
      <c r="O266" s="21"/>
      <c r="P266" s="34"/>
      <c r="Q266" s="34"/>
      <c r="R266" s="35"/>
      <c r="S266" s="34"/>
      <c r="T266" s="38" t="str">
        <f aca="true">IF(Q266&lt;&gt;"Yes","",IF(S266="Yes","Done",IF(R266="","Date missing",IF(R266&lt;TODAY(),"OVERDUE","Scheduled"))))</f>
        <v/>
      </c>
      <c r="U266" s="34"/>
      <c r="V266" s="34"/>
      <c r="W266" s="21"/>
    </row>
    <row r="267" customFormat="false" ht="15" hidden="false" customHeight="false" outlineLevel="0" collapsed="false">
      <c r="A267" s="6" t="s">
        <v>795</v>
      </c>
      <c r="B267" s="35"/>
      <c r="C267" s="39"/>
      <c r="D267" s="40"/>
      <c r="E267" s="34"/>
      <c r="F267" s="34"/>
      <c r="G267" s="21"/>
      <c r="H267" s="34"/>
      <c r="I267" s="21"/>
      <c r="J267" s="34"/>
      <c r="K267" s="21"/>
      <c r="L267" s="21"/>
      <c r="M267" s="21"/>
      <c r="N267" s="21"/>
      <c r="O267" s="21"/>
      <c r="P267" s="34"/>
      <c r="Q267" s="34"/>
      <c r="R267" s="35"/>
      <c r="S267" s="34"/>
      <c r="T267" s="38" t="str">
        <f aca="true">IF(Q267&lt;&gt;"Yes","",IF(S267="Yes","Done",IF(R267="","Date missing",IF(R267&lt;TODAY(),"OVERDUE","Scheduled"))))</f>
        <v/>
      </c>
      <c r="U267" s="34"/>
      <c r="V267" s="34"/>
      <c r="W267" s="21"/>
    </row>
    <row r="268" customFormat="false" ht="15" hidden="false" customHeight="false" outlineLevel="0" collapsed="false">
      <c r="A268" s="6" t="s">
        <v>796</v>
      </c>
      <c r="B268" s="35"/>
      <c r="C268" s="39"/>
      <c r="D268" s="40"/>
      <c r="E268" s="34"/>
      <c r="F268" s="34"/>
      <c r="G268" s="21"/>
      <c r="H268" s="34"/>
      <c r="I268" s="21"/>
      <c r="J268" s="34"/>
      <c r="K268" s="21"/>
      <c r="L268" s="21"/>
      <c r="M268" s="21"/>
      <c r="N268" s="21"/>
      <c r="O268" s="21"/>
      <c r="P268" s="34"/>
      <c r="Q268" s="34"/>
      <c r="R268" s="35"/>
      <c r="S268" s="34"/>
      <c r="T268" s="38" t="str">
        <f aca="true">IF(Q268&lt;&gt;"Yes","",IF(S268="Yes","Done",IF(R268="","Date missing",IF(R268&lt;TODAY(),"OVERDUE","Scheduled"))))</f>
        <v/>
      </c>
      <c r="U268" s="34"/>
      <c r="V268" s="34"/>
      <c r="W268" s="21"/>
    </row>
    <row r="269" customFormat="false" ht="15" hidden="false" customHeight="false" outlineLevel="0" collapsed="false">
      <c r="A269" s="6" t="s">
        <v>797</v>
      </c>
      <c r="B269" s="35"/>
      <c r="C269" s="39"/>
      <c r="D269" s="40"/>
      <c r="E269" s="34"/>
      <c r="F269" s="34"/>
      <c r="G269" s="21"/>
      <c r="H269" s="34"/>
      <c r="I269" s="21"/>
      <c r="J269" s="34"/>
      <c r="K269" s="21"/>
      <c r="L269" s="21"/>
      <c r="M269" s="21"/>
      <c r="N269" s="21"/>
      <c r="O269" s="21"/>
      <c r="P269" s="34"/>
      <c r="Q269" s="34"/>
      <c r="R269" s="35"/>
      <c r="S269" s="34"/>
      <c r="T269" s="38" t="str">
        <f aca="true">IF(Q269&lt;&gt;"Yes","",IF(S269="Yes","Done",IF(R269="","Date missing",IF(R269&lt;TODAY(),"OVERDUE","Scheduled"))))</f>
        <v/>
      </c>
      <c r="U269" s="34"/>
      <c r="V269" s="34"/>
      <c r="W269" s="21"/>
    </row>
    <row r="270" customFormat="false" ht="15" hidden="false" customHeight="false" outlineLevel="0" collapsed="false">
      <c r="A270" s="6" t="s">
        <v>798</v>
      </c>
      <c r="B270" s="35"/>
      <c r="C270" s="39"/>
      <c r="D270" s="40"/>
      <c r="E270" s="34"/>
      <c r="F270" s="34"/>
      <c r="G270" s="21"/>
      <c r="H270" s="34"/>
      <c r="I270" s="21"/>
      <c r="J270" s="34"/>
      <c r="K270" s="21"/>
      <c r="L270" s="21"/>
      <c r="M270" s="21"/>
      <c r="N270" s="21"/>
      <c r="O270" s="21"/>
      <c r="P270" s="34"/>
      <c r="Q270" s="34"/>
      <c r="R270" s="35"/>
      <c r="S270" s="34"/>
      <c r="T270" s="38" t="str">
        <f aca="true">IF(Q270&lt;&gt;"Yes","",IF(S270="Yes","Done",IF(R270="","Date missing",IF(R270&lt;TODAY(),"OVERDUE","Scheduled"))))</f>
        <v/>
      </c>
      <c r="U270" s="34"/>
      <c r="V270" s="34"/>
      <c r="W270" s="21"/>
    </row>
    <row r="271" customFormat="false" ht="15" hidden="false" customHeight="false" outlineLevel="0" collapsed="false">
      <c r="A271" s="6" t="s">
        <v>799</v>
      </c>
      <c r="B271" s="35"/>
      <c r="C271" s="39"/>
      <c r="D271" s="40"/>
      <c r="E271" s="34"/>
      <c r="F271" s="34"/>
      <c r="G271" s="21"/>
      <c r="H271" s="34"/>
      <c r="I271" s="21"/>
      <c r="J271" s="34"/>
      <c r="K271" s="21"/>
      <c r="L271" s="21"/>
      <c r="M271" s="21"/>
      <c r="N271" s="21"/>
      <c r="O271" s="21"/>
      <c r="P271" s="34"/>
      <c r="Q271" s="34"/>
      <c r="R271" s="35"/>
      <c r="S271" s="34"/>
      <c r="T271" s="38" t="str">
        <f aca="true">IF(Q271&lt;&gt;"Yes","",IF(S271="Yes","Done",IF(R271="","Date missing",IF(R271&lt;TODAY(),"OVERDUE","Scheduled"))))</f>
        <v/>
      </c>
      <c r="U271" s="34"/>
      <c r="V271" s="34"/>
      <c r="W271" s="21"/>
    </row>
    <row r="272" customFormat="false" ht="15" hidden="false" customHeight="false" outlineLevel="0" collapsed="false">
      <c r="A272" s="6" t="s">
        <v>800</v>
      </c>
      <c r="B272" s="35"/>
      <c r="C272" s="39"/>
      <c r="D272" s="40"/>
      <c r="E272" s="34"/>
      <c r="F272" s="34"/>
      <c r="G272" s="21"/>
      <c r="H272" s="34"/>
      <c r="I272" s="21"/>
      <c r="J272" s="34"/>
      <c r="K272" s="21"/>
      <c r="L272" s="21"/>
      <c r="M272" s="21"/>
      <c r="N272" s="21"/>
      <c r="O272" s="21"/>
      <c r="P272" s="34"/>
      <c r="Q272" s="34"/>
      <c r="R272" s="35"/>
      <c r="S272" s="34"/>
      <c r="T272" s="38" t="str">
        <f aca="true">IF(Q272&lt;&gt;"Yes","",IF(S272="Yes","Done",IF(R272="","Date missing",IF(R272&lt;TODAY(),"OVERDUE","Scheduled"))))</f>
        <v/>
      </c>
      <c r="U272" s="34"/>
      <c r="V272" s="34"/>
      <c r="W272" s="21"/>
    </row>
    <row r="273" customFormat="false" ht="15" hidden="false" customHeight="false" outlineLevel="0" collapsed="false">
      <c r="A273" s="6" t="s">
        <v>801</v>
      </c>
      <c r="B273" s="35"/>
      <c r="C273" s="39"/>
      <c r="D273" s="40"/>
      <c r="E273" s="34"/>
      <c r="F273" s="34"/>
      <c r="G273" s="21"/>
      <c r="H273" s="34"/>
      <c r="I273" s="21"/>
      <c r="J273" s="34"/>
      <c r="K273" s="21"/>
      <c r="L273" s="21"/>
      <c r="M273" s="21"/>
      <c r="N273" s="21"/>
      <c r="O273" s="21"/>
      <c r="P273" s="34"/>
      <c r="Q273" s="34"/>
      <c r="R273" s="35"/>
      <c r="S273" s="34"/>
      <c r="T273" s="38" t="str">
        <f aca="true">IF(Q273&lt;&gt;"Yes","",IF(S273="Yes","Done",IF(R273="","Date missing",IF(R273&lt;TODAY(),"OVERDUE","Scheduled"))))</f>
        <v/>
      </c>
      <c r="U273" s="34"/>
      <c r="V273" s="34"/>
      <c r="W273" s="21"/>
    </row>
    <row r="274" customFormat="false" ht="15" hidden="false" customHeight="false" outlineLevel="0" collapsed="false">
      <c r="A274" s="6" t="s">
        <v>802</v>
      </c>
      <c r="B274" s="35"/>
      <c r="C274" s="39"/>
      <c r="D274" s="40"/>
      <c r="E274" s="34"/>
      <c r="F274" s="34"/>
      <c r="G274" s="21"/>
      <c r="H274" s="34"/>
      <c r="I274" s="21"/>
      <c r="J274" s="34"/>
      <c r="K274" s="21"/>
      <c r="L274" s="21"/>
      <c r="M274" s="21"/>
      <c r="N274" s="21"/>
      <c r="O274" s="21"/>
      <c r="P274" s="34"/>
      <c r="Q274" s="34"/>
      <c r="R274" s="35"/>
      <c r="S274" s="34"/>
      <c r="T274" s="38" t="str">
        <f aca="true">IF(Q274&lt;&gt;"Yes","",IF(S274="Yes","Done",IF(R274="","Date missing",IF(R274&lt;TODAY(),"OVERDUE","Scheduled"))))</f>
        <v/>
      </c>
      <c r="U274" s="34"/>
      <c r="V274" s="34"/>
      <c r="W274" s="21"/>
    </row>
    <row r="275" customFormat="false" ht="15" hidden="false" customHeight="false" outlineLevel="0" collapsed="false">
      <c r="A275" s="6" t="s">
        <v>803</v>
      </c>
      <c r="B275" s="35"/>
      <c r="C275" s="39"/>
      <c r="D275" s="40"/>
      <c r="E275" s="34"/>
      <c r="F275" s="34"/>
      <c r="G275" s="21"/>
      <c r="H275" s="34"/>
      <c r="I275" s="21"/>
      <c r="J275" s="34"/>
      <c r="K275" s="21"/>
      <c r="L275" s="21"/>
      <c r="M275" s="21"/>
      <c r="N275" s="21"/>
      <c r="O275" s="21"/>
      <c r="P275" s="34"/>
      <c r="Q275" s="34"/>
      <c r="R275" s="35"/>
      <c r="S275" s="34"/>
      <c r="T275" s="38" t="str">
        <f aca="true">IF(Q275&lt;&gt;"Yes","",IF(S275="Yes","Done",IF(R275="","Date missing",IF(R275&lt;TODAY(),"OVERDUE","Scheduled"))))</f>
        <v/>
      </c>
      <c r="U275" s="34"/>
      <c r="V275" s="34"/>
      <c r="W275" s="21"/>
    </row>
    <row r="276" customFormat="false" ht="15" hidden="false" customHeight="false" outlineLevel="0" collapsed="false">
      <c r="A276" s="6" t="s">
        <v>804</v>
      </c>
      <c r="B276" s="35"/>
      <c r="C276" s="39"/>
      <c r="D276" s="40"/>
      <c r="E276" s="34"/>
      <c r="F276" s="34"/>
      <c r="G276" s="21"/>
      <c r="H276" s="34"/>
      <c r="I276" s="21"/>
      <c r="J276" s="34"/>
      <c r="K276" s="21"/>
      <c r="L276" s="21"/>
      <c r="M276" s="21"/>
      <c r="N276" s="21"/>
      <c r="O276" s="21"/>
      <c r="P276" s="34"/>
      <c r="Q276" s="34"/>
      <c r="R276" s="35"/>
      <c r="S276" s="34"/>
      <c r="T276" s="38" t="str">
        <f aca="true">IF(Q276&lt;&gt;"Yes","",IF(S276="Yes","Done",IF(R276="","Date missing",IF(R276&lt;TODAY(),"OVERDUE","Scheduled"))))</f>
        <v/>
      </c>
      <c r="U276" s="34"/>
      <c r="V276" s="34"/>
      <c r="W276" s="21"/>
    </row>
    <row r="277" customFormat="false" ht="15" hidden="false" customHeight="false" outlineLevel="0" collapsed="false">
      <c r="A277" s="6" t="s">
        <v>805</v>
      </c>
      <c r="B277" s="35"/>
      <c r="C277" s="39"/>
      <c r="D277" s="40"/>
      <c r="E277" s="34"/>
      <c r="F277" s="34"/>
      <c r="G277" s="21"/>
      <c r="H277" s="34"/>
      <c r="I277" s="21"/>
      <c r="J277" s="34"/>
      <c r="K277" s="21"/>
      <c r="L277" s="21"/>
      <c r="M277" s="21"/>
      <c r="N277" s="21"/>
      <c r="O277" s="21"/>
      <c r="P277" s="34"/>
      <c r="Q277" s="34"/>
      <c r="R277" s="35"/>
      <c r="S277" s="34"/>
      <c r="T277" s="38" t="str">
        <f aca="true">IF(Q277&lt;&gt;"Yes","",IF(S277="Yes","Done",IF(R277="","Date missing",IF(R277&lt;TODAY(),"OVERDUE","Scheduled"))))</f>
        <v/>
      </c>
      <c r="U277" s="34"/>
      <c r="V277" s="34"/>
      <c r="W277" s="21"/>
    </row>
    <row r="278" customFormat="false" ht="15" hidden="false" customHeight="false" outlineLevel="0" collapsed="false">
      <c r="A278" s="6" t="s">
        <v>806</v>
      </c>
      <c r="B278" s="35"/>
      <c r="C278" s="39"/>
      <c r="D278" s="40"/>
      <c r="E278" s="34"/>
      <c r="F278" s="34"/>
      <c r="G278" s="21"/>
      <c r="H278" s="34"/>
      <c r="I278" s="21"/>
      <c r="J278" s="34"/>
      <c r="K278" s="21"/>
      <c r="L278" s="21"/>
      <c r="M278" s="21"/>
      <c r="N278" s="21"/>
      <c r="O278" s="21"/>
      <c r="P278" s="34"/>
      <c r="Q278" s="34"/>
      <c r="R278" s="35"/>
      <c r="S278" s="34"/>
      <c r="T278" s="38" t="str">
        <f aca="true">IF(Q278&lt;&gt;"Yes","",IF(S278="Yes","Done",IF(R278="","Date missing",IF(R278&lt;TODAY(),"OVERDUE","Scheduled"))))</f>
        <v/>
      </c>
      <c r="U278" s="34"/>
      <c r="V278" s="34"/>
      <c r="W278" s="21"/>
    </row>
    <row r="279" customFormat="false" ht="15" hidden="false" customHeight="false" outlineLevel="0" collapsed="false">
      <c r="A279" s="6" t="s">
        <v>807</v>
      </c>
      <c r="B279" s="35"/>
      <c r="C279" s="39"/>
      <c r="D279" s="40"/>
      <c r="E279" s="34"/>
      <c r="F279" s="34"/>
      <c r="G279" s="21"/>
      <c r="H279" s="34"/>
      <c r="I279" s="21"/>
      <c r="J279" s="34"/>
      <c r="K279" s="21"/>
      <c r="L279" s="21"/>
      <c r="M279" s="21"/>
      <c r="N279" s="21"/>
      <c r="O279" s="21"/>
      <c r="P279" s="34"/>
      <c r="Q279" s="34"/>
      <c r="R279" s="35"/>
      <c r="S279" s="34"/>
      <c r="T279" s="38" t="str">
        <f aca="true">IF(Q279&lt;&gt;"Yes","",IF(S279="Yes","Done",IF(R279="","Date missing",IF(R279&lt;TODAY(),"OVERDUE","Scheduled"))))</f>
        <v/>
      </c>
      <c r="U279" s="34"/>
      <c r="V279" s="34"/>
      <c r="W279" s="21"/>
    </row>
    <row r="280" customFormat="false" ht="15" hidden="false" customHeight="false" outlineLevel="0" collapsed="false">
      <c r="A280" s="6" t="s">
        <v>808</v>
      </c>
      <c r="B280" s="35"/>
      <c r="C280" s="39"/>
      <c r="D280" s="40"/>
      <c r="E280" s="34"/>
      <c r="F280" s="34"/>
      <c r="G280" s="21"/>
      <c r="H280" s="34"/>
      <c r="I280" s="21"/>
      <c r="J280" s="34"/>
      <c r="K280" s="21"/>
      <c r="L280" s="21"/>
      <c r="M280" s="21"/>
      <c r="N280" s="21"/>
      <c r="O280" s="21"/>
      <c r="P280" s="34"/>
      <c r="Q280" s="34"/>
      <c r="R280" s="35"/>
      <c r="S280" s="34"/>
      <c r="T280" s="38" t="str">
        <f aca="true">IF(Q280&lt;&gt;"Yes","",IF(S280="Yes","Done",IF(R280="","Date missing",IF(R280&lt;TODAY(),"OVERDUE","Scheduled"))))</f>
        <v/>
      </c>
      <c r="U280" s="34"/>
      <c r="V280" s="34"/>
      <c r="W280" s="21"/>
    </row>
    <row r="281" customFormat="false" ht="15" hidden="false" customHeight="false" outlineLevel="0" collapsed="false">
      <c r="A281" s="6" t="s">
        <v>809</v>
      </c>
      <c r="B281" s="35"/>
      <c r="C281" s="39"/>
      <c r="D281" s="40"/>
      <c r="E281" s="34"/>
      <c r="F281" s="34"/>
      <c r="G281" s="21"/>
      <c r="H281" s="34"/>
      <c r="I281" s="21"/>
      <c r="J281" s="34"/>
      <c r="K281" s="21"/>
      <c r="L281" s="21"/>
      <c r="M281" s="21"/>
      <c r="N281" s="21"/>
      <c r="O281" s="21"/>
      <c r="P281" s="34"/>
      <c r="Q281" s="34"/>
      <c r="R281" s="35"/>
      <c r="S281" s="34"/>
      <c r="T281" s="38" t="str">
        <f aca="true">IF(Q281&lt;&gt;"Yes","",IF(S281="Yes","Done",IF(R281="","Date missing",IF(R281&lt;TODAY(),"OVERDUE","Scheduled"))))</f>
        <v/>
      </c>
      <c r="U281" s="34"/>
      <c r="V281" s="34"/>
      <c r="W281" s="21"/>
    </row>
    <row r="282" customFormat="false" ht="15" hidden="false" customHeight="false" outlineLevel="0" collapsed="false">
      <c r="A282" s="6" t="s">
        <v>810</v>
      </c>
      <c r="B282" s="35"/>
      <c r="C282" s="39"/>
      <c r="D282" s="40"/>
      <c r="E282" s="34"/>
      <c r="F282" s="34"/>
      <c r="G282" s="21"/>
      <c r="H282" s="34"/>
      <c r="I282" s="21"/>
      <c r="J282" s="34"/>
      <c r="K282" s="21"/>
      <c r="L282" s="21"/>
      <c r="M282" s="21"/>
      <c r="N282" s="21"/>
      <c r="O282" s="21"/>
      <c r="P282" s="34"/>
      <c r="Q282" s="34"/>
      <c r="R282" s="35"/>
      <c r="S282" s="34"/>
      <c r="T282" s="38" t="str">
        <f aca="true">IF(Q282&lt;&gt;"Yes","",IF(S282="Yes","Done",IF(R282="","Date missing",IF(R282&lt;TODAY(),"OVERDUE","Scheduled"))))</f>
        <v/>
      </c>
      <c r="U282" s="34"/>
      <c r="V282" s="34"/>
      <c r="W282" s="21"/>
    </row>
    <row r="283" customFormat="false" ht="15" hidden="false" customHeight="false" outlineLevel="0" collapsed="false">
      <c r="A283" s="6" t="s">
        <v>811</v>
      </c>
      <c r="B283" s="35"/>
      <c r="C283" s="39"/>
      <c r="D283" s="40"/>
      <c r="E283" s="34"/>
      <c r="F283" s="34"/>
      <c r="G283" s="21"/>
      <c r="H283" s="34"/>
      <c r="I283" s="21"/>
      <c r="J283" s="34"/>
      <c r="K283" s="21"/>
      <c r="L283" s="21"/>
      <c r="M283" s="21"/>
      <c r="N283" s="21"/>
      <c r="O283" s="21"/>
      <c r="P283" s="34"/>
      <c r="Q283" s="34"/>
      <c r="R283" s="35"/>
      <c r="S283" s="34"/>
      <c r="T283" s="38" t="str">
        <f aca="true">IF(Q283&lt;&gt;"Yes","",IF(S283="Yes","Done",IF(R283="","Date missing",IF(R283&lt;TODAY(),"OVERDUE","Scheduled"))))</f>
        <v/>
      </c>
      <c r="U283" s="34"/>
      <c r="V283" s="34"/>
      <c r="W283" s="21"/>
    </row>
    <row r="284" customFormat="false" ht="15" hidden="false" customHeight="false" outlineLevel="0" collapsed="false">
      <c r="A284" s="6" t="s">
        <v>812</v>
      </c>
      <c r="B284" s="35"/>
      <c r="C284" s="39"/>
      <c r="D284" s="40"/>
      <c r="E284" s="34"/>
      <c r="F284" s="34"/>
      <c r="G284" s="21"/>
      <c r="H284" s="34"/>
      <c r="I284" s="21"/>
      <c r="J284" s="34"/>
      <c r="K284" s="21"/>
      <c r="L284" s="21"/>
      <c r="M284" s="21"/>
      <c r="N284" s="21"/>
      <c r="O284" s="21"/>
      <c r="P284" s="34"/>
      <c r="Q284" s="34"/>
      <c r="R284" s="35"/>
      <c r="S284" s="34"/>
      <c r="T284" s="38" t="str">
        <f aca="true">IF(Q284&lt;&gt;"Yes","",IF(S284="Yes","Done",IF(R284="","Date missing",IF(R284&lt;TODAY(),"OVERDUE","Scheduled"))))</f>
        <v/>
      </c>
      <c r="U284" s="34"/>
      <c r="V284" s="34"/>
      <c r="W284" s="21"/>
    </row>
    <row r="285" customFormat="false" ht="15" hidden="false" customHeight="false" outlineLevel="0" collapsed="false">
      <c r="A285" s="6" t="s">
        <v>813</v>
      </c>
      <c r="B285" s="35"/>
      <c r="C285" s="39"/>
      <c r="D285" s="40"/>
      <c r="E285" s="34"/>
      <c r="F285" s="34"/>
      <c r="G285" s="21"/>
      <c r="H285" s="34"/>
      <c r="I285" s="21"/>
      <c r="J285" s="34"/>
      <c r="K285" s="21"/>
      <c r="L285" s="21"/>
      <c r="M285" s="21"/>
      <c r="N285" s="21"/>
      <c r="O285" s="21"/>
      <c r="P285" s="34"/>
      <c r="Q285" s="34"/>
      <c r="R285" s="35"/>
      <c r="S285" s="34"/>
      <c r="T285" s="38" t="str">
        <f aca="true">IF(Q285&lt;&gt;"Yes","",IF(S285="Yes","Done",IF(R285="","Date missing",IF(R285&lt;TODAY(),"OVERDUE","Scheduled"))))</f>
        <v/>
      </c>
      <c r="U285" s="34"/>
      <c r="V285" s="34"/>
      <c r="W285" s="21"/>
    </row>
    <row r="286" customFormat="false" ht="15" hidden="false" customHeight="false" outlineLevel="0" collapsed="false">
      <c r="A286" s="6" t="s">
        <v>814</v>
      </c>
      <c r="B286" s="35"/>
      <c r="C286" s="39"/>
      <c r="D286" s="40"/>
      <c r="E286" s="34"/>
      <c r="F286" s="34"/>
      <c r="G286" s="21"/>
      <c r="H286" s="34"/>
      <c r="I286" s="21"/>
      <c r="J286" s="34"/>
      <c r="K286" s="21"/>
      <c r="L286" s="21"/>
      <c r="M286" s="21"/>
      <c r="N286" s="21"/>
      <c r="O286" s="21"/>
      <c r="P286" s="34"/>
      <c r="Q286" s="34"/>
      <c r="R286" s="35"/>
      <c r="S286" s="34"/>
      <c r="T286" s="38" t="str">
        <f aca="true">IF(Q286&lt;&gt;"Yes","",IF(S286="Yes","Done",IF(R286="","Date missing",IF(R286&lt;TODAY(),"OVERDUE","Scheduled"))))</f>
        <v/>
      </c>
      <c r="U286" s="34"/>
      <c r="V286" s="34"/>
      <c r="W286" s="21"/>
    </row>
    <row r="287" customFormat="false" ht="15" hidden="false" customHeight="false" outlineLevel="0" collapsed="false">
      <c r="A287" s="6" t="s">
        <v>815</v>
      </c>
      <c r="B287" s="35"/>
      <c r="C287" s="39"/>
      <c r="D287" s="40"/>
      <c r="E287" s="34"/>
      <c r="F287" s="34"/>
      <c r="G287" s="21"/>
      <c r="H287" s="34"/>
      <c r="I287" s="21"/>
      <c r="J287" s="34"/>
      <c r="K287" s="21"/>
      <c r="L287" s="21"/>
      <c r="M287" s="21"/>
      <c r="N287" s="21"/>
      <c r="O287" s="21"/>
      <c r="P287" s="34"/>
      <c r="Q287" s="34"/>
      <c r="R287" s="35"/>
      <c r="S287" s="34"/>
      <c r="T287" s="38" t="str">
        <f aca="true">IF(Q287&lt;&gt;"Yes","",IF(S287="Yes","Done",IF(R287="","Date missing",IF(R287&lt;TODAY(),"OVERDUE","Scheduled"))))</f>
        <v/>
      </c>
      <c r="U287" s="34"/>
      <c r="V287" s="34"/>
      <c r="W287" s="21"/>
    </row>
    <row r="288" customFormat="false" ht="15" hidden="false" customHeight="false" outlineLevel="0" collapsed="false">
      <c r="A288" s="6" t="s">
        <v>816</v>
      </c>
      <c r="B288" s="35"/>
      <c r="C288" s="39"/>
      <c r="D288" s="40"/>
      <c r="E288" s="34"/>
      <c r="F288" s="34"/>
      <c r="G288" s="21"/>
      <c r="H288" s="34"/>
      <c r="I288" s="21"/>
      <c r="J288" s="34"/>
      <c r="K288" s="21"/>
      <c r="L288" s="21"/>
      <c r="M288" s="21"/>
      <c r="N288" s="21"/>
      <c r="O288" s="21"/>
      <c r="P288" s="34"/>
      <c r="Q288" s="34"/>
      <c r="R288" s="35"/>
      <c r="S288" s="34"/>
      <c r="T288" s="38" t="str">
        <f aca="true">IF(Q288&lt;&gt;"Yes","",IF(S288="Yes","Done",IF(R288="","Date missing",IF(R288&lt;TODAY(),"OVERDUE","Scheduled"))))</f>
        <v/>
      </c>
      <c r="U288" s="34"/>
      <c r="V288" s="34"/>
      <c r="W288" s="21"/>
    </row>
    <row r="289" customFormat="false" ht="15" hidden="false" customHeight="false" outlineLevel="0" collapsed="false">
      <c r="A289" s="6" t="s">
        <v>817</v>
      </c>
      <c r="B289" s="35"/>
      <c r="C289" s="39"/>
      <c r="D289" s="40"/>
      <c r="E289" s="34"/>
      <c r="F289" s="34"/>
      <c r="G289" s="21"/>
      <c r="H289" s="34"/>
      <c r="I289" s="21"/>
      <c r="J289" s="34"/>
      <c r="K289" s="21"/>
      <c r="L289" s="21"/>
      <c r="M289" s="21"/>
      <c r="N289" s="21"/>
      <c r="O289" s="21"/>
      <c r="P289" s="34"/>
      <c r="Q289" s="34"/>
      <c r="R289" s="35"/>
      <c r="S289" s="34"/>
      <c r="T289" s="38" t="str">
        <f aca="true">IF(Q289&lt;&gt;"Yes","",IF(S289="Yes","Done",IF(R289="","Date missing",IF(R289&lt;TODAY(),"OVERDUE","Scheduled"))))</f>
        <v/>
      </c>
      <c r="U289" s="34"/>
      <c r="V289" s="34"/>
      <c r="W289" s="21"/>
    </row>
    <row r="290" customFormat="false" ht="15" hidden="false" customHeight="false" outlineLevel="0" collapsed="false">
      <c r="A290" s="6" t="s">
        <v>818</v>
      </c>
      <c r="B290" s="35"/>
      <c r="C290" s="39"/>
      <c r="D290" s="40"/>
      <c r="E290" s="34"/>
      <c r="F290" s="34"/>
      <c r="G290" s="21"/>
      <c r="H290" s="34"/>
      <c r="I290" s="21"/>
      <c r="J290" s="34"/>
      <c r="K290" s="21"/>
      <c r="L290" s="21"/>
      <c r="M290" s="21"/>
      <c r="N290" s="21"/>
      <c r="O290" s="21"/>
      <c r="P290" s="34"/>
      <c r="Q290" s="34"/>
      <c r="R290" s="35"/>
      <c r="S290" s="34"/>
      <c r="T290" s="38" t="str">
        <f aca="true">IF(Q290&lt;&gt;"Yes","",IF(S290="Yes","Done",IF(R290="","Date missing",IF(R290&lt;TODAY(),"OVERDUE","Scheduled"))))</f>
        <v/>
      </c>
      <c r="U290" s="34"/>
      <c r="V290" s="34"/>
      <c r="W290" s="21"/>
    </row>
    <row r="291" customFormat="false" ht="15" hidden="false" customHeight="false" outlineLevel="0" collapsed="false">
      <c r="A291" s="6" t="s">
        <v>819</v>
      </c>
      <c r="B291" s="35"/>
      <c r="C291" s="39"/>
      <c r="D291" s="40"/>
      <c r="E291" s="34"/>
      <c r="F291" s="34"/>
      <c r="G291" s="21"/>
      <c r="H291" s="34"/>
      <c r="I291" s="21"/>
      <c r="J291" s="34"/>
      <c r="K291" s="21"/>
      <c r="L291" s="21"/>
      <c r="M291" s="21"/>
      <c r="N291" s="21"/>
      <c r="O291" s="21"/>
      <c r="P291" s="34"/>
      <c r="Q291" s="34"/>
      <c r="R291" s="35"/>
      <c r="S291" s="34"/>
      <c r="T291" s="38" t="str">
        <f aca="true">IF(Q291&lt;&gt;"Yes","",IF(S291="Yes","Done",IF(R291="","Date missing",IF(R291&lt;TODAY(),"OVERDUE","Scheduled"))))</f>
        <v/>
      </c>
      <c r="U291" s="34"/>
      <c r="V291" s="34"/>
      <c r="W291" s="21"/>
    </row>
    <row r="292" customFormat="false" ht="15" hidden="false" customHeight="false" outlineLevel="0" collapsed="false">
      <c r="A292" s="6" t="s">
        <v>820</v>
      </c>
      <c r="B292" s="35"/>
      <c r="C292" s="39"/>
      <c r="D292" s="40"/>
      <c r="E292" s="34"/>
      <c r="F292" s="34"/>
      <c r="G292" s="21"/>
      <c r="H292" s="34"/>
      <c r="I292" s="21"/>
      <c r="J292" s="34"/>
      <c r="K292" s="21"/>
      <c r="L292" s="21"/>
      <c r="M292" s="21"/>
      <c r="N292" s="21"/>
      <c r="O292" s="21"/>
      <c r="P292" s="34"/>
      <c r="Q292" s="34"/>
      <c r="R292" s="35"/>
      <c r="S292" s="34"/>
      <c r="T292" s="38" t="str">
        <f aca="true">IF(Q292&lt;&gt;"Yes","",IF(S292="Yes","Done",IF(R292="","Date missing",IF(R292&lt;TODAY(),"OVERDUE","Scheduled"))))</f>
        <v/>
      </c>
      <c r="U292" s="34"/>
      <c r="V292" s="34"/>
      <c r="W292" s="21"/>
    </row>
    <row r="293" customFormat="false" ht="15" hidden="false" customHeight="false" outlineLevel="0" collapsed="false">
      <c r="A293" s="6" t="s">
        <v>821</v>
      </c>
      <c r="B293" s="35"/>
      <c r="C293" s="39"/>
      <c r="D293" s="40"/>
      <c r="E293" s="34"/>
      <c r="F293" s="34"/>
      <c r="G293" s="21"/>
      <c r="H293" s="34"/>
      <c r="I293" s="21"/>
      <c r="J293" s="34"/>
      <c r="K293" s="21"/>
      <c r="L293" s="21"/>
      <c r="M293" s="21"/>
      <c r="N293" s="21"/>
      <c r="O293" s="21"/>
      <c r="P293" s="34"/>
      <c r="Q293" s="34"/>
      <c r="R293" s="35"/>
      <c r="S293" s="34"/>
      <c r="T293" s="38" t="str">
        <f aca="true">IF(Q293&lt;&gt;"Yes","",IF(S293="Yes","Done",IF(R293="","Date missing",IF(R293&lt;TODAY(),"OVERDUE","Scheduled"))))</f>
        <v/>
      </c>
      <c r="U293" s="34"/>
      <c r="V293" s="34"/>
      <c r="W293" s="21"/>
    </row>
    <row r="294" customFormat="false" ht="15" hidden="false" customHeight="false" outlineLevel="0" collapsed="false">
      <c r="A294" s="6" t="s">
        <v>822</v>
      </c>
      <c r="B294" s="35"/>
      <c r="C294" s="39"/>
      <c r="D294" s="40"/>
      <c r="E294" s="34"/>
      <c r="F294" s="34"/>
      <c r="G294" s="21"/>
      <c r="H294" s="34"/>
      <c r="I294" s="21"/>
      <c r="J294" s="34"/>
      <c r="K294" s="21"/>
      <c r="L294" s="21"/>
      <c r="M294" s="21"/>
      <c r="N294" s="21"/>
      <c r="O294" s="21"/>
      <c r="P294" s="34"/>
      <c r="Q294" s="34"/>
      <c r="R294" s="35"/>
      <c r="S294" s="34"/>
      <c r="T294" s="38" t="str">
        <f aca="true">IF(Q294&lt;&gt;"Yes","",IF(S294="Yes","Done",IF(R294="","Date missing",IF(R294&lt;TODAY(),"OVERDUE","Scheduled"))))</f>
        <v/>
      </c>
      <c r="U294" s="34"/>
      <c r="V294" s="34"/>
      <c r="W294" s="21"/>
    </row>
    <row r="295" customFormat="false" ht="15" hidden="false" customHeight="false" outlineLevel="0" collapsed="false">
      <c r="A295" s="6" t="s">
        <v>823</v>
      </c>
      <c r="B295" s="35"/>
      <c r="C295" s="39"/>
      <c r="D295" s="40"/>
      <c r="E295" s="34"/>
      <c r="F295" s="34"/>
      <c r="G295" s="21"/>
      <c r="H295" s="34"/>
      <c r="I295" s="21"/>
      <c r="J295" s="34"/>
      <c r="K295" s="21"/>
      <c r="L295" s="21"/>
      <c r="M295" s="21"/>
      <c r="N295" s="21"/>
      <c r="O295" s="21"/>
      <c r="P295" s="34"/>
      <c r="Q295" s="34"/>
      <c r="R295" s="35"/>
      <c r="S295" s="34"/>
      <c r="T295" s="38" t="str">
        <f aca="true">IF(Q295&lt;&gt;"Yes","",IF(S295="Yes","Done",IF(R295="","Date missing",IF(R295&lt;TODAY(),"OVERDUE","Scheduled"))))</f>
        <v/>
      </c>
      <c r="U295" s="34"/>
      <c r="V295" s="34"/>
      <c r="W295" s="21"/>
    </row>
    <row r="296" customFormat="false" ht="15" hidden="false" customHeight="false" outlineLevel="0" collapsed="false">
      <c r="A296" s="6" t="s">
        <v>824</v>
      </c>
      <c r="B296" s="35"/>
      <c r="C296" s="39"/>
      <c r="D296" s="40"/>
      <c r="E296" s="34"/>
      <c r="F296" s="34"/>
      <c r="G296" s="21"/>
      <c r="H296" s="34"/>
      <c r="I296" s="21"/>
      <c r="J296" s="34"/>
      <c r="K296" s="21"/>
      <c r="L296" s="21"/>
      <c r="M296" s="21"/>
      <c r="N296" s="21"/>
      <c r="O296" s="21"/>
      <c r="P296" s="34"/>
      <c r="Q296" s="34"/>
      <c r="R296" s="35"/>
      <c r="S296" s="34"/>
      <c r="T296" s="38" t="str">
        <f aca="true">IF(Q296&lt;&gt;"Yes","",IF(S296="Yes","Done",IF(R296="","Date missing",IF(R296&lt;TODAY(),"OVERDUE","Scheduled"))))</f>
        <v/>
      </c>
      <c r="U296" s="34"/>
      <c r="V296" s="34"/>
      <c r="W296" s="21"/>
    </row>
    <row r="297" customFormat="false" ht="15" hidden="false" customHeight="false" outlineLevel="0" collapsed="false">
      <c r="A297" s="6" t="s">
        <v>825</v>
      </c>
      <c r="B297" s="35"/>
      <c r="C297" s="39"/>
      <c r="D297" s="40"/>
      <c r="E297" s="34"/>
      <c r="F297" s="34"/>
      <c r="G297" s="21"/>
      <c r="H297" s="34"/>
      <c r="I297" s="21"/>
      <c r="J297" s="34"/>
      <c r="K297" s="21"/>
      <c r="L297" s="21"/>
      <c r="M297" s="21"/>
      <c r="N297" s="21"/>
      <c r="O297" s="21"/>
      <c r="P297" s="34"/>
      <c r="Q297" s="34"/>
      <c r="R297" s="35"/>
      <c r="S297" s="34"/>
      <c r="T297" s="38" t="str">
        <f aca="true">IF(Q297&lt;&gt;"Yes","",IF(S297="Yes","Done",IF(R297="","Date missing",IF(R297&lt;TODAY(),"OVERDUE","Scheduled"))))</f>
        <v/>
      </c>
      <c r="U297" s="34"/>
      <c r="V297" s="34"/>
      <c r="W297" s="21"/>
    </row>
    <row r="298" customFormat="false" ht="15" hidden="false" customHeight="false" outlineLevel="0" collapsed="false">
      <c r="A298" s="6" t="s">
        <v>826</v>
      </c>
      <c r="B298" s="35"/>
      <c r="C298" s="39"/>
      <c r="D298" s="40"/>
      <c r="E298" s="34"/>
      <c r="F298" s="34"/>
      <c r="G298" s="21"/>
      <c r="H298" s="34"/>
      <c r="I298" s="21"/>
      <c r="J298" s="34"/>
      <c r="K298" s="21"/>
      <c r="L298" s="21"/>
      <c r="M298" s="21"/>
      <c r="N298" s="21"/>
      <c r="O298" s="21"/>
      <c r="P298" s="34"/>
      <c r="Q298" s="34"/>
      <c r="R298" s="35"/>
      <c r="S298" s="34"/>
      <c r="T298" s="38" t="str">
        <f aca="true">IF(Q298&lt;&gt;"Yes","",IF(S298="Yes","Done",IF(R298="","Date missing",IF(R298&lt;TODAY(),"OVERDUE","Scheduled"))))</f>
        <v/>
      </c>
      <c r="U298" s="34"/>
      <c r="V298" s="34"/>
      <c r="W298" s="21"/>
    </row>
    <row r="299" customFormat="false" ht="15" hidden="false" customHeight="false" outlineLevel="0" collapsed="false">
      <c r="A299" s="6" t="s">
        <v>827</v>
      </c>
      <c r="B299" s="35"/>
      <c r="C299" s="39"/>
      <c r="D299" s="40"/>
      <c r="E299" s="34"/>
      <c r="F299" s="34"/>
      <c r="G299" s="21"/>
      <c r="H299" s="34"/>
      <c r="I299" s="21"/>
      <c r="J299" s="34"/>
      <c r="K299" s="21"/>
      <c r="L299" s="21"/>
      <c r="M299" s="21"/>
      <c r="N299" s="21"/>
      <c r="O299" s="21"/>
      <c r="P299" s="34"/>
      <c r="Q299" s="34"/>
      <c r="R299" s="35"/>
      <c r="S299" s="34"/>
      <c r="T299" s="38" t="str">
        <f aca="true">IF(Q299&lt;&gt;"Yes","",IF(S299="Yes","Done",IF(R299="","Date missing",IF(R299&lt;TODAY(),"OVERDUE","Scheduled"))))</f>
        <v/>
      </c>
      <c r="U299" s="34"/>
      <c r="V299" s="34"/>
      <c r="W299" s="21"/>
    </row>
    <row r="300" customFormat="false" ht="15" hidden="false" customHeight="false" outlineLevel="0" collapsed="false">
      <c r="A300" s="6" t="s">
        <v>828</v>
      </c>
      <c r="B300" s="35"/>
      <c r="C300" s="39"/>
      <c r="D300" s="40"/>
      <c r="E300" s="34"/>
      <c r="F300" s="34"/>
      <c r="G300" s="21"/>
      <c r="H300" s="34"/>
      <c r="I300" s="21"/>
      <c r="J300" s="34"/>
      <c r="K300" s="21"/>
      <c r="L300" s="21"/>
      <c r="M300" s="21"/>
      <c r="N300" s="21"/>
      <c r="O300" s="21"/>
      <c r="P300" s="34"/>
      <c r="Q300" s="34"/>
      <c r="R300" s="35"/>
      <c r="S300" s="34"/>
      <c r="T300" s="38" t="str">
        <f aca="true">IF(Q300&lt;&gt;"Yes","",IF(S300="Yes","Done",IF(R300="","Date missing",IF(R300&lt;TODAY(),"OVERDUE","Scheduled"))))</f>
        <v/>
      </c>
      <c r="U300" s="34"/>
      <c r="V300" s="34"/>
      <c r="W300" s="21"/>
    </row>
    <row r="301" customFormat="false" ht="15" hidden="false" customHeight="false" outlineLevel="0" collapsed="false">
      <c r="A301" s="6" t="s">
        <v>829</v>
      </c>
      <c r="B301" s="35"/>
      <c r="C301" s="39"/>
      <c r="D301" s="40"/>
      <c r="E301" s="34"/>
      <c r="F301" s="34"/>
      <c r="G301" s="21"/>
      <c r="H301" s="34"/>
      <c r="I301" s="21"/>
      <c r="J301" s="34"/>
      <c r="K301" s="21"/>
      <c r="L301" s="21"/>
      <c r="M301" s="21"/>
      <c r="N301" s="21"/>
      <c r="O301" s="21"/>
      <c r="P301" s="34"/>
      <c r="Q301" s="34"/>
      <c r="R301" s="35"/>
      <c r="S301" s="34"/>
      <c r="T301" s="38" t="str">
        <f aca="true">IF(Q301&lt;&gt;"Yes","",IF(S301="Yes","Done",IF(R301="","Date missing",IF(R301&lt;TODAY(),"OVERDUE","Scheduled"))))</f>
        <v/>
      </c>
      <c r="U301" s="34"/>
      <c r="V301" s="34"/>
      <c r="W301" s="21"/>
    </row>
    <row r="302" customFormat="false" ht="15" hidden="false" customHeight="false" outlineLevel="0" collapsed="false">
      <c r="A302" s="6" t="s">
        <v>830</v>
      </c>
      <c r="B302" s="35"/>
      <c r="C302" s="39"/>
      <c r="D302" s="40"/>
      <c r="E302" s="34"/>
      <c r="F302" s="34"/>
      <c r="G302" s="21"/>
      <c r="H302" s="34"/>
      <c r="I302" s="21"/>
      <c r="J302" s="34"/>
      <c r="K302" s="21"/>
      <c r="L302" s="21"/>
      <c r="M302" s="21"/>
      <c r="N302" s="21"/>
      <c r="O302" s="21"/>
      <c r="P302" s="34"/>
      <c r="Q302" s="34"/>
      <c r="R302" s="35"/>
      <c r="S302" s="34"/>
      <c r="T302" s="38" t="str">
        <f aca="true">IF(Q302&lt;&gt;"Yes","",IF(S302="Yes","Done",IF(R302="","Date missing",IF(R302&lt;TODAY(),"OVERDUE","Scheduled"))))</f>
        <v/>
      </c>
      <c r="U302" s="34"/>
      <c r="V302" s="34"/>
      <c r="W302" s="21"/>
    </row>
    <row r="303" customFormat="false" ht="15" hidden="false" customHeight="false" outlineLevel="0" collapsed="false">
      <c r="A303" s="6" t="s">
        <v>831</v>
      </c>
      <c r="B303" s="35"/>
      <c r="C303" s="39"/>
      <c r="D303" s="40"/>
      <c r="E303" s="34"/>
      <c r="F303" s="34"/>
      <c r="G303" s="21"/>
      <c r="H303" s="34"/>
      <c r="I303" s="21"/>
      <c r="J303" s="34"/>
      <c r="K303" s="21"/>
      <c r="L303" s="21"/>
      <c r="M303" s="21"/>
      <c r="N303" s="21"/>
      <c r="O303" s="21"/>
      <c r="P303" s="34"/>
      <c r="Q303" s="34"/>
      <c r="R303" s="35"/>
      <c r="S303" s="34"/>
      <c r="T303" s="38" t="str">
        <f aca="true">IF(Q303&lt;&gt;"Yes","",IF(S303="Yes","Done",IF(R303="","Date missing",IF(R303&lt;TODAY(),"OVERDUE","Scheduled"))))</f>
        <v/>
      </c>
      <c r="U303" s="34"/>
      <c r="V303" s="34"/>
      <c r="W303" s="21"/>
    </row>
    <row r="304" customFormat="false" ht="15" hidden="false" customHeight="false" outlineLevel="0" collapsed="false">
      <c r="A304" s="6" t="s">
        <v>832</v>
      </c>
      <c r="B304" s="35"/>
      <c r="C304" s="39"/>
      <c r="D304" s="40"/>
      <c r="E304" s="34"/>
      <c r="F304" s="34"/>
      <c r="G304" s="21"/>
      <c r="H304" s="34"/>
      <c r="I304" s="21"/>
      <c r="J304" s="34"/>
      <c r="K304" s="21"/>
      <c r="L304" s="21"/>
      <c r="M304" s="21"/>
      <c r="N304" s="21"/>
      <c r="O304" s="21"/>
      <c r="P304" s="34"/>
      <c r="Q304" s="34"/>
      <c r="R304" s="35"/>
      <c r="S304" s="34"/>
      <c r="T304" s="38" t="str">
        <f aca="true">IF(Q304&lt;&gt;"Yes","",IF(S304="Yes","Done",IF(R304="","Date missing",IF(R304&lt;TODAY(),"OVERDUE","Scheduled"))))</f>
        <v/>
      </c>
      <c r="U304" s="34"/>
      <c r="V304" s="34"/>
      <c r="W304" s="21"/>
    </row>
  </sheetData>
  <autoFilter ref="A4:W304"/>
  <conditionalFormatting sqref="T5:T304">
    <cfRule type="cellIs" priority="2" operator="equal" aboveAverage="0" equalAverage="0" bottom="0" percent="0" rank="0" text="" dxfId="0">
      <formula>"OVERDUE"</formula>
    </cfRule>
    <cfRule type="cellIs" priority="3" operator="equal" aboveAverage="0" equalAverage="0" bottom="0" percent="0" rank="0" text="" dxfId="0">
      <formula>"SLA BREACH"</formula>
    </cfRule>
    <cfRule type="expression" priority="4" aboveAverage="0" equalAverage="0" bottom="0" percent="0" rank="0" text="" dxfId="13">
      <formula>LEFT(T5,3)="Due"</formula>
    </cfRule>
    <cfRule type="cellIs" priority="5" operator="equal" aboveAverage="0" equalAverage="0" bottom="0" percent="0" rank="0" text="" dxfId="3">
      <formula>"Closed Late"</formula>
    </cfRule>
    <cfRule type="cellIs" priority="6" operator="equal" aboveAverage="0" equalAverage="0" bottom="0" percent="0" rank="0" text="" dxfId="3">
      <formula>"Date missing"</formula>
    </cfRule>
    <cfRule type="cellIs" priority="7" operator="equal" aboveAverage="0" equalAverage="0" bottom="0" percent="0" rank="0" text="" dxfId="3">
      <formula>"Due date missing"</formula>
    </cfRule>
    <cfRule type="cellIs" priority="8" operator="equal" aboveAverage="0" equalAverage="0" bottom="0" percent="0" rank="0" text="" dxfId="1">
      <formula>"Met"</formula>
    </cfRule>
    <cfRule type="cellIs" priority="9" operator="equal" aboveAverage="0" equalAverage="0" bottom="0" percent="0" rank="0" text="" dxfId="1">
      <formula>"Done"</formula>
    </cfRule>
    <cfRule type="cellIs" priority="10" operator="equal" aboveAverage="0" equalAverage="0" bottom="0" percent="0" rank="0" text="" dxfId="1">
      <formula>"Within SLA"</formula>
    </cfRule>
    <cfRule type="cellIs" priority="11" operator="equal" aboveAverage="0" equalAverage="0" bottom="0" percent="0" rank="0" text="" dxfId="1">
      <formula>"On Schedule"</formula>
    </cfRule>
    <cfRule type="cellIs" priority="12" operator="equal" aboveAverage="0" equalAverage="0" bottom="0" percent="0" rank="0" text="" dxfId="1">
      <formula>"Scheduled"</formula>
    </cfRule>
  </conditionalFormatting>
  <dataValidations count="8">
    <dataValidation allowBlank="true" error="Enter a valid date (e.g. 19-Oct-2026)." errorStyle="stop" operator="greaterThan" showDropDown="false" showErrorMessage="true" showInputMessage="false" sqref="B5:B304" type="date">
      <formula1>DATE(2000,1,1)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E5:E304" type="list">
      <formula1>Lists!$E$4:$E$11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F5:F304" type="list">
      <formula1>Lists!$F$4:$F$14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J5:J304" type="list">
      <formula1>Lists!$G$4:$G$8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Q5:Q304" type="list">
      <formula1>Lists!$A$4:$A$5</formula1>
      <formula2>0</formula2>
    </dataValidation>
    <dataValidation allowBlank="true" error="Enter a valid date (e.g. 19-Oct-2026)." errorStyle="stop" operator="greaterThan" showDropDown="false" showErrorMessage="true" showInputMessage="false" sqref="R5:R304" type="date">
      <formula1>DATE(2000,1,1)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S5:S304" type="list">
      <formula1>Lists!$A$4:$A$5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V5:V304" type="list">
      <formula1>Lists!$U$4:$U$6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U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20"/>
    <col collapsed="false" customWidth="true" hidden="false" outlineLevel="0" max="5" min="5" style="0" width="26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40"/>
    <col collapsed="false" customWidth="true" hidden="false" outlineLevel="0" max="11" min="11" style="0" width="30"/>
    <col collapsed="false" customWidth="true" hidden="false" outlineLevel="0" max="12" min="12" style="0" width="22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8"/>
    <col collapsed="false" customWidth="true" hidden="false" outlineLevel="0" max="16" min="16" style="0" width="13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8"/>
    <col collapsed="false" customWidth="true" hidden="false" outlineLevel="0" max="20" min="20" style="0" width="24"/>
    <col collapsed="false" customWidth="true" hidden="false" outlineLevel="0" max="21" min="21" style="0" width="30"/>
  </cols>
  <sheetData>
    <row r="1" customFormat="false" ht="19.7" hidden="false" customHeight="false" outlineLevel="0" collapsed="false">
      <c r="A1" s="9" t="s">
        <v>833</v>
      </c>
    </row>
    <row r="2" customFormat="false" ht="15" hidden="false" customHeight="false" outlineLevel="0" collapsed="false">
      <c r="A2" s="2" t="s">
        <v>834</v>
      </c>
    </row>
    <row r="3" customFormat="false" ht="15" hidden="false" customHeight="false" outlineLevel="0" collapsed="false">
      <c r="A3" s="27" t="s">
        <v>170</v>
      </c>
    </row>
    <row r="4" customFormat="false" ht="42" hidden="false" customHeight="true" outlineLevel="0" collapsed="false">
      <c r="A4" s="28" t="s">
        <v>835</v>
      </c>
      <c r="B4" s="28" t="s">
        <v>836</v>
      </c>
      <c r="C4" s="28" t="s">
        <v>837</v>
      </c>
      <c r="D4" s="28" t="s">
        <v>838</v>
      </c>
      <c r="E4" s="28" t="s">
        <v>839</v>
      </c>
      <c r="F4" s="28" t="s">
        <v>840</v>
      </c>
      <c r="G4" s="28" t="s">
        <v>841</v>
      </c>
      <c r="H4" s="28" t="s">
        <v>842</v>
      </c>
      <c r="I4" s="28" t="s">
        <v>173</v>
      </c>
      <c r="J4" s="28" t="s">
        <v>843</v>
      </c>
      <c r="K4" s="28" t="s">
        <v>844</v>
      </c>
      <c r="L4" s="28" t="s">
        <v>845</v>
      </c>
      <c r="M4" s="28" t="s">
        <v>846</v>
      </c>
      <c r="N4" s="28" t="s">
        <v>847</v>
      </c>
      <c r="O4" s="28" t="s">
        <v>848</v>
      </c>
      <c r="P4" s="28" t="s">
        <v>849</v>
      </c>
      <c r="Q4" s="28" t="s">
        <v>850</v>
      </c>
      <c r="R4" s="28" t="s">
        <v>851</v>
      </c>
      <c r="S4" s="28" t="s">
        <v>852</v>
      </c>
      <c r="T4" s="28" t="s">
        <v>853</v>
      </c>
      <c r="U4" s="28" t="s">
        <v>518</v>
      </c>
    </row>
    <row r="5" customFormat="false" ht="35.05" hidden="false" customHeight="false" outlineLevel="0" collapsed="false">
      <c r="A5" s="6" t="s">
        <v>854</v>
      </c>
      <c r="B5" s="32" t="n">
        <v>46308</v>
      </c>
      <c r="C5" s="30" t="s">
        <v>855</v>
      </c>
      <c r="D5" s="30" t="s">
        <v>193</v>
      </c>
      <c r="E5" s="29" t="s">
        <v>856</v>
      </c>
      <c r="F5" s="30" t="s">
        <v>857</v>
      </c>
      <c r="G5" s="29" t="s">
        <v>858</v>
      </c>
      <c r="H5" s="30" t="s">
        <v>859</v>
      </c>
      <c r="I5" s="30" t="s">
        <v>189</v>
      </c>
      <c r="J5" s="29" t="s">
        <v>860</v>
      </c>
      <c r="K5" s="29" t="s">
        <v>861</v>
      </c>
      <c r="L5" s="29" t="s">
        <v>862</v>
      </c>
      <c r="M5" s="30" t="s">
        <v>530</v>
      </c>
      <c r="N5" s="32" t="n">
        <v>46318</v>
      </c>
      <c r="O5" s="30" t="s">
        <v>863</v>
      </c>
      <c r="P5" s="35"/>
      <c r="Q5" s="33" t="str">
        <f aca="false">IF(OR(B5="",P5=""),"",P5-B5)</f>
        <v/>
      </c>
      <c r="R5" s="38" t="str">
        <f aca="true">IF(OR(M5&lt;&gt;"Yes",P5&lt;&gt;"",O5="Closed",O5="No Action Required"),"",IF(N5="","Due date missing",IF(N5&lt;TODAY(),"OVERDUE",IF(N5-TODAY()&lt;=2,"Due ≤2d","Open"))))</f>
        <v>Open</v>
      </c>
      <c r="S5" s="30" t="s">
        <v>864</v>
      </c>
      <c r="T5" s="30" t="s">
        <v>865</v>
      </c>
      <c r="U5" s="21"/>
    </row>
    <row r="6" customFormat="false" ht="15" hidden="false" customHeight="false" outlineLevel="0" collapsed="false">
      <c r="A6" s="6" t="s">
        <v>866</v>
      </c>
      <c r="B6" s="35"/>
      <c r="C6" s="34"/>
      <c r="D6" s="34"/>
      <c r="E6" s="21"/>
      <c r="F6" s="34"/>
      <c r="G6" s="21"/>
      <c r="H6" s="34"/>
      <c r="I6" s="34"/>
      <c r="J6" s="21"/>
      <c r="K6" s="21"/>
      <c r="L6" s="21"/>
      <c r="M6" s="34"/>
      <c r="N6" s="35"/>
      <c r="O6" s="34"/>
      <c r="P6" s="35"/>
      <c r="Q6" s="33" t="str">
        <f aca="false">IF(OR(B6="",P6=""),"",P6-B6)</f>
        <v/>
      </c>
      <c r="R6" s="38" t="str">
        <f aca="true">IF(OR(M6&lt;&gt;"Yes",P6&lt;&gt;"",O6="Closed",O6="No Action Required"),"",IF(N6="","Due date missing",IF(N6&lt;TODAY(),"OVERDUE",IF(N6-TODAY()&lt;=2,"Due ≤2d","Open"))))</f>
        <v/>
      </c>
      <c r="S6" s="34"/>
      <c r="T6" s="34"/>
      <c r="U6" s="21"/>
    </row>
    <row r="7" customFormat="false" ht="15" hidden="false" customHeight="false" outlineLevel="0" collapsed="false">
      <c r="A7" s="6" t="s">
        <v>867</v>
      </c>
      <c r="B7" s="35"/>
      <c r="C7" s="34"/>
      <c r="D7" s="34"/>
      <c r="E7" s="21"/>
      <c r="F7" s="34"/>
      <c r="G7" s="21"/>
      <c r="H7" s="34"/>
      <c r="I7" s="34"/>
      <c r="J7" s="21"/>
      <c r="K7" s="21"/>
      <c r="L7" s="21"/>
      <c r="M7" s="34"/>
      <c r="N7" s="35"/>
      <c r="O7" s="34"/>
      <c r="P7" s="35"/>
      <c r="Q7" s="33" t="str">
        <f aca="false">IF(OR(B7="",P7=""),"",P7-B7)</f>
        <v/>
      </c>
      <c r="R7" s="38" t="str">
        <f aca="true">IF(OR(M7&lt;&gt;"Yes",P7&lt;&gt;"",O7="Closed",O7="No Action Required"),"",IF(N7="","Due date missing",IF(N7&lt;TODAY(),"OVERDUE",IF(N7-TODAY()&lt;=2,"Due ≤2d","Open"))))</f>
        <v/>
      </c>
      <c r="S7" s="34"/>
      <c r="T7" s="34"/>
      <c r="U7" s="21"/>
    </row>
    <row r="8" customFormat="false" ht="15" hidden="false" customHeight="false" outlineLevel="0" collapsed="false">
      <c r="A8" s="6" t="s">
        <v>868</v>
      </c>
      <c r="B8" s="35"/>
      <c r="C8" s="34"/>
      <c r="D8" s="34"/>
      <c r="E8" s="21"/>
      <c r="F8" s="34"/>
      <c r="G8" s="21"/>
      <c r="H8" s="34"/>
      <c r="I8" s="34"/>
      <c r="J8" s="21"/>
      <c r="K8" s="21"/>
      <c r="L8" s="21"/>
      <c r="M8" s="34"/>
      <c r="N8" s="35"/>
      <c r="O8" s="34"/>
      <c r="P8" s="35"/>
      <c r="Q8" s="33" t="str">
        <f aca="false">IF(OR(B8="",P8=""),"",P8-B8)</f>
        <v/>
      </c>
      <c r="R8" s="38" t="str">
        <f aca="true">IF(OR(M8&lt;&gt;"Yes",P8&lt;&gt;"",O8="Closed",O8="No Action Required"),"",IF(N8="","Due date missing",IF(N8&lt;TODAY(),"OVERDUE",IF(N8-TODAY()&lt;=2,"Due ≤2d","Open"))))</f>
        <v/>
      </c>
      <c r="S8" s="34"/>
      <c r="T8" s="34"/>
      <c r="U8" s="21"/>
    </row>
    <row r="9" customFormat="false" ht="15" hidden="false" customHeight="false" outlineLevel="0" collapsed="false">
      <c r="A9" s="6" t="s">
        <v>869</v>
      </c>
      <c r="B9" s="35"/>
      <c r="C9" s="34"/>
      <c r="D9" s="34"/>
      <c r="E9" s="21"/>
      <c r="F9" s="34"/>
      <c r="G9" s="21"/>
      <c r="H9" s="34"/>
      <c r="I9" s="34"/>
      <c r="J9" s="21"/>
      <c r="K9" s="21"/>
      <c r="L9" s="21"/>
      <c r="M9" s="34"/>
      <c r="N9" s="35"/>
      <c r="O9" s="34"/>
      <c r="P9" s="35"/>
      <c r="Q9" s="33" t="str">
        <f aca="false">IF(OR(B9="",P9=""),"",P9-B9)</f>
        <v/>
      </c>
      <c r="R9" s="38" t="str">
        <f aca="true">IF(OR(M9&lt;&gt;"Yes",P9&lt;&gt;"",O9="Closed",O9="No Action Required"),"",IF(N9="","Due date missing",IF(N9&lt;TODAY(),"OVERDUE",IF(N9-TODAY()&lt;=2,"Due ≤2d","Open"))))</f>
        <v/>
      </c>
      <c r="S9" s="34"/>
      <c r="T9" s="34"/>
      <c r="U9" s="21"/>
    </row>
    <row r="10" customFormat="false" ht="15" hidden="false" customHeight="false" outlineLevel="0" collapsed="false">
      <c r="A10" s="6" t="s">
        <v>870</v>
      </c>
      <c r="B10" s="35"/>
      <c r="C10" s="34"/>
      <c r="D10" s="34"/>
      <c r="E10" s="21"/>
      <c r="F10" s="34"/>
      <c r="G10" s="21"/>
      <c r="H10" s="34"/>
      <c r="I10" s="34"/>
      <c r="J10" s="21"/>
      <c r="K10" s="21"/>
      <c r="L10" s="21"/>
      <c r="M10" s="34"/>
      <c r="N10" s="35"/>
      <c r="O10" s="34"/>
      <c r="P10" s="35"/>
      <c r="Q10" s="33" t="str">
        <f aca="false">IF(OR(B10="",P10=""),"",P10-B10)</f>
        <v/>
      </c>
      <c r="R10" s="38" t="str">
        <f aca="true">IF(OR(M10&lt;&gt;"Yes",P10&lt;&gt;"",O10="Closed",O10="No Action Required"),"",IF(N10="","Due date missing",IF(N10&lt;TODAY(),"OVERDUE",IF(N10-TODAY()&lt;=2,"Due ≤2d","Open"))))</f>
        <v/>
      </c>
      <c r="S10" s="34"/>
      <c r="T10" s="34"/>
      <c r="U10" s="21"/>
    </row>
    <row r="11" customFormat="false" ht="15" hidden="false" customHeight="false" outlineLevel="0" collapsed="false">
      <c r="A11" s="6" t="s">
        <v>871</v>
      </c>
      <c r="B11" s="35"/>
      <c r="C11" s="34"/>
      <c r="D11" s="34"/>
      <c r="E11" s="21"/>
      <c r="F11" s="34"/>
      <c r="G11" s="21"/>
      <c r="H11" s="34"/>
      <c r="I11" s="34"/>
      <c r="J11" s="21"/>
      <c r="K11" s="21"/>
      <c r="L11" s="21"/>
      <c r="M11" s="34"/>
      <c r="N11" s="35"/>
      <c r="O11" s="34"/>
      <c r="P11" s="35"/>
      <c r="Q11" s="33" t="str">
        <f aca="false">IF(OR(B11="",P11=""),"",P11-B11)</f>
        <v/>
      </c>
      <c r="R11" s="38" t="str">
        <f aca="true">IF(OR(M11&lt;&gt;"Yes",P11&lt;&gt;"",O11="Closed",O11="No Action Required"),"",IF(N11="","Due date missing",IF(N11&lt;TODAY(),"OVERDUE",IF(N11-TODAY()&lt;=2,"Due ≤2d","Open"))))</f>
        <v/>
      </c>
      <c r="S11" s="34"/>
      <c r="T11" s="34"/>
      <c r="U11" s="21"/>
    </row>
    <row r="12" customFormat="false" ht="15" hidden="false" customHeight="false" outlineLevel="0" collapsed="false">
      <c r="A12" s="6" t="s">
        <v>872</v>
      </c>
      <c r="B12" s="35"/>
      <c r="C12" s="34"/>
      <c r="D12" s="34"/>
      <c r="E12" s="21"/>
      <c r="F12" s="34"/>
      <c r="G12" s="21"/>
      <c r="H12" s="34"/>
      <c r="I12" s="34"/>
      <c r="J12" s="21"/>
      <c r="K12" s="21"/>
      <c r="L12" s="21"/>
      <c r="M12" s="34"/>
      <c r="N12" s="35"/>
      <c r="O12" s="34"/>
      <c r="P12" s="35"/>
      <c r="Q12" s="33" t="str">
        <f aca="false">IF(OR(B12="",P12=""),"",P12-B12)</f>
        <v/>
      </c>
      <c r="R12" s="38" t="str">
        <f aca="true">IF(OR(M12&lt;&gt;"Yes",P12&lt;&gt;"",O12="Closed",O12="No Action Required"),"",IF(N12="","Due date missing",IF(N12&lt;TODAY(),"OVERDUE",IF(N12-TODAY()&lt;=2,"Due ≤2d","Open"))))</f>
        <v/>
      </c>
      <c r="S12" s="34"/>
      <c r="T12" s="34"/>
      <c r="U12" s="21"/>
    </row>
    <row r="13" customFormat="false" ht="15" hidden="false" customHeight="false" outlineLevel="0" collapsed="false">
      <c r="A13" s="6" t="s">
        <v>873</v>
      </c>
      <c r="B13" s="35"/>
      <c r="C13" s="34"/>
      <c r="D13" s="34"/>
      <c r="E13" s="21"/>
      <c r="F13" s="34"/>
      <c r="G13" s="21"/>
      <c r="H13" s="34"/>
      <c r="I13" s="34"/>
      <c r="J13" s="21"/>
      <c r="K13" s="21"/>
      <c r="L13" s="21"/>
      <c r="M13" s="34"/>
      <c r="N13" s="35"/>
      <c r="O13" s="34"/>
      <c r="P13" s="35"/>
      <c r="Q13" s="33" t="str">
        <f aca="false">IF(OR(B13="",P13=""),"",P13-B13)</f>
        <v/>
      </c>
      <c r="R13" s="38" t="str">
        <f aca="true">IF(OR(M13&lt;&gt;"Yes",P13&lt;&gt;"",O13="Closed",O13="No Action Required"),"",IF(N13="","Due date missing",IF(N13&lt;TODAY(),"OVERDUE",IF(N13-TODAY()&lt;=2,"Due ≤2d","Open"))))</f>
        <v/>
      </c>
      <c r="S13" s="34"/>
      <c r="T13" s="34"/>
      <c r="U13" s="21"/>
    </row>
    <row r="14" customFormat="false" ht="15" hidden="false" customHeight="false" outlineLevel="0" collapsed="false">
      <c r="A14" s="6" t="s">
        <v>874</v>
      </c>
      <c r="B14" s="35"/>
      <c r="C14" s="34"/>
      <c r="D14" s="34"/>
      <c r="E14" s="21"/>
      <c r="F14" s="34"/>
      <c r="G14" s="21"/>
      <c r="H14" s="34"/>
      <c r="I14" s="34"/>
      <c r="J14" s="21"/>
      <c r="K14" s="21"/>
      <c r="L14" s="21"/>
      <c r="M14" s="34"/>
      <c r="N14" s="35"/>
      <c r="O14" s="34"/>
      <c r="P14" s="35"/>
      <c r="Q14" s="33" t="str">
        <f aca="false">IF(OR(B14="",P14=""),"",P14-B14)</f>
        <v/>
      </c>
      <c r="R14" s="38" t="str">
        <f aca="true">IF(OR(M14&lt;&gt;"Yes",P14&lt;&gt;"",O14="Closed",O14="No Action Required"),"",IF(N14="","Due date missing",IF(N14&lt;TODAY(),"OVERDUE",IF(N14-TODAY()&lt;=2,"Due ≤2d","Open"))))</f>
        <v/>
      </c>
      <c r="S14" s="34"/>
      <c r="T14" s="34"/>
      <c r="U14" s="21"/>
    </row>
    <row r="15" customFormat="false" ht="15" hidden="false" customHeight="false" outlineLevel="0" collapsed="false">
      <c r="A15" s="6" t="s">
        <v>875</v>
      </c>
      <c r="B15" s="35"/>
      <c r="C15" s="34"/>
      <c r="D15" s="34"/>
      <c r="E15" s="21"/>
      <c r="F15" s="34"/>
      <c r="G15" s="21"/>
      <c r="H15" s="34"/>
      <c r="I15" s="34"/>
      <c r="J15" s="21"/>
      <c r="K15" s="21"/>
      <c r="L15" s="21"/>
      <c r="M15" s="34"/>
      <c r="N15" s="35"/>
      <c r="O15" s="34"/>
      <c r="P15" s="35"/>
      <c r="Q15" s="33" t="str">
        <f aca="false">IF(OR(B15="",P15=""),"",P15-B15)</f>
        <v/>
      </c>
      <c r="R15" s="38" t="str">
        <f aca="true">IF(OR(M15&lt;&gt;"Yes",P15&lt;&gt;"",O15="Closed",O15="No Action Required"),"",IF(N15="","Due date missing",IF(N15&lt;TODAY(),"OVERDUE",IF(N15-TODAY()&lt;=2,"Due ≤2d","Open"))))</f>
        <v/>
      </c>
      <c r="S15" s="34"/>
      <c r="T15" s="34"/>
      <c r="U15" s="21"/>
    </row>
    <row r="16" customFormat="false" ht="15" hidden="false" customHeight="false" outlineLevel="0" collapsed="false">
      <c r="A16" s="6" t="s">
        <v>876</v>
      </c>
      <c r="B16" s="35"/>
      <c r="C16" s="34"/>
      <c r="D16" s="34"/>
      <c r="E16" s="21"/>
      <c r="F16" s="34"/>
      <c r="G16" s="21"/>
      <c r="H16" s="34"/>
      <c r="I16" s="34"/>
      <c r="J16" s="21"/>
      <c r="K16" s="21"/>
      <c r="L16" s="21"/>
      <c r="M16" s="34"/>
      <c r="N16" s="35"/>
      <c r="O16" s="34"/>
      <c r="P16" s="35"/>
      <c r="Q16" s="33" t="str">
        <f aca="false">IF(OR(B16="",P16=""),"",P16-B16)</f>
        <v/>
      </c>
      <c r="R16" s="38" t="str">
        <f aca="true">IF(OR(M16&lt;&gt;"Yes",P16&lt;&gt;"",O16="Closed",O16="No Action Required"),"",IF(N16="","Due date missing",IF(N16&lt;TODAY(),"OVERDUE",IF(N16-TODAY()&lt;=2,"Due ≤2d","Open"))))</f>
        <v/>
      </c>
      <c r="S16" s="34"/>
      <c r="T16" s="34"/>
      <c r="U16" s="21"/>
    </row>
    <row r="17" customFormat="false" ht="15" hidden="false" customHeight="false" outlineLevel="0" collapsed="false">
      <c r="A17" s="6" t="s">
        <v>877</v>
      </c>
      <c r="B17" s="35"/>
      <c r="C17" s="34"/>
      <c r="D17" s="34"/>
      <c r="E17" s="21"/>
      <c r="F17" s="34"/>
      <c r="G17" s="21"/>
      <c r="H17" s="34"/>
      <c r="I17" s="34"/>
      <c r="J17" s="21"/>
      <c r="K17" s="21"/>
      <c r="L17" s="21"/>
      <c r="M17" s="34"/>
      <c r="N17" s="35"/>
      <c r="O17" s="34"/>
      <c r="P17" s="35"/>
      <c r="Q17" s="33" t="str">
        <f aca="false">IF(OR(B17="",P17=""),"",P17-B17)</f>
        <v/>
      </c>
      <c r="R17" s="38" t="str">
        <f aca="true">IF(OR(M17&lt;&gt;"Yes",P17&lt;&gt;"",O17="Closed",O17="No Action Required"),"",IF(N17="","Due date missing",IF(N17&lt;TODAY(),"OVERDUE",IF(N17-TODAY()&lt;=2,"Due ≤2d","Open"))))</f>
        <v/>
      </c>
      <c r="S17" s="34"/>
      <c r="T17" s="34"/>
      <c r="U17" s="21"/>
    </row>
    <row r="18" customFormat="false" ht="15" hidden="false" customHeight="false" outlineLevel="0" collapsed="false">
      <c r="A18" s="6" t="s">
        <v>878</v>
      </c>
      <c r="B18" s="35"/>
      <c r="C18" s="34"/>
      <c r="D18" s="34"/>
      <c r="E18" s="21"/>
      <c r="F18" s="34"/>
      <c r="G18" s="21"/>
      <c r="H18" s="34"/>
      <c r="I18" s="34"/>
      <c r="J18" s="21"/>
      <c r="K18" s="21"/>
      <c r="L18" s="21"/>
      <c r="M18" s="34"/>
      <c r="N18" s="35"/>
      <c r="O18" s="34"/>
      <c r="P18" s="35"/>
      <c r="Q18" s="33" t="str">
        <f aca="false">IF(OR(B18="",P18=""),"",P18-B18)</f>
        <v/>
      </c>
      <c r="R18" s="38" t="str">
        <f aca="true">IF(OR(M18&lt;&gt;"Yes",P18&lt;&gt;"",O18="Closed",O18="No Action Required"),"",IF(N18="","Due date missing",IF(N18&lt;TODAY(),"OVERDUE",IF(N18-TODAY()&lt;=2,"Due ≤2d","Open"))))</f>
        <v/>
      </c>
      <c r="S18" s="34"/>
      <c r="T18" s="34"/>
      <c r="U18" s="21"/>
    </row>
    <row r="19" customFormat="false" ht="15" hidden="false" customHeight="false" outlineLevel="0" collapsed="false">
      <c r="A19" s="6" t="s">
        <v>879</v>
      </c>
      <c r="B19" s="35"/>
      <c r="C19" s="34"/>
      <c r="D19" s="34"/>
      <c r="E19" s="21"/>
      <c r="F19" s="34"/>
      <c r="G19" s="21"/>
      <c r="H19" s="34"/>
      <c r="I19" s="34"/>
      <c r="J19" s="21"/>
      <c r="K19" s="21"/>
      <c r="L19" s="21"/>
      <c r="M19" s="34"/>
      <c r="N19" s="35"/>
      <c r="O19" s="34"/>
      <c r="P19" s="35"/>
      <c r="Q19" s="33" t="str">
        <f aca="false">IF(OR(B19="",P19=""),"",P19-B19)</f>
        <v/>
      </c>
      <c r="R19" s="38" t="str">
        <f aca="true">IF(OR(M19&lt;&gt;"Yes",P19&lt;&gt;"",O19="Closed",O19="No Action Required"),"",IF(N19="","Due date missing",IF(N19&lt;TODAY(),"OVERDUE",IF(N19-TODAY()&lt;=2,"Due ≤2d","Open"))))</f>
        <v/>
      </c>
      <c r="S19" s="34"/>
      <c r="T19" s="34"/>
      <c r="U19" s="21"/>
    </row>
    <row r="20" customFormat="false" ht="15" hidden="false" customHeight="false" outlineLevel="0" collapsed="false">
      <c r="A20" s="6" t="s">
        <v>880</v>
      </c>
      <c r="B20" s="35"/>
      <c r="C20" s="34"/>
      <c r="D20" s="34"/>
      <c r="E20" s="21"/>
      <c r="F20" s="34"/>
      <c r="G20" s="21"/>
      <c r="H20" s="34"/>
      <c r="I20" s="34"/>
      <c r="J20" s="21"/>
      <c r="K20" s="21"/>
      <c r="L20" s="21"/>
      <c r="M20" s="34"/>
      <c r="N20" s="35"/>
      <c r="O20" s="34"/>
      <c r="P20" s="35"/>
      <c r="Q20" s="33" t="str">
        <f aca="false">IF(OR(B20="",P20=""),"",P20-B20)</f>
        <v/>
      </c>
      <c r="R20" s="38" t="str">
        <f aca="true">IF(OR(M20&lt;&gt;"Yes",P20&lt;&gt;"",O20="Closed",O20="No Action Required"),"",IF(N20="","Due date missing",IF(N20&lt;TODAY(),"OVERDUE",IF(N20-TODAY()&lt;=2,"Due ≤2d","Open"))))</f>
        <v/>
      </c>
      <c r="S20" s="34"/>
      <c r="T20" s="34"/>
      <c r="U20" s="21"/>
    </row>
    <row r="21" customFormat="false" ht="15" hidden="false" customHeight="false" outlineLevel="0" collapsed="false">
      <c r="A21" s="6" t="s">
        <v>881</v>
      </c>
      <c r="B21" s="35"/>
      <c r="C21" s="34"/>
      <c r="D21" s="34"/>
      <c r="E21" s="21"/>
      <c r="F21" s="34"/>
      <c r="G21" s="21"/>
      <c r="H21" s="34"/>
      <c r="I21" s="34"/>
      <c r="J21" s="21"/>
      <c r="K21" s="21"/>
      <c r="L21" s="21"/>
      <c r="M21" s="34"/>
      <c r="N21" s="35"/>
      <c r="O21" s="34"/>
      <c r="P21" s="35"/>
      <c r="Q21" s="33" t="str">
        <f aca="false">IF(OR(B21="",P21=""),"",P21-B21)</f>
        <v/>
      </c>
      <c r="R21" s="38" t="str">
        <f aca="true">IF(OR(M21&lt;&gt;"Yes",P21&lt;&gt;"",O21="Closed",O21="No Action Required"),"",IF(N21="","Due date missing",IF(N21&lt;TODAY(),"OVERDUE",IF(N21-TODAY()&lt;=2,"Due ≤2d","Open"))))</f>
        <v/>
      </c>
      <c r="S21" s="34"/>
      <c r="T21" s="34"/>
      <c r="U21" s="21"/>
    </row>
    <row r="22" customFormat="false" ht="15" hidden="false" customHeight="false" outlineLevel="0" collapsed="false">
      <c r="A22" s="6" t="s">
        <v>882</v>
      </c>
      <c r="B22" s="35"/>
      <c r="C22" s="34"/>
      <c r="D22" s="34"/>
      <c r="E22" s="21"/>
      <c r="F22" s="34"/>
      <c r="G22" s="21"/>
      <c r="H22" s="34"/>
      <c r="I22" s="34"/>
      <c r="J22" s="21"/>
      <c r="K22" s="21"/>
      <c r="L22" s="21"/>
      <c r="M22" s="34"/>
      <c r="N22" s="35"/>
      <c r="O22" s="34"/>
      <c r="P22" s="35"/>
      <c r="Q22" s="33" t="str">
        <f aca="false">IF(OR(B22="",P22=""),"",P22-B22)</f>
        <v/>
      </c>
      <c r="R22" s="38" t="str">
        <f aca="true">IF(OR(M22&lt;&gt;"Yes",P22&lt;&gt;"",O22="Closed",O22="No Action Required"),"",IF(N22="","Due date missing",IF(N22&lt;TODAY(),"OVERDUE",IF(N22-TODAY()&lt;=2,"Due ≤2d","Open"))))</f>
        <v/>
      </c>
      <c r="S22" s="34"/>
      <c r="T22" s="34"/>
      <c r="U22" s="21"/>
    </row>
    <row r="23" customFormat="false" ht="15" hidden="false" customHeight="false" outlineLevel="0" collapsed="false">
      <c r="A23" s="6" t="s">
        <v>883</v>
      </c>
      <c r="B23" s="35"/>
      <c r="C23" s="34"/>
      <c r="D23" s="34"/>
      <c r="E23" s="21"/>
      <c r="F23" s="34"/>
      <c r="G23" s="21"/>
      <c r="H23" s="34"/>
      <c r="I23" s="34"/>
      <c r="J23" s="21"/>
      <c r="K23" s="21"/>
      <c r="L23" s="21"/>
      <c r="M23" s="34"/>
      <c r="N23" s="35"/>
      <c r="O23" s="34"/>
      <c r="P23" s="35"/>
      <c r="Q23" s="33" t="str">
        <f aca="false">IF(OR(B23="",P23=""),"",P23-B23)</f>
        <v/>
      </c>
      <c r="R23" s="38" t="str">
        <f aca="true">IF(OR(M23&lt;&gt;"Yes",P23&lt;&gt;"",O23="Closed",O23="No Action Required"),"",IF(N23="","Due date missing",IF(N23&lt;TODAY(),"OVERDUE",IF(N23-TODAY()&lt;=2,"Due ≤2d","Open"))))</f>
        <v/>
      </c>
      <c r="S23" s="34"/>
      <c r="T23" s="34"/>
      <c r="U23" s="21"/>
    </row>
    <row r="24" customFormat="false" ht="15" hidden="false" customHeight="false" outlineLevel="0" collapsed="false">
      <c r="A24" s="6" t="s">
        <v>884</v>
      </c>
      <c r="B24" s="35"/>
      <c r="C24" s="34"/>
      <c r="D24" s="34"/>
      <c r="E24" s="21"/>
      <c r="F24" s="34"/>
      <c r="G24" s="21"/>
      <c r="H24" s="34"/>
      <c r="I24" s="34"/>
      <c r="J24" s="21"/>
      <c r="K24" s="21"/>
      <c r="L24" s="21"/>
      <c r="M24" s="34"/>
      <c r="N24" s="35"/>
      <c r="O24" s="34"/>
      <c r="P24" s="35"/>
      <c r="Q24" s="33" t="str">
        <f aca="false">IF(OR(B24="",P24=""),"",P24-B24)</f>
        <v/>
      </c>
      <c r="R24" s="38" t="str">
        <f aca="true">IF(OR(M24&lt;&gt;"Yes",P24&lt;&gt;"",O24="Closed",O24="No Action Required"),"",IF(N24="","Due date missing",IF(N24&lt;TODAY(),"OVERDUE",IF(N24-TODAY()&lt;=2,"Due ≤2d","Open"))))</f>
        <v/>
      </c>
      <c r="S24" s="34"/>
      <c r="T24" s="34"/>
      <c r="U24" s="21"/>
    </row>
    <row r="25" customFormat="false" ht="15" hidden="false" customHeight="false" outlineLevel="0" collapsed="false">
      <c r="A25" s="6" t="s">
        <v>885</v>
      </c>
      <c r="B25" s="35"/>
      <c r="C25" s="34"/>
      <c r="D25" s="34"/>
      <c r="E25" s="21"/>
      <c r="F25" s="34"/>
      <c r="G25" s="21"/>
      <c r="H25" s="34"/>
      <c r="I25" s="34"/>
      <c r="J25" s="21"/>
      <c r="K25" s="21"/>
      <c r="L25" s="21"/>
      <c r="M25" s="34"/>
      <c r="N25" s="35"/>
      <c r="O25" s="34"/>
      <c r="P25" s="35"/>
      <c r="Q25" s="33" t="str">
        <f aca="false">IF(OR(B25="",P25=""),"",P25-B25)</f>
        <v/>
      </c>
      <c r="R25" s="38" t="str">
        <f aca="true">IF(OR(M25&lt;&gt;"Yes",P25&lt;&gt;"",O25="Closed",O25="No Action Required"),"",IF(N25="","Due date missing",IF(N25&lt;TODAY(),"OVERDUE",IF(N25-TODAY()&lt;=2,"Due ≤2d","Open"))))</f>
        <v/>
      </c>
      <c r="S25" s="34"/>
      <c r="T25" s="34"/>
      <c r="U25" s="21"/>
    </row>
    <row r="26" customFormat="false" ht="15" hidden="false" customHeight="false" outlineLevel="0" collapsed="false">
      <c r="A26" s="6" t="s">
        <v>886</v>
      </c>
      <c r="B26" s="35"/>
      <c r="C26" s="34"/>
      <c r="D26" s="34"/>
      <c r="E26" s="21"/>
      <c r="F26" s="34"/>
      <c r="G26" s="21"/>
      <c r="H26" s="34"/>
      <c r="I26" s="34"/>
      <c r="J26" s="21"/>
      <c r="K26" s="21"/>
      <c r="L26" s="21"/>
      <c r="M26" s="34"/>
      <c r="N26" s="35"/>
      <c r="O26" s="34"/>
      <c r="P26" s="35"/>
      <c r="Q26" s="33" t="str">
        <f aca="false">IF(OR(B26="",P26=""),"",P26-B26)</f>
        <v/>
      </c>
      <c r="R26" s="38" t="str">
        <f aca="true">IF(OR(M26&lt;&gt;"Yes",P26&lt;&gt;"",O26="Closed",O26="No Action Required"),"",IF(N26="","Due date missing",IF(N26&lt;TODAY(),"OVERDUE",IF(N26-TODAY()&lt;=2,"Due ≤2d","Open"))))</f>
        <v/>
      </c>
      <c r="S26" s="34"/>
      <c r="T26" s="34"/>
      <c r="U26" s="21"/>
    </row>
    <row r="27" customFormat="false" ht="15" hidden="false" customHeight="false" outlineLevel="0" collapsed="false">
      <c r="A27" s="6" t="s">
        <v>887</v>
      </c>
      <c r="B27" s="35"/>
      <c r="C27" s="34"/>
      <c r="D27" s="34"/>
      <c r="E27" s="21"/>
      <c r="F27" s="34"/>
      <c r="G27" s="21"/>
      <c r="H27" s="34"/>
      <c r="I27" s="34"/>
      <c r="J27" s="21"/>
      <c r="K27" s="21"/>
      <c r="L27" s="21"/>
      <c r="M27" s="34"/>
      <c r="N27" s="35"/>
      <c r="O27" s="34"/>
      <c r="P27" s="35"/>
      <c r="Q27" s="33" t="str">
        <f aca="false">IF(OR(B27="",P27=""),"",P27-B27)</f>
        <v/>
      </c>
      <c r="R27" s="38" t="str">
        <f aca="true">IF(OR(M27&lt;&gt;"Yes",P27&lt;&gt;"",O27="Closed",O27="No Action Required"),"",IF(N27="","Due date missing",IF(N27&lt;TODAY(),"OVERDUE",IF(N27-TODAY()&lt;=2,"Due ≤2d","Open"))))</f>
        <v/>
      </c>
      <c r="S27" s="34"/>
      <c r="T27" s="34"/>
      <c r="U27" s="21"/>
    </row>
    <row r="28" customFormat="false" ht="15" hidden="false" customHeight="false" outlineLevel="0" collapsed="false">
      <c r="A28" s="6" t="s">
        <v>888</v>
      </c>
      <c r="B28" s="35"/>
      <c r="C28" s="34"/>
      <c r="D28" s="34"/>
      <c r="E28" s="21"/>
      <c r="F28" s="34"/>
      <c r="G28" s="21"/>
      <c r="H28" s="34"/>
      <c r="I28" s="34"/>
      <c r="J28" s="21"/>
      <c r="K28" s="21"/>
      <c r="L28" s="21"/>
      <c r="M28" s="34"/>
      <c r="N28" s="35"/>
      <c r="O28" s="34"/>
      <c r="P28" s="35"/>
      <c r="Q28" s="33" t="str">
        <f aca="false">IF(OR(B28="",P28=""),"",P28-B28)</f>
        <v/>
      </c>
      <c r="R28" s="38" t="str">
        <f aca="true">IF(OR(M28&lt;&gt;"Yes",P28&lt;&gt;"",O28="Closed",O28="No Action Required"),"",IF(N28="","Due date missing",IF(N28&lt;TODAY(),"OVERDUE",IF(N28-TODAY()&lt;=2,"Due ≤2d","Open"))))</f>
        <v/>
      </c>
      <c r="S28" s="34"/>
      <c r="T28" s="34"/>
      <c r="U28" s="21"/>
    </row>
    <row r="29" customFormat="false" ht="15" hidden="false" customHeight="false" outlineLevel="0" collapsed="false">
      <c r="A29" s="6" t="s">
        <v>889</v>
      </c>
      <c r="B29" s="35"/>
      <c r="C29" s="34"/>
      <c r="D29" s="34"/>
      <c r="E29" s="21"/>
      <c r="F29" s="34"/>
      <c r="G29" s="21"/>
      <c r="H29" s="34"/>
      <c r="I29" s="34"/>
      <c r="J29" s="21"/>
      <c r="K29" s="21"/>
      <c r="L29" s="21"/>
      <c r="M29" s="34"/>
      <c r="N29" s="35"/>
      <c r="O29" s="34"/>
      <c r="P29" s="35"/>
      <c r="Q29" s="33" t="str">
        <f aca="false">IF(OR(B29="",P29=""),"",P29-B29)</f>
        <v/>
      </c>
      <c r="R29" s="38" t="str">
        <f aca="true">IF(OR(M29&lt;&gt;"Yes",P29&lt;&gt;"",O29="Closed",O29="No Action Required"),"",IF(N29="","Due date missing",IF(N29&lt;TODAY(),"OVERDUE",IF(N29-TODAY()&lt;=2,"Due ≤2d","Open"))))</f>
        <v/>
      </c>
      <c r="S29" s="34"/>
      <c r="T29" s="34"/>
      <c r="U29" s="21"/>
    </row>
    <row r="30" customFormat="false" ht="15" hidden="false" customHeight="false" outlineLevel="0" collapsed="false">
      <c r="A30" s="6" t="s">
        <v>890</v>
      </c>
      <c r="B30" s="35"/>
      <c r="C30" s="34"/>
      <c r="D30" s="34"/>
      <c r="E30" s="21"/>
      <c r="F30" s="34"/>
      <c r="G30" s="21"/>
      <c r="H30" s="34"/>
      <c r="I30" s="34"/>
      <c r="J30" s="21"/>
      <c r="K30" s="21"/>
      <c r="L30" s="21"/>
      <c r="M30" s="34"/>
      <c r="N30" s="35"/>
      <c r="O30" s="34"/>
      <c r="P30" s="35"/>
      <c r="Q30" s="33" t="str">
        <f aca="false">IF(OR(B30="",P30=""),"",P30-B30)</f>
        <v/>
      </c>
      <c r="R30" s="38" t="str">
        <f aca="true">IF(OR(M30&lt;&gt;"Yes",P30&lt;&gt;"",O30="Closed",O30="No Action Required"),"",IF(N30="","Due date missing",IF(N30&lt;TODAY(),"OVERDUE",IF(N30-TODAY()&lt;=2,"Due ≤2d","Open"))))</f>
        <v/>
      </c>
      <c r="S30" s="34"/>
      <c r="T30" s="34"/>
      <c r="U30" s="21"/>
    </row>
    <row r="31" customFormat="false" ht="15" hidden="false" customHeight="false" outlineLevel="0" collapsed="false">
      <c r="A31" s="6" t="s">
        <v>891</v>
      </c>
      <c r="B31" s="35"/>
      <c r="C31" s="34"/>
      <c r="D31" s="34"/>
      <c r="E31" s="21"/>
      <c r="F31" s="34"/>
      <c r="G31" s="21"/>
      <c r="H31" s="34"/>
      <c r="I31" s="34"/>
      <c r="J31" s="21"/>
      <c r="K31" s="21"/>
      <c r="L31" s="21"/>
      <c r="M31" s="34"/>
      <c r="N31" s="35"/>
      <c r="O31" s="34"/>
      <c r="P31" s="35"/>
      <c r="Q31" s="33" t="str">
        <f aca="false">IF(OR(B31="",P31=""),"",P31-B31)</f>
        <v/>
      </c>
      <c r="R31" s="38" t="str">
        <f aca="true">IF(OR(M31&lt;&gt;"Yes",P31&lt;&gt;"",O31="Closed",O31="No Action Required"),"",IF(N31="","Due date missing",IF(N31&lt;TODAY(),"OVERDUE",IF(N31-TODAY()&lt;=2,"Due ≤2d","Open"))))</f>
        <v/>
      </c>
      <c r="S31" s="34"/>
      <c r="T31" s="34"/>
      <c r="U31" s="21"/>
    </row>
    <row r="32" customFormat="false" ht="15" hidden="false" customHeight="false" outlineLevel="0" collapsed="false">
      <c r="A32" s="6" t="s">
        <v>892</v>
      </c>
      <c r="B32" s="35"/>
      <c r="C32" s="34"/>
      <c r="D32" s="34"/>
      <c r="E32" s="21"/>
      <c r="F32" s="34"/>
      <c r="G32" s="21"/>
      <c r="H32" s="34"/>
      <c r="I32" s="34"/>
      <c r="J32" s="21"/>
      <c r="K32" s="21"/>
      <c r="L32" s="21"/>
      <c r="M32" s="34"/>
      <c r="N32" s="35"/>
      <c r="O32" s="34"/>
      <c r="P32" s="35"/>
      <c r="Q32" s="33" t="str">
        <f aca="false">IF(OR(B32="",P32=""),"",P32-B32)</f>
        <v/>
      </c>
      <c r="R32" s="38" t="str">
        <f aca="true">IF(OR(M32&lt;&gt;"Yes",P32&lt;&gt;"",O32="Closed",O32="No Action Required"),"",IF(N32="","Due date missing",IF(N32&lt;TODAY(),"OVERDUE",IF(N32-TODAY()&lt;=2,"Due ≤2d","Open"))))</f>
        <v/>
      </c>
      <c r="S32" s="34"/>
      <c r="T32" s="34"/>
      <c r="U32" s="21"/>
    </row>
    <row r="33" customFormat="false" ht="15" hidden="false" customHeight="false" outlineLevel="0" collapsed="false">
      <c r="A33" s="6" t="s">
        <v>893</v>
      </c>
      <c r="B33" s="35"/>
      <c r="C33" s="34"/>
      <c r="D33" s="34"/>
      <c r="E33" s="21"/>
      <c r="F33" s="34"/>
      <c r="G33" s="21"/>
      <c r="H33" s="34"/>
      <c r="I33" s="34"/>
      <c r="J33" s="21"/>
      <c r="K33" s="21"/>
      <c r="L33" s="21"/>
      <c r="M33" s="34"/>
      <c r="N33" s="35"/>
      <c r="O33" s="34"/>
      <c r="P33" s="35"/>
      <c r="Q33" s="33" t="str">
        <f aca="false">IF(OR(B33="",P33=""),"",P33-B33)</f>
        <v/>
      </c>
      <c r="R33" s="38" t="str">
        <f aca="true">IF(OR(M33&lt;&gt;"Yes",P33&lt;&gt;"",O33="Closed",O33="No Action Required"),"",IF(N33="","Due date missing",IF(N33&lt;TODAY(),"OVERDUE",IF(N33-TODAY()&lt;=2,"Due ≤2d","Open"))))</f>
        <v/>
      </c>
      <c r="S33" s="34"/>
      <c r="T33" s="34"/>
      <c r="U33" s="21"/>
    </row>
    <row r="34" customFormat="false" ht="15" hidden="false" customHeight="false" outlineLevel="0" collapsed="false">
      <c r="A34" s="6" t="s">
        <v>894</v>
      </c>
      <c r="B34" s="35"/>
      <c r="C34" s="34"/>
      <c r="D34" s="34"/>
      <c r="E34" s="21"/>
      <c r="F34" s="34"/>
      <c r="G34" s="21"/>
      <c r="H34" s="34"/>
      <c r="I34" s="34"/>
      <c r="J34" s="21"/>
      <c r="K34" s="21"/>
      <c r="L34" s="21"/>
      <c r="M34" s="34"/>
      <c r="N34" s="35"/>
      <c r="O34" s="34"/>
      <c r="P34" s="35"/>
      <c r="Q34" s="33" t="str">
        <f aca="false">IF(OR(B34="",P34=""),"",P34-B34)</f>
        <v/>
      </c>
      <c r="R34" s="38" t="str">
        <f aca="true">IF(OR(M34&lt;&gt;"Yes",P34&lt;&gt;"",O34="Closed",O34="No Action Required"),"",IF(N34="","Due date missing",IF(N34&lt;TODAY(),"OVERDUE",IF(N34-TODAY()&lt;=2,"Due ≤2d","Open"))))</f>
        <v/>
      </c>
      <c r="S34" s="34"/>
      <c r="T34" s="34"/>
      <c r="U34" s="21"/>
    </row>
    <row r="35" customFormat="false" ht="15" hidden="false" customHeight="false" outlineLevel="0" collapsed="false">
      <c r="A35" s="6" t="s">
        <v>895</v>
      </c>
      <c r="B35" s="35"/>
      <c r="C35" s="34"/>
      <c r="D35" s="34"/>
      <c r="E35" s="21"/>
      <c r="F35" s="34"/>
      <c r="G35" s="21"/>
      <c r="H35" s="34"/>
      <c r="I35" s="34"/>
      <c r="J35" s="21"/>
      <c r="K35" s="21"/>
      <c r="L35" s="21"/>
      <c r="M35" s="34"/>
      <c r="N35" s="35"/>
      <c r="O35" s="34"/>
      <c r="P35" s="35"/>
      <c r="Q35" s="33" t="str">
        <f aca="false">IF(OR(B35="",P35=""),"",P35-B35)</f>
        <v/>
      </c>
      <c r="R35" s="38" t="str">
        <f aca="true">IF(OR(M35&lt;&gt;"Yes",P35&lt;&gt;"",O35="Closed",O35="No Action Required"),"",IF(N35="","Due date missing",IF(N35&lt;TODAY(),"OVERDUE",IF(N35-TODAY()&lt;=2,"Due ≤2d","Open"))))</f>
        <v/>
      </c>
      <c r="S35" s="34"/>
      <c r="T35" s="34"/>
      <c r="U35" s="21"/>
    </row>
    <row r="36" customFormat="false" ht="15" hidden="false" customHeight="false" outlineLevel="0" collapsed="false">
      <c r="A36" s="6" t="s">
        <v>896</v>
      </c>
      <c r="B36" s="35"/>
      <c r="C36" s="34"/>
      <c r="D36" s="34"/>
      <c r="E36" s="21"/>
      <c r="F36" s="34"/>
      <c r="G36" s="21"/>
      <c r="H36" s="34"/>
      <c r="I36" s="34"/>
      <c r="J36" s="21"/>
      <c r="K36" s="21"/>
      <c r="L36" s="21"/>
      <c r="M36" s="34"/>
      <c r="N36" s="35"/>
      <c r="O36" s="34"/>
      <c r="P36" s="35"/>
      <c r="Q36" s="33" t="str">
        <f aca="false">IF(OR(B36="",P36=""),"",P36-B36)</f>
        <v/>
      </c>
      <c r="R36" s="38" t="str">
        <f aca="true">IF(OR(M36&lt;&gt;"Yes",P36&lt;&gt;"",O36="Closed",O36="No Action Required"),"",IF(N36="","Due date missing",IF(N36&lt;TODAY(),"OVERDUE",IF(N36-TODAY()&lt;=2,"Due ≤2d","Open"))))</f>
        <v/>
      </c>
      <c r="S36" s="34"/>
      <c r="T36" s="34"/>
      <c r="U36" s="21"/>
    </row>
    <row r="37" customFormat="false" ht="15" hidden="false" customHeight="false" outlineLevel="0" collapsed="false">
      <c r="A37" s="6" t="s">
        <v>897</v>
      </c>
      <c r="B37" s="35"/>
      <c r="C37" s="34"/>
      <c r="D37" s="34"/>
      <c r="E37" s="21"/>
      <c r="F37" s="34"/>
      <c r="G37" s="21"/>
      <c r="H37" s="34"/>
      <c r="I37" s="34"/>
      <c r="J37" s="21"/>
      <c r="K37" s="21"/>
      <c r="L37" s="21"/>
      <c r="M37" s="34"/>
      <c r="N37" s="35"/>
      <c r="O37" s="34"/>
      <c r="P37" s="35"/>
      <c r="Q37" s="33" t="str">
        <f aca="false">IF(OR(B37="",P37=""),"",P37-B37)</f>
        <v/>
      </c>
      <c r="R37" s="38" t="str">
        <f aca="true">IF(OR(M37&lt;&gt;"Yes",P37&lt;&gt;"",O37="Closed",O37="No Action Required"),"",IF(N37="","Due date missing",IF(N37&lt;TODAY(),"OVERDUE",IF(N37-TODAY()&lt;=2,"Due ≤2d","Open"))))</f>
        <v/>
      </c>
      <c r="S37" s="34"/>
      <c r="T37" s="34"/>
      <c r="U37" s="21"/>
    </row>
    <row r="38" customFormat="false" ht="15" hidden="false" customHeight="false" outlineLevel="0" collapsed="false">
      <c r="A38" s="6" t="s">
        <v>898</v>
      </c>
      <c r="B38" s="35"/>
      <c r="C38" s="34"/>
      <c r="D38" s="34"/>
      <c r="E38" s="21"/>
      <c r="F38" s="34"/>
      <c r="G38" s="21"/>
      <c r="H38" s="34"/>
      <c r="I38" s="34"/>
      <c r="J38" s="21"/>
      <c r="K38" s="21"/>
      <c r="L38" s="21"/>
      <c r="M38" s="34"/>
      <c r="N38" s="35"/>
      <c r="O38" s="34"/>
      <c r="P38" s="35"/>
      <c r="Q38" s="33" t="str">
        <f aca="false">IF(OR(B38="",P38=""),"",P38-B38)</f>
        <v/>
      </c>
      <c r="R38" s="38" t="str">
        <f aca="true">IF(OR(M38&lt;&gt;"Yes",P38&lt;&gt;"",O38="Closed",O38="No Action Required"),"",IF(N38="","Due date missing",IF(N38&lt;TODAY(),"OVERDUE",IF(N38-TODAY()&lt;=2,"Due ≤2d","Open"))))</f>
        <v/>
      </c>
      <c r="S38" s="34"/>
      <c r="T38" s="34"/>
      <c r="U38" s="21"/>
    </row>
    <row r="39" customFormat="false" ht="15" hidden="false" customHeight="false" outlineLevel="0" collapsed="false">
      <c r="A39" s="6" t="s">
        <v>899</v>
      </c>
      <c r="B39" s="35"/>
      <c r="C39" s="34"/>
      <c r="D39" s="34"/>
      <c r="E39" s="21"/>
      <c r="F39" s="34"/>
      <c r="G39" s="21"/>
      <c r="H39" s="34"/>
      <c r="I39" s="34"/>
      <c r="J39" s="21"/>
      <c r="K39" s="21"/>
      <c r="L39" s="21"/>
      <c r="M39" s="34"/>
      <c r="N39" s="35"/>
      <c r="O39" s="34"/>
      <c r="P39" s="35"/>
      <c r="Q39" s="33" t="str">
        <f aca="false">IF(OR(B39="",P39=""),"",P39-B39)</f>
        <v/>
      </c>
      <c r="R39" s="38" t="str">
        <f aca="true">IF(OR(M39&lt;&gt;"Yes",P39&lt;&gt;"",O39="Closed",O39="No Action Required"),"",IF(N39="","Due date missing",IF(N39&lt;TODAY(),"OVERDUE",IF(N39-TODAY()&lt;=2,"Due ≤2d","Open"))))</f>
        <v/>
      </c>
      <c r="S39" s="34"/>
      <c r="T39" s="34"/>
      <c r="U39" s="21"/>
    </row>
    <row r="40" customFormat="false" ht="15" hidden="false" customHeight="false" outlineLevel="0" collapsed="false">
      <c r="A40" s="6" t="s">
        <v>900</v>
      </c>
      <c r="B40" s="35"/>
      <c r="C40" s="34"/>
      <c r="D40" s="34"/>
      <c r="E40" s="21"/>
      <c r="F40" s="34"/>
      <c r="G40" s="21"/>
      <c r="H40" s="34"/>
      <c r="I40" s="34"/>
      <c r="J40" s="21"/>
      <c r="K40" s="21"/>
      <c r="L40" s="21"/>
      <c r="M40" s="34"/>
      <c r="N40" s="35"/>
      <c r="O40" s="34"/>
      <c r="P40" s="35"/>
      <c r="Q40" s="33" t="str">
        <f aca="false">IF(OR(B40="",P40=""),"",P40-B40)</f>
        <v/>
      </c>
      <c r="R40" s="38" t="str">
        <f aca="true">IF(OR(M40&lt;&gt;"Yes",P40&lt;&gt;"",O40="Closed",O40="No Action Required"),"",IF(N40="","Due date missing",IF(N40&lt;TODAY(),"OVERDUE",IF(N40-TODAY()&lt;=2,"Due ≤2d","Open"))))</f>
        <v/>
      </c>
      <c r="S40" s="34"/>
      <c r="T40" s="34"/>
      <c r="U40" s="21"/>
    </row>
    <row r="41" customFormat="false" ht="15" hidden="false" customHeight="false" outlineLevel="0" collapsed="false">
      <c r="A41" s="6" t="s">
        <v>901</v>
      </c>
      <c r="B41" s="35"/>
      <c r="C41" s="34"/>
      <c r="D41" s="34"/>
      <c r="E41" s="21"/>
      <c r="F41" s="34"/>
      <c r="G41" s="21"/>
      <c r="H41" s="34"/>
      <c r="I41" s="34"/>
      <c r="J41" s="21"/>
      <c r="K41" s="21"/>
      <c r="L41" s="21"/>
      <c r="M41" s="34"/>
      <c r="N41" s="35"/>
      <c r="O41" s="34"/>
      <c r="P41" s="35"/>
      <c r="Q41" s="33" t="str">
        <f aca="false">IF(OR(B41="",P41=""),"",P41-B41)</f>
        <v/>
      </c>
      <c r="R41" s="38" t="str">
        <f aca="true">IF(OR(M41&lt;&gt;"Yes",P41&lt;&gt;"",O41="Closed",O41="No Action Required"),"",IF(N41="","Due date missing",IF(N41&lt;TODAY(),"OVERDUE",IF(N41-TODAY()&lt;=2,"Due ≤2d","Open"))))</f>
        <v/>
      </c>
      <c r="S41" s="34"/>
      <c r="T41" s="34"/>
      <c r="U41" s="21"/>
    </row>
    <row r="42" customFormat="false" ht="15" hidden="false" customHeight="false" outlineLevel="0" collapsed="false">
      <c r="A42" s="6" t="s">
        <v>902</v>
      </c>
      <c r="B42" s="35"/>
      <c r="C42" s="34"/>
      <c r="D42" s="34"/>
      <c r="E42" s="21"/>
      <c r="F42" s="34"/>
      <c r="G42" s="21"/>
      <c r="H42" s="34"/>
      <c r="I42" s="34"/>
      <c r="J42" s="21"/>
      <c r="K42" s="21"/>
      <c r="L42" s="21"/>
      <c r="M42" s="34"/>
      <c r="N42" s="35"/>
      <c r="O42" s="34"/>
      <c r="P42" s="35"/>
      <c r="Q42" s="33" t="str">
        <f aca="false">IF(OR(B42="",P42=""),"",P42-B42)</f>
        <v/>
      </c>
      <c r="R42" s="38" t="str">
        <f aca="true">IF(OR(M42&lt;&gt;"Yes",P42&lt;&gt;"",O42="Closed",O42="No Action Required"),"",IF(N42="","Due date missing",IF(N42&lt;TODAY(),"OVERDUE",IF(N42-TODAY()&lt;=2,"Due ≤2d","Open"))))</f>
        <v/>
      </c>
      <c r="S42" s="34"/>
      <c r="T42" s="34"/>
      <c r="U42" s="21"/>
    </row>
    <row r="43" customFormat="false" ht="15" hidden="false" customHeight="false" outlineLevel="0" collapsed="false">
      <c r="A43" s="6" t="s">
        <v>903</v>
      </c>
      <c r="B43" s="35"/>
      <c r="C43" s="34"/>
      <c r="D43" s="34"/>
      <c r="E43" s="21"/>
      <c r="F43" s="34"/>
      <c r="G43" s="21"/>
      <c r="H43" s="34"/>
      <c r="I43" s="34"/>
      <c r="J43" s="21"/>
      <c r="K43" s="21"/>
      <c r="L43" s="21"/>
      <c r="M43" s="34"/>
      <c r="N43" s="35"/>
      <c r="O43" s="34"/>
      <c r="P43" s="35"/>
      <c r="Q43" s="33" t="str">
        <f aca="false">IF(OR(B43="",P43=""),"",P43-B43)</f>
        <v/>
      </c>
      <c r="R43" s="38" t="str">
        <f aca="true">IF(OR(M43&lt;&gt;"Yes",P43&lt;&gt;"",O43="Closed",O43="No Action Required"),"",IF(N43="","Due date missing",IF(N43&lt;TODAY(),"OVERDUE",IF(N43-TODAY()&lt;=2,"Due ≤2d","Open"))))</f>
        <v/>
      </c>
      <c r="S43" s="34"/>
      <c r="T43" s="34"/>
      <c r="U43" s="21"/>
    </row>
    <row r="44" customFormat="false" ht="15" hidden="false" customHeight="false" outlineLevel="0" collapsed="false">
      <c r="A44" s="6" t="s">
        <v>904</v>
      </c>
      <c r="B44" s="35"/>
      <c r="C44" s="34"/>
      <c r="D44" s="34"/>
      <c r="E44" s="21"/>
      <c r="F44" s="34"/>
      <c r="G44" s="21"/>
      <c r="H44" s="34"/>
      <c r="I44" s="34"/>
      <c r="J44" s="21"/>
      <c r="K44" s="21"/>
      <c r="L44" s="21"/>
      <c r="M44" s="34"/>
      <c r="N44" s="35"/>
      <c r="O44" s="34"/>
      <c r="P44" s="35"/>
      <c r="Q44" s="33" t="str">
        <f aca="false">IF(OR(B44="",P44=""),"",P44-B44)</f>
        <v/>
      </c>
      <c r="R44" s="38" t="str">
        <f aca="true">IF(OR(M44&lt;&gt;"Yes",P44&lt;&gt;"",O44="Closed",O44="No Action Required"),"",IF(N44="","Due date missing",IF(N44&lt;TODAY(),"OVERDUE",IF(N44-TODAY()&lt;=2,"Due ≤2d","Open"))))</f>
        <v/>
      </c>
      <c r="S44" s="34"/>
      <c r="T44" s="34"/>
      <c r="U44" s="21"/>
    </row>
    <row r="45" customFormat="false" ht="15" hidden="false" customHeight="false" outlineLevel="0" collapsed="false">
      <c r="A45" s="6" t="s">
        <v>905</v>
      </c>
      <c r="B45" s="35"/>
      <c r="C45" s="34"/>
      <c r="D45" s="34"/>
      <c r="E45" s="21"/>
      <c r="F45" s="34"/>
      <c r="G45" s="21"/>
      <c r="H45" s="34"/>
      <c r="I45" s="34"/>
      <c r="J45" s="21"/>
      <c r="K45" s="21"/>
      <c r="L45" s="21"/>
      <c r="M45" s="34"/>
      <c r="N45" s="35"/>
      <c r="O45" s="34"/>
      <c r="P45" s="35"/>
      <c r="Q45" s="33" t="str">
        <f aca="false">IF(OR(B45="",P45=""),"",P45-B45)</f>
        <v/>
      </c>
      <c r="R45" s="38" t="str">
        <f aca="true">IF(OR(M45&lt;&gt;"Yes",P45&lt;&gt;"",O45="Closed",O45="No Action Required"),"",IF(N45="","Due date missing",IF(N45&lt;TODAY(),"OVERDUE",IF(N45-TODAY()&lt;=2,"Due ≤2d","Open"))))</f>
        <v/>
      </c>
      <c r="S45" s="34"/>
      <c r="T45" s="34"/>
      <c r="U45" s="21"/>
    </row>
    <row r="46" customFormat="false" ht="15" hidden="false" customHeight="false" outlineLevel="0" collapsed="false">
      <c r="A46" s="6" t="s">
        <v>906</v>
      </c>
      <c r="B46" s="35"/>
      <c r="C46" s="34"/>
      <c r="D46" s="34"/>
      <c r="E46" s="21"/>
      <c r="F46" s="34"/>
      <c r="G46" s="21"/>
      <c r="H46" s="34"/>
      <c r="I46" s="34"/>
      <c r="J46" s="21"/>
      <c r="K46" s="21"/>
      <c r="L46" s="21"/>
      <c r="M46" s="34"/>
      <c r="N46" s="35"/>
      <c r="O46" s="34"/>
      <c r="P46" s="35"/>
      <c r="Q46" s="33" t="str">
        <f aca="false">IF(OR(B46="",P46=""),"",P46-B46)</f>
        <v/>
      </c>
      <c r="R46" s="38" t="str">
        <f aca="true">IF(OR(M46&lt;&gt;"Yes",P46&lt;&gt;"",O46="Closed",O46="No Action Required"),"",IF(N46="","Due date missing",IF(N46&lt;TODAY(),"OVERDUE",IF(N46-TODAY()&lt;=2,"Due ≤2d","Open"))))</f>
        <v/>
      </c>
      <c r="S46" s="34"/>
      <c r="T46" s="34"/>
      <c r="U46" s="21"/>
    </row>
    <row r="47" customFormat="false" ht="15" hidden="false" customHeight="false" outlineLevel="0" collapsed="false">
      <c r="A47" s="6" t="s">
        <v>907</v>
      </c>
      <c r="B47" s="35"/>
      <c r="C47" s="34"/>
      <c r="D47" s="34"/>
      <c r="E47" s="21"/>
      <c r="F47" s="34"/>
      <c r="G47" s="21"/>
      <c r="H47" s="34"/>
      <c r="I47" s="34"/>
      <c r="J47" s="21"/>
      <c r="K47" s="21"/>
      <c r="L47" s="21"/>
      <c r="M47" s="34"/>
      <c r="N47" s="35"/>
      <c r="O47" s="34"/>
      <c r="P47" s="35"/>
      <c r="Q47" s="33" t="str">
        <f aca="false">IF(OR(B47="",P47=""),"",P47-B47)</f>
        <v/>
      </c>
      <c r="R47" s="38" t="str">
        <f aca="true">IF(OR(M47&lt;&gt;"Yes",P47&lt;&gt;"",O47="Closed",O47="No Action Required"),"",IF(N47="","Due date missing",IF(N47&lt;TODAY(),"OVERDUE",IF(N47-TODAY()&lt;=2,"Due ≤2d","Open"))))</f>
        <v/>
      </c>
      <c r="S47" s="34"/>
      <c r="T47" s="34"/>
      <c r="U47" s="21"/>
    </row>
    <row r="48" customFormat="false" ht="15" hidden="false" customHeight="false" outlineLevel="0" collapsed="false">
      <c r="A48" s="6" t="s">
        <v>908</v>
      </c>
      <c r="B48" s="35"/>
      <c r="C48" s="34"/>
      <c r="D48" s="34"/>
      <c r="E48" s="21"/>
      <c r="F48" s="34"/>
      <c r="G48" s="21"/>
      <c r="H48" s="34"/>
      <c r="I48" s="34"/>
      <c r="J48" s="21"/>
      <c r="K48" s="21"/>
      <c r="L48" s="21"/>
      <c r="M48" s="34"/>
      <c r="N48" s="35"/>
      <c r="O48" s="34"/>
      <c r="P48" s="35"/>
      <c r="Q48" s="33" t="str">
        <f aca="false">IF(OR(B48="",P48=""),"",P48-B48)</f>
        <v/>
      </c>
      <c r="R48" s="38" t="str">
        <f aca="true">IF(OR(M48&lt;&gt;"Yes",P48&lt;&gt;"",O48="Closed",O48="No Action Required"),"",IF(N48="","Due date missing",IF(N48&lt;TODAY(),"OVERDUE",IF(N48-TODAY()&lt;=2,"Due ≤2d","Open"))))</f>
        <v/>
      </c>
      <c r="S48" s="34"/>
      <c r="T48" s="34"/>
      <c r="U48" s="21"/>
    </row>
    <row r="49" customFormat="false" ht="15" hidden="false" customHeight="false" outlineLevel="0" collapsed="false">
      <c r="A49" s="6" t="s">
        <v>909</v>
      </c>
      <c r="B49" s="35"/>
      <c r="C49" s="34"/>
      <c r="D49" s="34"/>
      <c r="E49" s="21"/>
      <c r="F49" s="34"/>
      <c r="G49" s="21"/>
      <c r="H49" s="34"/>
      <c r="I49" s="34"/>
      <c r="J49" s="21"/>
      <c r="K49" s="21"/>
      <c r="L49" s="21"/>
      <c r="M49" s="34"/>
      <c r="N49" s="35"/>
      <c r="O49" s="34"/>
      <c r="P49" s="35"/>
      <c r="Q49" s="33" t="str">
        <f aca="false">IF(OR(B49="",P49=""),"",P49-B49)</f>
        <v/>
      </c>
      <c r="R49" s="38" t="str">
        <f aca="true">IF(OR(M49&lt;&gt;"Yes",P49&lt;&gt;"",O49="Closed",O49="No Action Required"),"",IF(N49="","Due date missing",IF(N49&lt;TODAY(),"OVERDUE",IF(N49-TODAY()&lt;=2,"Due ≤2d","Open"))))</f>
        <v/>
      </c>
      <c r="S49" s="34"/>
      <c r="T49" s="34"/>
      <c r="U49" s="21"/>
    </row>
    <row r="50" customFormat="false" ht="15" hidden="false" customHeight="false" outlineLevel="0" collapsed="false">
      <c r="A50" s="6" t="s">
        <v>910</v>
      </c>
      <c r="B50" s="35"/>
      <c r="C50" s="34"/>
      <c r="D50" s="34"/>
      <c r="E50" s="21"/>
      <c r="F50" s="34"/>
      <c r="G50" s="21"/>
      <c r="H50" s="34"/>
      <c r="I50" s="34"/>
      <c r="J50" s="21"/>
      <c r="K50" s="21"/>
      <c r="L50" s="21"/>
      <c r="M50" s="34"/>
      <c r="N50" s="35"/>
      <c r="O50" s="34"/>
      <c r="P50" s="35"/>
      <c r="Q50" s="33" t="str">
        <f aca="false">IF(OR(B50="",P50=""),"",P50-B50)</f>
        <v/>
      </c>
      <c r="R50" s="38" t="str">
        <f aca="true">IF(OR(M50&lt;&gt;"Yes",P50&lt;&gt;"",O50="Closed",O50="No Action Required"),"",IF(N50="","Due date missing",IF(N50&lt;TODAY(),"OVERDUE",IF(N50-TODAY()&lt;=2,"Due ≤2d","Open"))))</f>
        <v/>
      </c>
      <c r="S50" s="34"/>
      <c r="T50" s="34"/>
      <c r="U50" s="21"/>
    </row>
    <row r="51" customFormat="false" ht="15" hidden="false" customHeight="false" outlineLevel="0" collapsed="false">
      <c r="A51" s="6" t="s">
        <v>911</v>
      </c>
      <c r="B51" s="35"/>
      <c r="C51" s="34"/>
      <c r="D51" s="34"/>
      <c r="E51" s="21"/>
      <c r="F51" s="34"/>
      <c r="G51" s="21"/>
      <c r="H51" s="34"/>
      <c r="I51" s="34"/>
      <c r="J51" s="21"/>
      <c r="K51" s="21"/>
      <c r="L51" s="21"/>
      <c r="M51" s="34"/>
      <c r="N51" s="35"/>
      <c r="O51" s="34"/>
      <c r="P51" s="35"/>
      <c r="Q51" s="33" t="str">
        <f aca="false">IF(OR(B51="",P51=""),"",P51-B51)</f>
        <v/>
      </c>
      <c r="R51" s="38" t="str">
        <f aca="true">IF(OR(M51&lt;&gt;"Yes",P51&lt;&gt;"",O51="Closed",O51="No Action Required"),"",IF(N51="","Due date missing",IF(N51&lt;TODAY(),"OVERDUE",IF(N51-TODAY()&lt;=2,"Due ≤2d","Open"))))</f>
        <v/>
      </c>
      <c r="S51" s="34"/>
      <c r="T51" s="34"/>
      <c r="U51" s="21"/>
    </row>
    <row r="52" customFormat="false" ht="15" hidden="false" customHeight="false" outlineLevel="0" collapsed="false">
      <c r="A52" s="6" t="s">
        <v>912</v>
      </c>
      <c r="B52" s="35"/>
      <c r="C52" s="34"/>
      <c r="D52" s="34"/>
      <c r="E52" s="21"/>
      <c r="F52" s="34"/>
      <c r="G52" s="21"/>
      <c r="H52" s="34"/>
      <c r="I52" s="34"/>
      <c r="J52" s="21"/>
      <c r="K52" s="21"/>
      <c r="L52" s="21"/>
      <c r="M52" s="34"/>
      <c r="N52" s="35"/>
      <c r="O52" s="34"/>
      <c r="P52" s="35"/>
      <c r="Q52" s="33" t="str">
        <f aca="false">IF(OR(B52="",P52=""),"",P52-B52)</f>
        <v/>
      </c>
      <c r="R52" s="38" t="str">
        <f aca="true">IF(OR(M52&lt;&gt;"Yes",P52&lt;&gt;"",O52="Closed",O52="No Action Required"),"",IF(N52="","Due date missing",IF(N52&lt;TODAY(),"OVERDUE",IF(N52-TODAY()&lt;=2,"Due ≤2d","Open"))))</f>
        <v/>
      </c>
      <c r="S52" s="34"/>
      <c r="T52" s="34"/>
      <c r="U52" s="21"/>
    </row>
    <row r="53" customFormat="false" ht="15" hidden="false" customHeight="false" outlineLevel="0" collapsed="false">
      <c r="A53" s="6" t="s">
        <v>913</v>
      </c>
      <c r="B53" s="35"/>
      <c r="C53" s="34"/>
      <c r="D53" s="34"/>
      <c r="E53" s="21"/>
      <c r="F53" s="34"/>
      <c r="G53" s="21"/>
      <c r="H53" s="34"/>
      <c r="I53" s="34"/>
      <c r="J53" s="21"/>
      <c r="K53" s="21"/>
      <c r="L53" s="21"/>
      <c r="M53" s="34"/>
      <c r="N53" s="35"/>
      <c r="O53" s="34"/>
      <c r="P53" s="35"/>
      <c r="Q53" s="33" t="str">
        <f aca="false">IF(OR(B53="",P53=""),"",P53-B53)</f>
        <v/>
      </c>
      <c r="R53" s="38" t="str">
        <f aca="true">IF(OR(M53&lt;&gt;"Yes",P53&lt;&gt;"",O53="Closed",O53="No Action Required"),"",IF(N53="","Due date missing",IF(N53&lt;TODAY(),"OVERDUE",IF(N53-TODAY()&lt;=2,"Due ≤2d","Open"))))</f>
        <v/>
      </c>
      <c r="S53" s="34"/>
      <c r="T53" s="34"/>
      <c r="U53" s="21"/>
    </row>
    <row r="54" customFormat="false" ht="15" hidden="false" customHeight="false" outlineLevel="0" collapsed="false">
      <c r="A54" s="6" t="s">
        <v>914</v>
      </c>
      <c r="B54" s="35"/>
      <c r="C54" s="34"/>
      <c r="D54" s="34"/>
      <c r="E54" s="21"/>
      <c r="F54" s="34"/>
      <c r="G54" s="21"/>
      <c r="H54" s="34"/>
      <c r="I54" s="34"/>
      <c r="J54" s="21"/>
      <c r="K54" s="21"/>
      <c r="L54" s="21"/>
      <c r="M54" s="34"/>
      <c r="N54" s="35"/>
      <c r="O54" s="34"/>
      <c r="P54" s="35"/>
      <c r="Q54" s="33" t="str">
        <f aca="false">IF(OR(B54="",P54=""),"",P54-B54)</f>
        <v/>
      </c>
      <c r="R54" s="38" t="str">
        <f aca="true">IF(OR(M54&lt;&gt;"Yes",P54&lt;&gt;"",O54="Closed",O54="No Action Required"),"",IF(N54="","Due date missing",IF(N54&lt;TODAY(),"OVERDUE",IF(N54-TODAY()&lt;=2,"Due ≤2d","Open"))))</f>
        <v/>
      </c>
      <c r="S54" s="34"/>
      <c r="T54" s="34"/>
      <c r="U54" s="21"/>
    </row>
    <row r="55" customFormat="false" ht="15" hidden="false" customHeight="false" outlineLevel="0" collapsed="false">
      <c r="A55" s="6" t="s">
        <v>915</v>
      </c>
      <c r="B55" s="35"/>
      <c r="C55" s="34"/>
      <c r="D55" s="34"/>
      <c r="E55" s="21"/>
      <c r="F55" s="34"/>
      <c r="G55" s="21"/>
      <c r="H55" s="34"/>
      <c r="I55" s="34"/>
      <c r="J55" s="21"/>
      <c r="K55" s="21"/>
      <c r="L55" s="21"/>
      <c r="M55" s="34"/>
      <c r="N55" s="35"/>
      <c r="O55" s="34"/>
      <c r="P55" s="35"/>
      <c r="Q55" s="33" t="str">
        <f aca="false">IF(OR(B55="",P55=""),"",P55-B55)</f>
        <v/>
      </c>
      <c r="R55" s="38" t="str">
        <f aca="true">IF(OR(M55&lt;&gt;"Yes",P55&lt;&gt;"",O55="Closed",O55="No Action Required"),"",IF(N55="","Due date missing",IF(N55&lt;TODAY(),"OVERDUE",IF(N55-TODAY()&lt;=2,"Due ≤2d","Open"))))</f>
        <v/>
      </c>
      <c r="S55" s="34"/>
      <c r="T55" s="34"/>
      <c r="U55" s="21"/>
    </row>
    <row r="56" customFormat="false" ht="15" hidden="false" customHeight="false" outlineLevel="0" collapsed="false">
      <c r="A56" s="6" t="s">
        <v>916</v>
      </c>
      <c r="B56" s="35"/>
      <c r="C56" s="34"/>
      <c r="D56" s="34"/>
      <c r="E56" s="21"/>
      <c r="F56" s="34"/>
      <c r="G56" s="21"/>
      <c r="H56" s="34"/>
      <c r="I56" s="34"/>
      <c r="J56" s="21"/>
      <c r="K56" s="21"/>
      <c r="L56" s="21"/>
      <c r="M56" s="34"/>
      <c r="N56" s="35"/>
      <c r="O56" s="34"/>
      <c r="P56" s="35"/>
      <c r="Q56" s="33" t="str">
        <f aca="false">IF(OR(B56="",P56=""),"",P56-B56)</f>
        <v/>
      </c>
      <c r="R56" s="38" t="str">
        <f aca="true">IF(OR(M56&lt;&gt;"Yes",P56&lt;&gt;"",O56="Closed",O56="No Action Required"),"",IF(N56="","Due date missing",IF(N56&lt;TODAY(),"OVERDUE",IF(N56-TODAY()&lt;=2,"Due ≤2d","Open"))))</f>
        <v/>
      </c>
      <c r="S56" s="34"/>
      <c r="T56" s="34"/>
      <c r="U56" s="21"/>
    </row>
    <row r="57" customFormat="false" ht="15" hidden="false" customHeight="false" outlineLevel="0" collapsed="false">
      <c r="A57" s="6" t="s">
        <v>917</v>
      </c>
      <c r="B57" s="35"/>
      <c r="C57" s="34"/>
      <c r="D57" s="34"/>
      <c r="E57" s="21"/>
      <c r="F57" s="34"/>
      <c r="G57" s="21"/>
      <c r="H57" s="34"/>
      <c r="I57" s="34"/>
      <c r="J57" s="21"/>
      <c r="K57" s="21"/>
      <c r="L57" s="21"/>
      <c r="M57" s="34"/>
      <c r="N57" s="35"/>
      <c r="O57" s="34"/>
      <c r="P57" s="35"/>
      <c r="Q57" s="33" t="str">
        <f aca="false">IF(OR(B57="",P57=""),"",P57-B57)</f>
        <v/>
      </c>
      <c r="R57" s="38" t="str">
        <f aca="true">IF(OR(M57&lt;&gt;"Yes",P57&lt;&gt;"",O57="Closed",O57="No Action Required"),"",IF(N57="","Due date missing",IF(N57&lt;TODAY(),"OVERDUE",IF(N57-TODAY()&lt;=2,"Due ≤2d","Open"))))</f>
        <v/>
      </c>
      <c r="S57" s="34"/>
      <c r="T57" s="34"/>
      <c r="U57" s="21"/>
    </row>
    <row r="58" customFormat="false" ht="15" hidden="false" customHeight="false" outlineLevel="0" collapsed="false">
      <c r="A58" s="6" t="s">
        <v>918</v>
      </c>
      <c r="B58" s="35"/>
      <c r="C58" s="34"/>
      <c r="D58" s="34"/>
      <c r="E58" s="21"/>
      <c r="F58" s="34"/>
      <c r="G58" s="21"/>
      <c r="H58" s="34"/>
      <c r="I58" s="34"/>
      <c r="J58" s="21"/>
      <c r="K58" s="21"/>
      <c r="L58" s="21"/>
      <c r="M58" s="34"/>
      <c r="N58" s="35"/>
      <c r="O58" s="34"/>
      <c r="P58" s="35"/>
      <c r="Q58" s="33" t="str">
        <f aca="false">IF(OR(B58="",P58=""),"",P58-B58)</f>
        <v/>
      </c>
      <c r="R58" s="38" t="str">
        <f aca="true">IF(OR(M58&lt;&gt;"Yes",P58&lt;&gt;"",O58="Closed",O58="No Action Required"),"",IF(N58="","Due date missing",IF(N58&lt;TODAY(),"OVERDUE",IF(N58-TODAY()&lt;=2,"Due ≤2d","Open"))))</f>
        <v/>
      </c>
      <c r="S58" s="34"/>
      <c r="T58" s="34"/>
      <c r="U58" s="21"/>
    </row>
    <row r="59" customFormat="false" ht="15" hidden="false" customHeight="false" outlineLevel="0" collapsed="false">
      <c r="A59" s="6" t="s">
        <v>919</v>
      </c>
      <c r="B59" s="35"/>
      <c r="C59" s="34"/>
      <c r="D59" s="34"/>
      <c r="E59" s="21"/>
      <c r="F59" s="34"/>
      <c r="G59" s="21"/>
      <c r="H59" s="34"/>
      <c r="I59" s="34"/>
      <c r="J59" s="21"/>
      <c r="K59" s="21"/>
      <c r="L59" s="21"/>
      <c r="M59" s="34"/>
      <c r="N59" s="35"/>
      <c r="O59" s="34"/>
      <c r="P59" s="35"/>
      <c r="Q59" s="33" t="str">
        <f aca="false">IF(OR(B59="",P59=""),"",P59-B59)</f>
        <v/>
      </c>
      <c r="R59" s="38" t="str">
        <f aca="true">IF(OR(M59&lt;&gt;"Yes",P59&lt;&gt;"",O59="Closed",O59="No Action Required"),"",IF(N59="","Due date missing",IF(N59&lt;TODAY(),"OVERDUE",IF(N59-TODAY()&lt;=2,"Due ≤2d","Open"))))</f>
        <v/>
      </c>
      <c r="S59" s="34"/>
      <c r="T59" s="34"/>
      <c r="U59" s="21"/>
    </row>
    <row r="60" customFormat="false" ht="15" hidden="false" customHeight="false" outlineLevel="0" collapsed="false">
      <c r="A60" s="6" t="s">
        <v>920</v>
      </c>
      <c r="B60" s="35"/>
      <c r="C60" s="34"/>
      <c r="D60" s="34"/>
      <c r="E60" s="21"/>
      <c r="F60" s="34"/>
      <c r="G60" s="21"/>
      <c r="H60" s="34"/>
      <c r="I60" s="34"/>
      <c r="J60" s="21"/>
      <c r="K60" s="21"/>
      <c r="L60" s="21"/>
      <c r="M60" s="34"/>
      <c r="N60" s="35"/>
      <c r="O60" s="34"/>
      <c r="P60" s="35"/>
      <c r="Q60" s="33" t="str">
        <f aca="false">IF(OR(B60="",P60=""),"",P60-B60)</f>
        <v/>
      </c>
      <c r="R60" s="38" t="str">
        <f aca="true">IF(OR(M60&lt;&gt;"Yes",P60&lt;&gt;"",O60="Closed",O60="No Action Required"),"",IF(N60="","Due date missing",IF(N60&lt;TODAY(),"OVERDUE",IF(N60-TODAY()&lt;=2,"Due ≤2d","Open"))))</f>
        <v/>
      </c>
      <c r="S60" s="34"/>
      <c r="T60" s="34"/>
      <c r="U60" s="21"/>
    </row>
    <row r="61" customFormat="false" ht="15" hidden="false" customHeight="false" outlineLevel="0" collapsed="false">
      <c r="A61" s="6" t="s">
        <v>921</v>
      </c>
      <c r="B61" s="35"/>
      <c r="C61" s="34"/>
      <c r="D61" s="34"/>
      <c r="E61" s="21"/>
      <c r="F61" s="34"/>
      <c r="G61" s="21"/>
      <c r="H61" s="34"/>
      <c r="I61" s="34"/>
      <c r="J61" s="21"/>
      <c r="K61" s="21"/>
      <c r="L61" s="21"/>
      <c r="M61" s="34"/>
      <c r="N61" s="35"/>
      <c r="O61" s="34"/>
      <c r="P61" s="35"/>
      <c r="Q61" s="33" t="str">
        <f aca="false">IF(OR(B61="",P61=""),"",P61-B61)</f>
        <v/>
      </c>
      <c r="R61" s="38" t="str">
        <f aca="true">IF(OR(M61&lt;&gt;"Yes",P61&lt;&gt;"",O61="Closed",O61="No Action Required"),"",IF(N61="","Due date missing",IF(N61&lt;TODAY(),"OVERDUE",IF(N61-TODAY()&lt;=2,"Due ≤2d","Open"))))</f>
        <v/>
      </c>
      <c r="S61" s="34"/>
      <c r="T61" s="34"/>
      <c r="U61" s="21"/>
    </row>
    <row r="62" customFormat="false" ht="15" hidden="false" customHeight="false" outlineLevel="0" collapsed="false">
      <c r="A62" s="6" t="s">
        <v>922</v>
      </c>
      <c r="B62" s="35"/>
      <c r="C62" s="34"/>
      <c r="D62" s="34"/>
      <c r="E62" s="21"/>
      <c r="F62" s="34"/>
      <c r="G62" s="21"/>
      <c r="H62" s="34"/>
      <c r="I62" s="34"/>
      <c r="J62" s="21"/>
      <c r="K62" s="21"/>
      <c r="L62" s="21"/>
      <c r="M62" s="34"/>
      <c r="N62" s="35"/>
      <c r="O62" s="34"/>
      <c r="P62" s="35"/>
      <c r="Q62" s="33" t="str">
        <f aca="false">IF(OR(B62="",P62=""),"",P62-B62)</f>
        <v/>
      </c>
      <c r="R62" s="38" t="str">
        <f aca="true">IF(OR(M62&lt;&gt;"Yes",P62&lt;&gt;"",O62="Closed",O62="No Action Required"),"",IF(N62="","Due date missing",IF(N62&lt;TODAY(),"OVERDUE",IF(N62-TODAY()&lt;=2,"Due ≤2d","Open"))))</f>
        <v/>
      </c>
      <c r="S62" s="34"/>
      <c r="T62" s="34"/>
      <c r="U62" s="21"/>
    </row>
    <row r="63" customFormat="false" ht="15" hidden="false" customHeight="false" outlineLevel="0" collapsed="false">
      <c r="A63" s="6" t="s">
        <v>923</v>
      </c>
      <c r="B63" s="35"/>
      <c r="C63" s="34"/>
      <c r="D63" s="34"/>
      <c r="E63" s="21"/>
      <c r="F63" s="34"/>
      <c r="G63" s="21"/>
      <c r="H63" s="34"/>
      <c r="I63" s="34"/>
      <c r="J63" s="21"/>
      <c r="K63" s="21"/>
      <c r="L63" s="21"/>
      <c r="M63" s="34"/>
      <c r="N63" s="35"/>
      <c r="O63" s="34"/>
      <c r="P63" s="35"/>
      <c r="Q63" s="33" t="str">
        <f aca="false">IF(OR(B63="",P63=""),"",P63-B63)</f>
        <v/>
      </c>
      <c r="R63" s="38" t="str">
        <f aca="true">IF(OR(M63&lt;&gt;"Yes",P63&lt;&gt;"",O63="Closed",O63="No Action Required"),"",IF(N63="","Due date missing",IF(N63&lt;TODAY(),"OVERDUE",IF(N63-TODAY()&lt;=2,"Due ≤2d","Open"))))</f>
        <v/>
      </c>
      <c r="S63" s="34"/>
      <c r="T63" s="34"/>
      <c r="U63" s="21"/>
    </row>
    <row r="64" customFormat="false" ht="15" hidden="false" customHeight="false" outlineLevel="0" collapsed="false">
      <c r="A64" s="6" t="s">
        <v>924</v>
      </c>
      <c r="B64" s="35"/>
      <c r="C64" s="34"/>
      <c r="D64" s="34"/>
      <c r="E64" s="21"/>
      <c r="F64" s="34"/>
      <c r="G64" s="21"/>
      <c r="H64" s="34"/>
      <c r="I64" s="34"/>
      <c r="J64" s="21"/>
      <c r="K64" s="21"/>
      <c r="L64" s="21"/>
      <c r="M64" s="34"/>
      <c r="N64" s="35"/>
      <c r="O64" s="34"/>
      <c r="P64" s="35"/>
      <c r="Q64" s="33" t="str">
        <f aca="false">IF(OR(B64="",P64=""),"",P64-B64)</f>
        <v/>
      </c>
      <c r="R64" s="38" t="str">
        <f aca="true">IF(OR(M64&lt;&gt;"Yes",P64&lt;&gt;"",O64="Closed",O64="No Action Required"),"",IF(N64="","Due date missing",IF(N64&lt;TODAY(),"OVERDUE",IF(N64-TODAY()&lt;=2,"Due ≤2d","Open"))))</f>
        <v/>
      </c>
      <c r="S64" s="34"/>
      <c r="T64" s="34"/>
      <c r="U64" s="21"/>
    </row>
    <row r="65" customFormat="false" ht="15" hidden="false" customHeight="false" outlineLevel="0" collapsed="false">
      <c r="A65" s="6" t="s">
        <v>925</v>
      </c>
      <c r="B65" s="35"/>
      <c r="C65" s="34"/>
      <c r="D65" s="34"/>
      <c r="E65" s="21"/>
      <c r="F65" s="34"/>
      <c r="G65" s="21"/>
      <c r="H65" s="34"/>
      <c r="I65" s="34"/>
      <c r="J65" s="21"/>
      <c r="K65" s="21"/>
      <c r="L65" s="21"/>
      <c r="M65" s="34"/>
      <c r="N65" s="35"/>
      <c r="O65" s="34"/>
      <c r="P65" s="35"/>
      <c r="Q65" s="33" t="str">
        <f aca="false">IF(OR(B65="",P65=""),"",P65-B65)</f>
        <v/>
      </c>
      <c r="R65" s="38" t="str">
        <f aca="true">IF(OR(M65&lt;&gt;"Yes",P65&lt;&gt;"",O65="Closed",O65="No Action Required"),"",IF(N65="","Due date missing",IF(N65&lt;TODAY(),"OVERDUE",IF(N65-TODAY()&lt;=2,"Due ≤2d","Open"))))</f>
        <v/>
      </c>
      <c r="S65" s="34"/>
      <c r="T65" s="34"/>
      <c r="U65" s="21"/>
    </row>
    <row r="66" customFormat="false" ht="15" hidden="false" customHeight="false" outlineLevel="0" collapsed="false">
      <c r="A66" s="6" t="s">
        <v>926</v>
      </c>
      <c r="B66" s="35"/>
      <c r="C66" s="34"/>
      <c r="D66" s="34"/>
      <c r="E66" s="21"/>
      <c r="F66" s="34"/>
      <c r="G66" s="21"/>
      <c r="H66" s="34"/>
      <c r="I66" s="34"/>
      <c r="J66" s="21"/>
      <c r="K66" s="21"/>
      <c r="L66" s="21"/>
      <c r="M66" s="34"/>
      <c r="N66" s="35"/>
      <c r="O66" s="34"/>
      <c r="P66" s="35"/>
      <c r="Q66" s="33" t="str">
        <f aca="false">IF(OR(B66="",P66=""),"",P66-B66)</f>
        <v/>
      </c>
      <c r="R66" s="38" t="str">
        <f aca="true">IF(OR(M66&lt;&gt;"Yes",P66&lt;&gt;"",O66="Closed",O66="No Action Required"),"",IF(N66="","Due date missing",IF(N66&lt;TODAY(),"OVERDUE",IF(N66-TODAY()&lt;=2,"Due ≤2d","Open"))))</f>
        <v/>
      </c>
      <c r="S66" s="34"/>
      <c r="T66" s="34"/>
      <c r="U66" s="21"/>
    </row>
    <row r="67" customFormat="false" ht="15" hidden="false" customHeight="false" outlineLevel="0" collapsed="false">
      <c r="A67" s="6" t="s">
        <v>927</v>
      </c>
      <c r="B67" s="35"/>
      <c r="C67" s="34"/>
      <c r="D67" s="34"/>
      <c r="E67" s="21"/>
      <c r="F67" s="34"/>
      <c r="G67" s="21"/>
      <c r="H67" s="34"/>
      <c r="I67" s="34"/>
      <c r="J67" s="21"/>
      <c r="K67" s="21"/>
      <c r="L67" s="21"/>
      <c r="M67" s="34"/>
      <c r="N67" s="35"/>
      <c r="O67" s="34"/>
      <c r="P67" s="35"/>
      <c r="Q67" s="33" t="str">
        <f aca="false">IF(OR(B67="",P67=""),"",P67-B67)</f>
        <v/>
      </c>
      <c r="R67" s="38" t="str">
        <f aca="true">IF(OR(M67&lt;&gt;"Yes",P67&lt;&gt;"",O67="Closed",O67="No Action Required"),"",IF(N67="","Due date missing",IF(N67&lt;TODAY(),"OVERDUE",IF(N67-TODAY()&lt;=2,"Due ≤2d","Open"))))</f>
        <v/>
      </c>
      <c r="S67" s="34"/>
      <c r="T67" s="34"/>
      <c r="U67" s="21"/>
    </row>
    <row r="68" customFormat="false" ht="15" hidden="false" customHeight="false" outlineLevel="0" collapsed="false">
      <c r="A68" s="6" t="s">
        <v>928</v>
      </c>
      <c r="B68" s="35"/>
      <c r="C68" s="34"/>
      <c r="D68" s="34"/>
      <c r="E68" s="21"/>
      <c r="F68" s="34"/>
      <c r="G68" s="21"/>
      <c r="H68" s="34"/>
      <c r="I68" s="34"/>
      <c r="J68" s="21"/>
      <c r="K68" s="21"/>
      <c r="L68" s="21"/>
      <c r="M68" s="34"/>
      <c r="N68" s="35"/>
      <c r="O68" s="34"/>
      <c r="P68" s="35"/>
      <c r="Q68" s="33" t="str">
        <f aca="false">IF(OR(B68="",P68=""),"",P68-B68)</f>
        <v/>
      </c>
      <c r="R68" s="38" t="str">
        <f aca="true">IF(OR(M68&lt;&gt;"Yes",P68&lt;&gt;"",O68="Closed",O68="No Action Required"),"",IF(N68="","Due date missing",IF(N68&lt;TODAY(),"OVERDUE",IF(N68-TODAY()&lt;=2,"Due ≤2d","Open"))))</f>
        <v/>
      </c>
      <c r="S68" s="34"/>
      <c r="T68" s="34"/>
      <c r="U68" s="21"/>
    </row>
    <row r="69" customFormat="false" ht="15" hidden="false" customHeight="false" outlineLevel="0" collapsed="false">
      <c r="A69" s="6" t="s">
        <v>929</v>
      </c>
      <c r="B69" s="35"/>
      <c r="C69" s="34"/>
      <c r="D69" s="34"/>
      <c r="E69" s="21"/>
      <c r="F69" s="34"/>
      <c r="G69" s="21"/>
      <c r="H69" s="34"/>
      <c r="I69" s="34"/>
      <c r="J69" s="21"/>
      <c r="K69" s="21"/>
      <c r="L69" s="21"/>
      <c r="M69" s="34"/>
      <c r="N69" s="35"/>
      <c r="O69" s="34"/>
      <c r="P69" s="35"/>
      <c r="Q69" s="33" t="str">
        <f aca="false">IF(OR(B69="",P69=""),"",P69-B69)</f>
        <v/>
      </c>
      <c r="R69" s="38" t="str">
        <f aca="true">IF(OR(M69&lt;&gt;"Yes",P69&lt;&gt;"",O69="Closed",O69="No Action Required"),"",IF(N69="","Due date missing",IF(N69&lt;TODAY(),"OVERDUE",IF(N69-TODAY()&lt;=2,"Due ≤2d","Open"))))</f>
        <v/>
      </c>
      <c r="S69" s="34"/>
      <c r="T69" s="34"/>
      <c r="U69" s="21"/>
    </row>
    <row r="70" customFormat="false" ht="15" hidden="false" customHeight="false" outlineLevel="0" collapsed="false">
      <c r="A70" s="6" t="s">
        <v>930</v>
      </c>
      <c r="B70" s="35"/>
      <c r="C70" s="34"/>
      <c r="D70" s="34"/>
      <c r="E70" s="21"/>
      <c r="F70" s="34"/>
      <c r="G70" s="21"/>
      <c r="H70" s="34"/>
      <c r="I70" s="34"/>
      <c r="J70" s="21"/>
      <c r="K70" s="21"/>
      <c r="L70" s="21"/>
      <c r="M70" s="34"/>
      <c r="N70" s="35"/>
      <c r="O70" s="34"/>
      <c r="P70" s="35"/>
      <c r="Q70" s="33" t="str">
        <f aca="false">IF(OR(B70="",P70=""),"",P70-B70)</f>
        <v/>
      </c>
      <c r="R70" s="38" t="str">
        <f aca="true">IF(OR(M70&lt;&gt;"Yes",P70&lt;&gt;"",O70="Closed",O70="No Action Required"),"",IF(N70="","Due date missing",IF(N70&lt;TODAY(),"OVERDUE",IF(N70-TODAY()&lt;=2,"Due ≤2d","Open"))))</f>
        <v/>
      </c>
      <c r="S70" s="34"/>
      <c r="T70" s="34"/>
      <c r="U70" s="21"/>
    </row>
    <row r="71" customFormat="false" ht="15" hidden="false" customHeight="false" outlineLevel="0" collapsed="false">
      <c r="A71" s="6" t="s">
        <v>931</v>
      </c>
      <c r="B71" s="35"/>
      <c r="C71" s="34"/>
      <c r="D71" s="34"/>
      <c r="E71" s="21"/>
      <c r="F71" s="34"/>
      <c r="G71" s="21"/>
      <c r="H71" s="34"/>
      <c r="I71" s="34"/>
      <c r="J71" s="21"/>
      <c r="K71" s="21"/>
      <c r="L71" s="21"/>
      <c r="M71" s="34"/>
      <c r="N71" s="35"/>
      <c r="O71" s="34"/>
      <c r="P71" s="35"/>
      <c r="Q71" s="33" t="str">
        <f aca="false">IF(OR(B71="",P71=""),"",P71-B71)</f>
        <v/>
      </c>
      <c r="R71" s="38" t="str">
        <f aca="true">IF(OR(M71&lt;&gt;"Yes",P71&lt;&gt;"",O71="Closed",O71="No Action Required"),"",IF(N71="","Due date missing",IF(N71&lt;TODAY(),"OVERDUE",IF(N71-TODAY()&lt;=2,"Due ≤2d","Open"))))</f>
        <v/>
      </c>
      <c r="S71" s="34"/>
      <c r="T71" s="34"/>
      <c r="U71" s="21"/>
    </row>
    <row r="72" customFormat="false" ht="15" hidden="false" customHeight="false" outlineLevel="0" collapsed="false">
      <c r="A72" s="6" t="s">
        <v>932</v>
      </c>
      <c r="B72" s="35"/>
      <c r="C72" s="34"/>
      <c r="D72" s="34"/>
      <c r="E72" s="21"/>
      <c r="F72" s="34"/>
      <c r="G72" s="21"/>
      <c r="H72" s="34"/>
      <c r="I72" s="34"/>
      <c r="J72" s="21"/>
      <c r="K72" s="21"/>
      <c r="L72" s="21"/>
      <c r="M72" s="34"/>
      <c r="N72" s="35"/>
      <c r="O72" s="34"/>
      <c r="P72" s="35"/>
      <c r="Q72" s="33" t="str">
        <f aca="false">IF(OR(B72="",P72=""),"",P72-B72)</f>
        <v/>
      </c>
      <c r="R72" s="38" t="str">
        <f aca="true">IF(OR(M72&lt;&gt;"Yes",P72&lt;&gt;"",O72="Closed",O72="No Action Required"),"",IF(N72="","Due date missing",IF(N72&lt;TODAY(),"OVERDUE",IF(N72-TODAY()&lt;=2,"Due ≤2d","Open"))))</f>
        <v/>
      </c>
      <c r="S72" s="34"/>
      <c r="T72" s="34"/>
      <c r="U72" s="21"/>
    </row>
    <row r="73" customFormat="false" ht="15" hidden="false" customHeight="false" outlineLevel="0" collapsed="false">
      <c r="A73" s="6" t="s">
        <v>933</v>
      </c>
      <c r="B73" s="35"/>
      <c r="C73" s="34"/>
      <c r="D73" s="34"/>
      <c r="E73" s="21"/>
      <c r="F73" s="34"/>
      <c r="G73" s="21"/>
      <c r="H73" s="34"/>
      <c r="I73" s="34"/>
      <c r="J73" s="21"/>
      <c r="K73" s="21"/>
      <c r="L73" s="21"/>
      <c r="M73" s="34"/>
      <c r="N73" s="35"/>
      <c r="O73" s="34"/>
      <c r="P73" s="35"/>
      <c r="Q73" s="33" t="str">
        <f aca="false">IF(OR(B73="",P73=""),"",P73-B73)</f>
        <v/>
      </c>
      <c r="R73" s="38" t="str">
        <f aca="true">IF(OR(M73&lt;&gt;"Yes",P73&lt;&gt;"",O73="Closed",O73="No Action Required"),"",IF(N73="","Due date missing",IF(N73&lt;TODAY(),"OVERDUE",IF(N73-TODAY()&lt;=2,"Due ≤2d","Open"))))</f>
        <v/>
      </c>
      <c r="S73" s="34"/>
      <c r="T73" s="34"/>
      <c r="U73" s="21"/>
    </row>
    <row r="74" customFormat="false" ht="15" hidden="false" customHeight="false" outlineLevel="0" collapsed="false">
      <c r="A74" s="6" t="s">
        <v>934</v>
      </c>
      <c r="B74" s="35"/>
      <c r="C74" s="34"/>
      <c r="D74" s="34"/>
      <c r="E74" s="21"/>
      <c r="F74" s="34"/>
      <c r="G74" s="21"/>
      <c r="H74" s="34"/>
      <c r="I74" s="34"/>
      <c r="J74" s="21"/>
      <c r="K74" s="21"/>
      <c r="L74" s="21"/>
      <c r="M74" s="34"/>
      <c r="N74" s="35"/>
      <c r="O74" s="34"/>
      <c r="P74" s="35"/>
      <c r="Q74" s="33" t="str">
        <f aca="false">IF(OR(B74="",P74=""),"",P74-B74)</f>
        <v/>
      </c>
      <c r="R74" s="38" t="str">
        <f aca="true">IF(OR(M74&lt;&gt;"Yes",P74&lt;&gt;"",O74="Closed",O74="No Action Required"),"",IF(N74="","Due date missing",IF(N74&lt;TODAY(),"OVERDUE",IF(N74-TODAY()&lt;=2,"Due ≤2d","Open"))))</f>
        <v/>
      </c>
      <c r="S74" s="34"/>
      <c r="T74" s="34"/>
      <c r="U74" s="21"/>
    </row>
    <row r="75" customFormat="false" ht="15" hidden="false" customHeight="false" outlineLevel="0" collapsed="false">
      <c r="A75" s="6" t="s">
        <v>935</v>
      </c>
      <c r="B75" s="35"/>
      <c r="C75" s="34"/>
      <c r="D75" s="34"/>
      <c r="E75" s="21"/>
      <c r="F75" s="34"/>
      <c r="G75" s="21"/>
      <c r="H75" s="34"/>
      <c r="I75" s="34"/>
      <c r="J75" s="21"/>
      <c r="K75" s="21"/>
      <c r="L75" s="21"/>
      <c r="M75" s="34"/>
      <c r="N75" s="35"/>
      <c r="O75" s="34"/>
      <c r="P75" s="35"/>
      <c r="Q75" s="33" t="str">
        <f aca="false">IF(OR(B75="",P75=""),"",P75-B75)</f>
        <v/>
      </c>
      <c r="R75" s="38" t="str">
        <f aca="true">IF(OR(M75&lt;&gt;"Yes",P75&lt;&gt;"",O75="Closed",O75="No Action Required"),"",IF(N75="","Due date missing",IF(N75&lt;TODAY(),"OVERDUE",IF(N75-TODAY()&lt;=2,"Due ≤2d","Open"))))</f>
        <v/>
      </c>
      <c r="S75" s="34"/>
      <c r="T75" s="34"/>
      <c r="U75" s="21"/>
    </row>
    <row r="76" customFormat="false" ht="15" hidden="false" customHeight="false" outlineLevel="0" collapsed="false">
      <c r="A76" s="6" t="s">
        <v>936</v>
      </c>
      <c r="B76" s="35"/>
      <c r="C76" s="34"/>
      <c r="D76" s="34"/>
      <c r="E76" s="21"/>
      <c r="F76" s="34"/>
      <c r="G76" s="21"/>
      <c r="H76" s="34"/>
      <c r="I76" s="34"/>
      <c r="J76" s="21"/>
      <c r="K76" s="21"/>
      <c r="L76" s="21"/>
      <c r="M76" s="34"/>
      <c r="N76" s="35"/>
      <c r="O76" s="34"/>
      <c r="P76" s="35"/>
      <c r="Q76" s="33" t="str">
        <f aca="false">IF(OR(B76="",P76=""),"",P76-B76)</f>
        <v/>
      </c>
      <c r="R76" s="38" t="str">
        <f aca="true">IF(OR(M76&lt;&gt;"Yes",P76&lt;&gt;"",O76="Closed",O76="No Action Required"),"",IF(N76="","Due date missing",IF(N76&lt;TODAY(),"OVERDUE",IF(N76-TODAY()&lt;=2,"Due ≤2d","Open"))))</f>
        <v/>
      </c>
      <c r="S76" s="34"/>
      <c r="T76" s="34"/>
      <c r="U76" s="21"/>
    </row>
    <row r="77" customFormat="false" ht="15" hidden="false" customHeight="false" outlineLevel="0" collapsed="false">
      <c r="A77" s="6" t="s">
        <v>937</v>
      </c>
      <c r="B77" s="35"/>
      <c r="C77" s="34"/>
      <c r="D77" s="34"/>
      <c r="E77" s="21"/>
      <c r="F77" s="34"/>
      <c r="G77" s="21"/>
      <c r="H77" s="34"/>
      <c r="I77" s="34"/>
      <c r="J77" s="21"/>
      <c r="K77" s="21"/>
      <c r="L77" s="21"/>
      <c r="M77" s="34"/>
      <c r="N77" s="35"/>
      <c r="O77" s="34"/>
      <c r="P77" s="35"/>
      <c r="Q77" s="33" t="str">
        <f aca="false">IF(OR(B77="",P77=""),"",P77-B77)</f>
        <v/>
      </c>
      <c r="R77" s="38" t="str">
        <f aca="true">IF(OR(M77&lt;&gt;"Yes",P77&lt;&gt;"",O77="Closed",O77="No Action Required"),"",IF(N77="","Due date missing",IF(N77&lt;TODAY(),"OVERDUE",IF(N77-TODAY()&lt;=2,"Due ≤2d","Open"))))</f>
        <v/>
      </c>
      <c r="S77" s="34"/>
      <c r="T77" s="34"/>
      <c r="U77" s="21"/>
    </row>
    <row r="78" customFormat="false" ht="15" hidden="false" customHeight="false" outlineLevel="0" collapsed="false">
      <c r="A78" s="6" t="s">
        <v>938</v>
      </c>
      <c r="B78" s="35"/>
      <c r="C78" s="34"/>
      <c r="D78" s="34"/>
      <c r="E78" s="21"/>
      <c r="F78" s="34"/>
      <c r="G78" s="21"/>
      <c r="H78" s="34"/>
      <c r="I78" s="34"/>
      <c r="J78" s="21"/>
      <c r="K78" s="21"/>
      <c r="L78" s="21"/>
      <c r="M78" s="34"/>
      <c r="N78" s="35"/>
      <c r="O78" s="34"/>
      <c r="P78" s="35"/>
      <c r="Q78" s="33" t="str">
        <f aca="false">IF(OR(B78="",P78=""),"",P78-B78)</f>
        <v/>
      </c>
      <c r="R78" s="38" t="str">
        <f aca="true">IF(OR(M78&lt;&gt;"Yes",P78&lt;&gt;"",O78="Closed",O78="No Action Required"),"",IF(N78="","Due date missing",IF(N78&lt;TODAY(),"OVERDUE",IF(N78-TODAY()&lt;=2,"Due ≤2d","Open"))))</f>
        <v/>
      </c>
      <c r="S78" s="34"/>
      <c r="T78" s="34"/>
      <c r="U78" s="21"/>
    </row>
    <row r="79" customFormat="false" ht="15" hidden="false" customHeight="false" outlineLevel="0" collapsed="false">
      <c r="A79" s="6" t="s">
        <v>939</v>
      </c>
      <c r="B79" s="35"/>
      <c r="C79" s="34"/>
      <c r="D79" s="34"/>
      <c r="E79" s="21"/>
      <c r="F79" s="34"/>
      <c r="G79" s="21"/>
      <c r="H79" s="34"/>
      <c r="I79" s="34"/>
      <c r="J79" s="21"/>
      <c r="K79" s="21"/>
      <c r="L79" s="21"/>
      <c r="M79" s="34"/>
      <c r="N79" s="35"/>
      <c r="O79" s="34"/>
      <c r="P79" s="35"/>
      <c r="Q79" s="33" t="str">
        <f aca="false">IF(OR(B79="",P79=""),"",P79-B79)</f>
        <v/>
      </c>
      <c r="R79" s="38" t="str">
        <f aca="true">IF(OR(M79&lt;&gt;"Yes",P79&lt;&gt;"",O79="Closed",O79="No Action Required"),"",IF(N79="","Due date missing",IF(N79&lt;TODAY(),"OVERDUE",IF(N79-TODAY()&lt;=2,"Due ≤2d","Open"))))</f>
        <v/>
      </c>
      <c r="S79" s="34"/>
      <c r="T79" s="34"/>
      <c r="U79" s="21"/>
    </row>
    <row r="80" customFormat="false" ht="15" hidden="false" customHeight="false" outlineLevel="0" collapsed="false">
      <c r="A80" s="6" t="s">
        <v>940</v>
      </c>
      <c r="B80" s="35"/>
      <c r="C80" s="34"/>
      <c r="D80" s="34"/>
      <c r="E80" s="21"/>
      <c r="F80" s="34"/>
      <c r="G80" s="21"/>
      <c r="H80" s="34"/>
      <c r="I80" s="34"/>
      <c r="J80" s="21"/>
      <c r="K80" s="21"/>
      <c r="L80" s="21"/>
      <c r="M80" s="34"/>
      <c r="N80" s="35"/>
      <c r="O80" s="34"/>
      <c r="P80" s="35"/>
      <c r="Q80" s="33" t="str">
        <f aca="false">IF(OR(B80="",P80=""),"",P80-B80)</f>
        <v/>
      </c>
      <c r="R80" s="38" t="str">
        <f aca="true">IF(OR(M80&lt;&gt;"Yes",P80&lt;&gt;"",O80="Closed",O80="No Action Required"),"",IF(N80="","Due date missing",IF(N80&lt;TODAY(),"OVERDUE",IF(N80-TODAY()&lt;=2,"Due ≤2d","Open"))))</f>
        <v/>
      </c>
      <c r="S80" s="34"/>
      <c r="T80" s="34"/>
      <c r="U80" s="21"/>
    </row>
    <row r="81" customFormat="false" ht="15" hidden="false" customHeight="false" outlineLevel="0" collapsed="false">
      <c r="A81" s="6" t="s">
        <v>941</v>
      </c>
      <c r="B81" s="35"/>
      <c r="C81" s="34"/>
      <c r="D81" s="34"/>
      <c r="E81" s="21"/>
      <c r="F81" s="34"/>
      <c r="G81" s="21"/>
      <c r="H81" s="34"/>
      <c r="I81" s="34"/>
      <c r="J81" s="21"/>
      <c r="K81" s="21"/>
      <c r="L81" s="21"/>
      <c r="M81" s="34"/>
      <c r="N81" s="35"/>
      <c r="O81" s="34"/>
      <c r="P81" s="35"/>
      <c r="Q81" s="33" t="str">
        <f aca="false">IF(OR(B81="",P81=""),"",P81-B81)</f>
        <v/>
      </c>
      <c r="R81" s="38" t="str">
        <f aca="true">IF(OR(M81&lt;&gt;"Yes",P81&lt;&gt;"",O81="Closed",O81="No Action Required"),"",IF(N81="","Due date missing",IF(N81&lt;TODAY(),"OVERDUE",IF(N81-TODAY()&lt;=2,"Due ≤2d","Open"))))</f>
        <v/>
      </c>
      <c r="S81" s="34"/>
      <c r="T81" s="34"/>
      <c r="U81" s="21"/>
    </row>
    <row r="82" customFormat="false" ht="15" hidden="false" customHeight="false" outlineLevel="0" collapsed="false">
      <c r="A82" s="6" t="s">
        <v>942</v>
      </c>
      <c r="B82" s="35"/>
      <c r="C82" s="34"/>
      <c r="D82" s="34"/>
      <c r="E82" s="21"/>
      <c r="F82" s="34"/>
      <c r="G82" s="21"/>
      <c r="H82" s="34"/>
      <c r="I82" s="34"/>
      <c r="J82" s="21"/>
      <c r="K82" s="21"/>
      <c r="L82" s="21"/>
      <c r="M82" s="34"/>
      <c r="N82" s="35"/>
      <c r="O82" s="34"/>
      <c r="P82" s="35"/>
      <c r="Q82" s="33" t="str">
        <f aca="false">IF(OR(B82="",P82=""),"",P82-B82)</f>
        <v/>
      </c>
      <c r="R82" s="38" t="str">
        <f aca="true">IF(OR(M82&lt;&gt;"Yes",P82&lt;&gt;"",O82="Closed",O82="No Action Required"),"",IF(N82="","Due date missing",IF(N82&lt;TODAY(),"OVERDUE",IF(N82-TODAY()&lt;=2,"Due ≤2d","Open"))))</f>
        <v/>
      </c>
      <c r="S82" s="34"/>
      <c r="T82" s="34"/>
      <c r="U82" s="21"/>
    </row>
    <row r="83" customFormat="false" ht="15" hidden="false" customHeight="false" outlineLevel="0" collapsed="false">
      <c r="A83" s="6" t="s">
        <v>943</v>
      </c>
      <c r="B83" s="35"/>
      <c r="C83" s="34"/>
      <c r="D83" s="34"/>
      <c r="E83" s="21"/>
      <c r="F83" s="34"/>
      <c r="G83" s="21"/>
      <c r="H83" s="34"/>
      <c r="I83" s="34"/>
      <c r="J83" s="21"/>
      <c r="K83" s="21"/>
      <c r="L83" s="21"/>
      <c r="M83" s="34"/>
      <c r="N83" s="35"/>
      <c r="O83" s="34"/>
      <c r="P83" s="35"/>
      <c r="Q83" s="33" t="str">
        <f aca="false">IF(OR(B83="",P83=""),"",P83-B83)</f>
        <v/>
      </c>
      <c r="R83" s="38" t="str">
        <f aca="true">IF(OR(M83&lt;&gt;"Yes",P83&lt;&gt;"",O83="Closed",O83="No Action Required"),"",IF(N83="","Due date missing",IF(N83&lt;TODAY(),"OVERDUE",IF(N83-TODAY()&lt;=2,"Due ≤2d","Open"))))</f>
        <v/>
      </c>
      <c r="S83" s="34"/>
      <c r="T83" s="34"/>
      <c r="U83" s="21"/>
    </row>
    <row r="84" customFormat="false" ht="15" hidden="false" customHeight="false" outlineLevel="0" collapsed="false">
      <c r="A84" s="6" t="s">
        <v>944</v>
      </c>
      <c r="B84" s="35"/>
      <c r="C84" s="34"/>
      <c r="D84" s="34"/>
      <c r="E84" s="21"/>
      <c r="F84" s="34"/>
      <c r="G84" s="21"/>
      <c r="H84" s="34"/>
      <c r="I84" s="34"/>
      <c r="J84" s="21"/>
      <c r="K84" s="21"/>
      <c r="L84" s="21"/>
      <c r="M84" s="34"/>
      <c r="N84" s="35"/>
      <c r="O84" s="34"/>
      <c r="P84" s="35"/>
      <c r="Q84" s="33" t="str">
        <f aca="false">IF(OR(B84="",P84=""),"",P84-B84)</f>
        <v/>
      </c>
      <c r="R84" s="38" t="str">
        <f aca="true">IF(OR(M84&lt;&gt;"Yes",P84&lt;&gt;"",O84="Closed",O84="No Action Required"),"",IF(N84="","Due date missing",IF(N84&lt;TODAY(),"OVERDUE",IF(N84-TODAY()&lt;=2,"Due ≤2d","Open"))))</f>
        <v/>
      </c>
      <c r="S84" s="34"/>
      <c r="T84" s="34"/>
      <c r="U84" s="21"/>
    </row>
    <row r="85" customFormat="false" ht="15" hidden="false" customHeight="false" outlineLevel="0" collapsed="false">
      <c r="A85" s="6" t="s">
        <v>945</v>
      </c>
      <c r="B85" s="35"/>
      <c r="C85" s="34"/>
      <c r="D85" s="34"/>
      <c r="E85" s="21"/>
      <c r="F85" s="34"/>
      <c r="G85" s="21"/>
      <c r="H85" s="34"/>
      <c r="I85" s="34"/>
      <c r="J85" s="21"/>
      <c r="K85" s="21"/>
      <c r="L85" s="21"/>
      <c r="M85" s="34"/>
      <c r="N85" s="35"/>
      <c r="O85" s="34"/>
      <c r="P85" s="35"/>
      <c r="Q85" s="33" t="str">
        <f aca="false">IF(OR(B85="",P85=""),"",P85-B85)</f>
        <v/>
      </c>
      <c r="R85" s="38" t="str">
        <f aca="true">IF(OR(M85&lt;&gt;"Yes",P85&lt;&gt;"",O85="Closed",O85="No Action Required"),"",IF(N85="","Due date missing",IF(N85&lt;TODAY(),"OVERDUE",IF(N85-TODAY()&lt;=2,"Due ≤2d","Open"))))</f>
        <v/>
      </c>
      <c r="S85" s="34"/>
      <c r="T85" s="34"/>
      <c r="U85" s="21"/>
    </row>
    <row r="86" customFormat="false" ht="15" hidden="false" customHeight="false" outlineLevel="0" collapsed="false">
      <c r="A86" s="6" t="s">
        <v>946</v>
      </c>
      <c r="B86" s="35"/>
      <c r="C86" s="34"/>
      <c r="D86" s="34"/>
      <c r="E86" s="21"/>
      <c r="F86" s="34"/>
      <c r="G86" s="21"/>
      <c r="H86" s="34"/>
      <c r="I86" s="34"/>
      <c r="J86" s="21"/>
      <c r="K86" s="21"/>
      <c r="L86" s="21"/>
      <c r="M86" s="34"/>
      <c r="N86" s="35"/>
      <c r="O86" s="34"/>
      <c r="P86" s="35"/>
      <c r="Q86" s="33" t="str">
        <f aca="false">IF(OR(B86="",P86=""),"",P86-B86)</f>
        <v/>
      </c>
      <c r="R86" s="38" t="str">
        <f aca="true">IF(OR(M86&lt;&gt;"Yes",P86&lt;&gt;"",O86="Closed",O86="No Action Required"),"",IF(N86="","Due date missing",IF(N86&lt;TODAY(),"OVERDUE",IF(N86-TODAY()&lt;=2,"Due ≤2d","Open"))))</f>
        <v/>
      </c>
      <c r="S86" s="34"/>
      <c r="T86" s="34"/>
      <c r="U86" s="21"/>
    </row>
    <row r="87" customFormat="false" ht="15" hidden="false" customHeight="false" outlineLevel="0" collapsed="false">
      <c r="A87" s="6" t="s">
        <v>947</v>
      </c>
      <c r="B87" s="35"/>
      <c r="C87" s="34"/>
      <c r="D87" s="34"/>
      <c r="E87" s="21"/>
      <c r="F87" s="34"/>
      <c r="G87" s="21"/>
      <c r="H87" s="34"/>
      <c r="I87" s="34"/>
      <c r="J87" s="21"/>
      <c r="K87" s="21"/>
      <c r="L87" s="21"/>
      <c r="M87" s="34"/>
      <c r="N87" s="35"/>
      <c r="O87" s="34"/>
      <c r="P87" s="35"/>
      <c r="Q87" s="33" t="str">
        <f aca="false">IF(OR(B87="",P87=""),"",P87-B87)</f>
        <v/>
      </c>
      <c r="R87" s="38" t="str">
        <f aca="true">IF(OR(M87&lt;&gt;"Yes",P87&lt;&gt;"",O87="Closed",O87="No Action Required"),"",IF(N87="","Due date missing",IF(N87&lt;TODAY(),"OVERDUE",IF(N87-TODAY()&lt;=2,"Due ≤2d","Open"))))</f>
        <v/>
      </c>
      <c r="S87" s="34"/>
      <c r="T87" s="34"/>
      <c r="U87" s="21"/>
    </row>
    <row r="88" customFormat="false" ht="15" hidden="false" customHeight="false" outlineLevel="0" collapsed="false">
      <c r="A88" s="6" t="s">
        <v>948</v>
      </c>
      <c r="B88" s="35"/>
      <c r="C88" s="34"/>
      <c r="D88" s="34"/>
      <c r="E88" s="21"/>
      <c r="F88" s="34"/>
      <c r="G88" s="21"/>
      <c r="H88" s="34"/>
      <c r="I88" s="34"/>
      <c r="J88" s="21"/>
      <c r="K88" s="21"/>
      <c r="L88" s="21"/>
      <c r="M88" s="34"/>
      <c r="N88" s="35"/>
      <c r="O88" s="34"/>
      <c r="P88" s="35"/>
      <c r="Q88" s="33" t="str">
        <f aca="false">IF(OR(B88="",P88=""),"",P88-B88)</f>
        <v/>
      </c>
      <c r="R88" s="38" t="str">
        <f aca="true">IF(OR(M88&lt;&gt;"Yes",P88&lt;&gt;"",O88="Closed",O88="No Action Required"),"",IF(N88="","Due date missing",IF(N88&lt;TODAY(),"OVERDUE",IF(N88-TODAY()&lt;=2,"Due ≤2d","Open"))))</f>
        <v/>
      </c>
      <c r="S88" s="34"/>
      <c r="T88" s="34"/>
      <c r="U88" s="21"/>
    </row>
    <row r="89" customFormat="false" ht="15" hidden="false" customHeight="false" outlineLevel="0" collapsed="false">
      <c r="A89" s="6" t="s">
        <v>949</v>
      </c>
      <c r="B89" s="35"/>
      <c r="C89" s="34"/>
      <c r="D89" s="34"/>
      <c r="E89" s="21"/>
      <c r="F89" s="34"/>
      <c r="G89" s="21"/>
      <c r="H89" s="34"/>
      <c r="I89" s="34"/>
      <c r="J89" s="21"/>
      <c r="K89" s="21"/>
      <c r="L89" s="21"/>
      <c r="M89" s="34"/>
      <c r="N89" s="35"/>
      <c r="O89" s="34"/>
      <c r="P89" s="35"/>
      <c r="Q89" s="33" t="str">
        <f aca="false">IF(OR(B89="",P89=""),"",P89-B89)</f>
        <v/>
      </c>
      <c r="R89" s="38" t="str">
        <f aca="true">IF(OR(M89&lt;&gt;"Yes",P89&lt;&gt;"",O89="Closed",O89="No Action Required"),"",IF(N89="","Due date missing",IF(N89&lt;TODAY(),"OVERDUE",IF(N89-TODAY()&lt;=2,"Due ≤2d","Open"))))</f>
        <v/>
      </c>
      <c r="S89" s="34"/>
      <c r="T89" s="34"/>
      <c r="U89" s="21"/>
    </row>
    <row r="90" customFormat="false" ht="15" hidden="false" customHeight="false" outlineLevel="0" collapsed="false">
      <c r="A90" s="6" t="s">
        <v>950</v>
      </c>
      <c r="B90" s="35"/>
      <c r="C90" s="34"/>
      <c r="D90" s="34"/>
      <c r="E90" s="21"/>
      <c r="F90" s="34"/>
      <c r="G90" s="21"/>
      <c r="H90" s="34"/>
      <c r="I90" s="34"/>
      <c r="J90" s="21"/>
      <c r="K90" s="21"/>
      <c r="L90" s="21"/>
      <c r="M90" s="34"/>
      <c r="N90" s="35"/>
      <c r="O90" s="34"/>
      <c r="P90" s="35"/>
      <c r="Q90" s="33" t="str">
        <f aca="false">IF(OR(B90="",P90=""),"",P90-B90)</f>
        <v/>
      </c>
      <c r="R90" s="38" t="str">
        <f aca="true">IF(OR(M90&lt;&gt;"Yes",P90&lt;&gt;"",O90="Closed",O90="No Action Required"),"",IF(N90="","Due date missing",IF(N90&lt;TODAY(),"OVERDUE",IF(N90-TODAY()&lt;=2,"Due ≤2d","Open"))))</f>
        <v/>
      </c>
      <c r="S90" s="34"/>
      <c r="T90" s="34"/>
      <c r="U90" s="21"/>
    </row>
    <row r="91" customFormat="false" ht="15" hidden="false" customHeight="false" outlineLevel="0" collapsed="false">
      <c r="A91" s="6" t="s">
        <v>951</v>
      </c>
      <c r="B91" s="35"/>
      <c r="C91" s="34"/>
      <c r="D91" s="34"/>
      <c r="E91" s="21"/>
      <c r="F91" s="34"/>
      <c r="G91" s="21"/>
      <c r="H91" s="34"/>
      <c r="I91" s="34"/>
      <c r="J91" s="21"/>
      <c r="K91" s="21"/>
      <c r="L91" s="21"/>
      <c r="M91" s="34"/>
      <c r="N91" s="35"/>
      <c r="O91" s="34"/>
      <c r="P91" s="35"/>
      <c r="Q91" s="33" t="str">
        <f aca="false">IF(OR(B91="",P91=""),"",P91-B91)</f>
        <v/>
      </c>
      <c r="R91" s="38" t="str">
        <f aca="true">IF(OR(M91&lt;&gt;"Yes",P91&lt;&gt;"",O91="Closed",O91="No Action Required"),"",IF(N91="","Due date missing",IF(N91&lt;TODAY(),"OVERDUE",IF(N91-TODAY()&lt;=2,"Due ≤2d","Open"))))</f>
        <v/>
      </c>
      <c r="S91" s="34"/>
      <c r="T91" s="34"/>
      <c r="U91" s="21"/>
    </row>
    <row r="92" customFormat="false" ht="15" hidden="false" customHeight="false" outlineLevel="0" collapsed="false">
      <c r="A92" s="6" t="s">
        <v>952</v>
      </c>
      <c r="B92" s="35"/>
      <c r="C92" s="34"/>
      <c r="D92" s="34"/>
      <c r="E92" s="21"/>
      <c r="F92" s="34"/>
      <c r="G92" s="21"/>
      <c r="H92" s="34"/>
      <c r="I92" s="34"/>
      <c r="J92" s="21"/>
      <c r="K92" s="21"/>
      <c r="L92" s="21"/>
      <c r="M92" s="34"/>
      <c r="N92" s="35"/>
      <c r="O92" s="34"/>
      <c r="P92" s="35"/>
      <c r="Q92" s="33" t="str">
        <f aca="false">IF(OR(B92="",P92=""),"",P92-B92)</f>
        <v/>
      </c>
      <c r="R92" s="38" t="str">
        <f aca="true">IF(OR(M92&lt;&gt;"Yes",P92&lt;&gt;"",O92="Closed",O92="No Action Required"),"",IF(N92="","Due date missing",IF(N92&lt;TODAY(),"OVERDUE",IF(N92-TODAY()&lt;=2,"Due ≤2d","Open"))))</f>
        <v/>
      </c>
      <c r="S92" s="34"/>
      <c r="T92" s="34"/>
      <c r="U92" s="21"/>
    </row>
    <row r="93" customFormat="false" ht="15" hidden="false" customHeight="false" outlineLevel="0" collapsed="false">
      <c r="A93" s="6" t="s">
        <v>953</v>
      </c>
      <c r="B93" s="35"/>
      <c r="C93" s="34"/>
      <c r="D93" s="34"/>
      <c r="E93" s="21"/>
      <c r="F93" s="34"/>
      <c r="G93" s="21"/>
      <c r="H93" s="34"/>
      <c r="I93" s="34"/>
      <c r="J93" s="21"/>
      <c r="K93" s="21"/>
      <c r="L93" s="21"/>
      <c r="M93" s="34"/>
      <c r="N93" s="35"/>
      <c r="O93" s="34"/>
      <c r="P93" s="35"/>
      <c r="Q93" s="33" t="str">
        <f aca="false">IF(OR(B93="",P93=""),"",P93-B93)</f>
        <v/>
      </c>
      <c r="R93" s="38" t="str">
        <f aca="true">IF(OR(M93&lt;&gt;"Yes",P93&lt;&gt;"",O93="Closed",O93="No Action Required"),"",IF(N93="","Due date missing",IF(N93&lt;TODAY(),"OVERDUE",IF(N93-TODAY()&lt;=2,"Due ≤2d","Open"))))</f>
        <v/>
      </c>
      <c r="S93" s="34"/>
      <c r="T93" s="34"/>
      <c r="U93" s="21"/>
    </row>
    <row r="94" customFormat="false" ht="15" hidden="false" customHeight="false" outlineLevel="0" collapsed="false">
      <c r="A94" s="6" t="s">
        <v>954</v>
      </c>
      <c r="B94" s="35"/>
      <c r="C94" s="34"/>
      <c r="D94" s="34"/>
      <c r="E94" s="21"/>
      <c r="F94" s="34"/>
      <c r="G94" s="21"/>
      <c r="H94" s="34"/>
      <c r="I94" s="34"/>
      <c r="J94" s="21"/>
      <c r="K94" s="21"/>
      <c r="L94" s="21"/>
      <c r="M94" s="34"/>
      <c r="N94" s="35"/>
      <c r="O94" s="34"/>
      <c r="P94" s="35"/>
      <c r="Q94" s="33" t="str">
        <f aca="false">IF(OR(B94="",P94=""),"",P94-B94)</f>
        <v/>
      </c>
      <c r="R94" s="38" t="str">
        <f aca="true">IF(OR(M94&lt;&gt;"Yes",P94&lt;&gt;"",O94="Closed",O94="No Action Required"),"",IF(N94="","Due date missing",IF(N94&lt;TODAY(),"OVERDUE",IF(N94-TODAY()&lt;=2,"Due ≤2d","Open"))))</f>
        <v/>
      </c>
      <c r="S94" s="34"/>
      <c r="T94" s="34"/>
      <c r="U94" s="21"/>
    </row>
    <row r="95" customFormat="false" ht="15" hidden="false" customHeight="false" outlineLevel="0" collapsed="false">
      <c r="A95" s="6" t="s">
        <v>955</v>
      </c>
      <c r="B95" s="35"/>
      <c r="C95" s="34"/>
      <c r="D95" s="34"/>
      <c r="E95" s="21"/>
      <c r="F95" s="34"/>
      <c r="G95" s="21"/>
      <c r="H95" s="34"/>
      <c r="I95" s="34"/>
      <c r="J95" s="21"/>
      <c r="K95" s="21"/>
      <c r="L95" s="21"/>
      <c r="M95" s="34"/>
      <c r="N95" s="35"/>
      <c r="O95" s="34"/>
      <c r="P95" s="35"/>
      <c r="Q95" s="33" t="str">
        <f aca="false">IF(OR(B95="",P95=""),"",P95-B95)</f>
        <v/>
      </c>
      <c r="R95" s="38" t="str">
        <f aca="true">IF(OR(M95&lt;&gt;"Yes",P95&lt;&gt;"",O95="Closed",O95="No Action Required"),"",IF(N95="","Due date missing",IF(N95&lt;TODAY(),"OVERDUE",IF(N95-TODAY()&lt;=2,"Due ≤2d","Open"))))</f>
        <v/>
      </c>
      <c r="S95" s="34"/>
      <c r="T95" s="34"/>
      <c r="U95" s="21"/>
    </row>
    <row r="96" customFormat="false" ht="15" hidden="false" customHeight="false" outlineLevel="0" collapsed="false">
      <c r="A96" s="6" t="s">
        <v>956</v>
      </c>
      <c r="B96" s="35"/>
      <c r="C96" s="34"/>
      <c r="D96" s="34"/>
      <c r="E96" s="21"/>
      <c r="F96" s="34"/>
      <c r="G96" s="21"/>
      <c r="H96" s="34"/>
      <c r="I96" s="34"/>
      <c r="J96" s="21"/>
      <c r="K96" s="21"/>
      <c r="L96" s="21"/>
      <c r="M96" s="34"/>
      <c r="N96" s="35"/>
      <c r="O96" s="34"/>
      <c r="P96" s="35"/>
      <c r="Q96" s="33" t="str">
        <f aca="false">IF(OR(B96="",P96=""),"",P96-B96)</f>
        <v/>
      </c>
      <c r="R96" s="38" t="str">
        <f aca="true">IF(OR(M96&lt;&gt;"Yes",P96&lt;&gt;"",O96="Closed",O96="No Action Required"),"",IF(N96="","Due date missing",IF(N96&lt;TODAY(),"OVERDUE",IF(N96-TODAY()&lt;=2,"Due ≤2d","Open"))))</f>
        <v/>
      </c>
      <c r="S96" s="34"/>
      <c r="T96" s="34"/>
      <c r="U96" s="21"/>
    </row>
    <row r="97" customFormat="false" ht="15" hidden="false" customHeight="false" outlineLevel="0" collapsed="false">
      <c r="A97" s="6" t="s">
        <v>957</v>
      </c>
      <c r="B97" s="35"/>
      <c r="C97" s="34"/>
      <c r="D97" s="34"/>
      <c r="E97" s="21"/>
      <c r="F97" s="34"/>
      <c r="G97" s="21"/>
      <c r="H97" s="34"/>
      <c r="I97" s="34"/>
      <c r="J97" s="21"/>
      <c r="K97" s="21"/>
      <c r="L97" s="21"/>
      <c r="M97" s="34"/>
      <c r="N97" s="35"/>
      <c r="O97" s="34"/>
      <c r="P97" s="35"/>
      <c r="Q97" s="33" t="str">
        <f aca="false">IF(OR(B97="",P97=""),"",P97-B97)</f>
        <v/>
      </c>
      <c r="R97" s="38" t="str">
        <f aca="true">IF(OR(M97&lt;&gt;"Yes",P97&lt;&gt;"",O97="Closed",O97="No Action Required"),"",IF(N97="","Due date missing",IF(N97&lt;TODAY(),"OVERDUE",IF(N97-TODAY()&lt;=2,"Due ≤2d","Open"))))</f>
        <v/>
      </c>
      <c r="S97" s="34"/>
      <c r="T97" s="34"/>
      <c r="U97" s="21"/>
    </row>
    <row r="98" customFormat="false" ht="15" hidden="false" customHeight="false" outlineLevel="0" collapsed="false">
      <c r="A98" s="6" t="s">
        <v>958</v>
      </c>
      <c r="B98" s="35"/>
      <c r="C98" s="34"/>
      <c r="D98" s="34"/>
      <c r="E98" s="21"/>
      <c r="F98" s="34"/>
      <c r="G98" s="21"/>
      <c r="H98" s="34"/>
      <c r="I98" s="34"/>
      <c r="J98" s="21"/>
      <c r="K98" s="21"/>
      <c r="L98" s="21"/>
      <c r="M98" s="34"/>
      <c r="N98" s="35"/>
      <c r="O98" s="34"/>
      <c r="P98" s="35"/>
      <c r="Q98" s="33" t="str">
        <f aca="false">IF(OR(B98="",P98=""),"",P98-B98)</f>
        <v/>
      </c>
      <c r="R98" s="38" t="str">
        <f aca="true">IF(OR(M98&lt;&gt;"Yes",P98&lt;&gt;"",O98="Closed",O98="No Action Required"),"",IF(N98="","Due date missing",IF(N98&lt;TODAY(),"OVERDUE",IF(N98-TODAY()&lt;=2,"Due ≤2d","Open"))))</f>
        <v/>
      </c>
      <c r="S98" s="34"/>
      <c r="T98" s="34"/>
      <c r="U98" s="21"/>
    </row>
    <row r="99" customFormat="false" ht="15" hidden="false" customHeight="false" outlineLevel="0" collapsed="false">
      <c r="A99" s="6" t="s">
        <v>959</v>
      </c>
      <c r="B99" s="35"/>
      <c r="C99" s="34"/>
      <c r="D99" s="34"/>
      <c r="E99" s="21"/>
      <c r="F99" s="34"/>
      <c r="G99" s="21"/>
      <c r="H99" s="34"/>
      <c r="I99" s="34"/>
      <c r="J99" s="21"/>
      <c r="K99" s="21"/>
      <c r="L99" s="21"/>
      <c r="M99" s="34"/>
      <c r="N99" s="35"/>
      <c r="O99" s="34"/>
      <c r="P99" s="35"/>
      <c r="Q99" s="33" t="str">
        <f aca="false">IF(OR(B99="",P99=""),"",P99-B99)</f>
        <v/>
      </c>
      <c r="R99" s="38" t="str">
        <f aca="true">IF(OR(M99&lt;&gt;"Yes",P99&lt;&gt;"",O99="Closed",O99="No Action Required"),"",IF(N99="","Due date missing",IF(N99&lt;TODAY(),"OVERDUE",IF(N99-TODAY()&lt;=2,"Due ≤2d","Open"))))</f>
        <v/>
      </c>
      <c r="S99" s="34"/>
      <c r="T99" s="34"/>
      <c r="U99" s="21"/>
    </row>
    <row r="100" customFormat="false" ht="15" hidden="false" customHeight="false" outlineLevel="0" collapsed="false">
      <c r="A100" s="6" t="s">
        <v>960</v>
      </c>
      <c r="B100" s="35"/>
      <c r="C100" s="34"/>
      <c r="D100" s="34"/>
      <c r="E100" s="21"/>
      <c r="F100" s="34"/>
      <c r="G100" s="21"/>
      <c r="H100" s="34"/>
      <c r="I100" s="34"/>
      <c r="J100" s="21"/>
      <c r="K100" s="21"/>
      <c r="L100" s="21"/>
      <c r="M100" s="34"/>
      <c r="N100" s="35"/>
      <c r="O100" s="34"/>
      <c r="P100" s="35"/>
      <c r="Q100" s="33" t="str">
        <f aca="false">IF(OR(B100="",P100=""),"",P100-B100)</f>
        <v/>
      </c>
      <c r="R100" s="38" t="str">
        <f aca="true">IF(OR(M100&lt;&gt;"Yes",P100&lt;&gt;"",O100="Closed",O100="No Action Required"),"",IF(N100="","Due date missing",IF(N100&lt;TODAY(),"OVERDUE",IF(N100-TODAY()&lt;=2,"Due ≤2d","Open"))))</f>
        <v/>
      </c>
      <c r="S100" s="34"/>
      <c r="T100" s="34"/>
      <c r="U100" s="21"/>
    </row>
    <row r="101" customFormat="false" ht="15" hidden="false" customHeight="false" outlineLevel="0" collapsed="false">
      <c r="A101" s="6" t="s">
        <v>961</v>
      </c>
      <c r="B101" s="35"/>
      <c r="C101" s="34"/>
      <c r="D101" s="34"/>
      <c r="E101" s="21"/>
      <c r="F101" s="34"/>
      <c r="G101" s="21"/>
      <c r="H101" s="34"/>
      <c r="I101" s="34"/>
      <c r="J101" s="21"/>
      <c r="K101" s="21"/>
      <c r="L101" s="21"/>
      <c r="M101" s="34"/>
      <c r="N101" s="35"/>
      <c r="O101" s="34"/>
      <c r="P101" s="35"/>
      <c r="Q101" s="33" t="str">
        <f aca="false">IF(OR(B101="",P101=""),"",P101-B101)</f>
        <v/>
      </c>
      <c r="R101" s="38" t="str">
        <f aca="true">IF(OR(M101&lt;&gt;"Yes",P101&lt;&gt;"",O101="Closed",O101="No Action Required"),"",IF(N101="","Due date missing",IF(N101&lt;TODAY(),"OVERDUE",IF(N101-TODAY()&lt;=2,"Due ≤2d","Open"))))</f>
        <v/>
      </c>
      <c r="S101" s="34"/>
      <c r="T101" s="34"/>
      <c r="U101" s="21"/>
    </row>
    <row r="102" customFormat="false" ht="15" hidden="false" customHeight="false" outlineLevel="0" collapsed="false">
      <c r="A102" s="6" t="s">
        <v>962</v>
      </c>
      <c r="B102" s="35"/>
      <c r="C102" s="34"/>
      <c r="D102" s="34"/>
      <c r="E102" s="21"/>
      <c r="F102" s="34"/>
      <c r="G102" s="21"/>
      <c r="H102" s="34"/>
      <c r="I102" s="34"/>
      <c r="J102" s="21"/>
      <c r="K102" s="21"/>
      <c r="L102" s="21"/>
      <c r="M102" s="34"/>
      <c r="N102" s="35"/>
      <c r="O102" s="34"/>
      <c r="P102" s="35"/>
      <c r="Q102" s="33" t="str">
        <f aca="false">IF(OR(B102="",P102=""),"",P102-B102)</f>
        <v/>
      </c>
      <c r="R102" s="38" t="str">
        <f aca="true">IF(OR(M102&lt;&gt;"Yes",P102&lt;&gt;"",O102="Closed",O102="No Action Required"),"",IF(N102="","Due date missing",IF(N102&lt;TODAY(),"OVERDUE",IF(N102-TODAY()&lt;=2,"Due ≤2d","Open"))))</f>
        <v/>
      </c>
      <c r="S102" s="34"/>
      <c r="T102" s="34"/>
      <c r="U102" s="21"/>
    </row>
    <row r="103" customFormat="false" ht="15" hidden="false" customHeight="false" outlineLevel="0" collapsed="false">
      <c r="A103" s="6" t="s">
        <v>963</v>
      </c>
      <c r="B103" s="35"/>
      <c r="C103" s="34"/>
      <c r="D103" s="34"/>
      <c r="E103" s="21"/>
      <c r="F103" s="34"/>
      <c r="G103" s="21"/>
      <c r="H103" s="34"/>
      <c r="I103" s="34"/>
      <c r="J103" s="21"/>
      <c r="K103" s="21"/>
      <c r="L103" s="21"/>
      <c r="M103" s="34"/>
      <c r="N103" s="35"/>
      <c r="O103" s="34"/>
      <c r="P103" s="35"/>
      <c r="Q103" s="33" t="str">
        <f aca="false">IF(OR(B103="",P103=""),"",P103-B103)</f>
        <v/>
      </c>
      <c r="R103" s="38" t="str">
        <f aca="true">IF(OR(M103&lt;&gt;"Yes",P103&lt;&gt;"",O103="Closed",O103="No Action Required"),"",IF(N103="","Due date missing",IF(N103&lt;TODAY(),"OVERDUE",IF(N103-TODAY()&lt;=2,"Due ≤2d","Open"))))</f>
        <v/>
      </c>
      <c r="S103" s="34"/>
      <c r="T103" s="34"/>
      <c r="U103" s="21"/>
    </row>
    <row r="104" customFormat="false" ht="15" hidden="false" customHeight="false" outlineLevel="0" collapsed="false">
      <c r="A104" s="6" t="s">
        <v>964</v>
      </c>
      <c r="B104" s="35"/>
      <c r="C104" s="34"/>
      <c r="D104" s="34"/>
      <c r="E104" s="21"/>
      <c r="F104" s="34"/>
      <c r="G104" s="21"/>
      <c r="H104" s="34"/>
      <c r="I104" s="34"/>
      <c r="J104" s="21"/>
      <c r="K104" s="21"/>
      <c r="L104" s="21"/>
      <c r="M104" s="34"/>
      <c r="N104" s="35"/>
      <c r="O104" s="34"/>
      <c r="P104" s="35"/>
      <c r="Q104" s="33" t="str">
        <f aca="false">IF(OR(B104="",P104=""),"",P104-B104)</f>
        <v/>
      </c>
      <c r="R104" s="38" t="str">
        <f aca="true">IF(OR(M104&lt;&gt;"Yes",P104&lt;&gt;"",O104="Closed",O104="No Action Required"),"",IF(N104="","Due date missing",IF(N104&lt;TODAY(),"OVERDUE",IF(N104-TODAY()&lt;=2,"Due ≤2d","Open"))))</f>
        <v/>
      </c>
      <c r="S104" s="34"/>
      <c r="T104" s="34"/>
      <c r="U104" s="21"/>
    </row>
    <row r="105" customFormat="false" ht="15" hidden="false" customHeight="false" outlineLevel="0" collapsed="false">
      <c r="A105" s="6" t="s">
        <v>965</v>
      </c>
      <c r="B105" s="35"/>
      <c r="C105" s="34"/>
      <c r="D105" s="34"/>
      <c r="E105" s="21"/>
      <c r="F105" s="34"/>
      <c r="G105" s="21"/>
      <c r="H105" s="34"/>
      <c r="I105" s="34"/>
      <c r="J105" s="21"/>
      <c r="K105" s="21"/>
      <c r="L105" s="21"/>
      <c r="M105" s="34"/>
      <c r="N105" s="35"/>
      <c r="O105" s="34"/>
      <c r="P105" s="35"/>
      <c r="Q105" s="33" t="str">
        <f aca="false">IF(OR(B105="",P105=""),"",P105-B105)</f>
        <v/>
      </c>
      <c r="R105" s="38" t="str">
        <f aca="true">IF(OR(M105&lt;&gt;"Yes",P105&lt;&gt;"",O105="Closed",O105="No Action Required"),"",IF(N105="","Due date missing",IF(N105&lt;TODAY(),"OVERDUE",IF(N105-TODAY()&lt;=2,"Due ≤2d","Open"))))</f>
        <v/>
      </c>
      <c r="S105" s="34"/>
      <c r="T105" s="34"/>
      <c r="U105" s="21"/>
    </row>
    <row r="106" customFormat="false" ht="15" hidden="false" customHeight="false" outlineLevel="0" collapsed="false">
      <c r="A106" s="6" t="s">
        <v>966</v>
      </c>
      <c r="B106" s="35"/>
      <c r="C106" s="34"/>
      <c r="D106" s="34"/>
      <c r="E106" s="21"/>
      <c r="F106" s="34"/>
      <c r="G106" s="21"/>
      <c r="H106" s="34"/>
      <c r="I106" s="34"/>
      <c r="J106" s="21"/>
      <c r="K106" s="21"/>
      <c r="L106" s="21"/>
      <c r="M106" s="34"/>
      <c r="N106" s="35"/>
      <c r="O106" s="34"/>
      <c r="P106" s="35"/>
      <c r="Q106" s="33" t="str">
        <f aca="false">IF(OR(B106="",P106=""),"",P106-B106)</f>
        <v/>
      </c>
      <c r="R106" s="38" t="str">
        <f aca="true">IF(OR(M106&lt;&gt;"Yes",P106&lt;&gt;"",O106="Closed",O106="No Action Required"),"",IF(N106="","Due date missing",IF(N106&lt;TODAY(),"OVERDUE",IF(N106-TODAY()&lt;=2,"Due ≤2d","Open"))))</f>
        <v/>
      </c>
      <c r="S106" s="34"/>
      <c r="T106" s="34"/>
      <c r="U106" s="21"/>
    </row>
    <row r="107" customFormat="false" ht="15" hidden="false" customHeight="false" outlineLevel="0" collapsed="false">
      <c r="A107" s="6" t="s">
        <v>967</v>
      </c>
      <c r="B107" s="35"/>
      <c r="C107" s="34"/>
      <c r="D107" s="34"/>
      <c r="E107" s="21"/>
      <c r="F107" s="34"/>
      <c r="G107" s="21"/>
      <c r="H107" s="34"/>
      <c r="I107" s="34"/>
      <c r="J107" s="21"/>
      <c r="K107" s="21"/>
      <c r="L107" s="21"/>
      <c r="M107" s="34"/>
      <c r="N107" s="35"/>
      <c r="O107" s="34"/>
      <c r="P107" s="35"/>
      <c r="Q107" s="33" t="str">
        <f aca="false">IF(OR(B107="",P107=""),"",P107-B107)</f>
        <v/>
      </c>
      <c r="R107" s="38" t="str">
        <f aca="true">IF(OR(M107&lt;&gt;"Yes",P107&lt;&gt;"",O107="Closed",O107="No Action Required"),"",IF(N107="","Due date missing",IF(N107&lt;TODAY(),"OVERDUE",IF(N107-TODAY()&lt;=2,"Due ≤2d","Open"))))</f>
        <v/>
      </c>
      <c r="S107" s="34"/>
      <c r="T107" s="34"/>
      <c r="U107" s="21"/>
    </row>
    <row r="108" customFormat="false" ht="15" hidden="false" customHeight="false" outlineLevel="0" collapsed="false">
      <c r="A108" s="6" t="s">
        <v>968</v>
      </c>
      <c r="B108" s="35"/>
      <c r="C108" s="34"/>
      <c r="D108" s="34"/>
      <c r="E108" s="21"/>
      <c r="F108" s="34"/>
      <c r="G108" s="21"/>
      <c r="H108" s="34"/>
      <c r="I108" s="34"/>
      <c r="J108" s="21"/>
      <c r="K108" s="21"/>
      <c r="L108" s="21"/>
      <c r="M108" s="34"/>
      <c r="N108" s="35"/>
      <c r="O108" s="34"/>
      <c r="P108" s="35"/>
      <c r="Q108" s="33" t="str">
        <f aca="false">IF(OR(B108="",P108=""),"",P108-B108)</f>
        <v/>
      </c>
      <c r="R108" s="38" t="str">
        <f aca="true">IF(OR(M108&lt;&gt;"Yes",P108&lt;&gt;"",O108="Closed",O108="No Action Required"),"",IF(N108="","Due date missing",IF(N108&lt;TODAY(),"OVERDUE",IF(N108-TODAY()&lt;=2,"Due ≤2d","Open"))))</f>
        <v/>
      </c>
      <c r="S108" s="34"/>
      <c r="T108" s="34"/>
      <c r="U108" s="21"/>
    </row>
    <row r="109" customFormat="false" ht="15" hidden="false" customHeight="false" outlineLevel="0" collapsed="false">
      <c r="A109" s="6" t="s">
        <v>969</v>
      </c>
      <c r="B109" s="35"/>
      <c r="C109" s="34"/>
      <c r="D109" s="34"/>
      <c r="E109" s="21"/>
      <c r="F109" s="34"/>
      <c r="G109" s="21"/>
      <c r="H109" s="34"/>
      <c r="I109" s="34"/>
      <c r="J109" s="21"/>
      <c r="K109" s="21"/>
      <c r="L109" s="21"/>
      <c r="M109" s="34"/>
      <c r="N109" s="35"/>
      <c r="O109" s="34"/>
      <c r="P109" s="35"/>
      <c r="Q109" s="33" t="str">
        <f aca="false">IF(OR(B109="",P109=""),"",P109-B109)</f>
        <v/>
      </c>
      <c r="R109" s="38" t="str">
        <f aca="true">IF(OR(M109&lt;&gt;"Yes",P109&lt;&gt;"",O109="Closed",O109="No Action Required"),"",IF(N109="","Due date missing",IF(N109&lt;TODAY(),"OVERDUE",IF(N109-TODAY()&lt;=2,"Due ≤2d","Open"))))</f>
        <v/>
      </c>
      <c r="S109" s="34"/>
      <c r="T109" s="34"/>
      <c r="U109" s="21"/>
    </row>
    <row r="110" customFormat="false" ht="15" hidden="false" customHeight="false" outlineLevel="0" collapsed="false">
      <c r="A110" s="6" t="s">
        <v>970</v>
      </c>
      <c r="B110" s="35"/>
      <c r="C110" s="34"/>
      <c r="D110" s="34"/>
      <c r="E110" s="21"/>
      <c r="F110" s="34"/>
      <c r="G110" s="21"/>
      <c r="H110" s="34"/>
      <c r="I110" s="34"/>
      <c r="J110" s="21"/>
      <c r="K110" s="21"/>
      <c r="L110" s="21"/>
      <c r="M110" s="34"/>
      <c r="N110" s="35"/>
      <c r="O110" s="34"/>
      <c r="P110" s="35"/>
      <c r="Q110" s="33" t="str">
        <f aca="false">IF(OR(B110="",P110=""),"",P110-B110)</f>
        <v/>
      </c>
      <c r="R110" s="38" t="str">
        <f aca="true">IF(OR(M110&lt;&gt;"Yes",P110&lt;&gt;"",O110="Closed",O110="No Action Required"),"",IF(N110="","Due date missing",IF(N110&lt;TODAY(),"OVERDUE",IF(N110-TODAY()&lt;=2,"Due ≤2d","Open"))))</f>
        <v/>
      </c>
      <c r="S110" s="34"/>
      <c r="T110" s="34"/>
      <c r="U110" s="21"/>
    </row>
    <row r="111" customFormat="false" ht="15" hidden="false" customHeight="false" outlineLevel="0" collapsed="false">
      <c r="A111" s="6" t="s">
        <v>971</v>
      </c>
      <c r="B111" s="35"/>
      <c r="C111" s="34"/>
      <c r="D111" s="34"/>
      <c r="E111" s="21"/>
      <c r="F111" s="34"/>
      <c r="G111" s="21"/>
      <c r="H111" s="34"/>
      <c r="I111" s="34"/>
      <c r="J111" s="21"/>
      <c r="K111" s="21"/>
      <c r="L111" s="21"/>
      <c r="M111" s="34"/>
      <c r="N111" s="35"/>
      <c r="O111" s="34"/>
      <c r="P111" s="35"/>
      <c r="Q111" s="33" t="str">
        <f aca="false">IF(OR(B111="",P111=""),"",P111-B111)</f>
        <v/>
      </c>
      <c r="R111" s="38" t="str">
        <f aca="true">IF(OR(M111&lt;&gt;"Yes",P111&lt;&gt;"",O111="Closed",O111="No Action Required"),"",IF(N111="","Due date missing",IF(N111&lt;TODAY(),"OVERDUE",IF(N111-TODAY()&lt;=2,"Due ≤2d","Open"))))</f>
        <v/>
      </c>
      <c r="S111" s="34"/>
      <c r="T111" s="34"/>
      <c r="U111" s="21"/>
    </row>
    <row r="112" customFormat="false" ht="15" hidden="false" customHeight="false" outlineLevel="0" collapsed="false">
      <c r="A112" s="6" t="s">
        <v>972</v>
      </c>
      <c r="B112" s="35"/>
      <c r="C112" s="34"/>
      <c r="D112" s="34"/>
      <c r="E112" s="21"/>
      <c r="F112" s="34"/>
      <c r="G112" s="21"/>
      <c r="H112" s="34"/>
      <c r="I112" s="34"/>
      <c r="J112" s="21"/>
      <c r="K112" s="21"/>
      <c r="L112" s="21"/>
      <c r="M112" s="34"/>
      <c r="N112" s="35"/>
      <c r="O112" s="34"/>
      <c r="P112" s="35"/>
      <c r="Q112" s="33" t="str">
        <f aca="false">IF(OR(B112="",P112=""),"",P112-B112)</f>
        <v/>
      </c>
      <c r="R112" s="38" t="str">
        <f aca="true">IF(OR(M112&lt;&gt;"Yes",P112&lt;&gt;"",O112="Closed",O112="No Action Required"),"",IF(N112="","Due date missing",IF(N112&lt;TODAY(),"OVERDUE",IF(N112-TODAY()&lt;=2,"Due ≤2d","Open"))))</f>
        <v/>
      </c>
      <c r="S112" s="34"/>
      <c r="T112" s="34"/>
      <c r="U112" s="21"/>
    </row>
    <row r="113" customFormat="false" ht="15" hidden="false" customHeight="false" outlineLevel="0" collapsed="false">
      <c r="A113" s="6" t="s">
        <v>973</v>
      </c>
      <c r="B113" s="35"/>
      <c r="C113" s="34"/>
      <c r="D113" s="34"/>
      <c r="E113" s="21"/>
      <c r="F113" s="34"/>
      <c r="G113" s="21"/>
      <c r="H113" s="34"/>
      <c r="I113" s="34"/>
      <c r="J113" s="21"/>
      <c r="K113" s="21"/>
      <c r="L113" s="21"/>
      <c r="M113" s="34"/>
      <c r="N113" s="35"/>
      <c r="O113" s="34"/>
      <c r="P113" s="35"/>
      <c r="Q113" s="33" t="str">
        <f aca="false">IF(OR(B113="",P113=""),"",P113-B113)</f>
        <v/>
      </c>
      <c r="R113" s="38" t="str">
        <f aca="true">IF(OR(M113&lt;&gt;"Yes",P113&lt;&gt;"",O113="Closed",O113="No Action Required"),"",IF(N113="","Due date missing",IF(N113&lt;TODAY(),"OVERDUE",IF(N113-TODAY()&lt;=2,"Due ≤2d","Open"))))</f>
        <v/>
      </c>
      <c r="S113" s="34"/>
      <c r="T113" s="34"/>
      <c r="U113" s="21"/>
    </row>
    <row r="114" customFormat="false" ht="15" hidden="false" customHeight="false" outlineLevel="0" collapsed="false">
      <c r="A114" s="6" t="s">
        <v>974</v>
      </c>
      <c r="B114" s="35"/>
      <c r="C114" s="34"/>
      <c r="D114" s="34"/>
      <c r="E114" s="21"/>
      <c r="F114" s="34"/>
      <c r="G114" s="21"/>
      <c r="H114" s="34"/>
      <c r="I114" s="34"/>
      <c r="J114" s="21"/>
      <c r="K114" s="21"/>
      <c r="L114" s="21"/>
      <c r="M114" s="34"/>
      <c r="N114" s="35"/>
      <c r="O114" s="34"/>
      <c r="P114" s="35"/>
      <c r="Q114" s="33" t="str">
        <f aca="false">IF(OR(B114="",P114=""),"",P114-B114)</f>
        <v/>
      </c>
      <c r="R114" s="38" t="str">
        <f aca="true">IF(OR(M114&lt;&gt;"Yes",P114&lt;&gt;"",O114="Closed",O114="No Action Required"),"",IF(N114="","Due date missing",IF(N114&lt;TODAY(),"OVERDUE",IF(N114-TODAY()&lt;=2,"Due ≤2d","Open"))))</f>
        <v/>
      </c>
      <c r="S114" s="34"/>
      <c r="T114" s="34"/>
      <c r="U114" s="21"/>
    </row>
    <row r="115" customFormat="false" ht="15" hidden="false" customHeight="false" outlineLevel="0" collapsed="false">
      <c r="A115" s="6" t="s">
        <v>975</v>
      </c>
      <c r="B115" s="35"/>
      <c r="C115" s="34"/>
      <c r="D115" s="34"/>
      <c r="E115" s="21"/>
      <c r="F115" s="34"/>
      <c r="G115" s="21"/>
      <c r="H115" s="34"/>
      <c r="I115" s="34"/>
      <c r="J115" s="21"/>
      <c r="K115" s="21"/>
      <c r="L115" s="21"/>
      <c r="M115" s="34"/>
      <c r="N115" s="35"/>
      <c r="O115" s="34"/>
      <c r="P115" s="35"/>
      <c r="Q115" s="33" t="str">
        <f aca="false">IF(OR(B115="",P115=""),"",P115-B115)</f>
        <v/>
      </c>
      <c r="R115" s="38" t="str">
        <f aca="true">IF(OR(M115&lt;&gt;"Yes",P115&lt;&gt;"",O115="Closed",O115="No Action Required"),"",IF(N115="","Due date missing",IF(N115&lt;TODAY(),"OVERDUE",IF(N115-TODAY()&lt;=2,"Due ≤2d","Open"))))</f>
        <v/>
      </c>
      <c r="S115" s="34"/>
      <c r="T115" s="34"/>
      <c r="U115" s="21"/>
    </row>
    <row r="116" customFormat="false" ht="15" hidden="false" customHeight="false" outlineLevel="0" collapsed="false">
      <c r="A116" s="6" t="s">
        <v>976</v>
      </c>
      <c r="B116" s="35"/>
      <c r="C116" s="34"/>
      <c r="D116" s="34"/>
      <c r="E116" s="21"/>
      <c r="F116" s="34"/>
      <c r="G116" s="21"/>
      <c r="H116" s="34"/>
      <c r="I116" s="34"/>
      <c r="J116" s="21"/>
      <c r="K116" s="21"/>
      <c r="L116" s="21"/>
      <c r="M116" s="34"/>
      <c r="N116" s="35"/>
      <c r="O116" s="34"/>
      <c r="P116" s="35"/>
      <c r="Q116" s="33" t="str">
        <f aca="false">IF(OR(B116="",P116=""),"",P116-B116)</f>
        <v/>
      </c>
      <c r="R116" s="38" t="str">
        <f aca="true">IF(OR(M116&lt;&gt;"Yes",P116&lt;&gt;"",O116="Closed",O116="No Action Required"),"",IF(N116="","Due date missing",IF(N116&lt;TODAY(),"OVERDUE",IF(N116-TODAY()&lt;=2,"Due ≤2d","Open"))))</f>
        <v/>
      </c>
      <c r="S116" s="34"/>
      <c r="T116" s="34"/>
      <c r="U116" s="21"/>
    </row>
    <row r="117" customFormat="false" ht="15" hidden="false" customHeight="false" outlineLevel="0" collapsed="false">
      <c r="A117" s="6" t="s">
        <v>977</v>
      </c>
      <c r="B117" s="35"/>
      <c r="C117" s="34"/>
      <c r="D117" s="34"/>
      <c r="E117" s="21"/>
      <c r="F117" s="34"/>
      <c r="G117" s="21"/>
      <c r="H117" s="34"/>
      <c r="I117" s="34"/>
      <c r="J117" s="21"/>
      <c r="K117" s="21"/>
      <c r="L117" s="21"/>
      <c r="M117" s="34"/>
      <c r="N117" s="35"/>
      <c r="O117" s="34"/>
      <c r="P117" s="35"/>
      <c r="Q117" s="33" t="str">
        <f aca="false">IF(OR(B117="",P117=""),"",P117-B117)</f>
        <v/>
      </c>
      <c r="R117" s="38" t="str">
        <f aca="true">IF(OR(M117&lt;&gt;"Yes",P117&lt;&gt;"",O117="Closed",O117="No Action Required"),"",IF(N117="","Due date missing",IF(N117&lt;TODAY(),"OVERDUE",IF(N117-TODAY()&lt;=2,"Due ≤2d","Open"))))</f>
        <v/>
      </c>
      <c r="S117" s="34"/>
      <c r="T117" s="34"/>
      <c r="U117" s="21"/>
    </row>
    <row r="118" customFormat="false" ht="15" hidden="false" customHeight="false" outlineLevel="0" collapsed="false">
      <c r="A118" s="6" t="s">
        <v>978</v>
      </c>
      <c r="B118" s="35"/>
      <c r="C118" s="34"/>
      <c r="D118" s="34"/>
      <c r="E118" s="21"/>
      <c r="F118" s="34"/>
      <c r="G118" s="21"/>
      <c r="H118" s="34"/>
      <c r="I118" s="34"/>
      <c r="J118" s="21"/>
      <c r="K118" s="21"/>
      <c r="L118" s="21"/>
      <c r="M118" s="34"/>
      <c r="N118" s="35"/>
      <c r="O118" s="34"/>
      <c r="P118" s="35"/>
      <c r="Q118" s="33" t="str">
        <f aca="false">IF(OR(B118="",P118=""),"",P118-B118)</f>
        <v/>
      </c>
      <c r="R118" s="38" t="str">
        <f aca="true">IF(OR(M118&lt;&gt;"Yes",P118&lt;&gt;"",O118="Closed",O118="No Action Required"),"",IF(N118="","Due date missing",IF(N118&lt;TODAY(),"OVERDUE",IF(N118-TODAY()&lt;=2,"Due ≤2d","Open"))))</f>
        <v/>
      </c>
      <c r="S118" s="34"/>
      <c r="T118" s="34"/>
      <c r="U118" s="21"/>
    </row>
    <row r="119" customFormat="false" ht="15" hidden="false" customHeight="false" outlineLevel="0" collapsed="false">
      <c r="A119" s="6" t="s">
        <v>979</v>
      </c>
      <c r="B119" s="35"/>
      <c r="C119" s="34"/>
      <c r="D119" s="34"/>
      <c r="E119" s="21"/>
      <c r="F119" s="34"/>
      <c r="G119" s="21"/>
      <c r="H119" s="34"/>
      <c r="I119" s="34"/>
      <c r="J119" s="21"/>
      <c r="K119" s="21"/>
      <c r="L119" s="21"/>
      <c r="M119" s="34"/>
      <c r="N119" s="35"/>
      <c r="O119" s="34"/>
      <c r="P119" s="35"/>
      <c r="Q119" s="33" t="str">
        <f aca="false">IF(OR(B119="",P119=""),"",P119-B119)</f>
        <v/>
      </c>
      <c r="R119" s="38" t="str">
        <f aca="true">IF(OR(M119&lt;&gt;"Yes",P119&lt;&gt;"",O119="Closed",O119="No Action Required"),"",IF(N119="","Due date missing",IF(N119&lt;TODAY(),"OVERDUE",IF(N119-TODAY()&lt;=2,"Due ≤2d","Open"))))</f>
        <v/>
      </c>
      <c r="S119" s="34"/>
      <c r="T119" s="34"/>
      <c r="U119" s="21"/>
    </row>
    <row r="120" customFormat="false" ht="15" hidden="false" customHeight="false" outlineLevel="0" collapsed="false">
      <c r="A120" s="6" t="s">
        <v>980</v>
      </c>
      <c r="B120" s="35"/>
      <c r="C120" s="34"/>
      <c r="D120" s="34"/>
      <c r="E120" s="21"/>
      <c r="F120" s="34"/>
      <c r="G120" s="21"/>
      <c r="H120" s="34"/>
      <c r="I120" s="34"/>
      <c r="J120" s="21"/>
      <c r="K120" s="21"/>
      <c r="L120" s="21"/>
      <c r="M120" s="34"/>
      <c r="N120" s="35"/>
      <c r="O120" s="34"/>
      <c r="P120" s="35"/>
      <c r="Q120" s="33" t="str">
        <f aca="false">IF(OR(B120="",P120=""),"",P120-B120)</f>
        <v/>
      </c>
      <c r="R120" s="38" t="str">
        <f aca="true">IF(OR(M120&lt;&gt;"Yes",P120&lt;&gt;"",O120="Closed",O120="No Action Required"),"",IF(N120="","Due date missing",IF(N120&lt;TODAY(),"OVERDUE",IF(N120-TODAY()&lt;=2,"Due ≤2d","Open"))))</f>
        <v/>
      </c>
      <c r="S120" s="34"/>
      <c r="T120" s="34"/>
      <c r="U120" s="21"/>
    </row>
    <row r="121" customFormat="false" ht="15" hidden="false" customHeight="false" outlineLevel="0" collapsed="false">
      <c r="A121" s="6" t="s">
        <v>981</v>
      </c>
      <c r="B121" s="35"/>
      <c r="C121" s="34"/>
      <c r="D121" s="34"/>
      <c r="E121" s="21"/>
      <c r="F121" s="34"/>
      <c r="G121" s="21"/>
      <c r="H121" s="34"/>
      <c r="I121" s="34"/>
      <c r="J121" s="21"/>
      <c r="K121" s="21"/>
      <c r="L121" s="21"/>
      <c r="M121" s="34"/>
      <c r="N121" s="35"/>
      <c r="O121" s="34"/>
      <c r="P121" s="35"/>
      <c r="Q121" s="33" t="str">
        <f aca="false">IF(OR(B121="",P121=""),"",P121-B121)</f>
        <v/>
      </c>
      <c r="R121" s="38" t="str">
        <f aca="true">IF(OR(M121&lt;&gt;"Yes",P121&lt;&gt;"",O121="Closed",O121="No Action Required"),"",IF(N121="","Due date missing",IF(N121&lt;TODAY(),"OVERDUE",IF(N121-TODAY()&lt;=2,"Due ≤2d","Open"))))</f>
        <v/>
      </c>
      <c r="S121" s="34"/>
      <c r="T121" s="34"/>
      <c r="U121" s="21"/>
    </row>
    <row r="122" customFormat="false" ht="15" hidden="false" customHeight="false" outlineLevel="0" collapsed="false">
      <c r="A122" s="6" t="s">
        <v>982</v>
      </c>
      <c r="B122" s="35"/>
      <c r="C122" s="34"/>
      <c r="D122" s="34"/>
      <c r="E122" s="21"/>
      <c r="F122" s="34"/>
      <c r="G122" s="21"/>
      <c r="H122" s="34"/>
      <c r="I122" s="34"/>
      <c r="J122" s="21"/>
      <c r="K122" s="21"/>
      <c r="L122" s="21"/>
      <c r="M122" s="34"/>
      <c r="N122" s="35"/>
      <c r="O122" s="34"/>
      <c r="P122" s="35"/>
      <c r="Q122" s="33" t="str">
        <f aca="false">IF(OR(B122="",P122=""),"",P122-B122)</f>
        <v/>
      </c>
      <c r="R122" s="38" t="str">
        <f aca="true">IF(OR(M122&lt;&gt;"Yes",P122&lt;&gt;"",O122="Closed",O122="No Action Required"),"",IF(N122="","Due date missing",IF(N122&lt;TODAY(),"OVERDUE",IF(N122-TODAY()&lt;=2,"Due ≤2d","Open"))))</f>
        <v/>
      </c>
      <c r="S122" s="34"/>
      <c r="T122" s="34"/>
      <c r="U122" s="21"/>
    </row>
    <row r="123" customFormat="false" ht="15" hidden="false" customHeight="false" outlineLevel="0" collapsed="false">
      <c r="A123" s="6" t="s">
        <v>983</v>
      </c>
      <c r="B123" s="35"/>
      <c r="C123" s="34"/>
      <c r="D123" s="34"/>
      <c r="E123" s="21"/>
      <c r="F123" s="34"/>
      <c r="G123" s="21"/>
      <c r="H123" s="34"/>
      <c r="I123" s="34"/>
      <c r="J123" s="21"/>
      <c r="K123" s="21"/>
      <c r="L123" s="21"/>
      <c r="M123" s="34"/>
      <c r="N123" s="35"/>
      <c r="O123" s="34"/>
      <c r="P123" s="35"/>
      <c r="Q123" s="33" t="str">
        <f aca="false">IF(OR(B123="",P123=""),"",P123-B123)</f>
        <v/>
      </c>
      <c r="R123" s="38" t="str">
        <f aca="true">IF(OR(M123&lt;&gt;"Yes",P123&lt;&gt;"",O123="Closed",O123="No Action Required"),"",IF(N123="","Due date missing",IF(N123&lt;TODAY(),"OVERDUE",IF(N123-TODAY()&lt;=2,"Due ≤2d","Open"))))</f>
        <v/>
      </c>
      <c r="S123" s="34"/>
      <c r="T123" s="34"/>
      <c r="U123" s="21"/>
    </row>
    <row r="124" customFormat="false" ht="15" hidden="false" customHeight="false" outlineLevel="0" collapsed="false">
      <c r="A124" s="6" t="s">
        <v>984</v>
      </c>
      <c r="B124" s="35"/>
      <c r="C124" s="34"/>
      <c r="D124" s="34"/>
      <c r="E124" s="21"/>
      <c r="F124" s="34"/>
      <c r="G124" s="21"/>
      <c r="H124" s="34"/>
      <c r="I124" s="34"/>
      <c r="J124" s="21"/>
      <c r="K124" s="21"/>
      <c r="L124" s="21"/>
      <c r="M124" s="34"/>
      <c r="N124" s="35"/>
      <c r="O124" s="34"/>
      <c r="P124" s="35"/>
      <c r="Q124" s="33" t="str">
        <f aca="false">IF(OR(B124="",P124=""),"",P124-B124)</f>
        <v/>
      </c>
      <c r="R124" s="38" t="str">
        <f aca="true">IF(OR(M124&lt;&gt;"Yes",P124&lt;&gt;"",O124="Closed",O124="No Action Required"),"",IF(N124="","Due date missing",IF(N124&lt;TODAY(),"OVERDUE",IF(N124-TODAY()&lt;=2,"Due ≤2d","Open"))))</f>
        <v/>
      </c>
      <c r="S124" s="34"/>
      <c r="T124" s="34"/>
      <c r="U124" s="21"/>
    </row>
    <row r="125" customFormat="false" ht="15" hidden="false" customHeight="false" outlineLevel="0" collapsed="false">
      <c r="A125" s="6" t="s">
        <v>985</v>
      </c>
      <c r="B125" s="35"/>
      <c r="C125" s="34"/>
      <c r="D125" s="34"/>
      <c r="E125" s="21"/>
      <c r="F125" s="34"/>
      <c r="G125" s="21"/>
      <c r="H125" s="34"/>
      <c r="I125" s="34"/>
      <c r="J125" s="21"/>
      <c r="K125" s="21"/>
      <c r="L125" s="21"/>
      <c r="M125" s="34"/>
      <c r="N125" s="35"/>
      <c r="O125" s="34"/>
      <c r="P125" s="35"/>
      <c r="Q125" s="33" t="str">
        <f aca="false">IF(OR(B125="",P125=""),"",P125-B125)</f>
        <v/>
      </c>
      <c r="R125" s="38" t="str">
        <f aca="true">IF(OR(M125&lt;&gt;"Yes",P125&lt;&gt;"",O125="Closed",O125="No Action Required"),"",IF(N125="","Due date missing",IF(N125&lt;TODAY(),"OVERDUE",IF(N125-TODAY()&lt;=2,"Due ≤2d","Open"))))</f>
        <v/>
      </c>
      <c r="S125" s="34"/>
      <c r="T125" s="34"/>
      <c r="U125" s="21"/>
    </row>
    <row r="126" customFormat="false" ht="15" hidden="false" customHeight="false" outlineLevel="0" collapsed="false">
      <c r="A126" s="6" t="s">
        <v>986</v>
      </c>
      <c r="B126" s="35"/>
      <c r="C126" s="34"/>
      <c r="D126" s="34"/>
      <c r="E126" s="21"/>
      <c r="F126" s="34"/>
      <c r="G126" s="21"/>
      <c r="H126" s="34"/>
      <c r="I126" s="34"/>
      <c r="J126" s="21"/>
      <c r="K126" s="21"/>
      <c r="L126" s="21"/>
      <c r="M126" s="34"/>
      <c r="N126" s="35"/>
      <c r="O126" s="34"/>
      <c r="P126" s="35"/>
      <c r="Q126" s="33" t="str">
        <f aca="false">IF(OR(B126="",P126=""),"",P126-B126)</f>
        <v/>
      </c>
      <c r="R126" s="38" t="str">
        <f aca="true">IF(OR(M126&lt;&gt;"Yes",P126&lt;&gt;"",O126="Closed",O126="No Action Required"),"",IF(N126="","Due date missing",IF(N126&lt;TODAY(),"OVERDUE",IF(N126-TODAY()&lt;=2,"Due ≤2d","Open"))))</f>
        <v/>
      </c>
      <c r="S126" s="34"/>
      <c r="T126" s="34"/>
      <c r="U126" s="21"/>
    </row>
    <row r="127" customFormat="false" ht="15" hidden="false" customHeight="false" outlineLevel="0" collapsed="false">
      <c r="A127" s="6" t="s">
        <v>987</v>
      </c>
      <c r="B127" s="35"/>
      <c r="C127" s="34"/>
      <c r="D127" s="34"/>
      <c r="E127" s="21"/>
      <c r="F127" s="34"/>
      <c r="G127" s="21"/>
      <c r="H127" s="34"/>
      <c r="I127" s="34"/>
      <c r="J127" s="21"/>
      <c r="K127" s="21"/>
      <c r="L127" s="21"/>
      <c r="M127" s="34"/>
      <c r="N127" s="35"/>
      <c r="O127" s="34"/>
      <c r="P127" s="35"/>
      <c r="Q127" s="33" t="str">
        <f aca="false">IF(OR(B127="",P127=""),"",P127-B127)</f>
        <v/>
      </c>
      <c r="R127" s="38" t="str">
        <f aca="true">IF(OR(M127&lt;&gt;"Yes",P127&lt;&gt;"",O127="Closed",O127="No Action Required"),"",IF(N127="","Due date missing",IF(N127&lt;TODAY(),"OVERDUE",IF(N127-TODAY()&lt;=2,"Due ≤2d","Open"))))</f>
        <v/>
      </c>
      <c r="S127" s="34"/>
      <c r="T127" s="34"/>
      <c r="U127" s="21"/>
    </row>
    <row r="128" customFormat="false" ht="15" hidden="false" customHeight="false" outlineLevel="0" collapsed="false">
      <c r="A128" s="6" t="s">
        <v>988</v>
      </c>
      <c r="B128" s="35"/>
      <c r="C128" s="34"/>
      <c r="D128" s="34"/>
      <c r="E128" s="21"/>
      <c r="F128" s="34"/>
      <c r="G128" s="21"/>
      <c r="H128" s="34"/>
      <c r="I128" s="34"/>
      <c r="J128" s="21"/>
      <c r="K128" s="21"/>
      <c r="L128" s="21"/>
      <c r="M128" s="34"/>
      <c r="N128" s="35"/>
      <c r="O128" s="34"/>
      <c r="P128" s="35"/>
      <c r="Q128" s="33" t="str">
        <f aca="false">IF(OR(B128="",P128=""),"",P128-B128)</f>
        <v/>
      </c>
      <c r="R128" s="38" t="str">
        <f aca="true">IF(OR(M128&lt;&gt;"Yes",P128&lt;&gt;"",O128="Closed",O128="No Action Required"),"",IF(N128="","Due date missing",IF(N128&lt;TODAY(),"OVERDUE",IF(N128-TODAY()&lt;=2,"Due ≤2d","Open"))))</f>
        <v/>
      </c>
      <c r="S128" s="34"/>
      <c r="T128" s="34"/>
      <c r="U128" s="21"/>
    </row>
    <row r="129" customFormat="false" ht="15" hidden="false" customHeight="false" outlineLevel="0" collapsed="false">
      <c r="A129" s="6" t="s">
        <v>989</v>
      </c>
      <c r="B129" s="35"/>
      <c r="C129" s="34"/>
      <c r="D129" s="34"/>
      <c r="E129" s="21"/>
      <c r="F129" s="34"/>
      <c r="G129" s="21"/>
      <c r="H129" s="34"/>
      <c r="I129" s="34"/>
      <c r="J129" s="21"/>
      <c r="K129" s="21"/>
      <c r="L129" s="21"/>
      <c r="M129" s="34"/>
      <c r="N129" s="35"/>
      <c r="O129" s="34"/>
      <c r="P129" s="35"/>
      <c r="Q129" s="33" t="str">
        <f aca="false">IF(OR(B129="",P129=""),"",P129-B129)</f>
        <v/>
      </c>
      <c r="R129" s="38" t="str">
        <f aca="true">IF(OR(M129&lt;&gt;"Yes",P129&lt;&gt;"",O129="Closed",O129="No Action Required"),"",IF(N129="","Due date missing",IF(N129&lt;TODAY(),"OVERDUE",IF(N129-TODAY()&lt;=2,"Due ≤2d","Open"))))</f>
        <v/>
      </c>
      <c r="S129" s="34"/>
      <c r="T129" s="34"/>
      <c r="U129" s="21"/>
    </row>
    <row r="130" customFormat="false" ht="15" hidden="false" customHeight="false" outlineLevel="0" collapsed="false">
      <c r="A130" s="6" t="s">
        <v>990</v>
      </c>
      <c r="B130" s="35"/>
      <c r="C130" s="34"/>
      <c r="D130" s="34"/>
      <c r="E130" s="21"/>
      <c r="F130" s="34"/>
      <c r="G130" s="21"/>
      <c r="H130" s="34"/>
      <c r="I130" s="34"/>
      <c r="J130" s="21"/>
      <c r="K130" s="21"/>
      <c r="L130" s="21"/>
      <c r="M130" s="34"/>
      <c r="N130" s="35"/>
      <c r="O130" s="34"/>
      <c r="P130" s="35"/>
      <c r="Q130" s="33" t="str">
        <f aca="false">IF(OR(B130="",P130=""),"",P130-B130)</f>
        <v/>
      </c>
      <c r="R130" s="38" t="str">
        <f aca="true">IF(OR(M130&lt;&gt;"Yes",P130&lt;&gt;"",O130="Closed",O130="No Action Required"),"",IF(N130="","Due date missing",IF(N130&lt;TODAY(),"OVERDUE",IF(N130-TODAY()&lt;=2,"Due ≤2d","Open"))))</f>
        <v/>
      </c>
      <c r="S130" s="34"/>
      <c r="T130" s="34"/>
      <c r="U130" s="21"/>
    </row>
    <row r="131" customFormat="false" ht="15" hidden="false" customHeight="false" outlineLevel="0" collapsed="false">
      <c r="A131" s="6" t="s">
        <v>991</v>
      </c>
      <c r="B131" s="35"/>
      <c r="C131" s="34"/>
      <c r="D131" s="34"/>
      <c r="E131" s="21"/>
      <c r="F131" s="34"/>
      <c r="G131" s="21"/>
      <c r="H131" s="34"/>
      <c r="I131" s="34"/>
      <c r="J131" s="21"/>
      <c r="K131" s="21"/>
      <c r="L131" s="21"/>
      <c r="M131" s="34"/>
      <c r="N131" s="35"/>
      <c r="O131" s="34"/>
      <c r="P131" s="35"/>
      <c r="Q131" s="33" t="str">
        <f aca="false">IF(OR(B131="",P131=""),"",P131-B131)</f>
        <v/>
      </c>
      <c r="R131" s="38" t="str">
        <f aca="true">IF(OR(M131&lt;&gt;"Yes",P131&lt;&gt;"",O131="Closed",O131="No Action Required"),"",IF(N131="","Due date missing",IF(N131&lt;TODAY(),"OVERDUE",IF(N131-TODAY()&lt;=2,"Due ≤2d","Open"))))</f>
        <v/>
      </c>
      <c r="S131" s="34"/>
      <c r="T131" s="34"/>
      <c r="U131" s="21"/>
    </row>
    <row r="132" customFormat="false" ht="15" hidden="false" customHeight="false" outlineLevel="0" collapsed="false">
      <c r="A132" s="6" t="s">
        <v>992</v>
      </c>
      <c r="B132" s="35"/>
      <c r="C132" s="34"/>
      <c r="D132" s="34"/>
      <c r="E132" s="21"/>
      <c r="F132" s="34"/>
      <c r="G132" s="21"/>
      <c r="H132" s="34"/>
      <c r="I132" s="34"/>
      <c r="J132" s="21"/>
      <c r="K132" s="21"/>
      <c r="L132" s="21"/>
      <c r="M132" s="34"/>
      <c r="N132" s="35"/>
      <c r="O132" s="34"/>
      <c r="P132" s="35"/>
      <c r="Q132" s="33" t="str">
        <f aca="false">IF(OR(B132="",P132=""),"",P132-B132)</f>
        <v/>
      </c>
      <c r="R132" s="38" t="str">
        <f aca="true">IF(OR(M132&lt;&gt;"Yes",P132&lt;&gt;"",O132="Closed",O132="No Action Required"),"",IF(N132="","Due date missing",IF(N132&lt;TODAY(),"OVERDUE",IF(N132-TODAY()&lt;=2,"Due ≤2d","Open"))))</f>
        <v/>
      </c>
      <c r="S132" s="34"/>
      <c r="T132" s="34"/>
      <c r="U132" s="21"/>
    </row>
    <row r="133" customFormat="false" ht="15" hidden="false" customHeight="false" outlineLevel="0" collapsed="false">
      <c r="A133" s="6" t="s">
        <v>993</v>
      </c>
      <c r="B133" s="35"/>
      <c r="C133" s="34"/>
      <c r="D133" s="34"/>
      <c r="E133" s="21"/>
      <c r="F133" s="34"/>
      <c r="G133" s="21"/>
      <c r="H133" s="34"/>
      <c r="I133" s="34"/>
      <c r="J133" s="21"/>
      <c r="K133" s="21"/>
      <c r="L133" s="21"/>
      <c r="M133" s="34"/>
      <c r="N133" s="35"/>
      <c r="O133" s="34"/>
      <c r="P133" s="35"/>
      <c r="Q133" s="33" t="str">
        <f aca="false">IF(OR(B133="",P133=""),"",P133-B133)</f>
        <v/>
      </c>
      <c r="R133" s="38" t="str">
        <f aca="true">IF(OR(M133&lt;&gt;"Yes",P133&lt;&gt;"",O133="Closed",O133="No Action Required"),"",IF(N133="","Due date missing",IF(N133&lt;TODAY(),"OVERDUE",IF(N133-TODAY()&lt;=2,"Due ≤2d","Open"))))</f>
        <v/>
      </c>
      <c r="S133" s="34"/>
      <c r="T133" s="34"/>
      <c r="U133" s="21"/>
    </row>
    <row r="134" customFormat="false" ht="15" hidden="false" customHeight="false" outlineLevel="0" collapsed="false">
      <c r="A134" s="6" t="s">
        <v>994</v>
      </c>
      <c r="B134" s="35"/>
      <c r="C134" s="34"/>
      <c r="D134" s="34"/>
      <c r="E134" s="21"/>
      <c r="F134" s="34"/>
      <c r="G134" s="21"/>
      <c r="H134" s="34"/>
      <c r="I134" s="34"/>
      <c r="J134" s="21"/>
      <c r="K134" s="21"/>
      <c r="L134" s="21"/>
      <c r="M134" s="34"/>
      <c r="N134" s="35"/>
      <c r="O134" s="34"/>
      <c r="P134" s="35"/>
      <c r="Q134" s="33" t="str">
        <f aca="false">IF(OR(B134="",P134=""),"",P134-B134)</f>
        <v/>
      </c>
      <c r="R134" s="38" t="str">
        <f aca="true">IF(OR(M134&lt;&gt;"Yes",P134&lt;&gt;"",O134="Closed",O134="No Action Required"),"",IF(N134="","Due date missing",IF(N134&lt;TODAY(),"OVERDUE",IF(N134-TODAY()&lt;=2,"Due ≤2d","Open"))))</f>
        <v/>
      </c>
      <c r="S134" s="34"/>
      <c r="T134" s="34"/>
      <c r="U134" s="21"/>
    </row>
    <row r="135" customFormat="false" ht="15" hidden="false" customHeight="false" outlineLevel="0" collapsed="false">
      <c r="A135" s="6" t="s">
        <v>995</v>
      </c>
      <c r="B135" s="35"/>
      <c r="C135" s="34"/>
      <c r="D135" s="34"/>
      <c r="E135" s="21"/>
      <c r="F135" s="34"/>
      <c r="G135" s="21"/>
      <c r="H135" s="34"/>
      <c r="I135" s="34"/>
      <c r="J135" s="21"/>
      <c r="K135" s="21"/>
      <c r="L135" s="21"/>
      <c r="M135" s="34"/>
      <c r="N135" s="35"/>
      <c r="O135" s="34"/>
      <c r="P135" s="35"/>
      <c r="Q135" s="33" t="str">
        <f aca="false">IF(OR(B135="",P135=""),"",P135-B135)</f>
        <v/>
      </c>
      <c r="R135" s="38" t="str">
        <f aca="true">IF(OR(M135&lt;&gt;"Yes",P135&lt;&gt;"",O135="Closed",O135="No Action Required"),"",IF(N135="","Due date missing",IF(N135&lt;TODAY(),"OVERDUE",IF(N135-TODAY()&lt;=2,"Due ≤2d","Open"))))</f>
        <v/>
      </c>
      <c r="S135" s="34"/>
      <c r="T135" s="34"/>
      <c r="U135" s="21"/>
    </row>
    <row r="136" customFormat="false" ht="15" hidden="false" customHeight="false" outlineLevel="0" collapsed="false">
      <c r="A136" s="6" t="s">
        <v>996</v>
      </c>
      <c r="B136" s="35"/>
      <c r="C136" s="34"/>
      <c r="D136" s="34"/>
      <c r="E136" s="21"/>
      <c r="F136" s="34"/>
      <c r="G136" s="21"/>
      <c r="H136" s="34"/>
      <c r="I136" s="34"/>
      <c r="J136" s="21"/>
      <c r="K136" s="21"/>
      <c r="L136" s="21"/>
      <c r="M136" s="34"/>
      <c r="N136" s="35"/>
      <c r="O136" s="34"/>
      <c r="P136" s="35"/>
      <c r="Q136" s="33" t="str">
        <f aca="false">IF(OR(B136="",P136=""),"",P136-B136)</f>
        <v/>
      </c>
      <c r="R136" s="38" t="str">
        <f aca="true">IF(OR(M136&lt;&gt;"Yes",P136&lt;&gt;"",O136="Closed",O136="No Action Required"),"",IF(N136="","Due date missing",IF(N136&lt;TODAY(),"OVERDUE",IF(N136-TODAY()&lt;=2,"Due ≤2d","Open"))))</f>
        <v/>
      </c>
      <c r="S136" s="34"/>
      <c r="T136" s="34"/>
      <c r="U136" s="21"/>
    </row>
    <row r="137" customFormat="false" ht="15" hidden="false" customHeight="false" outlineLevel="0" collapsed="false">
      <c r="A137" s="6" t="s">
        <v>997</v>
      </c>
      <c r="B137" s="35"/>
      <c r="C137" s="34"/>
      <c r="D137" s="34"/>
      <c r="E137" s="21"/>
      <c r="F137" s="34"/>
      <c r="G137" s="21"/>
      <c r="H137" s="34"/>
      <c r="I137" s="34"/>
      <c r="J137" s="21"/>
      <c r="K137" s="21"/>
      <c r="L137" s="21"/>
      <c r="M137" s="34"/>
      <c r="N137" s="35"/>
      <c r="O137" s="34"/>
      <c r="P137" s="35"/>
      <c r="Q137" s="33" t="str">
        <f aca="false">IF(OR(B137="",P137=""),"",P137-B137)</f>
        <v/>
      </c>
      <c r="R137" s="38" t="str">
        <f aca="true">IF(OR(M137&lt;&gt;"Yes",P137&lt;&gt;"",O137="Closed",O137="No Action Required"),"",IF(N137="","Due date missing",IF(N137&lt;TODAY(),"OVERDUE",IF(N137-TODAY()&lt;=2,"Due ≤2d","Open"))))</f>
        <v/>
      </c>
      <c r="S137" s="34"/>
      <c r="T137" s="34"/>
      <c r="U137" s="21"/>
    </row>
    <row r="138" customFormat="false" ht="15" hidden="false" customHeight="false" outlineLevel="0" collapsed="false">
      <c r="A138" s="6" t="s">
        <v>998</v>
      </c>
      <c r="B138" s="35"/>
      <c r="C138" s="34"/>
      <c r="D138" s="34"/>
      <c r="E138" s="21"/>
      <c r="F138" s="34"/>
      <c r="G138" s="21"/>
      <c r="H138" s="34"/>
      <c r="I138" s="34"/>
      <c r="J138" s="21"/>
      <c r="K138" s="21"/>
      <c r="L138" s="21"/>
      <c r="M138" s="34"/>
      <c r="N138" s="35"/>
      <c r="O138" s="34"/>
      <c r="P138" s="35"/>
      <c r="Q138" s="33" t="str">
        <f aca="false">IF(OR(B138="",P138=""),"",P138-B138)</f>
        <v/>
      </c>
      <c r="R138" s="38" t="str">
        <f aca="true">IF(OR(M138&lt;&gt;"Yes",P138&lt;&gt;"",O138="Closed",O138="No Action Required"),"",IF(N138="","Due date missing",IF(N138&lt;TODAY(),"OVERDUE",IF(N138-TODAY()&lt;=2,"Due ≤2d","Open"))))</f>
        <v/>
      </c>
      <c r="S138" s="34"/>
      <c r="T138" s="34"/>
      <c r="U138" s="21"/>
    </row>
    <row r="139" customFormat="false" ht="15" hidden="false" customHeight="false" outlineLevel="0" collapsed="false">
      <c r="A139" s="6" t="s">
        <v>999</v>
      </c>
      <c r="B139" s="35"/>
      <c r="C139" s="34"/>
      <c r="D139" s="34"/>
      <c r="E139" s="21"/>
      <c r="F139" s="34"/>
      <c r="G139" s="21"/>
      <c r="H139" s="34"/>
      <c r="I139" s="34"/>
      <c r="J139" s="21"/>
      <c r="K139" s="21"/>
      <c r="L139" s="21"/>
      <c r="M139" s="34"/>
      <c r="N139" s="35"/>
      <c r="O139" s="34"/>
      <c r="P139" s="35"/>
      <c r="Q139" s="33" t="str">
        <f aca="false">IF(OR(B139="",P139=""),"",P139-B139)</f>
        <v/>
      </c>
      <c r="R139" s="38" t="str">
        <f aca="true">IF(OR(M139&lt;&gt;"Yes",P139&lt;&gt;"",O139="Closed",O139="No Action Required"),"",IF(N139="","Due date missing",IF(N139&lt;TODAY(),"OVERDUE",IF(N139-TODAY()&lt;=2,"Due ≤2d","Open"))))</f>
        <v/>
      </c>
      <c r="S139" s="34"/>
      <c r="T139" s="34"/>
      <c r="U139" s="21"/>
    </row>
    <row r="140" customFormat="false" ht="15" hidden="false" customHeight="false" outlineLevel="0" collapsed="false">
      <c r="A140" s="6" t="s">
        <v>1000</v>
      </c>
      <c r="B140" s="35"/>
      <c r="C140" s="34"/>
      <c r="D140" s="34"/>
      <c r="E140" s="21"/>
      <c r="F140" s="34"/>
      <c r="G140" s="21"/>
      <c r="H140" s="34"/>
      <c r="I140" s="34"/>
      <c r="J140" s="21"/>
      <c r="K140" s="21"/>
      <c r="L140" s="21"/>
      <c r="M140" s="34"/>
      <c r="N140" s="35"/>
      <c r="O140" s="34"/>
      <c r="P140" s="35"/>
      <c r="Q140" s="33" t="str">
        <f aca="false">IF(OR(B140="",P140=""),"",P140-B140)</f>
        <v/>
      </c>
      <c r="R140" s="38" t="str">
        <f aca="true">IF(OR(M140&lt;&gt;"Yes",P140&lt;&gt;"",O140="Closed",O140="No Action Required"),"",IF(N140="","Due date missing",IF(N140&lt;TODAY(),"OVERDUE",IF(N140-TODAY()&lt;=2,"Due ≤2d","Open"))))</f>
        <v/>
      </c>
      <c r="S140" s="34"/>
      <c r="T140" s="34"/>
      <c r="U140" s="21"/>
    </row>
    <row r="141" customFormat="false" ht="15" hidden="false" customHeight="false" outlineLevel="0" collapsed="false">
      <c r="A141" s="6" t="s">
        <v>1001</v>
      </c>
      <c r="B141" s="35"/>
      <c r="C141" s="34"/>
      <c r="D141" s="34"/>
      <c r="E141" s="21"/>
      <c r="F141" s="34"/>
      <c r="G141" s="21"/>
      <c r="H141" s="34"/>
      <c r="I141" s="34"/>
      <c r="J141" s="21"/>
      <c r="K141" s="21"/>
      <c r="L141" s="21"/>
      <c r="M141" s="34"/>
      <c r="N141" s="35"/>
      <c r="O141" s="34"/>
      <c r="P141" s="35"/>
      <c r="Q141" s="33" t="str">
        <f aca="false">IF(OR(B141="",P141=""),"",P141-B141)</f>
        <v/>
      </c>
      <c r="R141" s="38" t="str">
        <f aca="true">IF(OR(M141&lt;&gt;"Yes",P141&lt;&gt;"",O141="Closed",O141="No Action Required"),"",IF(N141="","Due date missing",IF(N141&lt;TODAY(),"OVERDUE",IF(N141-TODAY()&lt;=2,"Due ≤2d","Open"))))</f>
        <v/>
      </c>
      <c r="S141" s="34"/>
      <c r="T141" s="34"/>
      <c r="U141" s="21"/>
    </row>
    <row r="142" customFormat="false" ht="15" hidden="false" customHeight="false" outlineLevel="0" collapsed="false">
      <c r="A142" s="6" t="s">
        <v>1002</v>
      </c>
      <c r="B142" s="35"/>
      <c r="C142" s="34"/>
      <c r="D142" s="34"/>
      <c r="E142" s="21"/>
      <c r="F142" s="34"/>
      <c r="G142" s="21"/>
      <c r="H142" s="34"/>
      <c r="I142" s="34"/>
      <c r="J142" s="21"/>
      <c r="K142" s="21"/>
      <c r="L142" s="21"/>
      <c r="M142" s="34"/>
      <c r="N142" s="35"/>
      <c r="O142" s="34"/>
      <c r="P142" s="35"/>
      <c r="Q142" s="33" t="str">
        <f aca="false">IF(OR(B142="",P142=""),"",P142-B142)</f>
        <v/>
      </c>
      <c r="R142" s="38" t="str">
        <f aca="true">IF(OR(M142&lt;&gt;"Yes",P142&lt;&gt;"",O142="Closed",O142="No Action Required"),"",IF(N142="","Due date missing",IF(N142&lt;TODAY(),"OVERDUE",IF(N142-TODAY()&lt;=2,"Due ≤2d","Open"))))</f>
        <v/>
      </c>
      <c r="S142" s="34"/>
      <c r="T142" s="34"/>
      <c r="U142" s="21"/>
    </row>
    <row r="143" customFormat="false" ht="15" hidden="false" customHeight="false" outlineLevel="0" collapsed="false">
      <c r="A143" s="6" t="s">
        <v>1003</v>
      </c>
      <c r="B143" s="35"/>
      <c r="C143" s="34"/>
      <c r="D143" s="34"/>
      <c r="E143" s="21"/>
      <c r="F143" s="34"/>
      <c r="G143" s="21"/>
      <c r="H143" s="34"/>
      <c r="I143" s="34"/>
      <c r="J143" s="21"/>
      <c r="K143" s="21"/>
      <c r="L143" s="21"/>
      <c r="M143" s="34"/>
      <c r="N143" s="35"/>
      <c r="O143" s="34"/>
      <c r="P143" s="35"/>
      <c r="Q143" s="33" t="str">
        <f aca="false">IF(OR(B143="",P143=""),"",P143-B143)</f>
        <v/>
      </c>
      <c r="R143" s="38" t="str">
        <f aca="true">IF(OR(M143&lt;&gt;"Yes",P143&lt;&gt;"",O143="Closed",O143="No Action Required"),"",IF(N143="","Due date missing",IF(N143&lt;TODAY(),"OVERDUE",IF(N143-TODAY()&lt;=2,"Due ≤2d","Open"))))</f>
        <v/>
      </c>
      <c r="S143" s="34"/>
      <c r="T143" s="34"/>
      <c r="U143" s="21"/>
    </row>
    <row r="144" customFormat="false" ht="15" hidden="false" customHeight="false" outlineLevel="0" collapsed="false">
      <c r="A144" s="6" t="s">
        <v>1004</v>
      </c>
      <c r="B144" s="35"/>
      <c r="C144" s="34"/>
      <c r="D144" s="34"/>
      <c r="E144" s="21"/>
      <c r="F144" s="34"/>
      <c r="G144" s="21"/>
      <c r="H144" s="34"/>
      <c r="I144" s="34"/>
      <c r="J144" s="21"/>
      <c r="K144" s="21"/>
      <c r="L144" s="21"/>
      <c r="M144" s="34"/>
      <c r="N144" s="35"/>
      <c r="O144" s="34"/>
      <c r="P144" s="35"/>
      <c r="Q144" s="33" t="str">
        <f aca="false">IF(OR(B144="",P144=""),"",P144-B144)</f>
        <v/>
      </c>
      <c r="R144" s="38" t="str">
        <f aca="true">IF(OR(M144&lt;&gt;"Yes",P144&lt;&gt;"",O144="Closed",O144="No Action Required"),"",IF(N144="","Due date missing",IF(N144&lt;TODAY(),"OVERDUE",IF(N144-TODAY()&lt;=2,"Due ≤2d","Open"))))</f>
        <v/>
      </c>
      <c r="S144" s="34"/>
      <c r="T144" s="34"/>
      <c r="U144" s="21"/>
    </row>
    <row r="145" customFormat="false" ht="15" hidden="false" customHeight="false" outlineLevel="0" collapsed="false">
      <c r="A145" s="6" t="s">
        <v>1005</v>
      </c>
      <c r="B145" s="35"/>
      <c r="C145" s="34"/>
      <c r="D145" s="34"/>
      <c r="E145" s="21"/>
      <c r="F145" s="34"/>
      <c r="G145" s="21"/>
      <c r="H145" s="34"/>
      <c r="I145" s="34"/>
      <c r="J145" s="21"/>
      <c r="K145" s="21"/>
      <c r="L145" s="21"/>
      <c r="M145" s="34"/>
      <c r="N145" s="35"/>
      <c r="O145" s="34"/>
      <c r="P145" s="35"/>
      <c r="Q145" s="33" t="str">
        <f aca="false">IF(OR(B145="",P145=""),"",P145-B145)</f>
        <v/>
      </c>
      <c r="R145" s="38" t="str">
        <f aca="true">IF(OR(M145&lt;&gt;"Yes",P145&lt;&gt;"",O145="Closed",O145="No Action Required"),"",IF(N145="","Due date missing",IF(N145&lt;TODAY(),"OVERDUE",IF(N145-TODAY()&lt;=2,"Due ≤2d","Open"))))</f>
        <v/>
      </c>
      <c r="S145" s="34"/>
      <c r="T145" s="34"/>
      <c r="U145" s="21"/>
    </row>
    <row r="146" customFormat="false" ht="15" hidden="false" customHeight="false" outlineLevel="0" collapsed="false">
      <c r="A146" s="6" t="s">
        <v>1006</v>
      </c>
      <c r="B146" s="35"/>
      <c r="C146" s="34"/>
      <c r="D146" s="34"/>
      <c r="E146" s="21"/>
      <c r="F146" s="34"/>
      <c r="G146" s="21"/>
      <c r="H146" s="34"/>
      <c r="I146" s="34"/>
      <c r="J146" s="21"/>
      <c r="K146" s="21"/>
      <c r="L146" s="21"/>
      <c r="M146" s="34"/>
      <c r="N146" s="35"/>
      <c r="O146" s="34"/>
      <c r="P146" s="35"/>
      <c r="Q146" s="33" t="str">
        <f aca="false">IF(OR(B146="",P146=""),"",P146-B146)</f>
        <v/>
      </c>
      <c r="R146" s="38" t="str">
        <f aca="true">IF(OR(M146&lt;&gt;"Yes",P146&lt;&gt;"",O146="Closed",O146="No Action Required"),"",IF(N146="","Due date missing",IF(N146&lt;TODAY(),"OVERDUE",IF(N146-TODAY()&lt;=2,"Due ≤2d","Open"))))</f>
        <v/>
      </c>
      <c r="S146" s="34"/>
      <c r="T146" s="34"/>
      <c r="U146" s="21"/>
    </row>
    <row r="147" customFormat="false" ht="15" hidden="false" customHeight="false" outlineLevel="0" collapsed="false">
      <c r="A147" s="6" t="s">
        <v>1007</v>
      </c>
      <c r="B147" s="35"/>
      <c r="C147" s="34"/>
      <c r="D147" s="34"/>
      <c r="E147" s="21"/>
      <c r="F147" s="34"/>
      <c r="G147" s="21"/>
      <c r="H147" s="34"/>
      <c r="I147" s="34"/>
      <c r="J147" s="21"/>
      <c r="K147" s="21"/>
      <c r="L147" s="21"/>
      <c r="M147" s="34"/>
      <c r="N147" s="35"/>
      <c r="O147" s="34"/>
      <c r="P147" s="35"/>
      <c r="Q147" s="33" t="str">
        <f aca="false">IF(OR(B147="",P147=""),"",P147-B147)</f>
        <v/>
      </c>
      <c r="R147" s="38" t="str">
        <f aca="true">IF(OR(M147&lt;&gt;"Yes",P147&lt;&gt;"",O147="Closed",O147="No Action Required"),"",IF(N147="","Due date missing",IF(N147&lt;TODAY(),"OVERDUE",IF(N147-TODAY()&lt;=2,"Due ≤2d","Open"))))</f>
        <v/>
      </c>
      <c r="S147" s="34"/>
      <c r="T147" s="34"/>
      <c r="U147" s="21"/>
    </row>
    <row r="148" customFormat="false" ht="15" hidden="false" customHeight="false" outlineLevel="0" collapsed="false">
      <c r="A148" s="6" t="s">
        <v>1008</v>
      </c>
      <c r="B148" s="35"/>
      <c r="C148" s="34"/>
      <c r="D148" s="34"/>
      <c r="E148" s="21"/>
      <c r="F148" s="34"/>
      <c r="G148" s="21"/>
      <c r="H148" s="34"/>
      <c r="I148" s="34"/>
      <c r="J148" s="21"/>
      <c r="K148" s="21"/>
      <c r="L148" s="21"/>
      <c r="M148" s="34"/>
      <c r="N148" s="35"/>
      <c r="O148" s="34"/>
      <c r="P148" s="35"/>
      <c r="Q148" s="33" t="str">
        <f aca="false">IF(OR(B148="",P148=""),"",P148-B148)</f>
        <v/>
      </c>
      <c r="R148" s="38" t="str">
        <f aca="true">IF(OR(M148&lt;&gt;"Yes",P148&lt;&gt;"",O148="Closed",O148="No Action Required"),"",IF(N148="","Due date missing",IF(N148&lt;TODAY(),"OVERDUE",IF(N148-TODAY()&lt;=2,"Due ≤2d","Open"))))</f>
        <v/>
      </c>
      <c r="S148" s="34"/>
      <c r="T148" s="34"/>
      <c r="U148" s="21"/>
    </row>
    <row r="149" customFormat="false" ht="15" hidden="false" customHeight="false" outlineLevel="0" collapsed="false">
      <c r="A149" s="6" t="s">
        <v>1009</v>
      </c>
      <c r="B149" s="35"/>
      <c r="C149" s="34"/>
      <c r="D149" s="34"/>
      <c r="E149" s="21"/>
      <c r="F149" s="34"/>
      <c r="G149" s="21"/>
      <c r="H149" s="34"/>
      <c r="I149" s="34"/>
      <c r="J149" s="21"/>
      <c r="K149" s="21"/>
      <c r="L149" s="21"/>
      <c r="M149" s="34"/>
      <c r="N149" s="35"/>
      <c r="O149" s="34"/>
      <c r="P149" s="35"/>
      <c r="Q149" s="33" t="str">
        <f aca="false">IF(OR(B149="",P149=""),"",P149-B149)</f>
        <v/>
      </c>
      <c r="R149" s="38" t="str">
        <f aca="true">IF(OR(M149&lt;&gt;"Yes",P149&lt;&gt;"",O149="Closed",O149="No Action Required"),"",IF(N149="","Due date missing",IF(N149&lt;TODAY(),"OVERDUE",IF(N149-TODAY()&lt;=2,"Due ≤2d","Open"))))</f>
        <v/>
      </c>
      <c r="S149" s="34"/>
      <c r="T149" s="34"/>
      <c r="U149" s="21"/>
    </row>
    <row r="150" customFormat="false" ht="15" hidden="false" customHeight="false" outlineLevel="0" collapsed="false">
      <c r="A150" s="6" t="s">
        <v>1010</v>
      </c>
      <c r="B150" s="35"/>
      <c r="C150" s="34"/>
      <c r="D150" s="34"/>
      <c r="E150" s="21"/>
      <c r="F150" s="34"/>
      <c r="G150" s="21"/>
      <c r="H150" s="34"/>
      <c r="I150" s="34"/>
      <c r="J150" s="21"/>
      <c r="K150" s="21"/>
      <c r="L150" s="21"/>
      <c r="M150" s="34"/>
      <c r="N150" s="35"/>
      <c r="O150" s="34"/>
      <c r="P150" s="35"/>
      <c r="Q150" s="33" t="str">
        <f aca="false">IF(OR(B150="",P150=""),"",P150-B150)</f>
        <v/>
      </c>
      <c r="R150" s="38" t="str">
        <f aca="true">IF(OR(M150&lt;&gt;"Yes",P150&lt;&gt;"",O150="Closed",O150="No Action Required"),"",IF(N150="","Due date missing",IF(N150&lt;TODAY(),"OVERDUE",IF(N150-TODAY()&lt;=2,"Due ≤2d","Open"))))</f>
        <v/>
      </c>
      <c r="S150" s="34"/>
      <c r="T150" s="34"/>
      <c r="U150" s="21"/>
    </row>
    <row r="151" customFormat="false" ht="15" hidden="false" customHeight="false" outlineLevel="0" collapsed="false">
      <c r="A151" s="6" t="s">
        <v>1011</v>
      </c>
      <c r="B151" s="35"/>
      <c r="C151" s="34"/>
      <c r="D151" s="34"/>
      <c r="E151" s="21"/>
      <c r="F151" s="34"/>
      <c r="G151" s="21"/>
      <c r="H151" s="34"/>
      <c r="I151" s="34"/>
      <c r="J151" s="21"/>
      <c r="K151" s="21"/>
      <c r="L151" s="21"/>
      <c r="M151" s="34"/>
      <c r="N151" s="35"/>
      <c r="O151" s="34"/>
      <c r="P151" s="35"/>
      <c r="Q151" s="33" t="str">
        <f aca="false">IF(OR(B151="",P151=""),"",P151-B151)</f>
        <v/>
      </c>
      <c r="R151" s="38" t="str">
        <f aca="true">IF(OR(M151&lt;&gt;"Yes",P151&lt;&gt;"",O151="Closed",O151="No Action Required"),"",IF(N151="","Due date missing",IF(N151&lt;TODAY(),"OVERDUE",IF(N151-TODAY()&lt;=2,"Due ≤2d","Open"))))</f>
        <v/>
      </c>
      <c r="S151" s="34"/>
      <c r="T151" s="34"/>
      <c r="U151" s="21"/>
    </row>
    <row r="152" customFormat="false" ht="15" hidden="false" customHeight="false" outlineLevel="0" collapsed="false">
      <c r="A152" s="6" t="s">
        <v>1012</v>
      </c>
      <c r="B152" s="35"/>
      <c r="C152" s="34"/>
      <c r="D152" s="34"/>
      <c r="E152" s="21"/>
      <c r="F152" s="34"/>
      <c r="G152" s="21"/>
      <c r="H152" s="34"/>
      <c r="I152" s="34"/>
      <c r="J152" s="21"/>
      <c r="K152" s="21"/>
      <c r="L152" s="21"/>
      <c r="M152" s="34"/>
      <c r="N152" s="35"/>
      <c r="O152" s="34"/>
      <c r="P152" s="35"/>
      <c r="Q152" s="33" t="str">
        <f aca="false">IF(OR(B152="",P152=""),"",P152-B152)</f>
        <v/>
      </c>
      <c r="R152" s="38" t="str">
        <f aca="true">IF(OR(M152&lt;&gt;"Yes",P152&lt;&gt;"",O152="Closed",O152="No Action Required"),"",IF(N152="","Due date missing",IF(N152&lt;TODAY(),"OVERDUE",IF(N152-TODAY()&lt;=2,"Due ≤2d","Open"))))</f>
        <v/>
      </c>
      <c r="S152" s="34"/>
      <c r="T152" s="34"/>
      <c r="U152" s="21"/>
    </row>
    <row r="153" customFormat="false" ht="15" hidden="false" customHeight="false" outlineLevel="0" collapsed="false">
      <c r="A153" s="6" t="s">
        <v>1013</v>
      </c>
      <c r="B153" s="35"/>
      <c r="C153" s="34"/>
      <c r="D153" s="34"/>
      <c r="E153" s="21"/>
      <c r="F153" s="34"/>
      <c r="G153" s="21"/>
      <c r="H153" s="34"/>
      <c r="I153" s="34"/>
      <c r="J153" s="21"/>
      <c r="K153" s="21"/>
      <c r="L153" s="21"/>
      <c r="M153" s="34"/>
      <c r="N153" s="35"/>
      <c r="O153" s="34"/>
      <c r="P153" s="35"/>
      <c r="Q153" s="33" t="str">
        <f aca="false">IF(OR(B153="",P153=""),"",P153-B153)</f>
        <v/>
      </c>
      <c r="R153" s="38" t="str">
        <f aca="true">IF(OR(M153&lt;&gt;"Yes",P153&lt;&gt;"",O153="Closed",O153="No Action Required"),"",IF(N153="","Due date missing",IF(N153&lt;TODAY(),"OVERDUE",IF(N153-TODAY()&lt;=2,"Due ≤2d","Open"))))</f>
        <v/>
      </c>
      <c r="S153" s="34"/>
      <c r="T153" s="34"/>
      <c r="U153" s="21"/>
    </row>
    <row r="154" customFormat="false" ht="15" hidden="false" customHeight="false" outlineLevel="0" collapsed="false">
      <c r="A154" s="6" t="s">
        <v>1014</v>
      </c>
      <c r="B154" s="35"/>
      <c r="C154" s="34"/>
      <c r="D154" s="34"/>
      <c r="E154" s="21"/>
      <c r="F154" s="34"/>
      <c r="G154" s="21"/>
      <c r="H154" s="34"/>
      <c r="I154" s="34"/>
      <c r="J154" s="21"/>
      <c r="K154" s="21"/>
      <c r="L154" s="21"/>
      <c r="M154" s="34"/>
      <c r="N154" s="35"/>
      <c r="O154" s="34"/>
      <c r="P154" s="35"/>
      <c r="Q154" s="33" t="str">
        <f aca="false">IF(OR(B154="",P154=""),"",P154-B154)</f>
        <v/>
      </c>
      <c r="R154" s="38" t="str">
        <f aca="true">IF(OR(M154&lt;&gt;"Yes",P154&lt;&gt;"",O154="Closed",O154="No Action Required"),"",IF(N154="","Due date missing",IF(N154&lt;TODAY(),"OVERDUE",IF(N154-TODAY()&lt;=2,"Due ≤2d","Open"))))</f>
        <v/>
      </c>
      <c r="S154" s="34"/>
      <c r="T154" s="34"/>
      <c r="U154" s="21"/>
    </row>
    <row r="155" customFormat="false" ht="15" hidden="false" customHeight="false" outlineLevel="0" collapsed="false">
      <c r="A155" s="6" t="s">
        <v>1015</v>
      </c>
      <c r="B155" s="35"/>
      <c r="C155" s="34"/>
      <c r="D155" s="34"/>
      <c r="E155" s="21"/>
      <c r="F155" s="34"/>
      <c r="G155" s="21"/>
      <c r="H155" s="34"/>
      <c r="I155" s="34"/>
      <c r="J155" s="21"/>
      <c r="K155" s="21"/>
      <c r="L155" s="21"/>
      <c r="M155" s="34"/>
      <c r="N155" s="35"/>
      <c r="O155" s="34"/>
      <c r="P155" s="35"/>
      <c r="Q155" s="33" t="str">
        <f aca="false">IF(OR(B155="",P155=""),"",P155-B155)</f>
        <v/>
      </c>
      <c r="R155" s="38" t="str">
        <f aca="true">IF(OR(M155&lt;&gt;"Yes",P155&lt;&gt;"",O155="Closed",O155="No Action Required"),"",IF(N155="","Due date missing",IF(N155&lt;TODAY(),"OVERDUE",IF(N155-TODAY()&lt;=2,"Due ≤2d","Open"))))</f>
        <v/>
      </c>
      <c r="S155" s="34"/>
      <c r="T155" s="34"/>
      <c r="U155" s="21"/>
    </row>
    <row r="156" customFormat="false" ht="15" hidden="false" customHeight="false" outlineLevel="0" collapsed="false">
      <c r="A156" s="6" t="s">
        <v>1016</v>
      </c>
      <c r="B156" s="35"/>
      <c r="C156" s="34"/>
      <c r="D156" s="34"/>
      <c r="E156" s="21"/>
      <c r="F156" s="34"/>
      <c r="G156" s="21"/>
      <c r="H156" s="34"/>
      <c r="I156" s="34"/>
      <c r="J156" s="21"/>
      <c r="K156" s="21"/>
      <c r="L156" s="21"/>
      <c r="M156" s="34"/>
      <c r="N156" s="35"/>
      <c r="O156" s="34"/>
      <c r="P156" s="35"/>
      <c r="Q156" s="33" t="str">
        <f aca="false">IF(OR(B156="",P156=""),"",P156-B156)</f>
        <v/>
      </c>
      <c r="R156" s="38" t="str">
        <f aca="true">IF(OR(M156&lt;&gt;"Yes",P156&lt;&gt;"",O156="Closed",O156="No Action Required"),"",IF(N156="","Due date missing",IF(N156&lt;TODAY(),"OVERDUE",IF(N156-TODAY()&lt;=2,"Due ≤2d","Open"))))</f>
        <v/>
      </c>
      <c r="S156" s="34"/>
      <c r="T156" s="34"/>
      <c r="U156" s="21"/>
    </row>
    <row r="157" customFormat="false" ht="15" hidden="false" customHeight="false" outlineLevel="0" collapsed="false">
      <c r="A157" s="6" t="s">
        <v>1017</v>
      </c>
      <c r="B157" s="35"/>
      <c r="C157" s="34"/>
      <c r="D157" s="34"/>
      <c r="E157" s="21"/>
      <c r="F157" s="34"/>
      <c r="G157" s="21"/>
      <c r="H157" s="34"/>
      <c r="I157" s="34"/>
      <c r="J157" s="21"/>
      <c r="K157" s="21"/>
      <c r="L157" s="21"/>
      <c r="M157" s="34"/>
      <c r="N157" s="35"/>
      <c r="O157" s="34"/>
      <c r="P157" s="35"/>
      <c r="Q157" s="33" t="str">
        <f aca="false">IF(OR(B157="",P157=""),"",P157-B157)</f>
        <v/>
      </c>
      <c r="R157" s="38" t="str">
        <f aca="true">IF(OR(M157&lt;&gt;"Yes",P157&lt;&gt;"",O157="Closed",O157="No Action Required"),"",IF(N157="","Due date missing",IF(N157&lt;TODAY(),"OVERDUE",IF(N157-TODAY()&lt;=2,"Due ≤2d","Open"))))</f>
        <v/>
      </c>
      <c r="S157" s="34"/>
      <c r="T157" s="34"/>
      <c r="U157" s="21"/>
    </row>
    <row r="158" customFormat="false" ht="15" hidden="false" customHeight="false" outlineLevel="0" collapsed="false">
      <c r="A158" s="6" t="s">
        <v>1018</v>
      </c>
      <c r="B158" s="35"/>
      <c r="C158" s="34"/>
      <c r="D158" s="34"/>
      <c r="E158" s="21"/>
      <c r="F158" s="34"/>
      <c r="G158" s="21"/>
      <c r="H158" s="34"/>
      <c r="I158" s="34"/>
      <c r="J158" s="21"/>
      <c r="K158" s="21"/>
      <c r="L158" s="21"/>
      <c r="M158" s="34"/>
      <c r="N158" s="35"/>
      <c r="O158" s="34"/>
      <c r="P158" s="35"/>
      <c r="Q158" s="33" t="str">
        <f aca="false">IF(OR(B158="",P158=""),"",P158-B158)</f>
        <v/>
      </c>
      <c r="R158" s="38" t="str">
        <f aca="true">IF(OR(M158&lt;&gt;"Yes",P158&lt;&gt;"",O158="Closed",O158="No Action Required"),"",IF(N158="","Due date missing",IF(N158&lt;TODAY(),"OVERDUE",IF(N158-TODAY()&lt;=2,"Due ≤2d","Open"))))</f>
        <v/>
      </c>
      <c r="S158" s="34"/>
      <c r="T158" s="34"/>
      <c r="U158" s="21"/>
    </row>
    <row r="159" customFormat="false" ht="15" hidden="false" customHeight="false" outlineLevel="0" collapsed="false">
      <c r="A159" s="6" t="s">
        <v>1019</v>
      </c>
      <c r="B159" s="35"/>
      <c r="C159" s="34"/>
      <c r="D159" s="34"/>
      <c r="E159" s="21"/>
      <c r="F159" s="34"/>
      <c r="G159" s="21"/>
      <c r="H159" s="34"/>
      <c r="I159" s="34"/>
      <c r="J159" s="21"/>
      <c r="K159" s="21"/>
      <c r="L159" s="21"/>
      <c r="M159" s="34"/>
      <c r="N159" s="35"/>
      <c r="O159" s="34"/>
      <c r="P159" s="35"/>
      <c r="Q159" s="33" t="str">
        <f aca="false">IF(OR(B159="",P159=""),"",P159-B159)</f>
        <v/>
      </c>
      <c r="R159" s="38" t="str">
        <f aca="true">IF(OR(M159&lt;&gt;"Yes",P159&lt;&gt;"",O159="Closed",O159="No Action Required"),"",IF(N159="","Due date missing",IF(N159&lt;TODAY(),"OVERDUE",IF(N159-TODAY()&lt;=2,"Due ≤2d","Open"))))</f>
        <v/>
      </c>
      <c r="S159" s="34"/>
      <c r="T159" s="34"/>
      <c r="U159" s="21"/>
    </row>
    <row r="160" customFormat="false" ht="15" hidden="false" customHeight="false" outlineLevel="0" collapsed="false">
      <c r="A160" s="6" t="s">
        <v>1020</v>
      </c>
      <c r="B160" s="35"/>
      <c r="C160" s="34"/>
      <c r="D160" s="34"/>
      <c r="E160" s="21"/>
      <c r="F160" s="34"/>
      <c r="G160" s="21"/>
      <c r="H160" s="34"/>
      <c r="I160" s="34"/>
      <c r="J160" s="21"/>
      <c r="K160" s="21"/>
      <c r="L160" s="21"/>
      <c r="M160" s="34"/>
      <c r="N160" s="35"/>
      <c r="O160" s="34"/>
      <c r="P160" s="35"/>
      <c r="Q160" s="33" t="str">
        <f aca="false">IF(OR(B160="",P160=""),"",P160-B160)</f>
        <v/>
      </c>
      <c r="R160" s="38" t="str">
        <f aca="true">IF(OR(M160&lt;&gt;"Yes",P160&lt;&gt;"",O160="Closed",O160="No Action Required"),"",IF(N160="","Due date missing",IF(N160&lt;TODAY(),"OVERDUE",IF(N160-TODAY()&lt;=2,"Due ≤2d","Open"))))</f>
        <v/>
      </c>
      <c r="S160" s="34"/>
      <c r="T160" s="34"/>
      <c r="U160" s="21"/>
    </row>
    <row r="161" customFormat="false" ht="15" hidden="false" customHeight="false" outlineLevel="0" collapsed="false">
      <c r="A161" s="6" t="s">
        <v>1021</v>
      </c>
      <c r="B161" s="35"/>
      <c r="C161" s="34"/>
      <c r="D161" s="34"/>
      <c r="E161" s="21"/>
      <c r="F161" s="34"/>
      <c r="G161" s="21"/>
      <c r="H161" s="34"/>
      <c r="I161" s="34"/>
      <c r="J161" s="21"/>
      <c r="K161" s="21"/>
      <c r="L161" s="21"/>
      <c r="M161" s="34"/>
      <c r="N161" s="35"/>
      <c r="O161" s="34"/>
      <c r="P161" s="35"/>
      <c r="Q161" s="33" t="str">
        <f aca="false">IF(OR(B161="",P161=""),"",P161-B161)</f>
        <v/>
      </c>
      <c r="R161" s="38" t="str">
        <f aca="true">IF(OR(M161&lt;&gt;"Yes",P161&lt;&gt;"",O161="Closed",O161="No Action Required"),"",IF(N161="","Due date missing",IF(N161&lt;TODAY(),"OVERDUE",IF(N161-TODAY()&lt;=2,"Due ≤2d","Open"))))</f>
        <v/>
      </c>
      <c r="S161" s="34"/>
      <c r="T161" s="34"/>
      <c r="U161" s="21"/>
    </row>
    <row r="162" customFormat="false" ht="15" hidden="false" customHeight="false" outlineLevel="0" collapsed="false">
      <c r="A162" s="6" t="s">
        <v>1022</v>
      </c>
      <c r="B162" s="35"/>
      <c r="C162" s="34"/>
      <c r="D162" s="34"/>
      <c r="E162" s="21"/>
      <c r="F162" s="34"/>
      <c r="G162" s="21"/>
      <c r="H162" s="34"/>
      <c r="I162" s="34"/>
      <c r="J162" s="21"/>
      <c r="K162" s="21"/>
      <c r="L162" s="21"/>
      <c r="M162" s="34"/>
      <c r="N162" s="35"/>
      <c r="O162" s="34"/>
      <c r="P162" s="35"/>
      <c r="Q162" s="33" t="str">
        <f aca="false">IF(OR(B162="",P162=""),"",P162-B162)</f>
        <v/>
      </c>
      <c r="R162" s="38" t="str">
        <f aca="true">IF(OR(M162&lt;&gt;"Yes",P162&lt;&gt;"",O162="Closed",O162="No Action Required"),"",IF(N162="","Due date missing",IF(N162&lt;TODAY(),"OVERDUE",IF(N162-TODAY()&lt;=2,"Due ≤2d","Open"))))</f>
        <v/>
      </c>
      <c r="S162" s="34"/>
      <c r="T162" s="34"/>
      <c r="U162" s="21"/>
    </row>
    <row r="163" customFormat="false" ht="15" hidden="false" customHeight="false" outlineLevel="0" collapsed="false">
      <c r="A163" s="6" t="s">
        <v>1023</v>
      </c>
      <c r="B163" s="35"/>
      <c r="C163" s="34"/>
      <c r="D163" s="34"/>
      <c r="E163" s="21"/>
      <c r="F163" s="34"/>
      <c r="G163" s="21"/>
      <c r="H163" s="34"/>
      <c r="I163" s="34"/>
      <c r="J163" s="21"/>
      <c r="K163" s="21"/>
      <c r="L163" s="21"/>
      <c r="M163" s="34"/>
      <c r="N163" s="35"/>
      <c r="O163" s="34"/>
      <c r="P163" s="35"/>
      <c r="Q163" s="33" t="str">
        <f aca="false">IF(OR(B163="",P163=""),"",P163-B163)</f>
        <v/>
      </c>
      <c r="R163" s="38" t="str">
        <f aca="true">IF(OR(M163&lt;&gt;"Yes",P163&lt;&gt;"",O163="Closed",O163="No Action Required"),"",IF(N163="","Due date missing",IF(N163&lt;TODAY(),"OVERDUE",IF(N163-TODAY()&lt;=2,"Due ≤2d","Open"))))</f>
        <v/>
      </c>
      <c r="S163" s="34"/>
      <c r="T163" s="34"/>
      <c r="U163" s="21"/>
    </row>
    <row r="164" customFormat="false" ht="15" hidden="false" customHeight="false" outlineLevel="0" collapsed="false">
      <c r="A164" s="6" t="s">
        <v>1024</v>
      </c>
      <c r="B164" s="35"/>
      <c r="C164" s="34"/>
      <c r="D164" s="34"/>
      <c r="E164" s="21"/>
      <c r="F164" s="34"/>
      <c r="G164" s="21"/>
      <c r="H164" s="34"/>
      <c r="I164" s="34"/>
      <c r="J164" s="21"/>
      <c r="K164" s="21"/>
      <c r="L164" s="21"/>
      <c r="M164" s="34"/>
      <c r="N164" s="35"/>
      <c r="O164" s="34"/>
      <c r="P164" s="35"/>
      <c r="Q164" s="33" t="str">
        <f aca="false">IF(OR(B164="",P164=""),"",P164-B164)</f>
        <v/>
      </c>
      <c r="R164" s="38" t="str">
        <f aca="true">IF(OR(M164&lt;&gt;"Yes",P164&lt;&gt;"",O164="Closed",O164="No Action Required"),"",IF(N164="","Due date missing",IF(N164&lt;TODAY(),"OVERDUE",IF(N164-TODAY()&lt;=2,"Due ≤2d","Open"))))</f>
        <v/>
      </c>
      <c r="S164" s="34"/>
      <c r="T164" s="34"/>
      <c r="U164" s="21"/>
    </row>
    <row r="165" customFormat="false" ht="15" hidden="false" customHeight="false" outlineLevel="0" collapsed="false">
      <c r="A165" s="6" t="s">
        <v>1025</v>
      </c>
      <c r="B165" s="35"/>
      <c r="C165" s="34"/>
      <c r="D165" s="34"/>
      <c r="E165" s="21"/>
      <c r="F165" s="34"/>
      <c r="G165" s="21"/>
      <c r="H165" s="34"/>
      <c r="I165" s="34"/>
      <c r="J165" s="21"/>
      <c r="K165" s="21"/>
      <c r="L165" s="21"/>
      <c r="M165" s="34"/>
      <c r="N165" s="35"/>
      <c r="O165" s="34"/>
      <c r="P165" s="35"/>
      <c r="Q165" s="33" t="str">
        <f aca="false">IF(OR(B165="",P165=""),"",P165-B165)</f>
        <v/>
      </c>
      <c r="R165" s="38" t="str">
        <f aca="true">IF(OR(M165&lt;&gt;"Yes",P165&lt;&gt;"",O165="Closed",O165="No Action Required"),"",IF(N165="","Due date missing",IF(N165&lt;TODAY(),"OVERDUE",IF(N165-TODAY()&lt;=2,"Due ≤2d","Open"))))</f>
        <v/>
      </c>
      <c r="S165" s="34"/>
      <c r="T165" s="34"/>
      <c r="U165" s="21"/>
    </row>
    <row r="166" customFormat="false" ht="15" hidden="false" customHeight="false" outlineLevel="0" collapsed="false">
      <c r="A166" s="6" t="s">
        <v>1026</v>
      </c>
      <c r="B166" s="35"/>
      <c r="C166" s="34"/>
      <c r="D166" s="34"/>
      <c r="E166" s="21"/>
      <c r="F166" s="34"/>
      <c r="G166" s="21"/>
      <c r="H166" s="34"/>
      <c r="I166" s="34"/>
      <c r="J166" s="21"/>
      <c r="K166" s="21"/>
      <c r="L166" s="21"/>
      <c r="M166" s="34"/>
      <c r="N166" s="35"/>
      <c r="O166" s="34"/>
      <c r="P166" s="35"/>
      <c r="Q166" s="33" t="str">
        <f aca="false">IF(OR(B166="",P166=""),"",P166-B166)</f>
        <v/>
      </c>
      <c r="R166" s="38" t="str">
        <f aca="true">IF(OR(M166&lt;&gt;"Yes",P166&lt;&gt;"",O166="Closed",O166="No Action Required"),"",IF(N166="","Due date missing",IF(N166&lt;TODAY(),"OVERDUE",IF(N166-TODAY()&lt;=2,"Due ≤2d","Open"))))</f>
        <v/>
      </c>
      <c r="S166" s="34"/>
      <c r="T166" s="34"/>
      <c r="U166" s="21"/>
    </row>
    <row r="167" customFormat="false" ht="15" hidden="false" customHeight="false" outlineLevel="0" collapsed="false">
      <c r="A167" s="6" t="s">
        <v>1027</v>
      </c>
      <c r="B167" s="35"/>
      <c r="C167" s="34"/>
      <c r="D167" s="34"/>
      <c r="E167" s="21"/>
      <c r="F167" s="34"/>
      <c r="G167" s="21"/>
      <c r="H167" s="34"/>
      <c r="I167" s="34"/>
      <c r="J167" s="21"/>
      <c r="K167" s="21"/>
      <c r="L167" s="21"/>
      <c r="M167" s="34"/>
      <c r="N167" s="35"/>
      <c r="O167" s="34"/>
      <c r="P167" s="35"/>
      <c r="Q167" s="33" t="str">
        <f aca="false">IF(OR(B167="",P167=""),"",P167-B167)</f>
        <v/>
      </c>
      <c r="R167" s="38" t="str">
        <f aca="true">IF(OR(M167&lt;&gt;"Yes",P167&lt;&gt;"",O167="Closed",O167="No Action Required"),"",IF(N167="","Due date missing",IF(N167&lt;TODAY(),"OVERDUE",IF(N167-TODAY()&lt;=2,"Due ≤2d","Open"))))</f>
        <v/>
      </c>
      <c r="S167" s="34"/>
      <c r="T167" s="34"/>
      <c r="U167" s="21"/>
    </row>
    <row r="168" customFormat="false" ht="15" hidden="false" customHeight="false" outlineLevel="0" collapsed="false">
      <c r="A168" s="6" t="s">
        <v>1028</v>
      </c>
      <c r="B168" s="35"/>
      <c r="C168" s="34"/>
      <c r="D168" s="34"/>
      <c r="E168" s="21"/>
      <c r="F168" s="34"/>
      <c r="G168" s="21"/>
      <c r="H168" s="34"/>
      <c r="I168" s="34"/>
      <c r="J168" s="21"/>
      <c r="K168" s="21"/>
      <c r="L168" s="21"/>
      <c r="M168" s="34"/>
      <c r="N168" s="35"/>
      <c r="O168" s="34"/>
      <c r="P168" s="35"/>
      <c r="Q168" s="33" t="str">
        <f aca="false">IF(OR(B168="",P168=""),"",P168-B168)</f>
        <v/>
      </c>
      <c r="R168" s="38" t="str">
        <f aca="true">IF(OR(M168&lt;&gt;"Yes",P168&lt;&gt;"",O168="Closed",O168="No Action Required"),"",IF(N168="","Due date missing",IF(N168&lt;TODAY(),"OVERDUE",IF(N168-TODAY()&lt;=2,"Due ≤2d","Open"))))</f>
        <v/>
      </c>
      <c r="S168" s="34"/>
      <c r="T168" s="34"/>
      <c r="U168" s="21"/>
    </row>
    <row r="169" customFormat="false" ht="15" hidden="false" customHeight="false" outlineLevel="0" collapsed="false">
      <c r="A169" s="6" t="s">
        <v>1029</v>
      </c>
      <c r="B169" s="35"/>
      <c r="C169" s="34"/>
      <c r="D169" s="34"/>
      <c r="E169" s="21"/>
      <c r="F169" s="34"/>
      <c r="G169" s="21"/>
      <c r="H169" s="34"/>
      <c r="I169" s="34"/>
      <c r="J169" s="21"/>
      <c r="K169" s="21"/>
      <c r="L169" s="21"/>
      <c r="M169" s="34"/>
      <c r="N169" s="35"/>
      <c r="O169" s="34"/>
      <c r="P169" s="35"/>
      <c r="Q169" s="33" t="str">
        <f aca="false">IF(OR(B169="",P169=""),"",P169-B169)</f>
        <v/>
      </c>
      <c r="R169" s="38" t="str">
        <f aca="true">IF(OR(M169&lt;&gt;"Yes",P169&lt;&gt;"",O169="Closed",O169="No Action Required"),"",IF(N169="","Due date missing",IF(N169&lt;TODAY(),"OVERDUE",IF(N169-TODAY()&lt;=2,"Due ≤2d","Open"))))</f>
        <v/>
      </c>
      <c r="S169" s="34"/>
      <c r="T169" s="34"/>
      <c r="U169" s="21"/>
    </row>
    <row r="170" customFormat="false" ht="15" hidden="false" customHeight="false" outlineLevel="0" collapsed="false">
      <c r="A170" s="6" t="s">
        <v>1030</v>
      </c>
      <c r="B170" s="35"/>
      <c r="C170" s="34"/>
      <c r="D170" s="34"/>
      <c r="E170" s="21"/>
      <c r="F170" s="34"/>
      <c r="G170" s="21"/>
      <c r="H170" s="34"/>
      <c r="I170" s="34"/>
      <c r="J170" s="21"/>
      <c r="K170" s="21"/>
      <c r="L170" s="21"/>
      <c r="M170" s="34"/>
      <c r="N170" s="35"/>
      <c r="O170" s="34"/>
      <c r="P170" s="35"/>
      <c r="Q170" s="33" t="str">
        <f aca="false">IF(OR(B170="",P170=""),"",P170-B170)</f>
        <v/>
      </c>
      <c r="R170" s="38" t="str">
        <f aca="true">IF(OR(M170&lt;&gt;"Yes",P170&lt;&gt;"",O170="Closed",O170="No Action Required"),"",IF(N170="","Due date missing",IF(N170&lt;TODAY(),"OVERDUE",IF(N170-TODAY()&lt;=2,"Due ≤2d","Open"))))</f>
        <v/>
      </c>
      <c r="S170" s="34"/>
      <c r="T170" s="34"/>
      <c r="U170" s="21"/>
    </row>
    <row r="171" customFormat="false" ht="15" hidden="false" customHeight="false" outlineLevel="0" collapsed="false">
      <c r="A171" s="6" t="s">
        <v>1031</v>
      </c>
      <c r="B171" s="35"/>
      <c r="C171" s="34"/>
      <c r="D171" s="34"/>
      <c r="E171" s="21"/>
      <c r="F171" s="34"/>
      <c r="G171" s="21"/>
      <c r="H171" s="34"/>
      <c r="I171" s="34"/>
      <c r="J171" s="21"/>
      <c r="K171" s="21"/>
      <c r="L171" s="21"/>
      <c r="M171" s="34"/>
      <c r="N171" s="35"/>
      <c r="O171" s="34"/>
      <c r="P171" s="35"/>
      <c r="Q171" s="33" t="str">
        <f aca="false">IF(OR(B171="",P171=""),"",P171-B171)</f>
        <v/>
      </c>
      <c r="R171" s="38" t="str">
        <f aca="true">IF(OR(M171&lt;&gt;"Yes",P171&lt;&gt;"",O171="Closed",O171="No Action Required"),"",IF(N171="","Due date missing",IF(N171&lt;TODAY(),"OVERDUE",IF(N171-TODAY()&lt;=2,"Due ≤2d","Open"))))</f>
        <v/>
      </c>
      <c r="S171" s="34"/>
      <c r="T171" s="34"/>
      <c r="U171" s="21"/>
    </row>
    <row r="172" customFormat="false" ht="15" hidden="false" customHeight="false" outlineLevel="0" collapsed="false">
      <c r="A172" s="6" t="s">
        <v>1032</v>
      </c>
      <c r="B172" s="35"/>
      <c r="C172" s="34"/>
      <c r="D172" s="34"/>
      <c r="E172" s="21"/>
      <c r="F172" s="34"/>
      <c r="G172" s="21"/>
      <c r="H172" s="34"/>
      <c r="I172" s="34"/>
      <c r="J172" s="21"/>
      <c r="K172" s="21"/>
      <c r="L172" s="21"/>
      <c r="M172" s="34"/>
      <c r="N172" s="35"/>
      <c r="O172" s="34"/>
      <c r="P172" s="35"/>
      <c r="Q172" s="33" t="str">
        <f aca="false">IF(OR(B172="",P172=""),"",P172-B172)</f>
        <v/>
      </c>
      <c r="R172" s="38" t="str">
        <f aca="true">IF(OR(M172&lt;&gt;"Yes",P172&lt;&gt;"",O172="Closed",O172="No Action Required"),"",IF(N172="","Due date missing",IF(N172&lt;TODAY(),"OVERDUE",IF(N172-TODAY()&lt;=2,"Due ≤2d","Open"))))</f>
        <v/>
      </c>
      <c r="S172" s="34"/>
      <c r="T172" s="34"/>
      <c r="U172" s="21"/>
    </row>
    <row r="173" customFormat="false" ht="15" hidden="false" customHeight="false" outlineLevel="0" collapsed="false">
      <c r="A173" s="6" t="s">
        <v>1033</v>
      </c>
      <c r="B173" s="35"/>
      <c r="C173" s="34"/>
      <c r="D173" s="34"/>
      <c r="E173" s="21"/>
      <c r="F173" s="34"/>
      <c r="G173" s="21"/>
      <c r="H173" s="34"/>
      <c r="I173" s="34"/>
      <c r="J173" s="21"/>
      <c r="K173" s="21"/>
      <c r="L173" s="21"/>
      <c r="M173" s="34"/>
      <c r="N173" s="35"/>
      <c r="O173" s="34"/>
      <c r="P173" s="35"/>
      <c r="Q173" s="33" t="str">
        <f aca="false">IF(OR(B173="",P173=""),"",P173-B173)</f>
        <v/>
      </c>
      <c r="R173" s="38" t="str">
        <f aca="true">IF(OR(M173&lt;&gt;"Yes",P173&lt;&gt;"",O173="Closed",O173="No Action Required"),"",IF(N173="","Due date missing",IF(N173&lt;TODAY(),"OVERDUE",IF(N173-TODAY()&lt;=2,"Due ≤2d","Open"))))</f>
        <v/>
      </c>
      <c r="S173" s="34"/>
      <c r="T173" s="34"/>
      <c r="U173" s="21"/>
    </row>
    <row r="174" customFormat="false" ht="15" hidden="false" customHeight="false" outlineLevel="0" collapsed="false">
      <c r="A174" s="6" t="s">
        <v>1034</v>
      </c>
      <c r="B174" s="35"/>
      <c r="C174" s="34"/>
      <c r="D174" s="34"/>
      <c r="E174" s="21"/>
      <c r="F174" s="34"/>
      <c r="G174" s="21"/>
      <c r="H174" s="34"/>
      <c r="I174" s="34"/>
      <c r="J174" s="21"/>
      <c r="K174" s="21"/>
      <c r="L174" s="21"/>
      <c r="M174" s="34"/>
      <c r="N174" s="35"/>
      <c r="O174" s="34"/>
      <c r="P174" s="35"/>
      <c r="Q174" s="33" t="str">
        <f aca="false">IF(OR(B174="",P174=""),"",P174-B174)</f>
        <v/>
      </c>
      <c r="R174" s="38" t="str">
        <f aca="true">IF(OR(M174&lt;&gt;"Yes",P174&lt;&gt;"",O174="Closed",O174="No Action Required"),"",IF(N174="","Due date missing",IF(N174&lt;TODAY(),"OVERDUE",IF(N174-TODAY()&lt;=2,"Due ≤2d","Open"))))</f>
        <v/>
      </c>
      <c r="S174" s="34"/>
      <c r="T174" s="34"/>
      <c r="U174" s="21"/>
    </row>
    <row r="175" customFormat="false" ht="15" hidden="false" customHeight="false" outlineLevel="0" collapsed="false">
      <c r="A175" s="6" t="s">
        <v>1035</v>
      </c>
      <c r="B175" s="35"/>
      <c r="C175" s="34"/>
      <c r="D175" s="34"/>
      <c r="E175" s="21"/>
      <c r="F175" s="34"/>
      <c r="G175" s="21"/>
      <c r="H175" s="34"/>
      <c r="I175" s="34"/>
      <c r="J175" s="21"/>
      <c r="K175" s="21"/>
      <c r="L175" s="21"/>
      <c r="M175" s="34"/>
      <c r="N175" s="35"/>
      <c r="O175" s="34"/>
      <c r="P175" s="35"/>
      <c r="Q175" s="33" t="str">
        <f aca="false">IF(OR(B175="",P175=""),"",P175-B175)</f>
        <v/>
      </c>
      <c r="R175" s="38" t="str">
        <f aca="true">IF(OR(M175&lt;&gt;"Yes",P175&lt;&gt;"",O175="Closed",O175="No Action Required"),"",IF(N175="","Due date missing",IF(N175&lt;TODAY(),"OVERDUE",IF(N175-TODAY()&lt;=2,"Due ≤2d","Open"))))</f>
        <v/>
      </c>
      <c r="S175" s="34"/>
      <c r="T175" s="34"/>
      <c r="U175" s="21"/>
    </row>
    <row r="176" customFormat="false" ht="15" hidden="false" customHeight="false" outlineLevel="0" collapsed="false">
      <c r="A176" s="6" t="s">
        <v>1036</v>
      </c>
      <c r="B176" s="35"/>
      <c r="C176" s="34"/>
      <c r="D176" s="34"/>
      <c r="E176" s="21"/>
      <c r="F176" s="34"/>
      <c r="G176" s="21"/>
      <c r="H176" s="34"/>
      <c r="I176" s="34"/>
      <c r="J176" s="21"/>
      <c r="K176" s="21"/>
      <c r="L176" s="21"/>
      <c r="M176" s="34"/>
      <c r="N176" s="35"/>
      <c r="O176" s="34"/>
      <c r="P176" s="35"/>
      <c r="Q176" s="33" t="str">
        <f aca="false">IF(OR(B176="",P176=""),"",P176-B176)</f>
        <v/>
      </c>
      <c r="R176" s="38" t="str">
        <f aca="true">IF(OR(M176&lt;&gt;"Yes",P176&lt;&gt;"",O176="Closed",O176="No Action Required"),"",IF(N176="","Due date missing",IF(N176&lt;TODAY(),"OVERDUE",IF(N176-TODAY()&lt;=2,"Due ≤2d","Open"))))</f>
        <v/>
      </c>
      <c r="S176" s="34"/>
      <c r="T176" s="34"/>
      <c r="U176" s="21"/>
    </row>
    <row r="177" customFormat="false" ht="15" hidden="false" customHeight="false" outlineLevel="0" collapsed="false">
      <c r="A177" s="6" t="s">
        <v>1037</v>
      </c>
      <c r="B177" s="35"/>
      <c r="C177" s="34"/>
      <c r="D177" s="34"/>
      <c r="E177" s="21"/>
      <c r="F177" s="34"/>
      <c r="G177" s="21"/>
      <c r="H177" s="34"/>
      <c r="I177" s="34"/>
      <c r="J177" s="21"/>
      <c r="K177" s="21"/>
      <c r="L177" s="21"/>
      <c r="M177" s="34"/>
      <c r="N177" s="35"/>
      <c r="O177" s="34"/>
      <c r="P177" s="35"/>
      <c r="Q177" s="33" t="str">
        <f aca="false">IF(OR(B177="",P177=""),"",P177-B177)</f>
        <v/>
      </c>
      <c r="R177" s="38" t="str">
        <f aca="true">IF(OR(M177&lt;&gt;"Yes",P177&lt;&gt;"",O177="Closed",O177="No Action Required"),"",IF(N177="","Due date missing",IF(N177&lt;TODAY(),"OVERDUE",IF(N177-TODAY()&lt;=2,"Due ≤2d","Open"))))</f>
        <v/>
      </c>
      <c r="S177" s="34"/>
      <c r="T177" s="34"/>
      <c r="U177" s="21"/>
    </row>
    <row r="178" customFormat="false" ht="15" hidden="false" customHeight="false" outlineLevel="0" collapsed="false">
      <c r="A178" s="6" t="s">
        <v>1038</v>
      </c>
      <c r="B178" s="35"/>
      <c r="C178" s="34"/>
      <c r="D178" s="34"/>
      <c r="E178" s="21"/>
      <c r="F178" s="34"/>
      <c r="G178" s="21"/>
      <c r="H178" s="34"/>
      <c r="I178" s="34"/>
      <c r="J178" s="21"/>
      <c r="K178" s="21"/>
      <c r="L178" s="21"/>
      <c r="M178" s="34"/>
      <c r="N178" s="35"/>
      <c r="O178" s="34"/>
      <c r="P178" s="35"/>
      <c r="Q178" s="33" t="str">
        <f aca="false">IF(OR(B178="",P178=""),"",P178-B178)</f>
        <v/>
      </c>
      <c r="R178" s="38" t="str">
        <f aca="true">IF(OR(M178&lt;&gt;"Yes",P178&lt;&gt;"",O178="Closed",O178="No Action Required"),"",IF(N178="","Due date missing",IF(N178&lt;TODAY(),"OVERDUE",IF(N178-TODAY()&lt;=2,"Due ≤2d","Open"))))</f>
        <v/>
      </c>
      <c r="S178" s="34"/>
      <c r="T178" s="34"/>
      <c r="U178" s="21"/>
    </row>
    <row r="179" customFormat="false" ht="15" hidden="false" customHeight="false" outlineLevel="0" collapsed="false">
      <c r="A179" s="6" t="s">
        <v>1039</v>
      </c>
      <c r="B179" s="35"/>
      <c r="C179" s="34"/>
      <c r="D179" s="34"/>
      <c r="E179" s="21"/>
      <c r="F179" s="34"/>
      <c r="G179" s="21"/>
      <c r="H179" s="34"/>
      <c r="I179" s="34"/>
      <c r="J179" s="21"/>
      <c r="K179" s="21"/>
      <c r="L179" s="21"/>
      <c r="M179" s="34"/>
      <c r="N179" s="35"/>
      <c r="O179" s="34"/>
      <c r="P179" s="35"/>
      <c r="Q179" s="33" t="str">
        <f aca="false">IF(OR(B179="",P179=""),"",P179-B179)</f>
        <v/>
      </c>
      <c r="R179" s="38" t="str">
        <f aca="true">IF(OR(M179&lt;&gt;"Yes",P179&lt;&gt;"",O179="Closed",O179="No Action Required"),"",IF(N179="","Due date missing",IF(N179&lt;TODAY(),"OVERDUE",IF(N179-TODAY()&lt;=2,"Due ≤2d","Open"))))</f>
        <v/>
      </c>
      <c r="S179" s="34"/>
      <c r="T179" s="34"/>
      <c r="U179" s="21"/>
    </row>
    <row r="180" customFormat="false" ht="15" hidden="false" customHeight="false" outlineLevel="0" collapsed="false">
      <c r="A180" s="6" t="s">
        <v>1040</v>
      </c>
      <c r="B180" s="35"/>
      <c r="C180" s="34"/>
      <c r="D180" s="34"/>
      <c r="E180" s="21"/>
      <c r="F180" s="34"/>
      <c r="G180" s="21"/>
      <c r="H180" s="34"/>
      <c r="I180" s="34"/>
      <c r="J180" s="21"/>
      <c r="K180" s="21"/>
      <c r="L180" s="21"/>
      <c r="M180" s="34"/>
      <c r="N180" s="35"/>
      <c r="O180" s="34"/>
      <c r="P180" s="35"/>
      <c r="Q180" s="33" t="str">
        <f aca="false">IF(OR(B180="",P180=""),"",P180-B180)</f>
        <v/>
      </c>
      <c r="R180" s="38" t="str">
        <f aca="true">IF(OR(M180&lt;&gt;"Yes",P180&lt;&gt;"",O180="Closed",O180="No Action Required"),"",IF(N180="","Due date missing",IF(N180&lt;TODAY(),"OVERDUE",IF(N180-TODAY()&lt;=2,"Due ≤2d","Open"))))</f>
        <v/>
      </c>
      <c r="S180" s="34"/>
      <c r="T180" s="34"/>
      <c r="U180" s="21"/>
    </row>
    <row r="181" customFormat="false" ht="15" hidden="false" customHeight="false" outlineLevel="0" collapsed="false">
      <c r="A181" s="6" t="s">
        <v>1041</v>
      </c>
      <c r="B181" s="35"/>
      <c r="C181" s="34"/>
      <c r="D181" s="34"/>
      <c r="E181" s="21"/>
      <c r="F181" s="34"/>
      <c r="G181" s="21"/>
      <c r="H181" s="34"/>
      <c r="I181" s="34"/>
      <c r="J181" s="21"/>
      <c r="K181" s="21"/>
      <c r="L181" s="21"/>
      <c r="M181" s="34"/>
      <c r="N181" s="35"/>
      <c r="O181" s="34"/>
      <c r="P181" s="35"/>
      <c r="Q181" s="33" t="str">
        <f aca="false">IF(OR(B181="",P181=""),"",P181-B181)</f>
        <v/>
      </c>
      <c r="R181" s="38" t="str">
        <f aca="true">IF(OR(M181&lt;&gt;"Yes",P181&lt;&gt;"",O181="Closed",O181="No Action Required"),"",IF(N181="","Due date missing",IF(N181&lt;TODAY(),"OVERDUE",IF(N181-TODAY()&lt;=2,"Due ≤2d","Open"))))</f>
        <v/>
      </c>
      <c r="S181" s="34"/>
      <c r="T181" s="34"/>
      <c r="U181" s="21"/>
    </row>
    <row r="182" customFormat="false" ht="15" hidden="false" customHeight="false" outlineLevel="0" collapsed="false">
      <c r="A182" s="6" t="s">
        <v>1042</v>
      </c>
      <c r="B182" s="35"/>
      <c r="C182" s="34"/>
      <c r="D182" s="34"/>
      <c r="E182" s="21"/>
      <c r="F182" s="34"/>
      <c r="G182" s="21"/>
      <c r="H182" s="34"/>
      <c r="I182" s="34"/>
      <c r="J182" s="21"/>
      <c r="K182" s="21"/>
      <c r="L182" s="21"/>
      <c r="M182" s="34"/>
      <c r="N182" s="35"/>
      <c r="O182" s="34"/>
      <c r="P182" s="35"/>
      <c r="Q182" s="33" t="str">
        <f aca="false">IF(OR(B182="",P182=""),"",P182-B182)</f>
        <v/>
      </c>
      <c r="R182" s="38" t="str">
        <f aca="true">IF(OR(M182&lt;&gt;"Yes",P182&lt;&gt;"",O182="Closed",O182="No Action Required"),"",IF(N182="","Due date missing",IF(N182&lt;TODAY(),"OVERDUE",IF(N182-TODAY()&lt;=2,"Due ≤2d","Open"))))</f>
        <v/>
      </c>
      <c r="S182" s="34"/>
      <c r="T182" s="34"/>
      <c r="U182" s="21"/>
    </row>
    <row r="183" customFormat="false" ht="15" hidden="false" customHeight="false" outlineLevel="0" collapsed="false">
      <c r="A183" s="6" t="s">
        <v>1043</v>
      </c>
      <c r="B183" s="35"/>
      <c r="C183" s="34"/>
      <c r="D183" s="34"/>
      <c r="E183" s="21"/>
      <c r="F183" s="34"/>
      <c r="G183" s="21"/>
      <c r="H183" s="34"/>
      <c r="I183" s="34"/>
      <c r="J183" s="21"/>
      <c r="K183" s="21"/>
      <c r="L183" s="21"/>
      <c r="M183" s="34"/>
      <c r="N183" s="35"/>
      <c r="O183" s="34"/>
      <c r="P183" s="35"/>
      <c r="Q183" s="33" t="str">
        <f aca="false">IF(OR(B183="",P183=""),"",P183-B183)</f>
        <v/>
      </c>
      <c r="R183" s="38" t="str">
        <f aca="true">IF(OR(M183&lt;&gt;"Yes",P183&lt;&gt;"",O183="Closed",O183="No Action Required"),"",IF(N183="","Due date missing",IF(N183&lt;TODAY(),"OVERDUE",IF(N183-TODAY()&lt;=2,"Due ≤2d","Open"))))</f>
        <v/>
      </c>
      <c r="S183" s="34"/>
      <c r="T183" s="34"/>
      <c r="U183" s="21"/>
    </row>
    <row r="184" customFormat="false" ht="15" hidden="false" customHeight="false" outlineLevel="0" collapsed="false">
      <c r="A184" s="6" t="s">
        <v>1044</v>
      </c>
      <c r="B184" s="35"/>
      <c r="C184" s="34"/>
      <c r="D184" s="34"/>
      <c r="E184" s="21"/>
      <c r="F184" s="34"/>
      <c r="G184" s="21"/>
      <c r="H184" s="34"/>
      <c r="I184" s="34"/>
      <c r="J184" s="21"/>
      <c r="K184" s="21"/>
      <c r="L184" s="21"/>
      <c r="M184" s="34"/>
      <c r="N184" s="35"/>
      <c r="O184" s="34"/>
      <c r="P184" s="35"/>
      <c r="Q184" s="33" t="str">
        <f aca="false">IF(OR(B184="",P184=""),"",P184-B184)</f>
        <v/>
      </c>
      <c r="R184" s="38" t="str">
        <f aca="true">IF(OR(M184&lt;&gt;"Yes",P184&lt;&gt;"",O184="Closed",O184="No Action Required"),"",IF(N184="","Due date missing",IF(N184&lt;TODAY(),"OVERDUE",IF(N184-TODAY()&lt;=2,"Due ≤2d","Open"))))</f>
        <v/>
      </c>
      <c r="S184" s="34"/>
      <c r="T184" s="34"/>
      <c r="U184" s="21"/>
    </row>
    <row r="185" customFormat="false" ht="15" hidden="false" customHeight="false" outlineLevel="0" collapsed="false">
      <c r="A185" s="6" t="s">
        <v>1045</v>
      </c>
      <c r="B185" s="35"/>
      <c r="C185" s="34"/>
      <c r="D185" s="34"/>
      <c r="E185" s="21"/>
      <c r="F185" s="34"/>
      <c r="G185" s="21"/>
      <c r="H185" s="34"/>
      <c r="I185" s="34"/>
      <c r="J185" s="21"/>
      <c r="K185" s="21"/>
      <c r="L185" s="21"/>
      <c r="M185" s="34"/>
      <c r="N185" s="35"/>
      <c r="O185" s="34"/>
      <c r="P185" s="35"/>
      <c r="Q185" s="33" t="str">
        <f aca="false">IF(OR(B185="",P185=""),"",P185-B185)</f>
        <v/>
      </c>
      <c r="R185" s="38" t="str">
        <f aca="true">IF(OR(M185&lt;&gt;"Yes",P185&lt;&gt;"",O185="Closed",O185="No Action Required"),"",IF(N185="","Due date missing",IF(N185&lt;TODAY(),"OVERDUE",IF(N185-TODAY()&lt;=2,"Due ≤2d","Open"))))</f>
        <v/>
      </c>
      <c r="S185" s="34"/>
      <c r="T185" s="34"/>
      <c r="U185" s="21"/>
    </row>
    <row r="186" customFormat="false" ht="15" hidden="false" customHeight="false" outlineLevel="0" collapsed="false">
      <c r="A186" s="6" t="s">
        <v>1046</v>
      </c>
      <c r="B186" s="35"/>
      <c r="C186" s="34"/>
      <c r="D186" s="34"/>
      <c r="E186" s="21"/>
      <c r="F186" s="34"/>
      <c r="G186" s="21"/>
      <c r="H186" s="34"/>
      <c r="I186" s="34"/>
      <c r="J186" s="21"/>
      <c r="K186" s="21"/>
      <c r="L186" s="21"/>
      <c r="M186" s="34"/>
      <c r="N186" s="35"/>
      <c r="O186" s="34"/>
      <c r="P186" s="35"/>
      <c r="Q186" s="33" t="str">
        <f aca="false">IF(OR(B186="",P186=""),"",P186-B186)</f>
        <v/>
      </c>
      <c r="R186" s="38" t="str">
        <f aca="true">IF(OR(M186&lt;&gt;"Yes",P186&lt;&gt;"",O186="Closed",O186="No Action Required"),"",IF(N186="","Due date missing",IF(N186&lt;TODAY(),"OVERDUE",IF(N186-TODAY()&lt;=2,"Due ≤2d","Open"))))</f>
        <v/>
      </c>
      <c r="S186" s="34"/>
      <c r="T186" s="34"/>
      <c r="U186" s="21"/>
    </row>
    <row r="187" customFormat="false" ht="15" hidden="false" customHeight="false" outlineLevel="0" collapsed="false">
      <c r="A187" s="6" t="s">
        <v>1047</v>
      </c>
      <c r="B187" s="35"/>
      <c r="C187" s="34"/>
      <c r="D187" s="34"/>
      <c r="E187" s="21"/>
      <c r="F187" s="34"/>
      <c r="G187" s="21"/>
      <c r="H187" s="34"/>
      <c r="I187" s="34"/>
      <c r="J187" s="21"/>
      <c r="K187" s="21"/>
      <c r="L187" s="21"/>
      <c r="M187" s="34"/>
      <c r="N187" s="35"/>
      <c r="O187" s="34"/>
      <c r="P187" s="35"/>
      <c r="Q187" s="33" t="str">
        <f aca="false">IF(OR(B187="",P187=""),"",P187-B187)</f>
        <v/>
      </c>
      <c r="R187" s="38" t="str">
        <f aca="true">IF(OR(M187&lt;&gt;"Yes",P187&lt;&gt;"",O187="Closed",O187="No Action Required"),"",IF(N187="","Due date missing",IF(N187&lt;TODAY(),"OVERDUE",IF(N187-TODAY()&lt;=2,"Due ≤2d","Open"))))</f>
        <v/>
      </c>
      <c r="S187" s="34"/>
      <c r="T187" s="34"/>
      <c r="U187" s="21"/>
    </row>
    <row r="188" customFormat="false" ht="15" hidden="false" customHeight="false" outlineLevel="0" collapsed="false">
      <c r="A188" s="6" t="s">
        <v>1048</v>
      </c>
      <c r="B188" s="35"/>
      <c r="C188" s="34"/>
      <c r="D188" s="34"/>
      <c r="E188" s="21"/>
      <c r="F188" s="34"/>
      <c r="G188" s="21"/>
      <c r="H188" s="34"/>
      <c r="I188" s="34"/>
      <c r="J188" s="21"/>
      <c r="K188" s="21"/>
      <c r="L188" s="21"/>
      <c r="M188" s="34"/>
      <c r="N188" s="35"/>
      <c r="O188" s="34"/>
      <c r="P188" s="35"/>
      <c r="Q188" s="33" t="str">
        <f aca="false">IF(OR(B188="",P188=""),"",P188-B188)</f>
        <v/>
      </c>
      <c r="R188" s="38" t="str">
        <f aca="true">IF(OR(M188&lt;&gt;"Yes",P188&lt;&gt;"",O188="Closed",O188="No Action Required"),"",IF(N188="","Due date missing",IF(N188&lt;TODAY(),"OVERDUE",IF(N188-TODAY()&lt;=2,"Due ≤2d","Open"))))</f>
        <v/>
      </c>
      <c r="S188" s="34"/>
      <c r="T188" s="34"/>
      <c r="U188" s="21"/>
    </row>
    <row r="189" customFormat="false" ht="15" hidden="false" customHeight="false" outlineLevel="0" collapsed="false">
      <c r="A189" s="6" t="s">
        <v>1049</v>
      </c>
      <c r="B189" s="35"/>
      <c r="C189" s="34"/>
      <c r="D189" s="34"/>
      <c r="E189" s="21"/>
      <c r="F189" s="34"/>
      <c r="G189" s="21"/>
      <c r="H189" s="34"/>
      <c r="I189" s="34"/>
      <c r="J189" s="21"/>
      <c r="K189" s="21"/>
      <c r="L189" s="21"/>
      <c r="M189" s="34"/>
      <c r="N189" s="35"/>
      <c r="O189" s="34"/>
      <c r="P189" s="35"/>
      <c r="Q189" s="33" t="str">
        <f aca="false">IF(OR(B189="",P189=""),"",P189-B189)</f>
        <v/>
      </c>
      <c r="R189" s="38" t="str">
        <f aca="true">IF(OR(M189&lt;&gt;"Yes",P189&lt;&gt;"",O189="Closed",O189="No Action Required"),"",IF(N189="","Due date missing",IF(N189&lt;TODAY(),"OVERDUE",IF(N189-TODAY()&lt;=2,"Due ≤2d","Open"))))</f>
        <v/>
      </c>
      <c r="S189" s="34"/>
      <c r="T189" s="34"/>
      <c r="U189" s="21"/>
    </row>
    <row r="190" customFormat="false" ht="15" hidden="false" customHeight="false" outlineLevel="0" collapsed="false">
      <c r="A190" s="6" t="s">
        <v>1050</v>
      </c>
      <c r="B190" s="35"/>
      <c r="C190" s="34"/>
      <c r="D190" s="34"/>
      <c r="E190" s="21"/>
      <c r="F190" s="34"/>
      <c r="G190" s="21"/>
      <c r="H190" s="34"/>
      <c r="I190" s="34"/>
      <c r="J190" s="21"/>
      <c r="K190" s="21"/>
      <c r="L190" s="21"/>
      <c r="M190" s="34"/>
      <c r="N190" s="35"/>
      <c r="O190" s="34"/>
      <c r="P190" s="35"/>
      <c r="Q190" s="33" t="str">
        <f aca="false">IF(OR(B190="",P190=""),"",P190-B190)</f>
        <v/>
      </c>
      <c r="R190" s="38" t="str">
        <f aca="true">IF(OR(M190&lt;&gt;"Yes",P190&lt;&gt;"",O190="Closed",O190="No Action Required"),"",IF(N190="","Due date missing",IF(N190&lt;TODAY(),"OVERDUE",IF(N190-TODAY()&lt;=2,"Due ≤2d","Open"))))</f>
        <v/>
      </c>
      <c r="S190" s="34"/>
      <c r="T190" s="34"/>
      <c r="U190" s="21"/>
    </row>
    <row r="191" customFormat="false" ht="15" hidden="false" customHeight="false" outlineLevel="0" collapsed="false">
      <c r="A191" s="6" t="s">
        <v>1051</v>
      </c>
      <c r="B191" s="35"/>
      <c r="C191" s="34"/>
      <c r="D191" s="34"/>
      <c r="E191" s="21"/>
      <c r="F191" s="34"/>
      <c r="G191" s="21"/>
      <c r="H191" s="34"/>
      <c r="I191" s="34"/>
      <c r="J191" s="21"/>
      <c r="K191" s="21"/>
      <c r="L191" s="21"/>
      <c r="M191" s="34"/>
      <c r="N191" s="35"/>
      <c r="O191" s="34"/>
      <c r="P191" s="35"/>
      <c r="Q191" s="33" t="str">
        <f aca="false">IF(OR(B191="",P191=""),"",P191-B191)</f>
        <v/>
      </c>
      <c r="R191" s="38" t="str">
        <f aca="true">IF(OR(M191&lt;&gt;"Yes",P191&lt;&gt;"",O191="Closed",O191="No Action Required"),"",IF(N191="","Due date missing",IF(N191&lt;TODAY(),"OVERDUE",IF(N191-TODAY()&lt;=2,"Due ≤2d","Open"))))</f>
        <v/>
      </c>
      <c r="S191" s="34"/>
      <c r="T191" s="34"/>
      <c r="U191" s="21"/>
    </row>
    <row r="192" customFormat="false" ht="15" hidden="false" customHeight="false" outlineLevel="0" collapsed="false">
      <c r="A192" s="6" t="s">
        <v>1052</v>
      </c>
      <c r="B192" s="35"/>
      <c r="C192" s="34"/>
      <c r="D192" s="34"/>
      <c r="E192" s="21"/>
      <c r="F192" s="34"/>
      <c r="G192" s="21"/>
      <c r="H192" s="34"/>
      <c r="I192" s="34"/>
      <c r="J192" s="21"/>
      <c r="K192" s="21"/>
      <c r="L192" s="21"/>
      <c r="M192" s="34"/>
      <c r="N192" s="35"/>
      <c r="O192" s="34"/>
      <c r="P192" s="35"/>
      <c r="Q192" s="33" t="str">
        <f aca="false">IF(OR(B192="",P192=""),"",P192-B192)</f>
        <v/>
      </c>
      <c r="R192" s="38" t="str">
        <f aca="true">IF(OR(M192&lt;&gt;"Yes",P192&lt;&gt;"",O192="Closed",O192="No Action Required"),"",IF(N192="","Due date missing",IF(N192&lt;TODAY(),"OVERDUE",IF(N192-TODAY()&lt;=2,"Due ≤2d","Open"))))</f>
        <v/>
      </c>
      <c r="S192" s="34"/>
      <c r="T192" s="34"/>
      <c r="U192" s="21"/>
    </row>
    <row r="193" customFormat="false" ht="15" hidden="false" customHeight="false" outlineLevel="0" collapsed="false">
      <c r="A193" s="6" t="s">
        <v>1053</v>
      </c>
      <c r="B193" s="35"/>
      <c r="C193" s="34"/>
      <c r="D193" s="34"/>
      <c r="E193" s="21"/>
      <c r="F193" s="34"/>
      <c r="G193" s="21"/>
      <c r="H193" s="34"/>
      <c r="I193" s="34"/>
      <c r="J193" s="21"/>
      <c r="K193" s="21"/>
      <c r="L193" s="21"/>
      <c r="M193" s="34"/>
      <c r="N193" s="35"/>
      <c r="O193" s="34"/>
      <c r="P193" s="35"/>
      <c r="Q193" s="33" t="str">
        <f aca="false">IF(OR(B193="",P193=""),"",P193-B193)</f>
        <v/>
      </c>
      <c r="R193" s="38" t="str">
        <f aca="true">IF(OR(M193&lt;&gt;"Yes",P193&lt;&gt;"",O193="Closed",O193="No Action Required"),"",IF(N193="","Due date missing",IF(N193&lt;TODAY(),"OVERDUE",IF(N193-TODAY()&lt;=2,"Due ≤2d","Open"))))</f>
        <v/>
      </c>
      <c r="S193" s="34"/>
      <c r="T193" s="34"/>
      <c r="U193" s="21"/>
    </row>
    <row r="194" customFormat="false" ht="15" hidden="false" customHeight="false" outlineLevel="0" collapsed="false">
      <c r="A194" s="6" t="s">
        <v>1054</v>
      </c>
      <c r="B194" s="35"/>
      <c r="C194" s="34"/>
      <c r="D194" s="34"/>
      <c r="E194" s="21"/>
      <c r="F194" s="34"/>
      <c r="G194" s="21"/>
      <c r="H194" s="34"/>
      <c r="I194" s="34"/>
      <c r="J194" s="21"/>
      <c r="K194" s="21"/>
      <c r="L194" s="21"/>
      <c r="M194" s="34"/>
      <c r="N194" s="35"/>
      <c r="O194" s="34"/>
      <c r="P194" s="35"/>
      <c r="Q194" s="33" t="str">
        <f aca="false">IF(OR(B194="",P194=""),"",P194-B194)</f>
        <v/>
      </c>
      <c r="R194" s="38" t="str">
        <f aca="true">IF(OR(M194&lt;&gt;"Yes",P194&lt;&gt;"",O194="Closed",O194="No Action Required"),"",IF(N194="","Due date missing",IF(N194&lt;TODAY(),"OVERDUE",IF(N194-TODAY()&lt;=2,"Due ≤2d","Open"))))</f>
        <v/>
      </c>
      <c r="S194" s="34"/>
      <c r="T194" s="34"/>
      <c r="U194" s="21"/>
    </row>
    <row r="195" customFormat="false" ht="15" hidden="false" customHeight="false" outlineLevel="0" collapsed="false">
      <c r="A195" s="6" t="s">
        <v>1055</v>
      </c>
      <c r="B195" s="35"/>
      <c r="C195" s="34"/>
      <c r="D195" s="34"/>
      <c r="E195" s="21"/>
      <c r="F195" s="34"/>
      <c r="G195" s="21"/>
      <c r="H195" s="34"/>
      <c r="I195" s="34"/>
      <c r="J195" s="21"/>
      <c r="K195" s="21"/>
      <c r="L195" s="21"/>
      <c r="M195" s="34"/>
      <c r="N195" s="35"/>
      <c r="O195" s="34"/>
      <c r="P195" s="35"/>
      <c r="Q195" s="33" t="str">
        <f aca="false">IF(OR(B195="",P195=""),"",P195-B195)</f>
        <v/>
      </c>
      <c r="R195" s="38" t="str">
        <f aca="true">IF(OR(M195&lt;&gt;"Yes",P195&lt;&gt;"",O195="Closed",O195="No Action Required"),"",IF(N195="","Due date missing",IF(N195&lt;TODAY(),"OVERDUE",IF(N195-TODAY()&lt;=2,"Due ≤2d","Open"))))</f>
        <v/>
      </c>
      <c r="S195" s="34"/>
      <c r="T195" s="34"/>
      <c r="U195" s="21"/>
    </row>
    <row r="196" customFormat="false" ht="15" hidden="false" customHeight="false" outlineLevel="0" collapsed="false">
      <c r="A196" s="6" t="s">
        <v>1056</v>
      </c>
      <c r="B196" s="35"/>
      <c r="C196" s="34"/>
      <c r="D196" s="34"/>
      <c r="E196" s="21"/>
      <c r="F196" s="34"/>
      <c r="G196" s="21"/>
      <c r="H196" s="34"/>
      <c r="I196" s="34"/>
      <c r="J196" s="21"/>
      <c r="K196" s="21"/>
      <c r="L196" s="21"/>
      <c r="M196" s="34"/>
      <c r="N196" s="35"/>
      <c r="O196" s="34"/>
      <c r="P196" s="35"/>
      <c r="Q196" s="33" t="str">
        <f aca="false">IF(OR(B196="",P196=""),"",P196-B196)</f>
        <v/>
      </c>
      <c r="R196" s="38" t="str">
        <f aca="true">IF(OR(M196&lt;&gt;"Yes",P196&lt;&gt;"",O196="Closed",O196="No Action Required"),"",IF(N196="","Due date missing",IF(N196&lt;TODAY(),"OVERDUE",IF(N196-TODAY()&lt;=2,"Due ≤2d","Open"))))</f>
        <v/>
      </c>
      <c r="S196" s="34"/>
      <c r="T196" s="34"/>
      <c r="U196" s="21"/>
    </row>
    <row r="197" customFormat="false" ht="15" hidden="false" customHeight="false" outlineLevel="0" collapsed="false">
      <c r="A197" s="6" t="s">
        <v>1057</v>
      </c>
      <c r="B197" s="35"/>
      <c r="C197" s="34"/>
      <c r="D197" s="34"/>
      <c r="E197" s="21"/>
      <c r="F197" s="34"/>
      <c r="G197" s="21"/>
      <c r="H197" s="34"/>
      <c r="I197" s="34"/>
      <c r="J197" s="21"/>
      <c r="K197" s="21"/>
      <c r="L197" s="21"/>
      <c r="M197" s="34"/>
      <c r="N197" s="35"/>
      <c r="O197" s="34"/>
      <c r="P197" s="35"/>
      <c r="Q197" s="33" t="str">
        <f aca="false">IF(OR(B197="",P197=""),"",P197-B197)</f>
        <v/>
      </c>
      <c r="R197" s="38" t="str">
        <f aca="true">IF(OR(M197&lt;&gt;"Yes",P197&lt;&gt;"",O197="Closed",O197="No Action Required"),"",IF(N197="","Due date missing",IF(N197&lt;TODAY(),"OVERDUE",IF(N197-TODAY()&lt;=2,"Due ≤2d","Open"))))</f>
        <v/>
      </c>
      <c r="S197" s="34"/>
      <c r="T197" s="34"/>
      <c r="U197" s="21"/>
    </row>
    <row r="198" customFormat="false" ht="15" hidden="false" customHeight="false" outlineLevel="0" collapsed="false">
      <c r="A198" s="6" t="s">
        <v>1058</v>
      </c>
      <c r="B198" s="35"/>
      <c r="C198" s="34"/>
      <c r="D198" s="34"/>
      <c r="E198" s="21"/>
      <c r="F198" s="34"/>
      <c r="G198" s="21"/>
      <c r="H198" s="34"/>
      <c r="I198" s="34"/>
      <c r="J198" s="21"/>
      <c r="K198" s="21"/>
      <c r="L198" s="21"/>
      <c r="M198" s="34"/>
      <c r="N198" s="35"/>
      <c r="O198" s="34"/>
      <c r="P198" s="35"/>
      <c r="Q198" s="33" t="str">
        <f aca="false">IF(OR(B198="",P198=""),"",P198-B198)</f>
        <v/>
      </c>
      <c r="R198" s="38" t="str">
        <f aca="true">IF(OR(M198&lt;&gt;"Yes",P198&lt;&gt;"",O198="Closed",O198="No Action Required"),"",IF(N198="","Due date missing",IF(N198&lt;TODAY(),"OVERDUE",IF(N198-TODAY()&lt;=2,"Due ≤2d","Open"))))</f>
        <v/>
      </c>
      <c r="S198" s="34"/>
      <c r="T198" s="34"/>
      <c r="U198" s="21"/>
    </row>
    <row r="199" customFormat="false" ht="15" hidden="false" customHeight="false" outlineLevel="0" collapsed="false">
      <c r="A199" s="6" t="s">
        <v>1059</v>
      </c>
      <c r="B199" s="35"/>
      <c r="C199" s="34"/>
      <c r="D199" s="34"/>
      <c r="E199" s="21"/>
      <c r="F199" s="34"/>
      <c r="G199" s="21"/>
      <c r="H199" s="34"/>
      <c r="I199" s="34"/>
      <c r="J199" s="21"/>
      <c r="K199" s="21"/>
      <c r="L199" s="21"/>
      <c r="M199" s="34"/>
      <c r="N199" s="35"/>
      <c r="O199" s="34"/>
      <c r="P199" s="35"/>
      <c r="Q199" s="33" t="str">
        <f aca="false">IF(OR(B199="",P199=""),"",P199-B199)</f>
        <v/>
      </c>
      <c r="R199" s="38" t="str">
        <f aca="true">IF(OR(M199&lt;&gt;"Yes",P199&lt;&gt;"",O199="Closed",O199="No Action Required"),"",IF(N199="","Due date missing",IF(N199&lt;TODAY(),"OVERDUE",IF(N199-TODAY()&lt;=2,"Due ≤2d","Open"))))</f>
        <v/>
      </c>
      <c r="S199" s="34"/>
      <c r="T199" s="34"/>
      <c r="U199" s="21"/>
    </row>
    <row r="200" customFormat="false" ht="15" hidden="false" customHeight="false" outlineLevel="0" collapsed="false">
      <c r="A200" s="6" t="s">
        <v>1060</v>
      </c>
      <c r="B200" s="35"/>
      <c r="C200" s="34"/>
      <c r="D200" s="34"/>
      <c r="E200" s="21"/>
      <c r="F200" s="34"/>
      <c r="G200" s="21"/>
      <c r="H200" s="34"/>
      <c r="I200" s="34"/>
      <c r="J200" s="21"/>
      <c r="K200" s="21"/>
      <c r="L200" s="21"/>
      <c r="M200" s="34"/>
      <c r="N200" s="35"/>
      <c r="O200" s="34"/>
      <c r="P200" s="35"/>
      <c r="Q200" s="33" t="str">
        <f aca="false">IF(OR(B200="",P200=""),"",P200-B200)</f>
        <v/>
      </c>
      <c r="R200" s="38" t="str">
        <f aca="true">IF(OR(M200&lt;&gt;"Yes",P200&lt;&gt;"",O200="Closed",O200="No Action Required"),"",IF(N200="","Due date missing",IF(N200&lt;TODAY(),"OVERDUE",IF(N200-TODAY()&lt;=2,"Due ≤2d","Open"))))</f>
        <v/>
      </c>
      <c r="S200" s="34"/>
      <c r="T200" s="34"/>
      <c r="U200" s="21"/>
    </row>
    <row r="201" customFormat="false" ht="15" hidden="false" customHeight="false" outlineLevel="0" collapsed="false">
      <c r="A201" s="6" t="s">
        <v>1061</v>
      </c>
      <c r="B201" s="35"/>
      <c r="C201" s="34"/>
      <c r="D201" s="34"/>
      <c r="E201" s="21"/>
      <c r="F201" s="34"/>
      <c r="G201" s="21"/>
      <c r="H201" s="34"/>
      <c r="I201" s="34"/>
      <c r="J201" s="21"/>
      <c r="K201" s="21"/>
      <c r="L201" s="21"/>
      <c r="M201" s="34"/>
      <c r="N201" s="35"/>
      <c r="O201" s="34"/>
      <c r="P201" s="35"/>
      <c r="Q201" s="33" t="str">
        <f aca="false">IF(OR(B201="",P201=""),"",P201-B201)</f>
        <v/>
      </c>
      <c r="R201" s="38" t="str">
        <f aca="true">IF(OR(M201&lt;&gt;"Yes",P201&lt;&gt;"",O201="Closed",O201="No Action Required"),"",IF(N201="","Due date missing",IF(N201&lt;TODAY(),"OVERDUE",IF(N201-TODAY()&lt;=2,"Due ≤2d","Open"))))</f>
        <v/>
      </c>
      <c r="S201" s="34"/>
      <c r="T201" s="34"/>
      <c r="U201" s="21"/>
    </row>
    <row r="202" customFormat="false" ht="15" hidden="false" customHeight="false" outlineLevel="0" collapsed="false">
      <c r="A202" s="6" t="s">
        <v>1062</v>
      </c>
      <c r="B202" s="35"/>
      <c r="C202" s="34"/>
      <c r="D202" s="34"/>
      <c r="E202" s="21"/>
      <c r="F202" s="34"/>
      <c r="G202" s="21"/>
      <c r="H202" s="34"/>
      <c r="I202" s="34"/>
      <c r="J202" s="21"/>
      <c r="K202" s="21"/>
      <c r="L202" s="21"/>
      <c r="M202" s="34"/>
      <c r="N202" s="35"/>
      <c r="O202" s="34"/>
      <c r="P202" s="35"/>
      <c r="Q202" s="33" t="str">
        <f aca="false">IF(OR(B202="",P202=""),"",P202-B202)</f>
        <v/>
      </c>
      <c r="R202" s="38" t="str">
        <f aca="true">IF(OR(M202&lt;&gt;"Yes",P202&lt;&gt;"",O202="Closed",O202="No Action Required"),"",IF(N202="","Due date missing",IF(N202&lt;TODAY(),"OVERDUE",IF(N202-TODAY()&lt;=2,"Due ≤2d","Open"))))</f>
        <v/>
      </c>
      <c r="S202" s="34"/>
      <c r="T202" s="34"/>
      <c r="U202" s="21"/>
    </row>
    <row r="203" customFormat="false" ht="15" hidden="false" customHeight="false" outlineLevel="0" collapsed="false">
      <c r="A203" s="6" t="s">
        <v>1063</v>
      </c>
      <c r="B203" s="35"/>
      <c r="C203" s="34"/>
      <c r="D203" s="34"/>
      <c r="E203" s="21"/>
      <c r="F203" s="34"/>
      <c r="G203" s="21"/>
      <c r="H203" s="34"/>
      <c r="I203" s="34"/>
      <c r="J203" s="21"/>
      <c r="K203" s="21"/>
      <c r="L203" s="21"/>
      <c r="M203" s="34"/>
      <c r="N203" s="35"/>
      <c r="O203" s="34"/>
      <c r="P203" s="35"/>
      <c r="Q203" s="33" t="str">
        <f aca="false">IF(OR(B203="",P203=""),"",P203-B203)</f>
        <v/>
      </c>
      <c r="R203" s="38" t="str">
        <f aca="true">IF(OR(M203&lt;&gt;"Yes",P203&lt;&gt;"",O203="Closed",O203="No Action Required"),"",IF(N203="","Due date missing",IF(N203&lt;TODAY(),"OVERDUE",IF(N203-TODAY()&lt;=2,"Due ≤2d","Open"))))</f>
        <v/>
      </c>
      <c r="S203" s="34"/>
      <c r="T203" s="34"/>
      <c r="U203" s="21"/>
    </row>
    <row r="204" customFormat="false" ht="15" hidden="false" customHeight="false" outlineLevel="0" collapsed="false">
      <c r="A204" s="6" t="s">
        <v>1064</v>
      </c>
      <c r="B204" s="35"/>
      <c r="C204" s="34"/>
      <c r="D204" s="34"/>
      <c r="E204" s="21"/>
      <c r="F204" s="34"/>
      <c r="G204" s="21"/>
      <c r="H204" s="34"/>
      <c r="I204" s="34"/>
      <c r="J204" s="21"/>
      <c r="K204" s="21"/>
      <c r="L204" s="21"/>
      <c r="M204" s="34"/>
      <c r="N204" s="35"/>
      <c r="O204" s="34"/>
      <c r="P204" s="35"/>
      <c r="Q204" s="33" t="str">
        <f aca="false">IF(OR(B204="",P204=""),"",P204-B204)</f>
        <v/>
      </c>
      <c r="R204" s="38" t="str">
        <f aca="true">IF(OR(M204&lt;&gt;"Yes",P204&lt;&gt;"",O204="Closed",O204="No Action Required"),"",IF(N204="","Due date missing",IF(N204&lt;TODAY(),"OVERDUE",IF(N204-TODAY()&lt;=2,"Due ≤2d","Open"))))</f>
        <v/>
      </c>
      <c r="S204" s="34"/>
      <c r="T204" s="34"/>
      <c r="U204" s="21"/>
    </row>
    <row r="205" customFormat="false" ht="15" hidden="false" customHeight="false" outlineLevel="0" collapsed="false">
      <c r="A205" s="6" t="s">
        <v>1065</v>
      </c>
      <c r="B205" s="35"/>
      <c r="C205" s="34"/>
      <c r="D205" s="34"/>
      <c r="E205" s="21"/>
      <c r="F205" s="34"/>
      <c r="G205" s="21"/>
      <c r="H205" s="34"/>
      <c r="I205" s="34"/>
      <c r="J205" s="21"/>
      <c r="K205" s="21"/>
      <c r="L205" s="21"/>
      <c r="M205" s="34"/>
      <c r="N205" s="35"/>
      <c r="O205" s="34"/>
      <c r="P205" s="35"/>
      <c r="Q205" s="33" t="str">
        <f aca="false">IF(OR(B205="",P205=""),"",P205-B205)</f>
        <v/>
      </c>
      <c r="R205" s="38" t="str">
        <f aca="true">IF(OR(M205&lt;&gt;"Yes",P205&lt;&gt;"",O205="Closed",O205="No Action Required"),"",IF(N205="","Due date missing",IF(N205&lt;TODAY(),"OVERDUE",IF(N205-TODAY()&lt;=2,"Due ≤2d","Open"))))</f>
        <v/>
      </c>
      <c r="S205" s="34"/>
      <c r="T205" s="34"/>
      <c r="U205" s="21"/>
    </row>
    <row r="206" customFormat="false" ht="15" hidden="false" customHeight="false" outlineLevel="0" collapsed="false">
      <c r="A206" s="6" t="s">
        <v>1066</v>
      </c>
      <c r="B206" s="35"/>
      <c r="C206" s="34"/>
      <c r="D206" s="34"/>
      <c r="E206" s="21"/>
      <c r="F206" s="34"/>
      <c r="G206" s="21"/>
      <c r="H206" s="34"/>
      <c r="I206" s="34"/>
      <c r="J206" s="21"/>
      <c r="K206" s="21"/>
      <c r="L206" s="21"/>
      <c r="M206" s="34"/>
      <c r="N206" s="35"/>
      <c r="O206" s="34"/>
      <c r="P206" s="35"/>
      <c r="Q206" s="33" t="str">
        <f aca="false">IF(OR(B206="",P206=""),"",P206-B206)</f>
        <v/>
      </c>
      <c r="R206" s="38" t="str">
        <f aca="true">IF(OR(M206&lt;&gt;"Yes",P206&lt;&gt;"",O206="Closed",O206="No Action Required"),"",IF(N206="","Due date missing",IF(N206&lt;TODAY(),"OVERDUE",IF(N206-TODAY()&lt;=2,"Due ≤2d","Open"))))</f>
        <v/>
      </c>
      <c r="S206" s="34"/>
      <c r="T206" s="34"/>
      <c r="U206" s="21"/>
    </row>
    <row r="207" customFormat="false" ht="15" hidden="false" customHeight="false" outlineLevel="0" collapsed="false">
      <c r="A207" s="6" t="s">
        <v>1067</v>
      </c>
      <c r="B207" s="35"/>
      <c r="C207" s="34"/>
      <c r="D207" s="34"/>
      <c r="E207" s="21"/>
      <c r="F207" s="34"/>
      <c r="G207" s="21"/>
      <c r="H207" s="34"/>
      <c r="I207" s="34"/>
      <c r="J207" s="21"/>
      <c r="K207" s="21"/>
      <c r="L207" s="21"/>
      <c r="M207" s="34"/>
      <c r="N207" s="35"/>
      <c r="O207" s="34"/>
      <c r="P207" s="35"/>
      <c r="Q207" s="33" t="str">
        <f aca="false">IF(OR(B207="",P207=""),"",P207-B207)</f>
        <v/>
      </c>
      <c r="R207" s="38" t="str">
        <f aca="true">IF(OR(M207&lt;&gt;"Yes",P207&lt;&gt;"",O207="Closed",O207="No Action Required"),"",IF(N207="","Due date missing",IF(N207&lt;TODAY(),"OVERDUE",IF(N207-TODAY()&lt;=2,"Due ≤2d","Open"))))</f>
        <v/>
      </c>
      <c r="S207" s="34"/>
      <c r="T207" s="34"/>
      <c r="U207" s="21"/>
    </row>
    <row r="208" customFormat="false" ht="15" hidden="false" customHeight="false" outlineLevel="0" collapsed="false">
      <c r="A208" s="6" t="s">
        <v>1068</v>
      </c>
      <c r="B208" s="35"/>
      <c r="C208" s="34"/>
      <c r="D208" s="34"/>
      <c r="E208" s="21"/>
      <c r="F208" s="34"/>
      <c r="G208" s="21"/>
      <c r="H208" s="34"/>
      <c r="I208" s="34"/>
      <c r="J208" s="21"/>
      <c r="K208" s="21"/>
      <c r="L208" s="21"/>
      <c r="M208" s="34"/>
      <c r="N208" s="35"/>
      <c r="O208" s="34"/>
      <c r="P208" s="35"/>
      <c r="Q208" s="33" t="str">
        <f aca="false">IF(OR(B208="",P208=""),"",P208-B208)</f>
        <v/>
      </c>
      <c r="R208" s="38" t="str">
        <f aca="true">IF(OR(M208&lt;&gt;"Yes",P208&lt;&gt;"",O208="Closed",O208="No Action Required"),"",IF(N208="","Due date missing",IF(N208&lt;TODAY(),"OVERDUE",IF(N208-TODAY()&lt;=2,"Due ≤2d","Open"))))</f>
        <v/>
      </c>
      <c r="S208" s="34"/>
      <c r="T208" s="34"/>
      <c r="U208" s="21"/>
    </row>
    <row r="209" customFormat="false" ht="15" hidden="false" customHeight="false" outlineLevel="0" collapsed="false">
      <c r="A209" s="6" t="s">
        <v>1069</v>
      </c>
      <c r="B209" s="35"/>
      <c r="C209" s="34"/>
      <c r="D209" s="34"/>
      <c r="E209" s="21"/>
      <c r="F209" s="34"/>
      <c r="G209" s="21"/>
      <c r="H209" s="34"/>
      <c r="I209" s="34"/>
      <c r="J209" s="21"/>
      <c r="K209" s="21"/>
      <c r="L209" s="21"/>
      <c r="M209" s="34"/>
      <c r="N209" s="35"/>
      <c r="O209" s="34"/>
      <c r="P209" s="35"/>
      <c r="Q209" s="33" t="str">
        <f aca="false">IF(OR(B209="",P209=""),"",P209-B209)</f>
        <v/>
      </c>
      <c r="R209" s="38" t="str">
        <f aca="true">IF(OR(M209&lt;&gt;"Yes",P209&lt;&gt;"",O209="Closed",O209="No Action Required"),"",IF(N209="","Due date missing",IF(N209&lt;TODAY(),"OVERDUE",IF(N209-TODAY()&lt;=2,"Due ≤2d","Open"))))</f>
        <v/>
      </c>
      <c r="S209" s="34"/>
      <c r="T209" s="34"/>
      <c r="U209" s="21"/>
    </row>
    <row r="210" customFormat="false" ht="15" hidden="false" customHeight="false" outlineLevel="0" collapsed="false">
      <c r="A210" s="6" t="s">
        <v>1070</v>
      </c>
      <c r="B210" s="35"/>
      <c r="C210" s="34"/>
      <c r="D210" s="34"/>
      <c r="E210" s="21"/>
      <c r="F210" s="34"/>
      <c r="G210" s="21"/>
      <c r="H210" s="34"/>
      <c r="I210" s="34"/>
      <c r="J210" s="21"/>
      <c r="K210" s="21"/>
      <c r="L210" s="21"/>
      <c r="M210" s="34"/>
      <c r="N210" s="35"/>
      <c r="O210" s="34"/>
      <c r="P210" s="35"/>
      <c r="Q210" s="33" t="str">
        <f aca="false">IF(OR(B210="",P210=""),"",P210-B210)</f>
        <v/>
      </c>
      <c r="R210" s="38" t="str">
        <f aca="true">IF(OR(M210&lt;&gt;"Yes",P210&lt;&gt;"",O210="Closed",O210="No Action Required"),"",IF(N210="","Due date missing",IF(N210&lt;TODAY(),"OVERDUE",IF(N210-TODAY()&lt;=2,"Due ≤2d","Open"))))</f>
        <v/>
      </c>
      <c r="S210" s="34"/>
      <c r="T210" s="34"/>
      <c r="U210" s="21"/>
    </row>
    <row r="211" customFormat="false" ht="15" hidden="false" customHeight="false" outlineLevel="0" collapsed="false">
      <c r="A211" s="6" t="s">
        <v>1071</v>
      </c>
      <c r="B211" s="35"/>
      <c r="C211" s="34"/>
      <c r="D211" s="34"/>
      <c r="E211" s="21"/>
      <c r="F211" s="34"/>
      <c r="G211" s="21"/>
      <c r="H211" s="34"/>
      <c r="I211" s="34"/>
      <c r="J211" s="21"/>
      <c r="K211" s="21"/>
      <c r="L211" s="21"/>
      <c r="M211" s="34"/>
      <c r="N211" s="35"/>
      <c r="O211" s="34"/>
      <c r="P211" s="35"/>
      <c r="Q211" s="33" t="str">
        <f aca="false">IF(OR(B211="",P211=""),"",P211-B211)</f>
        <v/>
      </c>
      <c r="R211" s="38" t="str">
        <f aca="true">IF(OR(M211&lt;&gt;"Yes",P211&lt;&gt;"",O211="Closed",O211="No Action Required"),"",IF(N211="","Due date missing",IF(N211&lt;TODAY(),"OVERDUE",IF(N211-TODAY()&lt;=2,"Due ≤2d","Open"))))</f>
        <v/>
      </c>
      <c r="S211" s="34"/>
      <c r="T211" s="34"/>
      <c r="U211" s="21"/>
    </row>
    <row r="212" customFormat="false" ht="15" hidden="false" customHeight="false" outlineLevel="0" collapsed="false">
      <c r="A212" s="6" t="s">
        <v>1072</v>
      </c>
      <c r="B212" s="35"/>
      <c r="C212" s="34"/>
      <c r="D212" s="34"/>
      <c r="E212" s="21"/>
      <c r="F212" s="34"/>
      <c r="G212" s="21"/>
      <c r="H212" s="34"/>
      <c r="I212" s="34"/>
      <c r="J212" s="21"/>
      <c r="K212" s="21"/>
      <c r="L212" s="21"/>
      <c r="M212" s="34"/>
      <c r="N212" s="35"/>
      <c r="O212" s="34"/>
      <c r="P212" s="35"/>
      <c r="Q212" s="33" t="str">
        <f aca="false">IF(OR(B212="",P212=""),"",P212-B212)</f>
        <v/>
      </c>
      <c r="R212" s="38" t="str">
        <f aca="true">IF(OR(M212&lt;&gt;"Yes",P212&lt;&gt;"",O212="Closed",O212="No Action Required"),"",IF(N212="","Due date missing",IF(N212&lt;TODAY(),"OVERDUE",IF(N212-TODAY()&lt;=2,"Due ≤2d","Open"))))</f>
        <v/>
      </c>
      <c r="S212" s="34"/>
      <c r="T212" s="34"/>
      <c r="U212" s="21"/>
    </row>
    <row r="213" customFormat="false" ht="15" hidden="false" customHeight="false" outlineLevel="0" collapsed="false">
      <c r="A213" s="6" t="s">
        <v>1073</v>
      </c>
      <c r="B213" s="35"/>
      <c r="C213" s="34"/>
      <c r="D213" s="34"/>
      <c r="E213" s="21"/>
      <c r="F213" s="34"/>
      <c r="G213" s="21"/>
      <c r="H213" s="34"/>
      <c r="I213" s="34"/>
      <c r="J213" s="21"/>
      <c r="K213" s="21"/>
      <c r="L213" s="21"/>
      <c r="M213" s="34"/>
      <c r="N213" s="35"/>
      <c r="O213" s="34"/>
      <c r="P213" s="35"/>
      <c r="Q213" s="33" t="str">
        <f aca="false">IF(OR(B213="",P213=""),"",P213-B213)</f>
        <v/>
      </c>
      <c r="R213" s="38" t="str">
        <f aca="true">IF(OR(M213&lt;&gt;"Yes",P213&lt;&gt;"",O213="Closed",O213="No Action Required"),"",IF(N213="","Due date missing",IF(N213&lt;TODAY(),"OVERDUE",IF(N213-TODAY()&lt;=2,"Due ≤2d","Open"))))</f>
        <v/>
      </c>
      <c r="S213" s="34"/>
      <c r="T213" s="34"/>
      <c r="U213" s="21"/>
    </row>
    <row r="214" customFormat="false" ht="15" hidden="false" customHeight="false" outlineLevel="0" collapsed="false">
      <c r="A214" s="6" t="s">
        <v>1074</v>
      </c>
      <c r="B214" s="35"/>
      <c r="C214" s="34"/>
      <c r="D214" s="34"/>
      <c r="E214" s="21"/>
      <c r="F214" s="34"/>
      <c r="G214" s="21"/>
      <c r="H214" s="34"/>
      <c r="I214" s="34"/>
      <c r="J214" s="21"/>
      <c r="K214" s="21"/>
      <c r="L214" s="21"/>
      <c r="M214" s="34"/>
      <c r="N214" s="35"/>
      <c r="O214" s="34"/>
      <c r="P214" s="35"/>
      <c r="Q214" s="33" t="str">
        <f aca="false">IF(OR(B214="",P214=""),"",P214-B214)</f>
        <v/>
      </c>
      <c r="R214" s="38" t="str">
        <f aca="true">IF(OR(M214&lt;&gt;"Yes",P214&lt;&gt;"",O214="Closed",O214="No Action Required"),"",IF(N214="","Due date missing",IF(N214&lt;TODAY(),"OVERDUE",IF(N214-TODAY()&lt;=2,"Due ≤2d","Open"))))</f>
        <v/>
      </c>
      <c r="S214" s="34"/>
      <c r="T214" s="34"/>
      <c r="U214" s="21"/>
    </row>
    <row r="215" customFormat="false" ht="15" hidden="false" customHeight="false" outlineLevel="0" collapsed="false">
      <c r="A215" s="6" t="s">
        <v>1075</v>
      </c>
      <c r="B215" s="35"/>
      <c r="C215" s="34"/>
      <c r="D215" s="34"/>
      <c r="E215" s="21"/>
      <c r="F215" s="34"/>
      <c r="G215" s="21"/>
      <c r="H215" s="34"/>
      <c r="I215" s="34"/>
      <c r="J215" s="21"/>
      <c r="K215" s="21"/>
      <c r="L215" s="21"/>
      <c r="M215" s="34"/>
      <c r="N215" s="35"/>
      <c r="O215" s="34"/>
      <c r="P215" s="35"/>
      <c r="Q215" s="33" t="str">
        <f aca="false">IF(OR(B215="",P215=""),"",P215-B215)</f>
        <v/>
      </c>
      <c r="R215" s="38" t="str">
        <f aca="true">IF(OR(M215&lt;&gt;"Yes",P215&lt;&gt;"",O215="Closed",O215="No Action Required"),"",IF(N215="","Due date missing",IF(N215&lt;TODAY(),"OVERDUE",IF(N215-TODAY()&lt;=2,"Due ≤2d","Open"))))</f>
        <v/>
      </c>
      <c r="S215" s="34"/>
      <c r="T215" s="34"/>
      <c r="U215" s="21"/>
    </row>
    <row r="216" customFormat="false" ht="15" hidden="false" customHeight="false" outlineLevel="0" collapsed="false">
      <c r="A216" s="6" t="s">
        <v>1076</v>
      </c>
      <c r="B216" s="35"/>
      <c r="C216" s="34"/>
      <c r="D216" s="34"/>
      <c r="E216" s="21"/>
      <c r="F216" s="34"/>
      <c r="G216" s="21"/>
      <c r="H216" s="34"/>
      <c r="I216" s="34"/>
      <c r="J216" s="21"/>
      <c r="K216" s="21"/>
      <c r="L216" s="21"/>
      <c r="M216" s="34"/>
      <c r="N216" s="35"/>
      <c r="O216" s="34"/>
      <c r="P216" s="35"/>
      <c r="Q216" s="33" t="str">
        <f aca="false">IF(OR(B216="",P216=""),"",P216-B216)</f>
        <v/>
      </c>
      <c r="R216" s="38" t="str">
        <f aca="true">IF(OR(M216&lt;&gt;"Yes",P216&lt;&gt;"",O216="Closed",O216="No Action Required"),"",IF(N216="","Due date missing",IF(N216&lt;TODAY(),"OVERDUE",IF(N216-TODAY()&lt;=2,"Due ≤2d","Open"))))</f>
        <v/>
      </c>
      <c r="S216" s="34"/>
      <c r="T216" s="34"/>
      <c r="U216" s="21"/>
    </row>
    <row r="217" customFormat="false" ht="15" hidden="false" customHeight="false" outlineLevel="0" collapsed="false">
      <c r="A217" s="6" t="s">
        <v>1077</v>
      </c>
      <c r="B217" s="35"/>
      <c r="C217" s="34"/>
      <c r="D217" s="34"/>
      <c r="E217" s="21"/>
      <c r="F217" s="34"/>
      <c r="G217" s="21"/>
      <c r="H217" s="34"/>
      <c r="I217" s="34"/>
      <c r="J217" s="21"/>
      <c r="K217" s="21"/>
      <c r="L217" s="21"/>
      <c r="M217" s="34"/>
      <c r="N217" s="35"/>
      <c r="O217" s="34"/>
      <c r="P217" s="35"/>
      <c r="Q217" s="33" t="str">
        <f aca="false">IF(OR(B217="",P217=""),"",P217-B217)</f>
        <v/>
      </c>
      <c r="R217" s="38" t="str">
        <f aca="true">IF(OR(M217&lt;&gt;"Yes",P217&lt;&gt;"",O217="Closed",O217="No Action Required"),"",IF(N217="","Due date missing",IF(N217&lt;TODAY(),"OVERDUE",IF(N217-TODAY()&lt;=2,"Due ≤2d","Open"))))</f>
        <v/>
      </c>
      <c r="S217" s="34"/>
      <c r="T217" s="34"/>
      <c r="U217" s="21"/>
    </row>
    <row r="218" customFormat="false" ht="15" hidden="false" customHeight="false" outlineLevel="0" collapsed="false">
      <c r="A218" s="6" t="s">
        <v>1078</v>
      </c>
      <c r="B218" s="35"/>
      <c r="C218" s="34"/>
      <c r="D218" s="34"/>
      <c r="E218" s="21"/>
      <c r="F218" s="34"/>
      <c r="G218" s="21"/>
      <c r="H218" s="34"/>
      <c r="I218" s="34"/>
      <c r="J218" s="21"/>
      <c r="K218" s="21"/>
      <c r="L218" s="21"/>
      <c r="M218" s="34"/>
      <c r="N218" s="35"/>
      <c r="O218" s="34"/>
      <c r="P218" s="35"/>
      <c r="Q218" s="33" t="str">
        <f aca="false">IF(OR(B218="",P218=""),"",P218-B218)</f>
        <v/>
      </c>
      <c r="R218" s="38" t="str">
        <f aca="true">IF(OR(M218&lt;&gt;"Yes",P218&lt;&gt;"",O218="Closed",O218="No Action Required"),"",IF(N218="","Due date missing",IF(N218&lt;TODAY(),"OVERDUE",IF(N218-TODAY()&lt;=2,"Due ≤2d","Open"))))</f>
        <v/>
      </c>
      <c r="S218" s="34"/>
      <c r="T218" s="34"/>
      <c r="U218" s="21"/>
    </row>
    <row r="219" customFormat="false" ht="15" hidden="false" customHeight="false" outlineLevel="0" collapsed="false">
      <c r="A219" s="6" t="s">
        <v>1079</v>
      </c>
      <c r="B219" s="35"/>
      <c r="C219" s="34"/>
      <c r="D219" s="34"/>
      <c r="E219" s="21"/>
      <c r="F219" s="34"/>
      <c r="G219" s="21"/>
      <c r="H219" s="34"/>
      <c r="I219" s="34"/>
      <c r="J219" s="21"/>
      <c r="K219" s="21"/>
      <c r="L219" s="21"/>
      <c r="M219" s="34"/>
      <c r="N219" s="35"/>
      <c r="O219" s="34"/>
      <c r="P219" s="35"/>
      <c r="Q219" s="33" t="str">
        <f aca="false">IF(OR(B219="",P219=""),"",P219-B219)</f>
        <v/>
      </c>
      <c r="R219" s="38" t="str">
        <f aca="true">IF(OR(M219&lt;&gt;"Yes",P219&lt;&gt;"",O219="Closed",O219="No Action Required"),"",IF(N219="","Due date missing",IF(N219&lt;TODAY(),"OVERDUE",IF(N219-TODAY()&lt;=2,"Due ≤2d","Open"))))</f>
        <v/>
      </c>
      <c r="S219" s="34"/>
      <c r="T219" s="34"/>
      <c r="U219" s="21"/>
    </row>
    <row r="220" customFormat="false" ht="15" hidden="false" customHeight="false" outlineLevel="0" collapsed="false">
      <c r="A220" s="6" t="s">
        <v>1080</v>
      </c>
      <c r="B220" s="35"/>
      <c r="C220" s="34"/>
      <c r="D220" s="34"/>
      <c r="E220" s="21"/>
      <c r="F220" s="34"/>
      <c r="G220" s="21"/>
      <c r="H220" s="34"/>
      <c r="I220" s="34"/>
      <c r="J220" s="21"/>
      <c r="K220" s="21"/>
      <c r="L220" s="21"/>
      <c r="M220" s="34"/>
      <c r="N220" s="35"/>
      <c r="O220" s="34"/>
      <c r="P220" s="35"/>
      <c r="Q220" s="33" t="str">
        <f aca="false">IF(OR(B220="",P220=""),"",P220-B220)</f>
        <v/>
      </c>
      <c r="R220" s="38" t="str">
        <f aca="true">IF(OR(M220&lt;&gt;"Yes",P220&lt;&gt;"",O220="Closed",O220="No Action Required"),"",IF(N220="","Due date missing",IF(N220&lt;TODAY(),"OVERDUE",IF(N220-TODAY()&lt;=2,"Due ≤2d","Open"))))</f>
        <v/>
      </c>
      <c r="S220" s="34"/>
      <c r="T220" s="34"/>
      <c r="U220" s="21"/>
    </row>
    <row r="221" customFormat="false" ht="15" hidden="false" customHeight="false" outlineLevel="0" collapsed="false">
      <c r="A221" s="6" t="s">
        <v>1081</v>
      </c>
      <c r="B221" s="35"/>
      <c r="C221" s="34"/>
      <c r="D221" s="34"/>
      <c r="E221" s="21"/>
      <c r="F221" s="34"/>
      <c r="G221" s="21"/>
      <c r="H221" s="34"/>
      <c r="I221" s="34"/>
      <c r="J221" s="21"/>
      <c r="K221" s="21"/>
      <c r="L221" s="21"/>
      <c r="M221" s="34"/>
      <c r="N221" s="35"/>
      <c r="O221" s="34"/>
      <c r="P221" s="35"/>
      <c r="Q221" s="33" t="str">
        <f aca="false">IF(OR(B221="",P221=""),"",P221-B221)</f>
        <v/>
      </c>
      <c r="R221" s="38" t="str">
        <f aca="true">IF(OR(M221&lt;&gt;"Yes",P221&lt;&gt;"",O221="Closed",O221="No Action Required"),"",IF(N221="","Due date missing",IF(N221&lt;TODAY(),"OVERDUE",IF(N221-TODAY()&lt;=2,"Due ≤2d","Open"))))</f>
        <v/>
      </c>
      <c r="S221" s="34"/>
      <c r="T221" s="34"/>
      <c r="U221" s="21"/>
    </row>
    <row r="222" customFormat="false" ht="15" hidden="false" customHeight="false" outlineLevel="0" collapsed="false">
      <c r="A222" s="6" t="s">
        <v>1082</v>
      </c>
      <c r="B222" s="35"/>
      <c r="C222" s="34"/>
      <c r="D222" s="34"/>
      <c r="E222" s="21"/>
      <c r="F222" s="34"/>
      <c r="G222" s="21"/>
      <c r="H222" s="34"/>
      <c r="I222" s="34"/>
      <c r="J222" s="21"/>
      <c r="K222" s="21"/>
      <c r="L222" s="21"/>
      <c r="M222" s="34"/>
      <c r="N222" s="35"/>
      <c r="O222" s="34"/>
      <c r="P222" s="35"/>
      <c r="Q222" s="33" t="str">
        <f aca="false">IF(OR(B222="",P222=""),"",P222-B222)</f>
        <v/>
      </c>
      <c r="R222" s="38" t="str">
        <f aca="true">IF(OR(M222&lt;&gt;"Yes",P222&lt;&gt;"",O222="Closed",O222="No Action Required"),"",IF(N222="","Due date missing",IF(N222&lt;TODAY(),"OVERDUE",IF(N222-TODAY()&lt;=2,"Due ≤2d","Open"))))</f>
        <v/>
      </c>
      <c r="S222" s="34"/>
      <c r="T222" s="34"/>
      <c r="U222" s="21"/>
    </row>
    <row r="223" customFormat="false" ht="15" hidden="false" customHeight="false" outlineLevel="0" collapsed="false">
      <c r="A223" s="6" t="s">
        <v>1083</v>
      </c>
      <c r="B223" s="35"/>
      <c r="C223" s="34"/>
      <c r="D223" s="34"/>
      <c r="E223" s="21"/>
      <c r="F223" s="34"/>
      <c r="G223" s="21"/>
      <c r="H223" s="34"/>
      <c r="I223" s="34"/>
      <c r="J223" s="21"/>
      <c r="K223" s="21"/>
      <c r="L223" s="21"/>
      <c r="M223" s="34"/>
      <c r="N223" s="35"/>
      <c r="O223" s="34"/>
      <c r="P223" s="35"/>
      <c r="Q223" s="33" t="str">
        <f aca="false">IF(OR(B223="",P223=""),"",P223-B223)</f>
        <v/>
      </c>
      <c r="R223" s="38" t="str">
        <f aca="true">IF(OR(M223&lt;&gt;"Yes",P223&lt;&gt;"",O223="Closed",O223="No Action Required"),"",IF(N223="","Due date missing",IF(N223&lt;TODAY(),"OVERDUE",IF(N223-TODAY()&lt;=2,"Due ≤2d","Open"))))</f>
        <v/>
      </c>
      <c r="S223" s="34"/>
      <c r="T223" s="34"/>
      <c r="U223" s="21"/>
    </row>
    <row r="224" customFormat="false" ht="15" hidden="false" customHeight="false" outlineLevel="0" collapsed="false">
      <c r="A224" s="6" t="s">
        <v>1084</v>
      </c>
      <c r="B224" s="35"/>
      <c r="C224" s="34"/>
      <c r="D224" s="34"/>
      <c r="E224" s="21"/>
      <c r="F224" s="34"/>
      <c r="G224" s="21"/>
      <c r="H224" s="34"/>
      <c r="I224" s="34"/>
      <c r="J224" s="21"/>
      <c r="K224" s="21"/>
      <c r="L224" s="21"/>
      <c r="M224" s="34"/>
      <c r="N224" s="35"/>
      <c r="O224" s="34"/>
      <c r="P224" s="35"/>
      <c r="Q224" s="33" t="str">
        <f aca="false">IF(OR(B224="",P224=""),"",P224-B224)</f>
        <v/>
      </c>
      <c r="R224" s="38" t="str">
        <f aca="true">IF(OR(M224&lt;&gt;"Yes",P224&lt;&gt;"",O224="Closed",O224="No Action Required"),"",IF(N224="","Due date missing",IF(N224&lt;TODAY(),"OVERDUE",IF(N224-TODAY()&lt;=2,"Due ≤2d","Open"))))</f>
        <v/>
      </c>
      <c r="S224" s="34"/>
      <c r="T224" s="34"/>
      <c r="U224" s="21"/>
    </row>
    <row r="225" customFormat="false" ht="15" hidden="false" customHeight="false" outlineLevel="0" collapsed="false">
      <c r="A225" s="6" t="s">
        <v>1085</v>
      </c>
      <c r="B225" s="35"/>
      <c r="C225" s="34"/>
      <c r="D225" s="34"/>
      <c r="E225" s="21"/>
      <c r="F225" s="34"/>
      <c r="G225" s="21"/>
      <c r="H225" s="34"/>
      <c r="I225" s="34"/>
      <c r="J225" s="21"/>
      <c r="K225" s="21"/>
      <c r="L225" s="21"/>
      <c r="M225" s="34"/>
      <c r="N225" s="35"/>
      <c r="O225" s="34"/>
      <c r="P225" s="35"/>
      <c r="Q225" s="33" t="str">
        <f aca="false">IF(OR(B225="",P225=""),"",P225-B225)</f>
        <v/>
      </c>
      <c r="R225" s="38" t="str">
        <f aca="true">IF(OR(M225&lt;&gt;"Yes",P225&lt;&gt;"",O225="Closed",O225="No Action Required"),"",IF(N225="","Due date missing",IF(N225&lt;TODAY(),"OVERDUE",IF(N225-TODAY()&lt;=2,"Due ≤2d","Open"))))</f>
        <v/>
      </c>
      <c r="S225" s="34"/>
      <c r="T225" s="34"/>
      <c r="U225" s="21"/>
    </row>
    <row r="226" customFormat="false" ht="15" hidden="false" customHeight="false" outlineLevel="0" collapsed="false">
      <c r="A226" s="6" t="s">
        <v>1086</v>
      </c>
      <c r="B226" s="35"/>
      <c r="C226" s="34"/>
      <c r="D226" s="34"/>
      <c r="E226" s="21"/>
      <c r="F226" s="34"/>
      <c r="G226" s="21"/>
      <c r="H226" s="34"/>
      <c r="I226" s="34"/>
      <c r="J226" s="21"/>
      <c r="K226" s="21"/>
      <c r="L226" s="21"/>
      <c r="M226" s="34"/>
      <c r="N226" s="35"/>
      <c r="O226" s="34"/>
      <c r="P226" s="35"/>
      <c r="Q226" s="33" t="str">
        <f aca="false">IF(OR(B226="",P226=""),"",P226-B226)</f>
        <v/>
      </c>
      <c r="R226" s="38" t="str">
        <f aca="true">IF(OR(M226&lt;&gt;"Yes",P226&lt;&gt;"",O226="Closed",O226="No Action Required"),"",IF(N226="","Due date missing",IF(N226&lt;TODAY(),"OVERDUE",IF(N226-TODAY()&lt;=2,"Due ≤2d","Open"))))</f>
        <v/>
      </c>
      <c r="S226" s="34"/>
      <c r="T226" s="34"/>
      <c r="U226" s="21"/>
    </row>
    <row r="227" customFormat="false" ht="15" hidden="false" customHeight="false" outlineLevel="0" collapsed="false">
      <c r="A227" s="6" t="s">
        <v>1087</v>
      </c>
      <c r="B227" s="35"/>
      <c r="C227" s="34"/>
      <c r="D227" s="34"/>
      <c r="E227" s="21"/>
      <c r="F227" s="34"/>
      <c r="G227" s="21"/>
      <c r="H227" s="34"/>
      <c r="I227" s="34"/>
      <c r="J227" s="21"/>
      <c r="K227" s="21"/>
      <c r="L227" s="21"/>
      <c r="M227" s="34"/>
      <c r="N227" s="35"/>
      <c r="O227" s="34"/>
      <c r="P227" s="35"/>
      <c r="Q227" s="33" t="str">
        <f aca="false">IF(OR(B227="",P227=""),"",P227-B227)</f>
        <v/>
      </c>
      <c r="R227" s="38" t="str">
        <f aca="true">IF(OR(M227&lt;&gt;"Yes",P227&lt;&gt;"",O227="Closed",O227="No Action Required"),"",IF(N227="","Due date missing",IF(N227&lt;TODAY(),"OVERDUE",IF(N227-TODAY()&lt;=2,"Due ≤2d","Open"))))</f>
        <v/>
      </c>
      <c r="S227" s="34"/>
      <c r="T227" s="34"/>
      <c r="U227" s="21"/>
    </row>
    <row r="228" customFormat="false" ht="15" hidden="false" customHeight="false" outlineLevel="0" collapsed="false">
      <c r="A228" s="6" t="s">
        <v>1088</v>
      </c>
      <c r="B228" s="35"/>
      <c r="C228" s="34"/>
      <c r="D228" s="34"/>
      <c r="E228" s="21"/>
      <c r="F228" s="34"/>
      <c r="G228" s="21"/>
      <c r="H228" s="34"/>
      <c r="I228" s="34"/>
      <c r="J228" s="21"/>
      <c r="K228" s="21"/>
      <c r="L228" s="21"/>
      <c r="M228" s="34"/>
      <c r="N228" s="35"/>
      <c r="O228" s="34"/>
      <c r="P228" s="35"/>
      <c r="Q228" s="33" t="str">
        <f aca="false">IF(OR(B228="",P228=""),"",P228-B228)</f>
        <v/>
      </c>
      <c r="R228" s="38" t="str">
        <f aca="true">IF(OR(M228&lt;&gt;"Yes",P228&lt;&gt;"",O228="Closed",O228="No Action Required"),"",IF(N228="","Due date missing",IF(N228&lt;TODAY(),"OVERDUE",IF(N228-TODAY()&lt;=2,"Due ≤2d","Open"))))</f>
        <v/>
      </c>
      <c r="S228" s="34"/>
      <c r="T228" s="34"/>
      <c r="U228" s="21"/>
    </row>
    <row r="229" customFormat="false" ht="15" hidden="false" customHeight="false" outlineLevel="0" collapsed="false">
      <c r="A229" s="6" t="s">
        <v>1089</v>
      </c>
      <c r="B229" s="35"/>
      <c r="C229" s="34"/>
      <c r="D229" s="34"/>
      <c r="E229" s="21"/>
      <c r="F229" s="34"/>
      <c r="G229" s="21"/>
      <c r="H229" s="34"/>
      <c r="I229" s="34"/>
      <c r="J229" s="21"/>
      <c r="K229" s="21"/>
      <c r="L229" s="21"/>
      <c r="M229" s="34"/>
      <c r="N229" s="35"/>
      <c r="O229" s="34"/>
      <c r="P229" s="35"/>
      <c r="Q229" s="33" t="str">
        <f aca="false">IF(OR(B229="",P229=""),"",P229-B229)</f>
        <v/>
      </c>
      <c r="R229" s="38" t="str">
        <f aca="true">IF(OR(M229&lt;&gt;"Yes",P229&lt;&gt;"",O229="Closed",O229="No Action Required"),"",IF(N229="","Due date missing",IF(N229&lt;TODAY(),"OVERDUE",IF(N229-TODAY()&lt;=2,"Due ≤2d","Open"))))</f>
        <v/>
      </c>
      <c r="S229" s="34"/>
      <c r="T229" s="34"/>
      <c r="U229" s="21"/>
    </row>
    <row r="230" customFormat="false" ht="15" hidden="false" customHeight="false" outlineLevel="0" collapsed="false">
      <c r="A230" s="6" t="s">
        <v>1090</v>
      </c>
      <c r="B230" s="35"/>
      <c r="C230" s="34"/>
      <c r="D230" s="34"/>
      <c r="E230" s="21"/>
      <c r="F230" s="34"/>
      <c r="G230" s="21"/>
      <c r="H230" s="34"/>
      <c r="I230" s="34"/>
      <c r="J230" s="21"/>
      <c r="K230" s="21"/>
      <c r="L230" s="21"/>
      <c r="M230" s="34"/>
      <c r="N230" s="35"/>
      <c r="O230" s="34"/>
      <c r="P230" s="35"/>
      <c r="Q230" s="33" t="str">
        <f aca="false">IF(OR(B230="",P230=""),"",P230-B230)</f>
        <v/>
      </c>
      <c r="R230" s="38" t="str">
        <f aca="true">IF(OR(M230&lt;&gt;"Yes",P230&lt;&gt;"",O230="Closed",O230="No Action Required"),"",IF(N230="","Due date missing",IF(N230&lt;TODAY(),"OVERDUE",IF(N230-TODAY()&lt;=2,"Due ≤2d","Open"))))</f>
        <v/>
      </c>
      <c r="S230" s="34"/>
      <c r="T230" s="34"/>
      <c r="U230" s="21"/>
    </row>
    <row r="231" customFormat="false" ht="15" hidden="false" customHeight="false" outlineLevel="0" collapsed="false">
      <c r="A231" s="6" t="s">
        <v>1091</v>
      </c>
      <c r="B231" s="35"/>
      <c r="C231" s="34"/>
      <c r="D231" s="34"/>
      <c r="E231" s="21"/>
      <c r="F231" s="34"/>
      <c r="G231" s="21"/>
      <c r="H231" s="34"/>
      <c r="I231" s="34"/>
      <c r="J231" s="21"/>
      <c r="K231" s="21"/>
      <c r="L231" s="21"/>
      <c r="M231" s="34"/>
      <c r="N231" s="35"/>
      <c r="O231" s="34"/>
      <c r="P231" s="35"/>
      <c r="Q231" s="33" t="str">
        <f aca="false">IF(OR(B231="",P231=""),"",P231-B231)</f>
        <v/>
      </c>
      <c r="R231" s="38" t="str">
        <f aca="true">IF(OR(M231&lt;&gt;"Yes",P231&lt;&gt;"",O231="Closed",O231="No Action Required"),"",IF(N231="","Due date missing",IF(N231&lt;TODAY(),"OVERDUE",IF(N231-TODAY()&lt;=2,"Due ≤2d","Open"))))</f>
        <v/>
      </c>
      <c r="S231" s="34"/>
      <c r="T231" s="34"/>
      <c r="U231" s="21"/>
    </row>
    <row r="232" customFormat="false" ht="15" hidden="false" customHeight="false" outlineLevel="0" collapsed="false">
      <c r="A232" s="6" t="s">
        <v>1092</v>
      </c>
      <c r="B232" s="35"/>
      <c r="C232" s="34"/>
      <c r="D232" s="34"/>
      <c r="E232" s="21"/>
      <c r="F232" s="34"/>
      <c r="G232" s="21"/>
      <c r="H232" s="34"/>
      <c r="I232" s="34"/>
      <c r="J232" s="21"/>
      <c r="K232" s="21"/>
      <c r="L232" s="21"/>
      <c r="M232" s="34"/>
      <c r="N232" s="35"/>
      <c r="O232" s="34"/>
      <c r="P232" s="35"/>
      <c r="Q232" s="33" t="str">
        <f aca="false">IF(OR(B232="",P232=""),"",P232-B232)</f>
        <v/>
      </c>
      <c r="R232" s="38" t="str">
        <f aca="true">IF(OR(M232&lt;&gt;"Yes",P232&lt;&gt;"",O232="Closed",O232="No Action Required"),"",IF(N232="","Due date missing",IF(N232&lt;TODAY(),"OVERDUE",IF(N232-TODAY()&lt;=2,"Due ≤2d","Open"))))</f>
        <v/>
      </c>
      <c r="S232" s="34"/>
      <c r="T232" s="34"/>
      <c r="U232" s="21"/>
    </row>
    <row r="233" customFormat="false" ht="15" hidden="false" customHeight="false" outlineLevel="0" collapsed="false">
      <c r="A233" s="6" t="s">
        <v>1093</v>
      </c>
      <c r="B233" s="35"/>
      <c r="C233" s="34"/>
      <c r="D233" s="34"/>
      <c r="E233" s="21"/>
      <c r="F233" s="34"/>
      <c r="G233" s="21"/>
      <c r="H233" s="34"/>
      <c r="I233" s="34"/>
      <c r="J233" s="21"/>
      <c r="K233" s="21"/>
      <c r="L233" s="21"/>
      <c r="M233" s="34"/>
      <c r="N233" s="35"/>
      <c r="O233" s="34"/>
      <c r="P233" s="35"/>
      <c r="Q233" s="33" t="str">
        <f aca="false">IF(OR(B233="",P233=""),"",P233-B233)</f>
        <v/>
      </c>
      <c r="R233" s="38" t="str">
        <f aca="true">IF(OR(M233&lt;&gt;"Yes",P233&lt;&gt;"",O233="Closed",O233="No Action Required"),"",IF(N233="","Due date missing",IF(N233&lt;TODAY(),"OVERDUE",IF(N233-TODAY()&lt;=2,"Due ≤2d","Open"))))</f>
        <v/>
      </c>
      <c r="S233" s="34"/>
      <c r="T233" s="34"/>
      <c r="U233" s="21"/>
    </row>
    <row r="234" customFormat="false" ht="15" hidden="false" customHeight="false" outlineLevel="0" collapsed="false">
      <c r="A234" s="6" t="s">
        <v>1094</v>
      </c>
      <c r="B234" s="35"/>
      <c r="C234" s="34"/>
      <c r="D234" s="34"/>
      <c r="E234" s="21"/>
      <c r="F234" s="34"/>
      <c r="G234" s="21"/>
      <c r="H234" s="34"/>
      <c r="I234" s="34"/>
      <c r="J234" s="21"/>
      <c r="K234" s="21"/>
      <c r="L234" s="21"/>
      <c r="M234" s="34"/>
      <c r="N234" s="35"/>
      <c r="O234" s="34"/>
      <c r="P234" s="35"/>
      <c r="Q234" s="33" t="str">
        <f aca="false">IF(OR(B234="",P234=""),"",P234-B234)</f>
        <v/>
      </c>
      <c r="R234" s="38" t="str">
        <f aca="true">IF(OR(M234&lt;&gt;"Yes",P234&lt;&gt;"",O234="Closed",O234="No Action Required"),"",IF(N234="","Due date missing",IF(N234&lt;TODAY(),"OVERDUE",IF(N234-TODAY()&lt;=2,"Due ≤2d","Open"))))</f>
        <v/>
      </c>
      <c r="S234" s="34"/>
      <c r="T234" s="34"/>
      <c r="U234" s="21"/>
    </row>
    <row r="235" customFormat="false" ht="15" hidden="false" customHeight="false" outlineLevel="0" collapsed="false">
      <c r="A235" s="6" t="s">
        <v>1095</v>
      </c>
      <c r="B235" s="35"/>
      <c r="C235" s="34"/>
      <c r="D235" s="34"/>
      <c r="E235" s="21"/>
      <c r="F235" s="34"/>
      <c r="G235" s="21"/>
      <c r="H235" s="34"/>
      <c r="I235" s="34"/>
      <c r="J235" s="21"/>
      <c r="K235" s="21"/>
      <c r="L235" s="21"/>
      <c r="M235" s="34"/>
      <c r="N235" s="35"/>
      <c r="O235" s="34"/>
      <c r="P235" s="35"/>
      <c r="Q235" s="33" t="str">
        <f aca="false">IF(OR(B235="",P235=""),"",P235-B235)</f>
        <v/>
      </c>
      <c r="R235" s="38" t="str">
        <f aca="true">IF(OR(M235&lt;&gt;"Yes",P235&lt;&gt;"",O235="Closed",O235="No Action Required"),"",IF(N235="","Due date missing",IF(N235&lt;TODAY(),"OVERDUE",IF(N235-TODAY()&lt;=2,"Due ≤2d","Open"))))</f>
        <v/>
      </c>
      <c r="S235" s="34"/>
      <c r="T235" s="34"/>
      <c r="U235" s="21"/>
    </row>
    <row r="236" customFormat="false" ht="15" hidden="false" customHeight="false" outlineLevel="0" collapsed="false">
      <c r="A236" s="6" t="s">
        <v>1096</v>
      </c>
      <c r="B236" s="35"/>
      <c r="C236" s="34"/>
      <c r="D236" s="34"/>
      <c r="E236" s="21"/>
      <c r="F236" s="34"/>
      <c r="G236" s="21"/>
      <c r="H236" s="34"/>
      <c r="I236" s="34"/>
      <c r="J236" s="21"/>
      <c r="K236" s="21"/>
      <c r="L236" s="21"/>
      <c r="M236" s="34"/>
      <c r="N236" s="35"/>
      <c r="O236" s="34"/>
      <c r="P236" s="35"/>
      <c r="Q236" s="33" t="str">
        <f aca="false">IF(OR(B236="",P236=""),"",P236-B236)</f>
        <v/>
      </c>
      <c r="R236" s="38" t="str">
        <f aca="true">IF(OR(M236&lt;&gt;"Yes",P236&lt;&gt;"",O236="Closed",O236="No Action Required"),"",IF(N236="","Due date missing",IF(N236&lt;TODAY(),"OVERDUE",IF(N236-TODAY()&lt;=2,"Due ≤2d","Open"))))</f>
        <v/>
      </c>
      <c r="S236" s="34"/>
      <c r="T236" s="34"/>
      <c r="U236" s="21"/>
    </row>
    <row r="237" customFormat="false" ht="15" hidden="false" customHeight="false" outlineLevel="0" collapsed="false">
      <c r="A237" s="6" t="s">
        <v>1097</v>
      </c>
      <c r="B237" s="35"/>
      <c r="C237" s="34"/>
      <c r="D237" s="34"/>
      <c r="E237" s="21"/>
      <c r="F237" s="34"/>
      <c r="G237" s="21"/>
      <c r="H237" s="34"/>
      <c r="I237" s="34"/>
      <c r="J237" s="21"/>
      <c r="K237" s="21"/>
      <c r="L237" s="21"/>
      <c r="M237" s="34"/>
      <c r="N237" s="35"/>
      <c r="O237" s="34"/>
      <c r="P237" s="35"/>
      <c r="Q237" s="33" t="str">
        <f aca="false">IF(OR(B237="",P237=""),"",P237-B237)</f>
        <v/>
      </c>
      <c r="R237" s="38" t="str">
        <f aca="true">IF(OR(M237&lt;&gt;"Yes",P237&lt;&gt;"",O237="Closed",O237="No Action Required"),"",IF(N237="","Due date missing",IF(N237&lt;TODAY(),"OVERDUE",IF(N237-TODAY()&lt;=2,"Due ≤2d","Open"))))</f>
        <v/>
      </c>
      <c r="S237" s="34"/>
      <c r="T237" s="34"/>
      <c r="U237" s="21"/>
    </row>
    <row r="238" customFormat="false" ht="15" hidden="false" customHeight="false" outlineLevel="0" collapsed="false">
      <c r="A238" s="6" t="s">
        <v>1098</v>
      </c>
      <c r="B238" s="35"/>
      <c r="C238" s="34"/>
      <c r="D238" s="34"/>
      <c r="E238" s="21"/>
      <c r="F238" s="34"/>
      <c r="G238" s="21"/>
      <c r="H238" s="34"/>
      <c r="I238" s="34"/>
      <c r="J238" s="21"/>
      <c r="K238" s="21"/>
      <c r="L238" s="21"/>
      <c r="M238" s="34"/>
      <c r="N238" s="35"/>
      <c r="O238" s="34"/>
      <c r="P238" s="35"/>
      <c r="Q238" s="33" t="str">
        <f aca="false">IF(OR(B238="",P238=""),"",P238-B238)</f>
        <v/>
      </c>
      <c r="R238" s="38" t="str">
        <f aca="true">IF(OR(M238&lt;&gt;"Yes",P238&lt;&gt;"",O238="Closed",O238="No Action Required"),"",IF(N238="","Due date missing",IF(N238&lt;TODAY(),"OVERDUE",IF(N238-TODAY()&lt;=2,"Due ≤2d","Open"))))</f>
        <v/>
      </c>
      <c r="S238" s="34"/>
      <c r="T238" s="34"/>
      <c r="U238" s="21"/>
    </row>
    <row r="239" customFormat="false" ht="15" hidden="false" customHeight="false" outlineLevel="0" collapsed="false">
      <c r="A239" s="6" t="s">
        <v>1099</v>
      </c>
      <c r="B239" s="35"/>
      <c r="C239" s="34"/>
      <c r="D239" s="34"/>
      <c r="E239" s="21"/>
      <c r="F239" s="34"/>
      <c r="G239" s="21"/>
      <c r="H239" s="34"/>
      <c r="I239" s="34"/>
      <c r="J239" s="21"/>
      <c r="K239" s="21"/>
      <c r="L239" s="21"/>
      <c r="M239" s="34"/>
      <c r="N239" s="35"/>
      <c r="O239" s="34"/>
      <c r="P239" s="35"/>
      <c r="Q239" s="33" t="str">
        <f aca="false">IF(OR(B239="",P239=""),"",P239-B239)</f>
        <v/>
      </c>
      <c r="R239" s="38" t="str">
        <f aca="true">IF(OR(M239&lt;&gt;"Yes",P239&lt;&gt;"",O239="Closed",O239="No Action Required"),"",IF(N239="","Due date missing",IF(N239&lt;TODAY(),"OVERDUE",IF(N239-TODAY()&lt;=2,"Due ≤2d","Open"))))</f>
        <v/>
      </c>
      <c r="S239" s="34"/>
      <c r="T239" s="34"/>
      <c r="U239" s="21"/>
    </row>
    <row r="240" customFormat="false" ht="15" hidden="false" customHeight="false" outlineLevel="0" collapsed="false">
      <c r="A240" s="6" t="s">
        <v>1100</v>
      </c>
      <c r="B240" s="35"/>
      <c r="C240" s="34"/>
      <c r="D240" s="34"/>
      <c r="E240" s="21"/>
      <c r="F240" s="34"/>
      <c r="G240" s="21"/>
      <c r="H240" s="34"/>
      <c r="I240" s="34"/>
      <c r="J240" s="21"/>
      <c r="K240" s="21"/>
      <c r="L240" s="21"/>
      <c r="M240" s="34"/>
      <c r="N240" s="35"/>
      <c r="O240" s="34"/>
      <c r="P240" s="35"/>
      <c r="Q240" s="33" t="str">
        <f aca="false">IF(OR(B240="",P240=""),"",P240-B240)</f>
        <v/>
      </c>
      <c r="R240" s="38" t="str">
        <f aca="true">IF(OR(M240&lt;&gt;"Yes",P240&lt;&gt;"",O240="Closed",O240="No Action Required"),"",IF(N240="","Due date missing",IF(N240&lt;TODAY(),"OVERDUE",IF(N240-TODAY()&lt;=2,"Due ≤2d","Open"))))</f>
        <v/>
      </c>
      <c r="S240" s="34"/>
      <c r="T240" s="34"/>
      <c r="U240" s="21"/>
    </row>
    <row r="241" customFormat="false" ht="15" hidden="false" customHeight="false" outlineLevel="0" collapsed="false">
      <c r="A241" s="6" t="s">
        <v>1101</v>
      </c>
      <c r="B241" s="35"/>
      <c r="C241" s="34"/>
      <c r="D241" s="34"/>
      <c r="E241" s="21"/>
      <c r="F241" s="34"/>
      <c r="G241" s="21"/>
      <c r="H241" s="34"/>
      <c r="I241" s="34"/>
      <c r="J241" s="21"/>
      <c r="K241" s="21"/>
      <c r="L241" s="21"/>
      <c r="M241" s="34"/>
      <c r="N241" s="35"/>
      <c r="O241" s="34"/>
      <c r="P241" s="35"/>
      <c r="Q241" s="33" t="str">
        <f aca="false">IF(OR(B241="",P241=""),"",P241-B241)</f>
        <v/>
      </c>
      <c r="R241" s="38" t="str">
        <f aca="true">IF(OR(M241&lt;&gt;"Yes",P241&lt;&gt;"",O241="Closed",O241="No Action Required"),"",IF(N241="","Due date missing",IF(N241&lt;TODAY(),"OVERDUE",IF(N241-TODAY()&lt;=2,"Due ≤2d","Open"))))</f>
        <v/>
      </c>
      <c r="S241" s="34"/>
      <c r="T241" s="34"/>
      <c r="U241" s="21"/>
    </row>
    <row r="242" customFormat="false" ht="15" hidden="false" customHeight="false" outlineLevel="0" collapsed="false">
      <c r="A242" s="6" t="s">
        <v>1102</v>
      </c>
      <c r="B242" s="35"/>
      <c r="C242" s="34"/>
      <c r="D242" s="34"/>
      <c r="E242" s="21"/>
      <c r="F242" s="34"/>
      <c r="G242" s="21"/>
      <c r="H242" s="34"/>
      <c r="I242" s="34"/>
      <c r="J242" s="21"/>
      <c r="K242" s="21"/>
      <c r="L242" s="21"/>
      <c r="M242" s="34"/>
      <c r="N242" s="35"/>
      <c r="O242" s="34"/>
      <c r="P242" s="35"/>
      <c r="Q242" s="33" t="str">
        <f aca="false">IF(OR(B242="",P242=""),"",P242-B242)</f>
        <v/>
      </c>
      <c r="R242" s="38" t="str">
        <f aca="true">IF(OR(M242&lt;&gt;"Yes",P242&lt;&gt;"",O242="Closed",O242="No Action Required"),"",IF(N242="","Due date missing",IF(N242&lt;TODAY(),"OVERDUE",IF(N242-TODAY()&lt;=2,"Due ≤2d","Open"))))</f>
        <v/>
      </c>
      <c r="S242" s="34"/>
      <c r="T242" s="34"/>
      <c r="U242" s="21"/>
    </row>
    <row r="243" customFormat="false" ht="15" hidden="false" customHeight="false" outlineLevel="0" collapsed="false">
      <c r="A243" s="6" t="s">
        <v>1103</v>
      </c>
      <c r="B243" s="35"/>
      <c r="C243" s="34"/>
      <c r="D243" s="34"/>
      <c r="E243" s="21"/>
      <c r="F243" s="34"/>
      <c r="G243" s="21"/>
      <c r="H243" s="34"/>
      <c r="I243" s="34"/>
      <c r="J243" s="21"/>
      <c r="K243" s="21"/>
      <c r="L243" s="21"/>
      <c r="M243" s="34"/>
      <c r="N243" s="35"/>
      <c r="O243" s="34"/>
      <c r="P243" s="35"/>
      <c r="Q243" s="33" t="str">
        <f aca="false">IF(OR(B243="",P243=""),"",P243-B243)</f>
        <v/>
      </c>
      <c r="R243" s="38" t="str">
        <f aca="true">IF(OR(M243&lt;&gt;"Yes",P243&lt;&gt;"",O243="Closed",O243="No Action Required"),"",IF(N243="","Due date missing",IF(N243&lt;TODAY(),"OVERDUE",IF(N243-TODAY()&lt;=2,"Due ≤2d","Open"))))</f>
        <v/>
      </c>
      <c r="S243" s="34"/>
      <c r="T243" s="34"/>
      <c r="U243" s="21"/>
    </row>
    <row r="244" customFormat="false" ht="15" hidden="false" customHeight="false" outlineLevel="0" collapsed="false">
      <c r="A244" s="6" t="s">
        <v>1104</v>
      </c>
      <c r="B244" s="35"/>
      <c r="C244" s="34"/>
      <c r="D244" s="34"/>
      <c r="E244" s="21"/>
      <c r="F244" s="34"/>
      <c r="G244" s="21"/>
      <c r="H244" s="34"/>
      <c r="I244" s="34"/>
      <c r="J244" s="21"/>
      <c r="K244" s="21"/>
      <c r="L244" s="21"/>
      <c r="M244" s="34"/>
      <c r="N244" s="35"/>
      <c r="O244" s="34"/>
      <c r="P244" s="35"/>
      <c r="Q244" s="33" t="str">
        <f aca="false">IF(OR(B244="",P244=""),"",P244-B244)</f>
        <v/>
      </c>
      <c r="R244" s="38" t="str">
        <f aca="true">IF(OR(M244&lt;&gt;"Yes",P244&lt;&gt;"",O244="Closed",O244="No Action Required"),"",IF(N244="","Due date missing",IF(N244&lt;TODAY(),"OVERDUE",IF(N244-TODAY()&lt;=2,"Due ≤2d","Open"))))</f>
        <v/>
      </c>
      <c r="S244" s="34"/>
      <c r="T244" s="34"/>
      <c r="U244" s="21"/>
    </row>
    <row r="245" customFormat="false" ht="15" hidden="false" customHeight="false" outlineLevel="0" collapsed="false">
      <c r="A245" s="6" t="s">
        <v>1105</v>
      </c>
      <c r="B245" s="35"/>
      <c r="C245" s="34"/>
      <c r="D245" s="34"/>
      <c r="E245" s="21"/>
      <c r="F245" s="34"/>
      <c r="G245" s="21"/>
      <c r="H245" s="34"/>
      <c r="I245" s="34"/>
      <c r="J245" s="21"/>
      <c r="K245" s="21"/>
      <c r="L245" s="21"/>
      <c r="M245" s="34"/>
      <c r="N245" s="35"/>
      <c r="O245" s="34"/>
      <c r="P245" s="35"/>
      <c r="Q245" s="33" t="str">
        <f aca="false">IF(OR(B245="",P245=""),"",P245-B245)</f>
        <v/>
      </c>
      <c r="R245" s="38" t="str">
        <f aca="true">IF(OR(M245&lt;&gt;"Yes",P245&lt;&gt;"",O245="Closed",O245="No Action Required"),"",IF(N245="","Due date missing",IF(N245&lt;TODAY(),"OVERDUE",IF(N245-TODAY()&lt;=2,"Due ≤2d","Open"))))</f>
        <v/>
      </c>
      <c r="S245" s="34"/>
      <c r="T245" s="34"/>
      <c r="U245" s="21"/>
    </row>
    <row r="246" customFormat="false" ht="15" hidden="false" customHeight="false" outlineLevel="0" collapsed="false">
      <c r="A246" s="6" t="s">
        <v>1106</v>
      </c>
      <c r="B246" s="35"/>
      <c r="C246" s="34"/>
      <c r="D246" s="34"/>
      <c r="E246" s="21"/>
      <c r="F246" s="34"/>
      <c r="G246" s="21"/>
      <c r="H246" s="34"/>
      <c r="I246" s="34"/>
      <c r="J246" s="21"/>
      <c r="K246" s="21"/>
      <c r="L246" s="21"/>
      <c r="M246" s="34"/>
      <c r="N246" s="35"/>
      <c r="O246" s="34"/>
      <c r="P246" s="35"/>
      <c r="Q246" s="33" t="str">
        <f aca="false">IF(OR(B246="",P246=""),"",P246-B246)</f>
        <v/>
      </c>
      <c r="R246" s="38" t="str">
        <f aca="true">IF(OR(M246&lt;&gt;"Yes",P246&lt;&gt;"",O246="Closed",O246="No Action Required"),"",IF(N246="","Due date missing",IF(N246&lt;TODAY(),"OVERDUE",IF(N246-TODAY()&lt;=2,"Due ≤2d","Open"))))</f>
        <v/>
      </c>
      <c r="S246" s="34"/>
      <c r="T246" s="34"/>
      <c r="U246" s="21"/>
    </row>
    <row r="247" customFormat="false" ht="15" hidden="false" customHeight="false" outlineLevel="0" collapsed="false">
      <c r="A247" s="6" t="s">
        <v>1107</v>
      </c>
      <c r="B247" s="35"/>
      <c r="C247" s="34"/>
      <c r="D247" s="34"/>
      <c r="E247" s="21"/>
      <c r="F247" s="34"/>
      <c r="G247" s="21"/>
      <c r="H247" s="34"/>
      <c r="I247" s="34"/>
      <c r="J247" s="21"/>
      <c r="K247" s="21"/>
      <c r="L247" s="21"/>
      <c r="M247" s="34"/>
      <c r="N247" s="35"/>
      <c r="O247" s="34"/>
      <c r="P247" s="35"/>
      <c r="Q247" s="33" t="str">
        <f aca="false">IF(OR(B247="",P247=""),"",P247-B247)</f>
        <v/>
      </c>
      <c r="R247" s="38" t="str">
        <f aca="true">IF(OR(M247&lt;&gt;"Yes",P247&lt;&gt;"",O247="Closed",O247="No Action Required"),"",IF(N247="","Due date missing",IF(N247&lt;TODAY(),"OVERDUE",IF(N247-TODAY()&lt;=2,"Due ≤2d","Open"))))</f>
        <v/>
      </c>
      <c r="S247" s="34"/>
      <c r="T247" s="34"/>
      <c r="U247" s="21"/>
    </row>
    <row r="248" customFormat="false" ht="15" hidden="false" customHeight="false" outlineLevel="0" collapsed="false">
      <c r="A248" s="6" t="s">
        <v>1108</v>
      </c>
      <c r="B248" s="35"/>
      <c r="C248" s="34"/>
      <c r="D248" s="34"/>
      <c r="E248" s="21"/>
      <c r="F248" s="34"/>
      <c r="G248" s="21"/>
      <c r="H248" s="34"/>
      <c r="I248" s="34"/>
      <c r="J248" s="21"/>
      <c r="K248" s="21"/>
      <c r="L248" s="21"/>
      <c r="M248" s="34"/>
      <c r="N248" s="35"/>
      <c r="O248" s="34"/>
      <c r="P248" s="35"/>
      <c r="Q248" s="33" t="str">
        <f aca="false">IF(OR(B248="",P248=""),"",P248-B248)</f>
        <v/>
      </c>
      <c r="R248" s="38" t="str">
        <f aca="true">IF(OR(M248&lt;&gt;"Yes",P248&lt;&gt;"",O248="Closed",O248="No Action Required"),"",IF(N248="","Due date missing",IF(N248&lt;TODAY(),"OVERDUE",IF(N248-TODAY()&lt;=2,"Due ≤2d","Open"))))</f>
        <v/>
      </c>
      <c r="S248" s="34"/>
      <c r="T248" s="34"/>
      <c r="U248" s="21"/>
    </row>
    <row r="249" customFormat="false" ht="15" hidden="false" customHeight="false" outlineLevel="0" collapsed="false">
      <c r="A249" s="6" t="s">
        <v>1109</v>
      </c>
      <c r="B249" s="35"/>
      <c r="C249" s="34"/>
      <c r="D249" s="34"/>
      <c r="E249" s="21"/>
      <c r="F249" s="34"/>
      <c r="G249" s="21"/>
      <c r="H249" s="34"/>
      <c r="I249" s="34"/>
      <c r="J249" s="21"/>
      <c r="K249" s="21"/>
      <c r="L249" s="21"/>
      <c r="M249" s="34"/>
      <c r="N249" s="35"/>
      <c r="O249" s="34"/>
      <c r="P249" s="35"/>
      <c r="Q249" s="33" t="str">
        <f aca="false">IF(OR(B249="",P249=""),"",P249-B249)</f>
        <v/>
      </c>
      <c r="R249" s="38" t="str">
        <f aca="true">IF(OR(M249&lt;&gt;"Yes",P249&lt;&gt;"",O249="Closed",O249="No Action Required"),"",IF(N249="","Due date missing",IF(N249&lt;TODAY(),"OVERDUE",IF(N249-TODAY()&lt;=2,"Due ≤2d","Open"))))</f>
        <v/>
      </c>
      <c r="S249" s="34"/>
      <c r="T249" s="34"/>
      <c r="U249" s="21"/>
    </row>
    <row r="250" customFormat="false" ht="15" hidden="false" customHeight="false" outlineLevel="0" collapsed="false">
      <c r="A250" s="6" t="s">
        <v>1110</v>
      </c>
      <c r="B250" s="35"/>
      <c r="C250" s="34"/>
      <c r="D250" s="34"/>
      <c r="E250" s="21"/>
      <c r="F250" s="34"/>
      <c r="G250" s="21"/>
      <c r="H250" s="34"/>
      <c r="I250" s="34"/>
      <c r="J250" s="21"/>
      <c r="K250" s="21"/>
      <c r="L250" s="21"/>
      <c r="M250" s="34"/>
      <c r="N250" s="35"/>
      <c r="O250" s="34"/>
      <c r="P250" s="35"/>
      <c r="Q250" s="33" t="str">
        <f aca="false">IF(OR(B250="",P250=""),"",P250-B250)</f>
        <v/>
      </c>
      <c r="R250" s="38" t="str">
        <f aca="true">IF(OR(M250&lt;&gt;"Yes",P250&lt;&gt;"",O250="Closed",O250="No Action Required"),"",IF(N250="","Due date missing",IF(N250&lt;TODAY(),"OVERDUE",IF(N250-TODAY()&lt;=2,"Due ≤2d","Open"))))</f>
        <v/>
      </c>
      <c r="S250" s="34"/>
      <c r="T250" s="34"/>
      <c r="U250" s="21"/>
    </row>
    <row r="251" customFormat="false" ht="15" hidden="false" customHeight="false" outlineLevel="0" collapsed="false">
      <c r="A251" s="6" t="s">
        <v>1111</v>
      </c>
      <c r="B251" s="35"/>
      <c r="C251" s="34"/>
      <c r="D251" s="34"/>
      <c r="E251" s="21"/>
      <c r="F251" s="34"/>
      <c r="G251" s="21"/>
      <c r="H251" s="34"/>
      <c r="I251" s="34"/>
      <c r="J251" s="21"/>
      <c r="K251" s="21"/>
      <c r="L251" s="21"/>
      <c r="M251" s="34"/>
      <c r="N251" s="35"/>
      <c r="O251" s="34"/>
      <c r="P251" s="35"/>
      <c r="Q251" s="33" t="str">
        <f aca="false">IF(OR(B251="",P251=""),"",P251-B251)</f>
        <v/>
      </c>
      <c r="R251" s="38" t="str">
        <f aca="true">IF(OR(M251&lt;&gt;"Yes",P251&lt;&gt;"",O251="Closed",O251="No Action Required"),"",IF(N251="","Due date missing",IF(N251&lt;TODAY(),"OVERDUE",IF(N251-TODAY()&lt;=2,"Due ≤2d","Open"))))</f>
        <v/>
      </c>
      <c r="S251" s="34"/>
      <c r="T251" s="34"/>
      <c r="U251" s="21"/>
    </row>
    <row r="252" customFormat="false" ht="15" hidden="false" customHeight="false" outlineLevel="0" collapsed="false">
      <c r="A252" s="6" t="s">
        <v>1112</v>
      </c>
      <c r="B252" s="35"/>
      <c r="C252" s="34"/>
      <c r="D252" s="34"/>
      <c r="E252" s="21"/>
      <c r="F252" s="34"/>
      <c r="G252" s="21"/>
      <c r="H252" s="34"/>
      <c r="I252" s="34"/>
      <c r="J252" s="21"/>
      <c r="K252" s="21"/>
      <c r="L252" s="21"/>
      <c r="M252" s="34"/>
      <c r="N252" s="35"/>
      <c r="O252" s="34"/>
      <c r="P252" s="35"/>
      <c r="Q252" s="33" t="str">
        <f aca="false">IF(OR(B252="",P252=""),"",P252-B252)</f>
        <v/>
      </c>
      <c r="R252" s="38" t="str">
        <f aca="true">IF(OR(M252&lt;&gt;"Yes",P252&lt;&gt;"",O252="Closed",O252="No Action Required"),"",IF(N252="","Due date missing",IF(N252&lt;TODAY(),"OVERDUE",IF(N252-TODAY()&lt;=2,"Due ≤2d","Open"))))</f>
        <v/>
      </c>
      <c r="S252" s="34"/>
      <c r="T252" s="34"/>
      <c r="U252" s="21"/>
    </row>
    <row r="253" customFormat="false" ht="15" hidden="false" customHeight="false" outlineLevel="0" collapsed="false">
      <c r="A253" s="6" t="s">
        <v>1113</v>
      </c>
      <c r="B253" s="35"/>
      <c r="C253" s="34"/>
      <c r="D253" s="34"/>
      <c r="E253" s="21"/>
      <c r="F253" s="34"/>
      <c r="G253" s="21"/>
      <c r="H253" s="34"/>
      <c r="I253" s="34"/>
      <c r="J253" s="21"/>
      <c r="K253" s="21"/>
      <c r="L253" s="21"/>
      <c r="M253" s="34"/>
      <c r="N253" s="35"/>
      <c r="O253" s="34"/>
      <c r="P253" s="35"/>
      <c r="Q253" s="33" t="str">
        <f aca="false">IF(OR(B253="",P253=""),"",P253-B253)</f>
        <v/>
      </c>
      <c r="R253" s="38" t="str">
        <f aca="true">IF(OR(M253&lt;&gt;"Yes",P253&lt;&gt;"",O253="Closed",O253="No Action Required"),"",IF(N253="","Due date missing",IF(N253&lt;TODAY(),"OVERDUE",IF(N253-TODAY()&lt;=2,"Due ≤2d","Open"))))</f>
        <v/>
      </c>
      <c r="S253" s="34"/>
      <c r="T253" s="34"/>
      <c r="U253" s="21"/>
    </row>
    <row r="254" customFormat="false" ht="15" hidden="false" customHeight="false" outlineLevel="0" collapsed="false">
      <c r="A254" s="6" t="s">
        <v>1114</v>
      </c>
      <c r="B254" s="35"/>
      <c r="C254" s="34"/>
      <c r="D254" s="34"/>
      <c r="E254" s="21"/>
      <c r="F254" s="34"/>
      <c r="G254" s="21"/>
      <c r="H254" s="34"/>
      <c r="I254" s="34"/>
      <c r="J254" s="21"/>
      <c r="K254" s="21"/>
      <c r="L254" s="21"/>
      <c r="M254" s="34"/>
      <c r="N254" s="35"/>
      <c r="O254" s="34"/>
      <c r="P254" s="35"/>
      <c r="Q254" s="33" t="str">
        <f aca="false">IF(OR(B254="",P254=""),"",P254-B254)</f>
        <v/>
      </c>
      <c r="R254" s="38" t="str">
        <f aca="true">IF(OR(M254&lt;&gt;"Yes",P254&lt;&gt;"",O254="Closed",O254="No Action Required"),"",IF(N254="","Due date missing",IF(N254&lt;TODAY(),"OVERDUE",IF(N254-TODAY()&lt;=2,"Due ≤2d","Open"))))</f>
        <v/>
      </c>
      <c r="S254" s="34"/>
      <c r="T254" s="34"/>
      <c r="U254" s="21"/>
    </row>
    <row r="255" customFormat="false" ht="15" hidden="false" customHeight="false" outlineLevel="0" collapsed="false">
      <c r="A255" s="6" t="s">
        <v>1115</v>
      </c>
      <c r="B255" s="35"/>
      <c r="C255" s="34"/>
      <c r="D255" s="34"/>
      <c r="E255" s="21"/>
      <c r="F255" s="34"/>
      <c r="G255" s="21"/>
      <c r="H255" s="34"/>
      <c r="I255" s="34"/>
      <c r="J255" s="21"/>
      <c r="K255" s="21"/>
      <c r="L255" s="21"/>
      <c r="M255" s="34"/>
      <c r="N255" s="35"/>
      <c r="O255" s="34"/>
      <c r="P255" s="35"/>
      <c r="Q255" s="33" t="str">
        <f aca="false">IF(OR(B255="",P255=""),"",P255-B255)</f>
        <v/>
      </c>
      <c r="R255" s="38" t="str">
        <f aca="true">IF(OR(M255&lt;&gt;"Yes",P255&lt;&gt;"",O255="Closed",O255="No Action Required"),"",IF(N255="","Due date missing",IF(N255&lt;TODAY(),"OVERDUE",IF(N255-TODAY()&lt;=2,"Due ≤2d","Open"))))</f>
        <v/>
      </c>
      <c r="S255" s="34"/>
      <c r="T255" s="34"/>
      <c r="U255" s="21"/>
    </row>
    <row r="256" customFormat="false" ht="15" hidden="false" customHeight="false" outlineLevel="0" collapsed="false">
      <c r="A256" s="6" t="s">
        <v>1116</v>
      </c>
      <c r="B256" s="35"/>
      <c r="C256" s="34"/>
      <c r="D256" s="34"/>
      <c r="E256" s="21"/>
      <c r="F256" s="34"/>
      <c r="G256" s="21"/>
      <c r="H256" s="34"/>
      <c r="I256" s="34"/>
      <c r="J256" s="21"/>
      <c r="K256" s="21"/>
      <c r="L256" s="21"/>
      <c r="M256" s="34"/>
      <c r="N256" s="35"/>
      <c r="O256" s="34"/>
      <c r="P256" s="35"/>
      <c r="Q256" s="33" t="str">
        <f aca="false">IF(OR(B256="",P256=""),"",P256-B256)</f>
        <v/>
      </c>
      <c r="R256" s="38" t="str">
        <f aca="true">IF(OR(M256&lt;&gt;"Yes",P256&lt;&gt;"",O256="Closed",O256="No Action Required"),"",IF(N256="","Due date missing",IF(N256&lt;TODAY(),"OVERDUE",IF(N256-TODAY()&lt;=2,"Due ≤2d","Open"))))</f>
        <v/>
      </c>
      <c r="S256" s="34"/>
      <c r="T256" s="34"/>
      <c r="U256" s="21"/>
    </row>
    <row r="257" customFormat="false" ht="15" hidden="false" customHeight="false" outlineLevel="0" collapsed="false">
      <c r="A257" s="6" t="s">
        <v>1117</v>
      </c>
      <c r="B257" s="35"/>
      <c r="C257" s="34"/>
      <c r="D257" s="34"/>
      <c r="E257" s="21"/>
      <c r="F257" s="34"/>
      <c r="G257" s="21"/>
      <c r="H257" s="34"/>
      <c r="I257" s="34"/>
      <c r="J257" s="21"/>
      <c r="K257" s="21"/>
      <c r="L257" s="21"/>
      <c r="M257" s="34"/>
      <c r="N257" s="35"/>
      <c r="O257" s="34"/>
      <c r="P257" s="35"/>
      <c r="Q257" s="33" t="str">
        <f aca="false">IF(OR(B257="",P257=""),"",P257-B257)</f>
        <v/>
      </c>
      <c r="R257" s="38" t="str">
        <f aca="true">IF(OR(M257&lt;&gt;"Yes",P257&lt;&gt;"",O257="Closed",O257="No Action Required"),"",IF(N257="","Due date missing",IF(N257&lt;TODAY(),"OVERDUE",IF(N257-TODAY()&lt;=2,"Due ≤2d","Open"))))</f>
        <v/>
      </c>
      <c r="S257" s="34"/>
      <c r="T257" s="34"/>
      <c r="U257" s="21"/>
    </row>
    <row r="258" customFormat="false" ht="15" hidden="false" customHeight="false" outlineLevel="0" collapsed="false">
      <c r="A258" s="6" t="s">
        <v>1118</v>
      </c>
      <c r="B258" s="35"/>
      <c r="C258" s="34"/>
      <c r="D258" s="34"/>
      <c r="E258" s="21"/>
      <c r="F258" s="34"/>
      <c r="G258" s="21"/>
      <c r="H258" s="34"/>
      <c r="I258" s="34"/>
      <c r="J258" s="21"/>
      <c r="K258" s="21"/>
      <c r="L258" s="21"/>
      <c r="M258" s="34"/>
      <c r="N258" s="35"/>
      <c r="O258" s="34"/>
      <c r="P258" s="35"/>
      <c r="Q258" s="33" t="str">
        <f aca="false">IF(OR(B258="",P258=""),"",P258-B258)</f>
        <v/>
      </c>
      <c r="R258" s="38" t="str">
        <f aca="true">IF(OR(M258&lt;&gt;"Yes",P258&lt;&gt;"",O258="Closed",O258="No Action Required"),"",IF(N258="","Due date missing",IF(N258&lt;TODAY(),"OVERDUE",IF(N258-TODAY()&lt;=2,"Due ≤2d","Open"))))</f>
        <v/>
      </c>
      <c r="S258" s="34"/>
      <c r="T258" s="34"/>
      <c r="U258" s="21"/>
    </row>
    <row r="259" customFormat="false" ht="15" hidden="false" customHeight="false" outlineLevel="0" collapsed="false">
      <c r="A259" s="6" t="s">
        <v>1119</v>
      </c>
      <c r="B259" s="35"/>
      <c r="C259" s="34"/>
      <c r="D259" s="34"/>
      <c r="E259" s="21"/>
      <c r="F259" s="34"/>
      <c r="G259" s="21"/>
      <c r="H259" s="34"/>
      <c r="I259" s="34"/>
      <c r="J259" s="21"/>
      <c r="K259" s="21"/>
      <c r="L259" s="21"/>
      <c r="M259" s="34"/>
      <c r="N259" s="35"/>
      <c r="O259" s="34"/>
      <c r="P259" s="35"/>
      <c r="Q259" s="33" t="str">
        <f aca="false">IF(OR(B259="",P259=""),"",P259-B259)</f>
        <v/>
      </c>
      <c r="R259" s="38" t="str">
        <f aca="true">IF(OR(M259&lt;&gt;"Yes",P259&lt;&gt;"",O259="Closed",O259="No Action Required"),"",IF(N259="","Due date missing",IF(N259&lt;TODAY(),"OVERDUE",IF(N259-TODAY()&lt;=2,"Due ≤2d","Open"))))</f>
        <v/>
      </c>
      <c r="S259" s="34"/>
      <c r="T259" s="34"/>
      <c r="U259" s="21"/>
    </row>
    <row r="260" customFormat="false" ht="15" hidden="false" customHeight="false" outlineLevel="0" collapsed="false">
      <c r="A260" s="6" t="s">
        <v>1120</v>
      </c>
      <c r="B260" s="35"/>
      <c r="C260" s="34"/>
      <c r="D260" s="34"/>
      <c r="E260" s="21"/>
      <c r="F260" s="34"/>
      <c r="G260" s="21"/>
      <c r="H260" s="34"/>
      <c r="I260" s="34"/>
      <c r="J260" s="21"/>
      <c r="K260" s="21"/>
      <c r="L260" s="21"/>
      <c r="M260" s="34"/>
      <c r="N260" s="35"/>
      <c r="O260" s="34"/>
      <c r="P260" s="35"/>
      <c r="Q260" s="33" t="str">
        <f aca="false">IF(OR(B260="",P260=""),"",P260-B260)</f>
        <v/>
      </c>
      <c r="R260" s="38" t="str">
        <f aca="true">IF(OR(M260&lt;&gt;"Yes",P260&lt;&gt;"",O260="Closed",O260="No Action Required"),"",IF(N260="","Due date missing",IF(N260&lt;TODAY(),"OVERDUE",IF(N260-TODAY()&lt;=2,"Due ≤2d","Open"))))</f>
        <v/>
      </c>
      <c r="S260" s="34"/>
      <c r="T260" s="34"/>
      <c r="U260" s="21"/>
    </row>
    <row r="261" customFormat="false" ht="15" hidden="false" customHeight="false" outlineLevel="0" collapsed="false">
      <c r="A261" s="6" t="s">
        <v>1121</v>
      </c>
      <c r="B261" s="35"/>
      <c r="C261" s="34"/>
      <c r="D261" s="34"/>
      <c r="E261" s="21"/>
      <c r="F261" s="34"/>
      <c r="G261" s="21"/>
      <c r="H261" s="34"/>
      <c r="I261" s="34"/>
      <c r="J261" s="21"/>
      <c r="K261" s="21"/>
      <c r="L261" s="21"/>
      <c r="M261" s="34"/>
      <c r="N261" s="35"/>
      <c r="O261" s="34"/>
      <c r="P261" s="35"/>
      <c r="Q261" s="33" t="str">
        <f aca="false">IF(OR(B261="",P261=""),"",P261-B261)</f>
        <v/>
      </c>
      <c r="R261" s="38" t="str">
        <f aca="true">IF(OR(M261&lt;&gt;"Yes",P261&lt;&gt;"",O261="Closed",O261="No Action Required"),"",IF(N261="","Due date missing",IF(N261&lt;TODAY(),"OVERDUE",IF(N261-TODAY()&lt;=2,"Due ≤2d","Open"))))</f>
        <v/>
      </c>
      <c r="S261" s="34"/>
      <c r="T261" s="34"/>
      <c r="U261" s="21"/>
    </row>
    <row r="262" customFormat="false" ht="15" hidden="false" customHeight="false" outlineLevel="0" collapsed="false">
      <c r="A262" s="6" t="s">
        <v>1122</v>
      </c>
      <c r="B262" s="35"/>
      <c r="C262" s="34"/>
      <c r="D262" s="34"/>
      <c r="E262" s="21"/>
      <c r="F262" s="34"/>
      <c r="G262" s="21"/>
      <c r="H262" s="34"/>
      <c r="I262" s="34"/>
      <c r="J262" s="21"/>
      <c r="K262" s="21"/>
      <c r="L262" s="21"/>
      <c r="M262" s="34"/>
      <c r="N262" s="35"/>
      <c r="O262" s="34"/>
      <c r="P262" s="35"/>
      <c r="Q262" s="33" t="str">
        <f aca="false">IF(OR(B262="",P262=""),"",P262-B262)</f>
        <v/>
      </c>
      <c r="R262" s="38" t="str">
        <f aca="true">IF(OR(M262&lt;&gt;"Yes",P262&lt;&gt;"",O262="Closed",O262="No Action Required"),"",IF(N262="","Due date missing",IF(N262&lt;TODAY(),"OVERDUE",IF(N262-TODAY()&lt;=2,"Due ≤2d","Open"))))</f>
        <v/>
      </c>
      <c r="S262" s="34"/>
      <c r="T262" s="34"/>
      <c r="U262" s="21"/>
    </row>
    <row r="263" customFormat="false" ht="15" hidden="false" customHeight="false" outlineLevel="0" collapsed="false">
      <c r="A263" s="6" t="s">
        <v>1123</v>
      </c>
      <c r="B263" s="35"/>
      <c r="C263" s="34"/>
      <c r="D263" s="34"/>
      <c r="E263" s="21"/>
      <c r="F263" s="34"/>
      <c r="G263" s="21"/>
      <c r="H263" s="34"/>
      <c r="I263" s="34"/>
      <c r="J263" s="21"/>
      <c r="K263" s="21"/>
      <c r="L263" s="21"/>
      <c r="M263" s="34"/>
      <c r="N263" s="35"/>
      <c r="O263" s="34"/>
      <c r="P263" s="35"/>
      <c r="Q263" s="33" t="str">
        <f aca="false">IF(OR(B263="",P263=""),"",P263-B263)</f>
        <v/>
      </c>
      <c r="R263" s="38" t="str">
        <f aca="true">IF(OR(M263&lt;&gt;"Yes",P263&lt;&gt;"",O263="Closed",O263="No Action Required"),"",IF(N263="","Due date missing",IF(N263&lt;TODAY(),"OVERDUE",IF(N263-TODAY()&lt;=2,"Due ≤2d","Open"))))</f>
        <v/>
      </c>
      <c r="S263" s="34"/>
      <c r="T263" s="34"/>
      <c r="U263" s="21"/>
    </row>
    <row r="264" customFormat="false" ht="15" hidden="false" customHeight="false" outlineLevel="0" collapsed="false">
      <c r="A264" s="6" t="s">
        <v>1124</v>
      </c>
      <c r="B264" s="35"/>
      <c r="C264" s="34"/>
      <c r="D264" s="34"/>
      <c r="E264" s="21"/>
      <c r="F264" s="34"/>
      <c r="G264" s="21"/>
      <c r="H264" s="34"/>
      <c r="I264" s="34"/>
      <c r="J264" s="21"/>
      <c r="K264" s="21"/>
      <c r="L264" s="21"/>
      <c r="M264" s="34"/>
      <c r="N264" s="35"/>
      <c r="O264" s="34"/>
      <c r="P264" s="35"/>
      <c r="Q264" s="33" t="str">
        <f aca="false">IF(OR(B264="",P264=""),"",P264-B264)</f>
        <v/>
      </c>
      <c r="R264" s="38" t="str">
        <f aca="true">IF(OR(M264&lt;&gt;"Yes",P264&lt;&gt;"",O264="Closed",O264="No Action Required"),"",IF(N264="","Due date missing",IF(N264&lt;TODAY(),"OVERDUE",IF(N264-TODAY()&lt;=2,"Due ≤2d","Open"))))</f>
        <v/>
      </c>
      <c r="S264" s="34"/>
      <c r="T264" s="34"/>
      <c r="U264" s="21"/>
    </row>
    <row r="265" customFormat="false" ht="15" hidden="false" customHeight="false" outlineLevel="0" collapsed="false">
      <c r="A265" s="6" t="s">
        <v>1125</v>
      </c>
      <c r="B265" s="35"/>
      <c r="C265" s="34"/>
      <c r="D265" s="34"/>
      <c r="E265" s="21"/>
      <c r="F265" s="34"/>
      <c r="G265" s="21"/>
      <c r="H265" s="34"/>
      <c r="I265" s="34"/>
      <c r="J265" s="21"/>
      <c r="K265" s="21"/>
      <c r="L265" s="21"/>
      <c r="M265" s="34"/>
      <c r="N265" s="35"/>
      <c r="O265" s="34"/>
      <c r="P265" s="35"/>
      <c r="Q265" s="33" t="str">
        <f aca="false">IF(OR(B265="",P265=""),"",P265-B265)</f>
        <v/>
      </c>
      <c r="R265" s="38" t="str">
        <f aca="true">IF(OR(M265&lt;&gt;"Yes",P265&lt;&gt;"",O265="Closed",O265="No Action Required"),"",IF(N265="","Due date missing",IF(N265&lt;TODAY(),"OVERDUE",IF(N265-TODAY()&lt;=2,"Due ≤2d","Open"))))</f>
        <v/>
      </c>
      <c r="S265" s="34"/>
      <c r="T265" s="34"/>
      <c r="U265" s="21"/>
    </row>
    <row r="266" customFormat="false" ht="15" hidden="false" customHeight="false" outlineLevel="0" collapsed="false">
      <c r="A266" s="6" t="s">
        <v>1126</v>
      </c>
      <c r="B266" s="35"/>
      <c r="C266" s="34"/>
      <c r="D266" s="34"/>
      <c r="E266" s="21"/>
      <c r="F266" s="34"/>
      <c r="G266" s="21"/>
      <c r="H266" s="34"/>
      <c r="I266" s="34"/>
      <c r="J266" s="21"/>
      <c r="K266" s="21"/>
      <c r="L266" s="21"/>
      <c r="M266" s="34"/>
      <c r="N266" s="35"/>
      <c r="O266" s="34"/>
      <c r="P266" s="35"/>
      <c r="Q266" s="33" t="str">
        <f aca="false">IF(OR(B266="",P266=""),"",P266-B266)</f>
        <v/>
      </c>
      <c r="R266" s="38" t="str">
        <f aca="true">IF(OR(M266&lt;&gt;"Yes",P266&lt;&gt;"",O266="Closed",O266="No Action Required"),"",IF(N266="","Due date missing",IF(N266&lt;TODAY(),"OVERDUE",IF(N266-TODAY()&lt;=2,"Due ≤2d","Open"))))</f>
        <v/>
      </c>
      <c r="S266" s="34"/>
      <c r="T266" s="34"/>
      <c r="U266" s="21"/>
    </row>
    <row r="267" customFormat="false" ht="15" hidden="false" customHeight="false" outlineLevel="0" collapsed="false">
      <c r="A267" s="6" t="s">
        <v>1127</v>
      </c>
      <c r="B267" s="35"/>
      <c r="C267" s="34"/>
      <c r="D267" s="34"/>
      <c r="E267" s="21"/>
      <c r="F267" s="34"/>
      <c r="G267" s="21"/>
      <c r="H267" s="34"/>
      <c r="I267" s="34"/>
      <c r="J267" s="21"/>
      <c r="K267" s="21"/>
      <c r="L267" s="21"/>
      <c r="M267" s="34"/>
      <c r="N267" s="35"/>
      <c r="O267" s="34"/>
      <c r="P267" s="35"/>
      <c r="Q267" s="33" t="str">
        <f aca="false">IF(OR(B267="",P267=""),"",P267-B267)</f>
        <v/>
      </c>
      <c r="R267" s="38" t="str">
        <f aca="true">IF(OR(M267&lt;&gt;"Yes",P267&lt;&gt;"",O267="Closed",O267="No Action Required"),"",IF(N267="","Due date missing",IF(N267&lt;TODAY(),"OVERDUE",IF(N267-TODAY()&lt;=2,"Due ≤2d","Open"))))</f>
        <v/>
      </c>
      <c r="S267" s="34"/>
      <c r="T267" s="34"/>
      <c r="U267" s="21"/>
    </row>
    <row r="268" customFormat="false" ht="15" hidden="false" customHeight="false" outlineLevel="0" collapsed="false">
      <c r="A268" s="6" t="s">
        <v>1128</v>
      </c>
      <c r="B268" s="35"/>
      <c r="C268" s="34"/>
      <c r="D268" s="34"/>
      <c r="E268" s="21"/>
      <c r="F268" s="34"/>
      <c r="G268" s="21"/>
      <c r="H268" s="34"/>
      <c r="I268" s="34"/>
      <c r="J268" s="21"/>
      <c r="K268" s="21"/>
      <c r="L268" s="21"/>
      <c r="M268" s="34"/>
      <c r="N268" s="35"/>
      <c r="O268" s="34"/>
      <c r="P268" s="35"/>
      <c r="Q268" s="33" t="str">
        <f aca="false">IF(OR(B268="",P268=""),"",P268-B268)</f>
        <v/>
      </c>
      <c r="R268" s="38" t="str">
        <f aca="true">IF(OR(M268&lt;&gt;"Yes",P268&lt;&gt;"",O268="Closed",O268="No Action Required"),"",IF(N268="","Due date missing",IF(N268&lt;TODAY(),"OVERDUE",IF(N268-TODAY()&lt;=2,"Due ≤2d","Open"))))</f>
        <v/>
      </c>
      <c r="S268" s="34"/>
      <c r="T268" s="34"/>
      <c r="U268" s="21"/>
    </row>
    <row r="269" customFormat="false" ht="15" hidden="false" customHeight="false" outlineLevel="0" collapsed="false">
      <c r="A269" s="6" t="s">
        <v>1129</v>
      </c>
      <c r="B269" s="35"/>
      <c r="C269" s="34"/>
      <c r="D269" s="34"/>
      <c r="E269" s="21"/>
      <c r="F269" s="34"/>
      <c r="G269" s="21"/>
      <c r="H269" s="34"/>
      <c r="I269" s="34"/>
      <c r="J269" s="21"/>
      <c r="K269" s="21"/>
      <c r="L269" s="21"/>
      <c r="M269" s="34"/>
      <c r="N269" s="35"/>
      <c r="O269" s="34"/>
      <c r="P269" s="35"/>
      <c r="Q269" s="33" t="str">
        <f aca="false">IF(OR(B269="",P269=""),"",P269-B269)</f>
        <v/>
      </c>
      <c r="R269" s="38" t="str">
        <f aca="true">IF(OR(M269&lt;&gt;"Yes",P269&lt;&gt;"",O269="Closed",O269="No Action Required"),"",IF(N269="","Due date missing",IF(N269&lt;TODAY(),"OVERDUE",IF(N269-TODAY()&lt;=2,"Due ≤2d","Open"))))</f>
        <v/>
      </c>
      <c r="S269" s="34"/>
      <c r="T269" s="34"/>
      <c r="U269" s="21"/>
    </row>
    <row r="270" customFormat="false" ht="15" hidden="false" customHeight="false" outlineLevel="0" collapsed="false">
      <c r="A270" s="6" t="s">
        <v>1130</v>
      </c>
      <c r="B270" s="35"/>
      <c r="C270" s="34"/>
      <c r="D270" s="34"/>
      <c r="E270" s="21"/>
      <c r="F270" s="34"/>
      <c r="G270" s="21"/>
      <c r="H270" s="34"/>
      <c r="I270" s="34"/>
      <c r="J270" s="21"/>
      <c r="K270" s="21"/>
      <c r="L270" s="21"/>
      <c r="M270" s="34"/>
      <c r="N270" s="35"/>
      <c r="O270" s="34"/>
      <c r="P270" s="35"/>
      <c r="Q270" s="33" t="str">
        <f aca="false">IF(OR(B270="",P270=""),"",P270-B270)</f>
        <v/>
      </c>
      <c r="R270" s="38" t="str">
        <f aca="true">IF(OR(M270&lt;&gt;"Yes",P270&lt;&gt;"",O270="Closed",O270="No Action Required"),"",IF(N270="","Due date missing",IF(N270&lt;TODAY(),"OVERDUE",IF(N270-TODAY()&lt;=2,"Due ≤2d","Open"))))</f>
        <v/>
      </c>
      <c r="S270" s="34"/>
      <c r="T270" s="34"/>
      <c r="U270" s="21"/>
    </row>
    <row r="271" customFormat="false" ht="15" hidden="false" customHeight="false" outlineLevel="0" collapsed="false">
      <c r="A271" s="6" t="s">
        <v>1131</v>
      </c>
      <c r="B271" s="35"/>
      <c r="C271" s="34"/>
      <c r="D271" s="34"/>
      <c r="E271" s="21"/>
      <c r="F271" s="34"/>
      <c r="G271" s="21"/>
      <c r="H271" s="34"/>
      <c r="I271" s="34"/>
      <c r="J271" s="21"/>
      <c r="K271" s="21"/>
      <c r="L271" s="21"/>
      <c r="M271" s="34"/>
      <c r="N271" s="35"/>
      <c r="O271" s="34"/>
      <c r="P271" s="35"/>
      <c r="Q271" s="33" t="str">
        <f aca="false">IF(OR(B271="",P271=""),"",P271-B271)</f>
        <v/>
      </c>
      <c r="R271" s="38" t="str">
        <f aca="true">IF(OR(M271&lt;&gt;"Yes",P271&lt;&gt;"",O271="Closed",O271="No Action Required"),"",IF(N271="","Due date missing",IF(N271&lt;TODAY(),"OVERDUE",IF(N271-TODAY()&lt;=2,"Due ≤2d","Open"))))</f>
        <v/>
      </c>
      <c r="S271" s="34"/>
      <c r="T271" s="34"/>
      <c r="U271" s="21"/>
    </row>
    <row r="272" customFormat="false" ht="15" hidden="false" customHeight="false" outlineLevel="0" collapsed="false">
      <c r="A272" s="6" t="s">
        <v>1132</v>
      </c>
      <c r="B272" s="35"/>
      <c r="C272" s="34"/>
      <c r="D272" s="34"/>
      <c r="E272" s="21"/>
      <c r="F272" s="34"/>
      <c r="G272" s="21"/>
      <c r="H272" s="34"/>
      <c r="I272" s="34"/>
      <c r="J272" s="21"/>
      <c r="K272" s="21"/>
      <c r="L272" s="21"/>
      <c r="M272" s="34"/>
      <c r="N272" s="35"/>
      <c r="O272" s="34"/>
      <c r="P272" s="35"/>
      <c r="Q272" s="33" t="str">
        <f aca="false">IF(OR(B272="",P272=""),"",P272-B272)</f>
        <v/>
      </c>
      <c r="R272" s="38" t="str">
        <f aca="true">IF(OR(M272&lt;&gt;"Yes",P272&lt;&gt;"",O272="Closed",O272="No Action Required"),"",IF(N272="","Due date missing",IF(N272&lt;TODAY(),"OVERDUE",IF(N272-TODAY()&lt;=2,"Due ≤2d","Open"))))</f>
        <v/>
      </c>
      <c r="S272" s="34"/>
      <c r="T272" s="34"/>
      <c r="U272" s="21"/>
    </row>
    <row r="273" customFormat="false" ht="15" hidden="false" customHeight="false" outlineLevel="0" collapsed="false">
      <c r="A273" s="6" t="s">
        <v>1133</v>
      </c>
      <c r="B273" s="35"/>
      <c r="C273" s="34"/>
      <c r="D273" s="34"/>
      <c r="E273" s="21"/>
      <c r="F273" s="34"/>
      <c r="G273" s="21"/>
      <c r="H273" s="34"/>
      <c r="I273" s="34"/>
      <c r="J273" s="21"/>
      <c r="K273" s="21"/>
      <c r="L273" s="21"/>
      <c r="M273" s="34"/>
      <c r="N273" s="35"/>
      <c r="O273" s="34"/>
      <c r="P273" s="35"/>
      <c r="Q273" s="33" t="str">
        <f aca="false">IF(OR(B273="",P273=""),"",P273-B273)</f>
        <v/>
      </c>
      <c r="R273" s="38" t="str">
        <f aca="true">IF(OR(M273&lt;&gt;"Yes",P273&lt;&gt;"",O273="Closed",O273="No Action Required"),"",IF(N273="","Due date missing",IF(N273&lt;TODAY(),"OVERDUE",IF(N273-TODAY()&lt;=2,"Due ≤2d","Open"))))</f>
        <v/>
      </c>
      <c r="S273" s="34"/>
      <c r="T273" s="34"/>
      <c r="U273" s="21"/>
    </row>
    <row r="274" customFormat="false" ht="15" hidden="false" customHeight="false" outlineLevel="0" collapsed="false">
      <c r="A274" s="6" t="s">
        <v>1134</v>
      </c>
      <c r="B274" s="35"/>
      <c r="C274" s="34"/>
      <c r="D274" s="34"/>
      <c r="E274" s="21"/>
      <c r="F274" s="34"/>
      <c r="G274" s="21"/>
      <c r="H274" s="34"/>
      <c r="I274" s="34"/>
      <c r="J274" s="21"/>
      <c r="K274" s="21"/>
      <c r="L274" s="21"/>
      <c r="M274" s="34"/>
      <c r="N274" s="35"/>
      <c r="O274" s="34"/>
      <c r="P274" s="35"/>
      <c r="Q274" s="33" t="str">
        <f aca="false">IF(OR(B274="",P274=""),"",P274-B274)</f>
        <v/>
      </c>
      <c r="R274" s="38" t="str">
        <f aca="true">IF(OR(M274&lt;&gt;"Yes",P274&lt;&gt;"",O274="Closed",O274="No Action Required"),"",IF(N274="","Due date missing",IF(N274&lt;TODAY(),"OVERDUE",IF(N274-TODAY()&lt;=2,"Due ≤2d","Open"))))</f>
        <v/>
      </c>
      <c r="S274" s="34"/>
      <c r="T274" s="34"/>
      <c r="U274" s="21"/>
    </row>
    <row r="275" customFormat="false" ht="15" hidden="false" customHeight="false" outlineLevel="0" collapsed="false">
      <c r="A275" s="6" t="s">
        <v>1135</v>
      </c>
      <c r="B275" s="35"/>
      <c r="C275" s="34"/>
      <c r="D275" s="34"/>
      <c r="E275" s="21"/>
      <c r="F275" s="34"/>
      <c r="G275" s="21"/>
      <c r="H275" s="34"/>
      <c r="I275" s="34"/>
      <c r="J275" s="21"/>
      <c r="K275" s="21"/>
      <c r="L275" s="21"/>
      <c r="M275" s="34"/>
      <c r="N275" s="35"/>
      <c r="O275" s="34"/>
      <c r="P275" s="35"/>
      <c r="Q275" s="33" t="str">
        <f aca="false">IF(OR(B275="",P275=""),"",P275-B275)</f>
        <v/>
      </c>
      <c r="R275" s="38" t="str">
        <f aca="true">IF(OR(M275&lt;&gt;"Yes",P275&lt;&gt;"",O275="Closed",O275="No Action Required"),"",IF(N275="","Due date missing",IF(N275&lt;TODAY(),"OVERDUE",IF(N275-TODAY()&lt;=2,"Due ≤2d","Open"))))</f>
        <v/>
      </c>
      <c r="S275" s="34"/>
      <c r="T275" s="34"/>
      <c r="U275" s="21"/>
    </row>
    <row r="276" customFormat="false" ht="15" hidden="false" customHeight="false" outlineLevel="0" collapsed="false">
      <c r="A276" s="6" t="s">
        <v>1136</v>
      </c>
      <c r="B276" s="35"/>
      <c r="C276" s="34"/>
      <c r="D276" s="34"/>
      <c r="E276" s="21"/>
      <c r="F276" s="34"/>
      <c r="G276" s="21"/>
      <c r="H276" s="34"/>
      <c r="I276" s="34"/>
      <c r="J276" s="21"/>
      <c r="K276" s="21"/>
      <c r="L276" s="21"/>
      <c r="M276" s="34"/>
      <c r="N276" s="35"/>
      <c r="O276" s="34"/>
      <c r="P276" s="35"/>
      <c r="Q276" s="33" t="str">
        <f aca="false">IF(OR(B276="",P276=""),"",P276-B276)</f>
        <v/>
      </c>
      <c r="R276" s="38" t="str">
        <f aca="true">IF(OR(M276&lt;&gt;"Yes",P276&lt;&gt;"",O276="Closed",O276="No Action Required"),"",IF(N276="","Due date missing",IF(N276&lt;TODAY(),"OVERDUE",IF(N276-TODAY()&lt;=2,"Due ≤2d","Open"))))</f>
        <v/>
      </c>
      <c r="S276" s="34"/>
      <c r="T276" s="34"/>
      <c r="U276" s="21"/>
    </row>
    <row r="277" customFormat="false" ht="15" hidden="false" customHeight="false" outlineLevel="0" collapsed="false">
      <c r="A277" s="6" t="s">
        <v>1137</v>
      </c>
      <c r="B277" s="35"/>
      <c r="C277" s="34"/>
      <c r="D277" s="34"/>
      <c r="E277" s="21"/>
      <c r="F277" s="34"/>
      <c r="G277" s="21"/>
      <c r="H277" s="34"/>
      <c r="I277" s="34"/>
      <c r="J277" s="21"/>
      <c r="K277" s="21"/>
      <c r="L277" s="21"/>
      <c r="M277" s="34"/>
      <c r="N277" s="35"/>
      <c r="O277" s="34"/>
      <c r="P277" s="35"/>
      <c r="Q277" s="33" t="str">
        <f aca="false">IF(OR(B277="",P277=""),"",P277-B277)</f>
        <v/>
      </c>
      <c r="R277" s="38" t="str">
        <f aca="true">IF(OR(M277&lt;&gt;"Yes",P277&lt;&gt;"",O277="Closed",O277="No Action Required"),"",IF(N277="","Due date missing",IF(N277&lt;TODAY(),"OVERDUE",IF(N277-TODAY()&lt;=2,"Due ≤2d","Open"))))</f>
        <v/>
      </c>
      <c r="S277" s="34"/>
      <c r="T277" s="34"/>
      <c r="U277" s="21"/>
    </row>
    <row r="278" customFormat="false" ht="15" hidden="false" customHeight="false" outlineLevel="0" collapsed="false">
      <c r="A278" s="6" t="s">
        <v>1138</v>
      </c>
      <c r="B278" s="35"/>
      <c r="C278" s="34"/>
      <c r="D278" s="34"/>
      <c r="E278" s="21"/>
      <c r="F278" s="34"/>
      <c r="G278" s="21"/>
      <c r="H278" s="34"/>
      <c r="I278" s="34"/>
      <c r="J278" s="21"/>
      <c r="K278" s="21"/>
      <c r="L278" s="21"/>
      <c r="M278" s="34"/>
      <c r="N278" s="35"/>
      <c r="O278" s="34"/>
      <c r="P278" s="35"/>
      <c r="Q278" s="33" t="str">
        <f aca="false">IF(OR(B278="",P278=""),"",P278-B278)</f>
        <v/>
      </c>
      <c r="R278" s="38" t="str">
        <f aca="true">IF(OR(M278&lt;&gt;"Yes",P278&lt;&gt;"",O278="Closed",O278="No Action Required"),"",IF(N278="","Due date missing",IF(N278&lt;TODAY(),"OVERDUE",IF(N278-TODAY()&lt;=2,"Due ≤2d","Open"))))</f>
        <v/>
      </c>
      <c r="S278" s="34"/>
      <c r="T278" s="34"/>
      <c r="U278" s="21"/>
    </row>
    <row r="279" customFormat="false" ht="15" hidden="false" customHeight="false" outlineLevel="0" collapsed="false">
      <c r="A279" s="6" t="s">
        <v>1139</v>
      </c>
      <c r="B279" s="35"/>
      <c r="C279" s="34"/>
      <c r="D279" s="34"/>
      <c r="E279" s="21"/>
      <c r="F279" s="34"/>
      <c r="G279" s="21"/>
      <c r="H279" s="34"/>
      <c r="I279" s="34"/>
      <c r="J279" s="21"/>
      <c r="K279" s="21"/>
      <c r="L279" s="21"/>
      <c r="M279" s="34"/>
      <c r="N279" s="35"/>
      <c r="O279" s="34"/>
      <c r="P279" s="35"/>
      <c r="Q279" s="33" t="str">
        <f aca="false">IF(OR(B279="",P279=""),"",P279-B279)</f>
        <v/>
      </c>
      <c r="R279" s="38" t="str">
        <f aca="true">IF(OR(M279&lt;&gt;"Yes",P279&lt;&gt;"",O279="Closed",O279="No Action Required"),"",IF(N279="","Due date missing",IF(N279&lt;TODAY(),"OVERDUE",IF(N279-TODAY()&lt;=2,"Due ≤2d","Open"))))</f>
        <v/>
      </c>
      <c r="S279" s="34"/>
      <c r="T279" s="34"/>
      <c r="U279" s="21"/>
    </row>
    <row r="280" customFormat="false" ht="15" hidden="false" customHeight="false" outlineLevel="0" collapsed="false">
      <c r="A280" s="6" t="s">
        <v>1140</v>
      </c>
      <c r="B280" s="35"/>
      <c r="C280" s="34"/>
      <c r="D280" s="34"/>
      <c r="E280" s="21"/>
      <c r="F280" s="34"/>
      <c r="G280" s="21"/>
      <c r="H280" s="34"/>
      <c r="I280" s="34"/>
      <c r="J280" s="21"/>
      <c r="K280" s="21"/>
      <c r="L280" s="21"/>
      <c r="M280" s="34"/>
      <c r="N280" s="35"/>
      <c r="O280" s="34"/>
      <c r="P280" s="35"/>
      <c r="Q280" s="33" t="str">
        <f aca="false">IF(OR(B280="",P280=""),"",P280-B280)</f>
        <v/>
      </c>
      <c r="R280" s="38" t="str">
        <f aca="true">IF(OR(M280&lt;&gt;"Yes",P280&lt;&gt;"",O280="Closed",O280="No Action Required"),"",IF(N280="","Due date missing",IF(N280&lt;TODAY(),"OVERDUE",IF(N280-TODAY()&lt;=2,"Due ≤2d","Open"))))</f>
        <v/>
      </c>
      <c r="S280" s="34"/>
      <c r="T280" s="34"/>
      <c r="U280" s="21"/>
    </row>
    <row r="281" customFormat="false" ht="15" hidden="false" customHeight="false" outlineLevel="0" collapsed="false">
      <c r="A281" s="6" t="s">
        <v>1141</v>
      </c>
      <c r="B281" s="35"/>
      <c r="C281" s="34"/>
      <c r="D281" s="34"/>
      <c r="E281" s="21"/>
      <c r="F281" s="34"/>
      <c r="G281" s="21"/>
      <c r="H281" s="34"/>
      <c r="I281" s="34"/>
      <c r="J281" s="21"/>
      <c r="K281" s="21"/>
      <c r="L281" s="21"/>
      <c r="M281" s="34"/>
      <c r="N281" s="35"/>
      <c r="O281" s="34"/>
      <c r="P281" s="35"/>
      <c r="Q281" s="33" t="str">
        <f aca="false">IF(OR(B281="",P281=""),"",P281-B281)</f>
        <v/>
      </c>
      <c r="R281" s="38" t="str">
        <f aca="true">IF(OR(M281&lt;&gt;"Yes",P281&lt;&gt;"",O281="Closed",O281="No Action Required"),"",IF(N281="","Due date missing",IF(N281&lt;TODAY(),"OVERDUE",IF(N281-TODAY()&lt;=2,"Due ≤2d","Open"))))</f>
        <v/>
      </c>
      <c r="S281" s="34"/>
      <c r="T281" s="34"/>
      <c r="U281" s="21"/>
    </row>
    <row r="282" customFormat="false" ht="15" hidden="false" customHeight="false" outlineLevel="0" collapsed="false">
      <c r="A282" s="6" t="s">
        <v>1142</v>
      </c>
      <c r="B282" s="35"/>
      <c r="C282" s="34"/>
      <c r="D282" s="34"/>
      <c r="E282" s="21"/>
      <c r="F282" s="34"/>
      <c r="G282" s="21"/>
      <c r="H282" s="34"/>
      <c r="I282" s="34"/>
      <c r="J282" s="21"/>
      <c r="K282" s="21"/>
      <c r="L282" s="21"/>
      <c r="M282" s="34"/>
      <c r="N282" s="35"/>
      <c r="O282" s="34"/>
      <c r="P282" s="35"/>
      <c r="Q282" s="33" t="str">
        <f aca="false">IF(OR(B282="",P282=""),"",P282-B282)</f>
        <v/>
      </c>
      <c r="R282" s="38" t="str">
        <f aca="true">IF(OR(M282&lt;&gt;"Yes",P282&lt;&gt;"",O282="Closed",O282="No Action Required"),"",IF(N282="","Due date missing",IF(N282&lt;TODAY(),"OVERDUE",IF(N282-TODAY()&lt;=2,"Due ≤2d","Open"))))</f>
        <v/>
      </c>
      <c r="S282" s="34"/>
      <c r="T282" s="34"/>
      <c r="U282" s="21"/>
    </row>
    <row r="283" customFormat="false" ht="15" hidden="false" customHeight="false" outlineLevel="0" collapsed="false">
      <c r="A283" s="6" t="s">
        <v>1143</v>
      </c>
      <c r="B283" s="35"/>
      <c r="C283" s="34"/>
      <c r="D283" s="34"/>
      <c r="E283" s="21"/>
      <c r="F283" s="34"/>
      <c r="G283" s="21"/>
      <c r="H283" s="34"/>
      <c r="I283" s="34"/>
      <c r="J283" s="21"/>
      <c r="K283" s="21"/>
      <c r="L283" s="21"/>
      <c r="M283" s="34"/>
      <c r="N283" s="35"/>
      <c r="O283" s="34"/>
      <c r="P283" s="35"/>
      <c r="Q283" s="33" t="str">
        <f aca="false">IF(OR(B283="",P283=""),"",P283-B283)</f>
        <v/>
      </c>
      <c r="R283" s="38" t="str">
        <f aca="true">IF(OR(M283&lt;&gt;"Yes",P283&lt;&gt;"",O283="Closed",O283="No Action Required"),"",IF(N283="","Due date missing",IF(N283&lt;TODAY(),"OVERDUE",IF(N283-TODAY()&lt;=2,"Due ≤2d","Open"))))</f>
        <v/>
      </c>
      <c r="S283" s="34"/>
      <c r="T283" s="34"/>
      <c r="U283" s="21"/>
    </row>
    <row r="284" customFormat="false" ht="15" hidden="false" customHeight="false" outlineLevel="0" collapsed="false">
      <c r="A284" s="6" t="s">
        <v>1144</v>
      </c>
      <c r="B284" s="35"/>
      <c r="C284" s="34"/>
      <c r="D284" s="34"/>
      <c r="E284" s="21"/>
      <c r="F284" s="34"/>
      <c r="G284" s="21"/>
      <c r="H284" s="34"/>
      <c r="I284" s="34"/>
      <c r="J284" s="21"/>
      <c r="K284" s="21"/>
      <c r="L284" s="21"/>
      <c r="M284" s="34"/>
      <c r="N284" s="35"/>
      <c r="O284" s="34"/>
      <c r="P284" s="35"/>
      <c r="Q284" s="33" t="str">
        <f aca="false">IF(OR(B284="",P284=""),"",P284-B284)</f>
        <v/>
      </c>
      <c r="R284" s="38" t="str">
        <f aca="true">IF(OR(M284&lt;&gt;"Yes",P284&lt;&gt;"",O284="Closed",O284="No Action Required"),"",IF(N284="","Due date missing",IF(N284&lt;TODAY(),"OVERDUE",IF(N284-TODAY()&lt;=2,"Due ≤2d","Open"))))</f>
        <v/>
      </c>
      <c r="S284" s="34"/>
      <c r="T284" s="34"/>
      <c r="U284" s="21"/>
    </row>
    <row r="285" customFormat="false" ht="15" hidden="false" customHeight="false" outlineLevel="0" collapsed="false">
      <c r="A285" s="6" t="s">
        <v>1145</v>
      </c>
      <c r="B285" s="35"/>
      <c r="C285" s="34"/>
      <c r="D285" s="34"/>
      <c r="E285" s="21"/>
      <c r="F285" s="34"/>
      <c r="G285" s="21"/>
      <c r="H285" s="34"/>
      <c r="I285" s="34"/>
      <c r="J285" s="21"/>
      <c r="K285" s="21"/>
      <c r="L285" s="21"/>
      <c r="M285" s="34"/>
      <c r="N285" s="35"/>
      <c r="O285" s="34"/>
      <c r="P285" s="35"/>
      <c r="Q285" s="33" t="str">
        <f aca="false">IF(OR(B285="",P285=""),"",P285-B285)</f>
        <v/>
      </c>
      <c r="R285" s="38" t="str">
        <f aca="true">IF(OR(M285&lt;&gt;"Yes",P285&lt;&gt;"",O285="Closed",O285="No Action Required"),"",IF(N285="","Due date missing",IF(N285&lt;TODAY(),"OVERDUE",IF(N285-TODAY()&lt;=2,"Due ≤2d","Open"))))</f>
        <v/>
      </c>
      <c r="S285" s="34"/>
      <c r="T285" s="34"/>
      <c r="U285" s="21"/>
    </row>
    <row r="286" customFormat="false" ht="15" hidden="false" customHeight="false" outlineLevel="0" collapsed="false">
      <c r="A286" s="6" t="s">
        <v>1146</v>
      </c>
      <c r="B286" s="35"/>
      <c r="C286" s="34"/>
      <c r="D286" s="34"/>
      <c r="E286" s="21"/>
      <c r="F286" s="34"/>
      <c r="G286" s="21"/>
      <c r="H286" s="34"/>
      <c r="I286" s="34"/>
      <c r="J286" s="21"/>
      <c r="K286" s="21"/>
      <c r="L286" s="21"/>
      <c r="M286" s="34"/>
      <c r="N286" s="35"/>
      <c r="O286" s="34"/>
      <c r="P286" s="35"/>
      <c r="Q286" s="33" t="str">
        <f aca="false">IF(OR(B286="",P286=""),"",P286-B286)</f>
        <v/>
      </c>
      <c r="R286" s="38" t="str">
        <f aca="true">IF(OR(M286&lt;&gt;"Yes",P286&lt;&gt;"",O286="Closed",O286="No Action Required"),"",IF(N286="","Due date missing",IF(N286&lt;TODAY(),"OVERDUE",IF(N286-TODAY()&lt;=2,"Due ≤2d","Open"))))</f>
        <v/>
      </c>
      <c r="S286" s="34"/>
      <c r="T286" s="34"/>
      <c r="U286" s="21"/>
    </row>
    <row r="287" customFormat="false" ht="15" hidden="false" customHeight="false" outlineLevel="0" collapsed="false">
      <c r="A287" s="6" t="s">
        <v>1147</v>
      </c>
      <c r="B287" s="35"/>
      <c r="C287" s="34"/>
      <c r="D287" s="34"/>
      <c r="E287" s="21"/>
      <c r="F287" s="34"/>
      <c r="G287" s="21"/>
      <c r="H287" s="34"/>
      <c r="I287" s="34"/>
      <c r="J287" s="21"/>
      <c r="K287" s="21"/>
      <c r="L287" s="21"/>
      <c r="M287" s="34"/>
      <c r="N287" s="35"/>
      <c r="O287" s="34"/>
      <c r="P287" s="35"/>
      <c r="Q287" s="33" t="str">
        <f aca="false">IF(OR(B287="",P287=""),"",P287-B287)</f>
        <v/>
      </c>
      <c r="R287" s="38" t="str">
        <f aca="true">IF(OR(M287&lt;&gt;"Yes",P287&lt;&gt;"",O287="Closed",O287="No Action Required"),"",IF(N287="","Due date missing",IF(N287&lt;TODAY(),"OVERDUE",IF(N287-TODAY()&lt;=2,"Due ≤2d","Open"))))</f>
        <v/>
      </c>
      <c r="S287" s="34"/>
      <c r="T287" s="34"/>
      <c r="U287" s="21"/>
    </row>
    <row r="288" customFormat="false" ht="15" hidden="false" customHeight="false" outlineLevel="0" collapsed="false">
      <c r="A288" s="6" t="s">
        <v>1148</v>
      </c>
      <c r="B288" s="35"/>
      <c r="C288" s="34"/>
      <c r="D288" s="34"/>
      <c r="E288" s="21"/>
      <c r="F288" s="34"/>
      <c r="G288" s="21"/>
      <c r="H288" s="34"/>
      <c r="I288" s="34"/>
      <c r="J288" s="21"/>
      <c r="K288" s="21"/>
      <c r="L288" s="21"/>
      <c r="M288" s="34"/>
      <c r="N288" s="35"/>
      <c r="O288" s="34"/>
      <c r="P288" s="35"/>
      <c r="Q288" s="33" t="str">
        <f aca="false">IF(OR(B288="",P288=""),"",P288-B288)</f>
        <v/>
      </c>
      <c r="R288" s="38" t="str">
        <f aca="true">IF(OR(M288&lt;&gt;"Yes",P288&lt;&gt;"",O288="Closed",O288="No Action Required"),"",IF(N288="","Due date missing",IF(N288&lt;TODAY(),"OVERDUE",IF(N288-TODAY()&lt;=2,"Due ≤2d","Open"))))</f>
        <v/>
      </c>
      <c r="S288" s="34"/>
      <c r="T288" s="34"/>
      <c r="U288" s="21"/>
    </row>
    <row r="289" customFormat="false" ht="15" hidden="false" customHeight="false" outlineLevel="0" collapsed="false">
      <c r="A289" s="6" t="s">
        <v>1149</v>
      </c>
      <c r="B289" s="35"/>
      <c r="C289" s="34"/>
      <c r="D289" s="34"/>
      <c r="E289" s="21"/>
      <c r="F289" s="34"/>
      <c r="G289" s="21"/>
      <c r="H289" s="34"/>
      <c r="I289" s="34"/>
      <c r="J289" s="21"/>
      <c r="K289" s="21"/>
      <c r="L289" s="21"/>
      <c r="M289" s="34"/>
      <c r="N289" s="35"/>
      <c r="O289" s="34"/>
      <c r="P289" s="35"/>
      <c r="Q289" s="33" t="str">
        <f aca="false">IF(OR(B289="",P289=""),"",P289-B289)</f>
        <v/>
      </c>
      <c r="R289" s="38" t="str">
        <f aca="true">IF(OR(M289&lt;&gt;"Yes",P289&lt;&gt;"",O289="Closed",O289="No Action Required"),"",IF(N289="","Due date missing",IF(N289&lt;TODAY(),"OVERDUE",IF(N289-TODAY()&lt;=2,"Due ≤2d","Open"))))</f>
        <v/>
      </c>
      <c r="S289" s="34"/>
      <c r="T289" s="34"/>
      <c r="U289" s="21"/>
    </row>
    <row r="290" customFormat="false" ht="15" hidden="false" customHeight="false" outlineLevel="0" collapsed="false">
      <c r="A290" s="6" t="s">
        <v>1150</v>
      </c>
      <c r="B290" s="35"/>
      <c r="C290" s="34"/>
      <c r="D290" s="34"/>
      <c r="E290" s="21"/>
      <c r="F290" s="34"/>
      <c r="G290" s="21"/>
      <c r="H290" s="34"/>
      <c r="I290" s="34"/>
      <c r="J290" s="21"/>
      <c r="K290" s="21"/>
      <c r="L290" s="21"/>
      <c r="M290" s="34"/>
      <c r="N290" s="35"/>
      <c r="O290" s="34"/>
      <c r="P290" s="35"/>
      <c r="Q290" s="33" t="str">
        <f aca="false">IF(OR(B290="",P290=""),"",P290-B290)</f>
        <v/>
      </c>
      <c r="R290" s="38" t="str">
        <f aca="true">IF(OR(M290&lt;&gt;"Yes",P290&lt;&gt;"",O290="Closed",O290="No Action Required"),"",IF(N290="","Due date missing",IF(N290&lt;TODAY(),"OVERDUE",IF(N290-TODAY()&lt;=2,"Due ≤2d","Open"))))</f>
        <v/>
      </c>
      <c r="S290" s="34"/>
      <c r="T290" s="34"/>
      <c r="U290" s="21"/>
    </row>
    <row r="291" customFormat="false" ht="15" hidden="false" customHeight="false" outlineLevel="0" collapsed="false">
      <c r="A291" s="6" t="s">
        <v>1151</v>
      </c>
      <c r="B291" s="35"/>
      <c r="C291" s="34"/>
      <c r="D291" s="34"/>
      <c r="E291" s="21"/>
      <c r="F291" s="34"/>
      <c r="G291" s="21"/>
      <c r="H291" s="34"/>
      <c r="I291" s="34"/>
      <c r="J291" s="21"/>
      <c r="K291" s="21"/>
      <c r="L291" s="21"/>
      <c r="M291" s="34"/>
      <c r="N291" s="35"/>
      <c r="O291" s="34"/>
      <c r="P291" s="35"/>
      <c r="Q291" s="33" t="str">
        <f aca="false">IF(OR(B291="",P291=""),"",P291-B291)</f>
        <v/>
      </c>
      <c r="R291" s="38" t="str">
        <f aca="true">IF(OR(M291&lt;&gt;"Yes",P291&lt;&gt;"",O291="Closed",O291="No Action Required"),"",IF(N291="","Due date missing",IF(N291&lt;TODAY(),"OVERDUE",IF(N291-TODAY()&lt;=2,"Due ≤2d","Open"))))</f>
        <v/>
      </c>
      <c r="S291" s="34"/>
      <c r="T291" s="34"/>
      <c r="U291" s="21"/>
    </row>
    <row r="292" customFormat="false" ht="15" hidden="false" customHeight="false" outlineLevel="0" collapsed="false">
      <c r="A292" s="6" t="s">
        <v>1152</v>
      </c>
      <c r="B292" s="35"/>
      <c r="C292" s="34"/>
      <c r="D292" s="34"/>
      <c r="E292" s="21"/>
      <c r="F292" s="34"/>
      <c r="G292" s="21"/>
      <c r="H292" s="34"/>
      <c r="I292" s="34"/>
      <c r="J292" s="21"/>
      <c r="K292" s="21"/>
      <c r="L292" s="21"/>
      <c r="M292" s="34"/>
      <c r="N292" s="35"/>
      <c r="O292" s="34"/>
      <c r="P292" s="35"/>
      <c r="Q292" s="33" t="str">
        <f aca="false">IF(OR(B292="",P292=""),"",P292-B292)</f>
        <v/>
      </c>
      <c r="R292" s="38" t="str">
        <f aca="true">IF(OR(M292&lt;&gt;"Yes",P292&lt;&gt;"",O292="Closed",O292="No Action Required"),"",IF(N292="","Due date missing",IF(N292&lt;TODAY(),"OVERDUE",IF(N292-TODAY()&lt;=2,"Due ≤2d","Open"))))</f>
        <v/>
      </c>
      <c r="S292" s="34"/>
      <c r="T292" s="34"/>
      <c r="U292" s="21"/>
    </row>
    <row r="293" customFormat="false" ht="15" hidden="false" customHeight="false" outlineLevel="0" collapsed="false">
      <c r="A293" s="6" t="s">
        <v>1153</v>
      </c>
      <c r="B293" s="35"/>
      <c r="C293" s="34"/>
      <c r="D293" s="34"/>
      <c r="E293" s="21"/>
      <c r="F293" s="34"/>
      <c r="G293" s="21"/>
      <c r="H293" s="34"/>
      <c r="I293" s="34"/>
      <c r="J293" s="21"/>
      <c r="K293" s="21"/>
      <c r="L293" s="21"/>
      <c r="M293" s="34"/>
      <c r="N293" s="35"/>
      <c r="O293" s="34"/>
      <c r="P293" s="35"/>
      <c r="Q293" s="33" t="str">
        <f aca="false">IF(OR(B293="",P293=""),"",P293-B293)</f>
        <v/>
      </c>
      <c r="R293" s="38" t="str">
        <f aca="true">IF(OR(M293&lt;&gt;"Yes",P293&lt;&gt;"",O293="Closed",O293="No Action Required"),"",IF(N293="","Due date missing",IF(N293&lt;TODAY(),"OVERDUE",IF(N293-TODAY()&lt;=2,"Due ≤2d","Open"))))</f>
        <v/>
      </c>
      <c r="S293" s="34"/>
      <c r="T293" s="34"/>
      <c r="U293" s="21"/>
    </row>
    <row r="294" customFormat="false" ht="15" hidden="false" customHeight="false" outlineLevel="0" collapsed="false">
      <c r="A294" s="6" t="s">
        <v>1154</v>
      </c>
      <c r="B294" s="35"/>
      <c r="C294" s="34"/>
      <c r="D294" s="34"/>
      <c r="E294" s="21"/>
      <c r="F294" s="34"/>
      <c r="G294" s="21"/>
      <c r="H294" s="34"/>
      <c r="I294" s="34"/>
      <c r="J294" s="21"/>
      <c r="K294" s="21"/>
      <c r="L294" s="21"/>
      <c r="M294" s="34"/>
      <c r="N294" s="35"/>
      <c r="O294" s="34"/>
      <c r="P294" s="35"/>
      <c r="Q294" s="33" t="str">
        <f aca="false">IF(OR(B294="",P294=""),"",P294-B294)</f>
        <v/>
      </c>
      <c r="R294" s="38" t="str">
        <f aca="true">IF(OR(M294&lt;&gt;"Yes",P294&lt;&gt;"",O294="Closed",O294="No Action Required"),"",IF(N294="","Due date missing",IF(N294&lt;TODAY(),"OVERDUE",IF(N294-TODAY()&lt;=2,"Due ≤2d","Open"))))</f>
        <v/>
      </c>
      <c r="S294" s="34"/>
      <c r="T294" s="34"/>
      <c r="U294" s="21"/>
    </row>
    <row r="295" customFormat="false" ht="15" hidden="false" customHeight="false" outlineLevel="0" collapsed="false">
      <c r="A295" s="6" t="s">
        <v>1155</v>
      </c>
      <c r="B295" s="35"/>
      <c r="C295" s="34"/>
      <c r="D295" s="34"/>
      <c r="E295" s="21"/>
      <c r="F295" s="34"/>
      <c r="G295" s="21"/>
      <c r="H295" s="34"/>
      <c r="I295" s="34"/>
      <c r="J295" s="21"/>
      <c r="K295" s="21"/>
      <c r="L295" s="21"/>
      <c r="M295" s="34"/>
      <c r="N295" s="35"/>
      <c r="O295" s="34"/>
      <c r="P295" s="35"/>
      <c r="Q295" s="33" t="str">
        <f aca="false">IF(OR(B295="",P295=""),"",P295-B295)</f>
        <v/>
      </c>
      <c r="R295" s="38" t="str">
        <f aca="true">IF(OR(M295&lt;&gt;"Yes",P295&lt;&gt;"",O295="Closed",O295="No Action Required"),"",IF(N295="","Due date missing",IF(N295&lt;TODAY(),"OVERDUE",IF(N295-TODAY()&lt;=2,"Due ≤2d","Open"))))</f>
        <v/>
      </c>
      <c r="S295" s="34"/>
      <c r="T295" s="34"/>
      <c r="U295" s="21"/>
    </row>
    <row r="296" customFormat="false" ht="15" hidden="false" customHeight="false" outlineLevel="0" collapsed="false">
      <c r="A296" s="6" t="s">
        <v>1156</v>
      </c>
      <c r="B296" s="35"/>
      <c r="C296" s="34"/>
      <c r="D296" s="34"/>
      <c r="E296" s="21"/>
      <c r="F296" s="34"/>
      <c r="G296" s="21"/>
      <c r="H296" s="34"/>
      <c r="I296" s="34"/>
      <c r="J296" s="21"/>
      <c r="K296" s="21"/>
      <c r="L296" s="21"/>
      <c r="M296" s="34"/>
      <c r="N296" s="35"/>
      <c r="O296" s="34"/>
      <c r="P296" s="35"/>
      <c r="Q296" s="33" t="str">
        <f aca="false">IF(OR(B296="",P296=""),"",P296-B296)</f>
        <v/>
      </c>
      <c r="R296" s="38" t="str">
        <f aca="true">IF(OR(M296&lt;&gt;"Yes",P296&lt;&gt;"",O296="Closed",O296="No Action Required"),"",IF(N296="","Due date missing",IF(N296&lt;TODAY(),"OVERDUE",IF(N296-TODAY()&lt;=2,"Due ≤2d","Open"))))</f>
        <v/>
      </c>
      <c r="S296" s="34"/>
      <c r="T296" s="34"/>
      <c r="U296" s="21"/>
    </row>
    <row r="297" customFormat="false" ht="15" hidden="false" customHeight="false" outlineLevel="0" collapsed="false">
      <c r="A297" s="6" t="s">
        <v>1157</v>
      </c>
      <c r="B297" s="35"/>
      <c r="C297" s="34"/>
      <c r="D297" s="34"/>
      <c r="E297" s="21"/>
      <c r="F297" s="34"/>
      <c r="G297" s="21"/>
      <c r="H297" s="34"/>
      <c r="I297" s="34"/>
      <c r="J297" s="21"/>
      <c r="K297" s="21"/>
      <c r="L297" s="21"/>
      <c r="M297" s="34"/>
      <c r="N297" s="35"/>
      <c r="O297" s="34"/>
      <c r="P297" s="35"/>
      <c r="Q297" s="33" t="str">
        <f aca="false">IF(OR(B297="",P297=""),"",P297-B297)</f>
        <v/>
      </c>
      <c r="R297" s="38" t="str">
        <f aca="true">IF(OR(M297&lt;&gt;"Yes",P297&lt;&gt;"",O297="Closed",O297="No Action Required"),"",IF(N297="","Due date missing",IF(N297&lt;TODAY(),"OVERDUE",IF(N297-TODAY()&lt;=2,"Due ≤2d","Open"))))</f>
        <v/>
      </c>
      <c r="S297" s="34"/>
      <c r="T297" s="34"/>
      <c r="U297" s="21"/>
    </row>
    <row r="298" customFormat="false" ht="15" hidden="false" customHeight="false" outlineLevel="0" collapsed="false">
      <c r="A298" s="6" t="s">
        <v>1158</v>
      </c>
      <c r="B298" s="35"/>
      <c r="C298" s="34"/>
      <c r="D298" s="34"/>
      <c r="E298" s="21"/>
      <c r="F298" s="34"/>
      <c r="G298" s="21"/>
      <c r="H298" s="34"/>
      <c r="I298" s="34"/>
      <c r="J298" s="21"/>
      <c r="K298" s="21"/>
      <c r="L298" s="21"/>
      <c r="M298" s="34"/>
      <c r="N298" s="35"/>
      <c r="O298" s="34"/>
      <c r="P298" s="35"/>
      <c r="Q298" s="33" t="str">
        <f aca="false">IF(OR(B298="",P298=""),"",P298-B298)</f>
        <v/>
      </c>
      <c r="R298" s="38" t="str">
        <f aca="true">IF(OR(M298&lt;&gt;"Yes",P298&lt;&gt;"",O298="Closed",O298="No Action Required"),"",IF(N298="","Due date missing",IF(N298&lt;TODAY(),"OVERDUE",IF(N298-TODAY()&lt;=2,"Due ≤2d","Open"))))</f>
        <v/>
      </c>
      <c r="S298" s="34"/>
      <c r="T298" s="34"/>
      <c r="U298" s="21"/>
    </row>
    <row r="299" customFormat="false" ht="15" hidden="false" customHeight="false" outlineLevel="0" collapsed="false">
      <c r="A299" s="6" t="s">
        <v>1159</v>
      </c>
      <c r="B299" s="35"/>
      <c r="C299" s="34"/>
      <c r="D299" s="34"/>
      <c r="E299" s="21"/>
      <c r="F299" s="34"/>
      <c r="G299" s="21"/>
      <c r="H299" s="34"/>
      <c r="I299" s="34"/>
      <c r="J299" s="21"/>
      <c r="K299" s="21"/>
      <c r="L299" s="21"/>
      <c r="M299" s="34"/>
      <c r="N299" s="35"/>
      <c r="O299" s="34"/>
      <c r="P299" s="35"/>
      <c r="Q299" s="33" t="str">
        <f aca="false">IF(OR(B299="",P299=""),"",P299-B299)</f>
        <v/>
      </c>
      <c r="R299" s="38" t="str">
        <f aca="true">IF(OR(M299&lt;&gt;"Yes",P299&lt;&gt;"",O299="Closed",O299="No Action Required"),"",IF(N299="","Due date missing",IF(N299&lt;TODAY(),"OVERDUE",IF(N299-TODAY()&lt;=2,"Due ≤2d","Open"))))</f>
        <v/>
      </c>
      <c r="S299" s="34"/>
      <c r="T299" s="34"/>
      <c r="U299" s="21"/>
    </row>
    <row r="300" customFormat="false" ht="15" hidden="false" customHeight="false" outlineLevel="0" collapsed="false">
      <c r="A300" s="6" t="s">
        <v>1160</v>
      </c>
      <c r="B300" s="35"/>
      <c r="C300" s="34"/>
      <c r="D300" s="34"/>
      <c r="E300" s="21"/>
      <c r="F300" s="34"/>
      <c r="G300" s="21"/>
      <c r="H300" s="34"/>
      <c r="I300" s="34"/>
      <c r="J300" s="21"/>
      <c r="K300" s="21"/>
      <c r="L300" s="21"/>
      <c r="M300" s="34"/>
      <c r="N300" s="35"/>
      <c r="O300" s="34"/>
      <c r="P300" s="35"/>
      <c r="Q300" s="33" t="str">
        <f aca="false">IF(OR(B300="",P300=""),"",P300-B300)</f>
        <v/>
      </c>
      <c r="R300" s="38" t="str">
        <f aca="true">IF(OR(M300&lt;&gt;"Yes",P300&lt;&gt;"",O300="Closed",O300="No Action Required"),"",IF(N300="","Due date missing",IF(N300&lt;TODAY(),"OVERDUE",IF(N300-TODAY()&lt;=2,"Due ≤2d","Open"))))</f>
        <v/>
      </c>
      <c r="S300" s="34"/>
      <c r="T300" s="34"/>
      <c r="U300" s="21"/>
    </row>
    <row r="301" customFormat="false" ht="15" hidden="false" customHeight="false" outlineLevel="0" collapsed="false">
      <c r="A301" s="6" t="s">
        <v>1161</v>
      </c>
      <c r="B301" s="35"/>
      <c r="C301" s="34"/>
      <c r="D301" s="34"/>
      <c r="E301" s="21"/>
      <c r="F301" s="34"/>
      <c r="G301" s="21"/>
      <c r="H301" s="34"/>
      <c r="I301" s="34"/>
      <c r="J301" s="21"/>
      <c r="K301" s="21"/>
      <c r="L301" s="21"/>
      <c r="M301" s="34"/>
      <c r="N301" s="35"/>
      <c r="O301" s="34"/>
      <c r="P301" s="35"/>
      <c r="Q301" s="33" t="str">
        <f aca="false">IF(OR(B301="",P301=""),"",P301-B301)</f>
        <v/>
      </c>
      <c r="R301" s="38" t="str">
        <f aca="true">IF(OR(M301&lt;&gt;"Yes",P301&lt;&gt;"",O301="Closed",O301="No Action Required"),"",IF(N301="","Due date missing",IF(N301&lt;TODAY(),"OVERDUE",IF(N301-TODAY()&lt;=2,"Due ≤2d","Open"))))</f>
        <v/>
      </c>
      <c r="S301" s="34"/>
      <c r="T301" s="34"/>
      <c r="U301" s="21"/>
    </row>
    <row r="302" customFormat="false" ht="15" hidden="false" customHeight="false" outlineLevel="0" collapsed="false">
      <c r="A302" s="6" t="s">
        <v>1162</v>
      </c>
      <c r="B302" s="35"/>
      <c r="C302" s="34"/>
      <c r="D302" s="34"/>
      <c r="E302" s="21"/>
      <c r="F302" s="34"/>
      <c r="G302" s="21"/>
      <c r="H302" s="34"/>
      <c r="I302" s="34"/>
      <c r="J302" s="21"/>
      <c r="K302" s="21"/>
      <c r="L302" s="21"/>
      <c r="M302" s="34"/>
      <c r="N302" s="35"/>
      <c r="O302" s="34"/>
      <c r="P302" s="35"/>
      <c r="Q302" s="33" t="str">
        <f aca="false">IF(OR(B302="",P302=""),"",P302-B302)</f>
        <v/>
      </c>
      <c r="R302" s="38" t="str">
        <f aca="true">IF(OR(M302&lt;&gt;"Yes",P302&lt;&gt;"",O302="Closed",O302="No Action Required"),"",IF(N302="","Due date missing",IF(N302&lt;TODAY(),"OVERDUE",IF(N302-TODAY()&lt;=2,"Due ≤2d","Open"))))</f>
        <v/>
      </c>
      <c r="S302" s="34"/>
      <c r="T302" s="34"/>
      <c r="U302" s="21"/>
    </row>
    <row r="303" customFormat="false" ht="15" hidden="false" customHeight="false" outlineLevel="0" collapsed="false">
      <c r="A303" s="6" t="s">
        <v>1163</v>
      </c>
      <c r="B303" s="35"/>
      <c r="C303" s="34"/>
      <c r="D303" s="34"/>
      <c r="E303" s="21"/>
      <c r="F303" s="34"/>
      <c r="G303" s="21"/>
      <c r="H303" s="34"/>
      <c r="I303" s="34"/>
      <c r="J303" s="21"/>
      <c r="K303" s="21"/>
      <c r="L303" s="21"/>
      <c r="M303" s="34"/>
      <c r="N303" s="35"/>
      <c r="O303" s="34"/>
      <c r="P303" s="35"/>
      <c r="Q303" s="33" t="str">
        <f aca="false">IF(OR(B303="",P303=""),"",P303-B303)</f>
        <v/>
      </c>
      <c r="R303" s="38" t="str">
        <f aca="true">IF(OR(M303&lt;&gt;"Yes",P303&lt;&gt;"",O303="Closed",O303="No Action Required"),"",IF(N303="","Due date missing",IF(N303&lt;TODAY(),"OVERDUE",IF(N303-TODAY()&lt;=2,"Due ≤2d","Open"))))</f>
        <v/>
      </c>
      <c r="S303" s="34"/>
      <c r="T303" s="34"/>
      <c r="U303" s="21"/>
    </row>
    <row r="304" customFormat="false" ht="15" hidden="false" customHeight="false" outlineLevel="0" collapsed="false">
      <c r="A304" s="6" t="s">
        <v>1164</v>
      </c>
      <c r="B304" s="35"/>
      <c r="C304" s="34"/>
      <c r="D304" s="34"/>
      <c r="E304" s="21"/>
      <c r="F304" s="34"/>
      <c r="G304" s="21"/>
      <c r="H304" s="34"/>
      <c r="I304" s="34"/>
      <c r="J304" s="21"/>
      <c r="K304" s="21"/>
      <c r="L304" s="21"/>
      <c r="M304" s="34"/>
      <c r="N304" s="35"/>
      <c r="O304" s="34"/>
      <c r="P304" s="35"/>
      <c r="Q304" s="33" t="str">
        <f aca="false">IF(OR(B304="",P304=""),"",P304-B304)</f>
        <v/>
      </c>
      <c r="R304" s="38" t="str">
        <f aca="true">IF(OR(M304&lt;&gt;"Yes",P304&lt;&gt;"",O304="Closed",O304="No Action Required"),"",IF(N304="","Due date missing",IF(N304&lt;TODAY(),"OVERDUE",IF(N304-TODAY()&lt;=2,"Due ≤2d","Open"))))</f>
        <v/>
      </c>
      <c r="S304" s="34"/>
      <c r="T304" s="34"/>
      <c r="U304" s="21"/>
    </row>
  </sheetData>
  <autoFilter ref="A4:U304"/>
  <conditionalFormatting sqref="R5:R304">
    <cfRule type="cellIs" priority="2" operator="equal" aboveAverage="0" equalAverage="0" bottom="0" percent="0" rank="0" text="" dxfId="0">
      <formula>"OVERDUE"</formula>
    </cfRule>
    <cfRule type="cellIs" priority="3" operator="equal" aboveAverage="0" equalAverage="0" bottom="0" percent="0" rank="0" text="" dxfId="0">
      <formula>"SLA BREACH"</formula>
    </cfRule>
    <cfRule type="expression" priority="4" aboveAverage="0" equalAverage="0" bottom="0" percent="0" rank="0" text="" dxfId="13">
      <formula>LEFT(R5,3)="Due"</formula>
    </cfRule>
    <cfRule type="cellIs" priority="5" operator="equal" aboveAverage="0" equalAverage="0" bottom="0" percent="0" rank="0" text="" dxfId="3">
      <formula>"Closed Late"</formula>
    </cfRule>
    <cfRule type="cellIs" priority="6" operator="equal" aboveAverage="0" equalAverage="0" bottom="0" percent="0" rank="0" text="" dxfId="3">
      <formula>"Date missing"</formula>
    </cfRule>
    <cfRule type="cellIs" priority="7" operator="equal" aboveAverage="0" equalAverage="0" bottom="0" percent="0" rank="0" text="" dxfId="3">
      <formula>"Due date missing"</formula>
    </cfRule>
    <cfRule type="cellIs" priority="8" operator="equal" aboveAverage="0" equalAverage="0" bottom="0" percent="0" rank="0" text="" dxfId="1">
      <formula>"Met"</formula>
    </cfRule>
    <cfRule type="cellIs" priority="9" operator="equal" aboveAverage="0" equalAverage="0" bottom="0" percent="0" rank="0" text="" dxfId="1">
      <formula>"Done"</formula>
    </cfRule>
    <cfRule type="cellIs" priority="10" operator="equal" aboveAverage="0" equalAverage="0" bottom="0" percent="0" rank="0" text="" dxfId="1">
      <formula>"Within SLA"</formula>
    </cfRule>
    <cfRule type="cellIs" priority="11" operator="equal" aboveAverage="0" equalAverage="0" bottom="0" percent="0" rank="0" text="" dxfId="1">
      <formula>"On Schedule"</formula>
    </cfRule>
    <cfRule type="cellIs" priority="12" operator="equal" aboveAverage="0" equalAverage="0" bottom="0" percent="0" rank="0" text="" dxfId="1">
      <formula>"Scheduled"</formula>
    </cfRule>
  </conditionalFormatting>
  <conditionalFormatting sqref="O5:O304">
    <cfRule type="cellIs" priority="13" operator="equal" aboveAverage="0" equalAverage="0" bottom="0" percent="0" rank="0" text="" dxfId="1">
      <formula>"Completed"</formula>
    </cfRule>
    <cfRule type="cellIs" priority="14" operator="equal" aboveAverage="0" equalAverage="0" bottom="0" percent="0" rank="0" text="" dxfId="1">
      <formula>"Achieved"</formula>
    </cfRule>
    <cfRule type="cellIs" priority="15" operator="equal" aboveAverage="0" equalAverage="0" bottom="0" percent="0" rank="0" text="" dxfId="1">
      <formula>"Remediated"</formula>
    </cfRule>
    <cfRule type="cellIs" priority="16" operator="equal" aboveAverage="0" equalAverage="0" bottom="0" percent="0" rank="0" text="" dxfId="1">
      <formula>"Responded"</formula>
    </cfRule>
    <cfRule type="cellIs" priority="17" operator="equal" aboveAverage="0" equalAverage="0" bottom="0" percent="0" rank="0" text="" dxfId="1">
      <formula>"Closed"</formula>
    </cfRule>
    <cfRule type="cellIs" priority="18" operator="equal" aboveAverage="0" equalAverage="0" bottom="0" percent="0" rank="0" text="" dxfId="2">
      <formula>"In Progress"</formula>
    </cfRule>
    <cfRule type="cellIs" priority="19" operator="equal" aboveAverage="0" equalAverage="0" bottom="0" percent="0" rank="0" text="" dxfId="2">
      <formula>"Remediation In Progress"</formula>
    </cfRule>
    <cfRule type="cellIs" priority="20" operator="equal" aboveAverage="0" equalAverage="0" bottom="0" percent="0" rank="0" text="" dxfId="2">
      <formula>"At Risk"</formula>
    </cfRule>
    <cfRule type="cellIs" priority="21" operator="equal" aboveAverage="0" equalAverage="0" bottom="0" percent="0" rank="0" text="" dxfId="2">
      <formula>"Validating"</formula>
    </cfRule>
    <cfRule type="cellIs" priority="22" operator="equal" aboveAverage="0" equalAverage="0" bottom="0" percent="0" rank="0" text="" dxfId="2">
      <formula>"Awaiting Response"</formula>
    </cfRule>
    <cfRule type="cellIs" priority="23" operator="equal" aboveAverage="0" equalAverage="0" bottom="0" percent="0" rank="0" text="" dxfId="3">
      <formula>"Blocked"</formula>
    </cfRule>
    <cfRule type="cellIs" priority="24" operator="equal" aboveAverage="0" equalAverage="0" bottom="0" percent="0" rank="0" text="" dxfId="3">
      <formula>"Off Track"</formula>
    </cfRule>
    <cfRule type="cellIs" priority="25" operator="equal" aboveAverage="0" equalAverage="0" bottom="0" percent="0" rank="0" text="" dxfId="3">
      <formula>"Escalated"</formula>
    </cfRule>
    <cfRule type="cellIs" priority="26" operator="equal" aboveAverage="0" equalAverage="0" bottom="0" percent="0" rank="0" text="" dxfId="3">
      <formula>"Confirmed"</formula>
    </cfRule>
    <cfRule type="cellIs" priority="27" operator="equal" aboveAverage="0" equalAverage="0" bottom="0" percent="0" rank="0" text="" dxfId="3">
      <formula>"Delayed"</formula>
    </cfRule>
    <cfRule type="cellIs" priority="28" operator="equal" aboveAverage="0" equalAverage="0" bottom="0" percent="0" rank="0" text="" dxfId="4">
      <formula>"Cancelled"</formula>
    </cfRule>
    <cfRule type="cellIs" priority="29" operator="equal" aboveAverage="0" equalAverage="0" bottom="0" percent="0" rank="0" text="" dxfId="4">
      <formula>"False Positive"</formula>
    </cfRule>
    <cfRule type="cellIs" priority="30" operator="equal" aboveAverage="0" equalAverage="0" bottom="0" percent="0" rank="0" text="" dxfId="4">
      <formula>"Deferred"</formula>
    </cfRule>
    <cfRule type="cellIs" priority="31" operator="equal" aboveAverage="0" equalAverage="0" bottom="0" percent="0" rank="0" text="" dxfId="4">
      <formula>"On Hold"</formula>
    </cfRule>
  </conditionalFormatting>
  <dataValidations count="9">
    <dataValidation allowBlank="true" error="Enter a valid date (e.g. 19-Oct-2026)." errorStyle="stop" operator="greaterThan" showDropDown="false" showErrorMessage="true" showInputMessage="false" sqref="B5:B304" type="date">
      <formula1>DATE(2000,1,1)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C5:C304" type="list">
      <formula1>Lists!$H$4:$H$5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F5:F304" type="list">
      <formula1>Lists!$G$4:$G$8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H5:H304" type="list">
      <formula1>Lists!$I$4:$I$11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I5:I304" type="list">
      <formula1>Lists!$F$4:$F$14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M5:M304" type="list">
      <formula1>Lists!$A$4:$A$5</formula1>
      <formula2>0</formula2>
    </dataValidation>
    <dataValidation allowBlank="true" error="Enter a valid date (e.g. 19-Oct-2026)." errorStyle="stop" operator="greaterThan" showDropDown="false" showErrorMessage="true" showInputMessage="false" sqref="N5:N304" type="date">
      <formula1>DATE(2000,1,1)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O5:O304" type="list">
      <formula1>Lists!$J$4:$J$8</formula1>
      <formula2>0</formula2>
    </dataValidation>
    <dataValidation allowBlank="true" error="Enter a valid date (e.g. 19-Oct-2026)." errorStyle="stop" operator="greaterThan" showDropDown="false" showErrorMessage="true" showInputMessage="false" sqref="P5:P304" type="date">
      <formula1>DATE(2000,1,1)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T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42"/>
    <col collapsed="false" customWidth="true" hidden="false" outlineLevel="0" max="7" min="7" style="0" width="11"/>
    <col collapsed="false" customWidth="true" hidden="false" outlineLevel="0" max="8" min="8" style="0" width="18"/>
    <col collapsed="false" customWidth="true" hidden="false" outlineLevel="0" max="10" min="9" style="0" width="10"/>
    <col collapsed="false" customWidth="true" hidden="false" outlineLevel="0" max="14" min="11" style="0" width="13"/>
    <col collapsed="false" customWidth="true" hidden="false" outlineLevel="0" max="15" min="15" style="0" width="10"/>
    <col collapsed="false" customWidth="true" hidden="false" outlineLevel="0" max="16" min="16" style="0" width="28"/>
    <col collapsed="false" customWidth="true" hidden="false" outlineLevel="0" max="17" min="17" style="0" width="26"/>
    <col collapsed="false" customWidth="true" hidden="false" outlineLevel="0" max="18" min="18" style="0" width="9"/>
    <col collapsed="false" customWidth="true" hidden="false" outlineLevel="0" max="19" min="19" style="0" width="13"/>
    <col collapsed="false" customWidth="true" hidden="false" outlineLevel="0" max="20" min="20" style="0" width="30"/>
  </cols>
  <sheetData>
    <row r="1" customFormat="false" ht="19.7" hidden="false" customHeight="false" outlineLevel="0" collapsed="false">
      <c r="A1" s="9" t="s">
        <v>1165</v>
      </c>
    </row>
    <row r="2" customFormat="false" ht="15" hidden="false" customHeight="false" outlineLevel="0" collapsed="false">
      <c r="A2" s="2" t="s">
        <v>1166</v>
      </c>
    </row>
    <row r="3" customFormat="false" ht="15" hidden="false" customHeight="false" outlineLevel="0" collapsed="false">
      <c r="A3" s="27" t="s">
        <v>170</v>
      </c>
    </row>
    <row r="4" customFormat="false" ht="42" hidden="false" customHeight="true" outlineLevel="0" collapsed="false">
      <c r="A4" s="28" t="s">
        <v>1167</v>
      </c>
      <c r="B4" s="28" t="s">
        <v>1168</v>
      </c>
      <c r="C4" s="28" t="s">
        <v>1169</v>
      </c>
      <c r="D4" s="28" t="s">
        <v>1170</v>
      </c>
      <c r="E4" s="28" t="s">
        <v>173</v>
      </c>
      <c r="F4" s="28" t="s">
        <v>1171</v>
      </c>
      <c r="G4" s="28" t="s">
        <v>1172</v>
      </c>
      <c r="H4" s="28" t="s">
        <v>181</v>
      </c>
      <c r="I4" s="28" t="s">
        <v>1173</v>
      </c>
      <c r="J4" s="28" t="s">
        <v>1174</v>
      </c>
      <c r="K4" s="28" t="s">
        <v>155</v>
      </c>
      <c r="L4" s="28" t="s">
        <v>1175</v>
      </c>
      <c r="M4" s="28" t="s">
        <v>1176</v>
      </c>
      <c r="N4" s="28" t="s">
        <v>1177</v>
      </c>
      <c r="O4" s="28" t="s">
        <v>1178</v>
      </c>
      <c r="P4" s="28" t="s">
        <v>1179</v>
      </c>
      <c r="Q4" s="28" t="s">
        <v>1180</v>
      </c>
      <c r="R4" s="28" t="s">
        <v>1181</v>
      </c>
      <c r="S4" s="28" t="s">
        <v>1182</v>
      </c>
      <c r="T4" s="28" t="s">
        <v>518</v>
      </c>
    </row>
    <row r="5" customFormat="false" ht="35.05" hidden="false" customHeight="false" outlineLevel="0" collapsed="false">
      <c r="A5" s="6" t="s">
        <v>529</v>
      </c>
      <c r="B5" s="32" t="n">
        <v>46307</v>
      </c>
      <c r="C5" s="30" t="s">
        <v>1183</v>
      </c>
      <c r="D5" s="30" t="s">
        <v>519</v>
      </c>
      <c r="E5" s="30" t="s">
        <v>189</v>
      </c>
      <c r="F5" s="29" t="s">
        <v>1184</v>
      </c>
      <c r="G5" s="30" t="s">
        <v>187</v>
      </c>
      <c r="H5" s="30" t="s">
        <v>193</v>
      </c>
      <c r="I5" s="30" t="s">
        <v>1185</v>
      </c>
      <c r="J5" s="30" t="s">
        <v>68</v>
      </c>
      <c r="K5" s="30" t="s">
        <v>54</v>
      </c>
      <c r="L5" s="32" t="n">
        <v>46308</v>
      </c>
      <c r="M5" s="32" t="n">
        <v>46332</v>
      </c>
      <c r="N5" s="35"/>
      <c r="O5" s="41" t="n">
        <v>0.25</v>
      </c>
      <c r="P5" s="29" t="s">
        <v>1186</v>
      </c>
      <c r="Q5" s="21"/>
      <c r="R5" s="33" t="n">
        <f aca="true">IF(B5="","",IF(N5&lt;&gt;"",N5-B5,TODAY()-B5))</f>
        <v>7</v>
      </c>
      <c r="S5" s="38" t="str">
        <f aca="true">IF(OR(M5="",K5="Completed",K5="Cancelled"),"",IF(M5&lt;TODAY(),"OVERDUE",IF(M5-TODAY()&lt;=7,"Due ≤7d","On Schedule")))</f>
        <v>On Schedule</v>
      </c>
      <c r="T5" s="21"/>
    </row>
    <row r="6" customFormat="false" ht="15" hidden="false" customHeight="false" outlineLevel="0" collapsed="false">
      <c r="A6" s="6" t="s">
        <v>1187</v>
      </c>
      <c r="B6" s="35"/>
      <c r="C6" s="34"/>
      <c r="D6" s="34"/>
      <c r="E6" s="34"/>
      <c r="F6" s="21"/>
      <c r="G6" s="34"/>
      <c r="H6" s="34"/>
      <c r="I6" s="34"/>
      <c r="J6" s="34"/>
      <c r="K6" s="34"/>
      <c r="L6" s="35"/>
      <c r="M6" s="35"/>
      <c r="N6" s="35"/>
      <c r="O6" s="42"/>
      <c r="P6" s="21"/>
      <c r="Q6" s="21"/>
      <c r="R6" s="33" t="str">
        <f aca="true">IF(B6="","",IF(N6&lt;&gt;"",N6-B6,TODAY()-B6))</f>
        <v/>
      </c>
      <c r="S6" s="38" t="str">
        <f aca="true">IF(OR(M6="",K6="Completed",K6="Cancelled"),"",IF(M6&lt;TODAY(),"OVERDUE",IF(M6-TODAY()&lt;=7,"Due ≤7d","On Schedule")))</f>
        <v/>
      </c>
      <c r="T6" s="21"/>
    </row>
    <row r="7" customFormat="false" ht="15" hidden="false" customHeight="false" outlineLevel="0" collapsed="false">
      <c r="A7" s="6" t="s">
        <v>1188</v>
      </c>
      <c r="B7" s="35"/>
      <c r="C7" s="34"/>
      <c r="D7" s="34"/>
      <c r="E7" s="34"/>
      <c r="F7" s="21"/>
      <c r="G7" s="34"/>
      <c r="H7" s="34"/>
      <c r="I7" s="34"/>
      <c r="J7" s="34"/>
      <c r="K7" s="34"/>
      <c r="L7" s="35"/>
      <c r="M7" s="35"/>
      <c r="N7" s="35"/>
      <c r="O7" s="42"/>
      <c r="P7" s="21"/>
      <c r="Q7" s="21"/>
      <c r="R7" s="33" t="str">
        <f aca="true">IF(B7="","",IF(N7&lt;&gt;"",N7-B7,TODAY()-B7))</f>
        <v/>
      </c>
      <c r="S7" s="38" t="str">
        <f aca="true">IF(OR(M7="",K7="Completed",K7="Cancelled"),"",IF(M7&lt;TODAY(),"OVERDUE",IF(M7-TODAY()&lt;=7,"Due ≤7d","On Schedule")))</f>
        <v/>
      </c>
      <c r="T7" s="21"/>
    </row>
    <row r="8" customFormat="false" ht="15" hidden="false" customHeight="false" outlineLevel="0" collapsed="false">
      <c r="A8" s="6" t="s">
        <v>1189</v>
      </c>
      <c r="B8" s="35"/>
      <c r="C8" s="34"/>
      <c r="D8" s="34"/>
      <c r="E8" s="34"/>
      <c r="F8" s="21"/>
      <c r="G8" s="34"/>
      <c r="H8" s="34"/>
      <c r="I8" s="34"/>
      <c r="J8" s="34"/>
      <c r="K8" s="34"/>
      <c r="L8" s="35"/>
      <c r="M8" s="35"/>
      <c r="N8" s="35"/>
      <c r="O8" s="42"/>
      <c r="P8" s="21"/>
      <c r="Q8" s="21"/>
      <c r="R8" s="33" t="str">
        <f aca="true">IF(B8="","",IF(N8&lt;&gt;"",N8-B8,TODAY()-B8))</f>
        <v/>
      </c>
      <c r="S8" s="38" t="str">
        <f aca="true">IF(OR(M8="",K8="Completed",K8="Cancelled"),"",IF(M8&lt;TODAY(),"OVERDUE",IF(M8-TODAY()&lt;=7,"Due ≤7d","On Schedule")))</f>
        <v/>
      </c>
      <c r="T8" s="21"/>
    </row>
    <row r="9" customFormat="false" ht="15" hidden="false" customHeight="false" outlineLevel="0" collapsed="false">
      <c r="A9" s="6" t="s">
        <v>1190</v>
      </c>
      <c r="B9" s="35"/>
      <c r="C9" s="34"/>
      <c r="D9" s="34"/>
      <c r="E9" s="34"/>
      <c r="F9" s="21"/>
      <c r="G9" s="34"/>
      <c r="H9" s="34"/>
      <c r="I9" s="34"/>
      <c r="J9" s="34"/>
      <c r="K9" s="34"/>
      <c r="L9" s="35"/>
      <c r="M9" s="35"/>
      <c r="N9" s="35"/>
      <c r="O9" s="42"/>
      <c r="P9" s="21"/>
      <c r="Q9" s="21"/>
      <c r="R9" s="33" t="str">
        <f aca="true">IF(B9="","",IF(N9&lt;&gt;"",N9-B9,TODAY()-B9))</f>
        <v/>
      </c>
      <c r="S9" s="38" t="str">
        <f aca="true">IF(OR(M9="",K9="Completed",K9="Cancelled"),"",IF(M9&lt;TODAY(),"OVERDUE",IF(M9-TODAY()&lt;=7,"Due ≤7d","On Schedule")))</f>
        <v/>
      </c>
      <c r="T9" s="21"/>
    </row>
    <row r="10" customFormat="false" ht="15" hidden="false" customHeight="false" outlineLevel="0" collapsed="false">
      <c r="A10" s="6" t="s">
        <v>1191</v>
      </c>
      <c r="B10" s="35"/>
      <c r="C10" s="34"/>
      <c r="D10" s="34"/>
      <c r="E10" s="34"/>
      <c r="F10" s="21"/>
      <c r="G10" s="34"/>
      <c r="H10" s="34"/>
      <c r="I10" s="34"/>
      <c r="J10" s="34"/>
      <c r="K10" s="34"/>
      <c r="L10" s="35"/>
      <c r="M10" s="35"/>
      <c r="N10" s="35"/>
      <c r="O10" s="42"/>
      <c r="P10" s="21"/>
      <c r="Q10" s="21"/>
      <c r="R10" s="33" t="str">
        <f aca="true">IF(B10="","",IF(N10&lt;&gt;"",N10-B10,TODAY()-B10))</f>
        <v/>
      </c>
      <c r="S10" s="38" t="str">
        <f aca="true">IF(OR(M10="",K10="Completed",K10="Cancelled"),"",IF(M10&lt;TODAY(),"OVERDUE",IF(M10-TODAY()&lt;=7,"Due ≤7d","On Schedule")))</f>
        <v/>
      </c>
      <c r="T10" s="21"/>
    </row>
    <row r="11" customFormat="false" ht="15" hidden="false" customHeight="false" outlineLevel="0" collapsed="false">
      <c r="A11" s="6" t="s">
        <v>1192</v>
      </c>
      <c r="B11" s="35"/>
      <c r="C11" s="34"/>
      <c r="D11" s="34"/>
      <c r="E11" s="34"/>
      <c r="F11" s="21"/>
      <c r="G11" s="34"/>
      <c r="H11" s="34"/>
      <c r="I11" s="34"/>
      <c r="J11" s="34"/>
      <c r="K11" s="34"/>
      <c r="L11" s="35"/>
      <c r="M11" s="35"/>
      <c r="N11" s="35"/>
      <c r="O11" s="42"/>
      <c r="P11" s="21"/>
      <c r="Q11" s="21"/>
      <c r="R11" s="33" t="str">
        <f aca="true">IF(B11="","",IF(N11&lt;&gt;"",N11-B11,TODAY()-B11))</f>
        <v/>
      </c>
      <c r="S11" s="38" t="str">
        <f aca="true">IF(OR(M11="",K11="Completed",K11="Cancelled"),"",IF(M11&lt;TODAY(),"OVERDUE",IF(M11-TODAY()&lt;=7,"Due ≤7d","On Schedule")))</f>
        <v/>
      </c>
      <c r="T11" s="21"/>
    </row>
    <row r="12" customFormat="false" ht="15" hidden="false" customHeight="false" outlineLevel="0" collapsed="false">
      <c r="A12" s="6" t="s">
        <v>1193</v>
      </c>
      <c r="B12" s="35"/>
      <c r="C12" s="34"/>
      <c r="D12" s="34"/>
      <c r="E12" s="34"/>
      <c r="F12" s="21"/>
      <c r="G12" s="34"/>
      <c r="H12" s="34"/>
      <c r="I12" s="34"/>
      <c r="J12" s="34"/>
      <c r="K12" s="34"/>
      <c r="L12" s="35"/>
      <c r="M12" s="35"/>
      <c r="N12" s="35"/>
      <c r="O12" s="42"/>
      <c r="P12" s="21"/>
      <c r="Q12" s="21"/>
      <c r="R12" s="33" t="str">
        <f aca="true">IF(B12="","",IF(N12&lt;&gt;"",N12-B12,TODAY()-B12))</f>
        <v/>
      </c>
      <c r="S12" s="38" t="str">
        <f aca="true">IF(OR(M12="",K12="Completed",K12="Cancelled"),"",IF(M12&lt;TODAY(),"OVERDUE",IF(M12-TODAY()&lt;=7,"Due ≤7d","On Schedule")))</f>
        <v/>
      </c>
      <c r="T12" s="21"/>
    </row>
    <row r="13" customFormat="false" ht="15" hidden="false" customHeight="false" outlineLevel="0" collapsed="false">
      <c r="A13" s="6" t="s">
        <v>1194</v>
      </c>
      <c r="B13" s="35"/>
      <c r="C13" s="34"/>
      <c r="D13" s="34"/>
      <c r="E13" s="34"/>
      <c r="F13" s="21"/>
      <c r="G13" s="34"/>
      <c r="H13" s="34"/>
      <c r="I13" s="34"/>
      <c r="J13" s="34"/>
      <c r="K13" s="34"/>
      <c r="L13" s="35"/>
      <c r="M13" s="35"/>
      <c r="N13" s="35"/>
      <c r="O13" s="42"/>
      <c r="P13" s="21"/>
      <c r="Q13" s="21"/>
      <c r="R13" s="33" t="str">
        <f aca="true">IF(B13="","",IF(N13&lt;&gt;"",N13-B13,TODAY()-B13))</f>
        <v/>
      </c>
      <c r="S13" s="38" t="str">
        <f aca="true">IF(OR(M13="",K13="Completed",K13="Cancelled"),"",IF(M13&lt;TODAY(),"OVERDUE",IF(M13-TODAY()&lt;=7,"Due ≤7d","On Schedule")))</f>
        <v/>
      </c>
      <c r="T13" s="21"/>
    </row>
    <row r="14" customFormat="false" ht="15" hidden="false" customHeight="false" outlineLevel="0" collapsed="false">
      <c r="A14" s="6" t="s">
        <v>1195</v>
      </c>
      <c r="B14" s="35"/>
      <c r="C14" s="34"/>
      <c r="D14" s="34"/>
      <c r="E14" s="34"/>
      <c r="F14" s="21"/>
      <c r="G14" s="34"/>
      <c r="H14" s="34"/>
      <c r="I14" s="34"/>
      <c r="J14" s="34"/>
      <c r="K14" s="34"/>
      <c r="L14" s="35"/>
      <c r="M14" s="35"/>
      <c r="N14" s="35"/>
      <c r="O14" s="42"/>
      <c r="P14" s="21"/>
      <c r="Q14" s="21"/>
      <c r="R14" s="33" t="str">
        <f aca="true">IF(B14="","",IF(N14&lt;&gt;"",N14-B14,TODAY()-B14))</f>
        <v/>
      </c>
      <c r="S14" s="38" t="str">
        <f aca="true">IF(OR(M14="",K14="Completed",K14="Cancelled"),"",IF(M14&lt;TODAY(),"OVERDUE",IF(M14-TODAY()&lt;=7,"Due ≤7d","On Schedule")))</f>
        <v/>
      </c>
      <c r="T14" s="21"/>
    </row>
    <row r="15" customFormat="false" ht="15" hidden="false" customHeight="false" outlineLevel="0" collapsed="false">
      <c r="A15" s="6" t="s">
        <v>1196</v>
      </c>
      <c r="B15" s="35"/>
      <c r="C15" s="34"/>
      <c r="D15" s="34"/>
      <c r="E15" s="34"/>
      <c r="F15" s="21"/>
      <c r="G15" s="34"/>
      <c r="H15" s="34"/>
      <c r="I15" s="34"/>
      <c r="J15" s="34"/>
      <c r="K15" s="34"/>
      <c r="L15" s="35"/>
      <c r="M15" s="35"/>
      <c r="N15" s="35"/>
      <c r="O15" s="42"/>
      <c r="P15" s="21"/>
      <c r="Q15" s="21"/>
      <c r="R15" s="33" t="str">
        <f aca="true">IF(B15="","",IF(N15&lt;&gt;"",N15-B15,TODAY()-B15))</f>
        <v/>
      </c>
      <c r="S15" s="38" t="str">
        <f aca="true">IF(OR(M15="",K15="Completed",K15="Cancelled"),"",IF(M15&lt;TODAY(),"OVERDUE",IF(M15-TODAY()&lt;=7,"Due ≤7d","On Schedule")))</f>
        <v/>
      </c>
      <c r="T15" s="21"/>
    </row>
    <row r="16" customFormat="false" ht="15" hidden="false" customHeight="false" outlineLevel="0" collapsed="false">
      <c r="A16" s="6" t="s">
        <v>1197</v>
      </c>
      <c r="B16" s="35"/>
      <c r="C16" s="34"/>
      <c r="D16" s="34"/>
      <c r="E16" s="34"/>
      <c r="F16" s="21"/>
      <c r="G16" s="34"/>
      <c r="H16" s="34"/>
      <c r="I16" s="34"/>
      <c r="J16" s="34"/>
      <c r="K16" s="34"/>
      <c r="L16" s="35"/>
      <c r="M16" s="35"/>
      <c r="N16" s="35"/>
      <c r="O16" s="42"/>
      <c r="P16" s="21"/>
      <c r="Q16" s="21"/>
      <c r="R16" s="33" t="str">
        <f aca="true">IF(B16="","",IF(N16&lt;&gt;"",N16-B16,TODAY()-B16))</f>
        <v/>
      </c>
      <c r="S16" s="38" t="str">
        <f aca="true">IF(OR(M16="",K16="Completed",K16="Cancelled"),"",IF(M16&lt;TODAY(),"OVERDUE",IF(M16-TODAY()&lt;=7,"Due ≤7d","On Schedule")))</f>
        <v/>
      </c>
      <c r="T16" s="21"/>
    </row>
    <row r="17" customFormat="false" ht="15" hidden="false" customHeight="false" outlineLevel="0" collapsed="false">
      <c r="A17" s="6" t="s">
        <v>1198</v>
      </c>
      <c r="B17" s="35"/>
      <c r="C17" s="34"/>
      <c r="D17" s="34"/>
      <c r="E17" s="34"/>
      <c r="F17" s="21"/>
      <c r="G17" s="34"/>
      <c r="H17" s="34"/>
      <c r="I17" s="34"/>
      <c r="J17" s="34"/>
      <c r="K17" s="34"/>
      <c r="L17" s="35"/>
      <c r="M17" s="35"/>
      <c r="N17" s="35"/>
      <c r="O17" s="42"/>
      <c r="P17" s="21"/>
      <c r="Q17" s="21"/>
      <c r="R17" s="33" t="str">
        <f aca="true">IF(B17="","",IF(N17&lt;&gt;"",N17-B17,TODAY()-B17))</f>
        <v/>
      </c>
      <c r="S17" s="38" t="str">
        <f aca="true">IF(OR(M17="",K17="Completed",K17="Cancelled"),"",IF(M17&lt;TODAY(),"OVERDUE",IF(M17-TODAY()&lt;=7,"Due ≤7d","On Schedule")))</f>
        <v/>
      </c>
      <c r="T17" s="21"/>
    </row>
    <row r="18" customFormat="false" ht="15" hidden="false" customHeight="false" outlineLevel="0" collapsed="false">
      <c r="A18" s="6" t="s">
        <v>1199</v>
      </c>
      <c r="B18" s="35"/>
      <c r="C18" s="34"/>
      <c r="D18" s="34"/>
      <c r="E18" s="34"/>
      <c r="F18" s="21"/>
      <c r="G18" s="34"/>
      <c r="H18" s="34"/>
      <c r="I18" s="34"/>
      <c r="J18" s="34"/>
      <c r="K18" s="34"/>
      <c r="L18" s="35"/>
      <c r="M18" s="35"/>
      <c r="N18" s="35"/>
      <c r="O18" s="42"/>
      <c r="P18" s="21"/>
      <c r="Q18" s="21"/>
      <c r="R18" s="33" t="str">
        <f aca="true">IF(B18="","",IF(N18&lt;&gt;"",N18-B18,TODAY()-B18))</f>
        <v/>
      </c>
      <c r="S18" s="38" t="str">
        <f aca="true">IF(OR(M18="",K18="Completed",K18="Cancelled"),"",IF(M18&lt;TODAY(),"OVERDUE",IF(M18-TODAY()&lt;=7,"Due ≤7d","On Schedule")))</f>
        <v/>
      </c>
      <c r="T18" s="21"/>
    </row>
    <row r="19" customFormat="false" ht="15" hidden="false" customHeight="false" outlineLevel="0" collapsed="false">
      <c r="A19" s="6" t="s">
        <v>1200</v>
      </c>
      <c r="B19" s="35"/>
      <c r="C19" s="34"/>
      <c r="D19" s="34"/>
      <c r="E19" s="34"/>
      <c r="F19" s="21"/>
      <c r="G19" s="34"/>
      <c r="H19" s="34"/>
      <c r="I19" s="34"/>
      <c r="J19" s="34"/>
      <c r="K19" s="34"/>
      <c r="L19" s="35"/>
      <c r="M19" s="35"/>
      <c r="N19" s="35"/>
      <c r="O19" s="42"/>
      <c r="P19" s="21"/>
      <c r="Q19" s="21"/>
      <c r="R19" s="33" t="str">
        <f aca="true">IF(B19="","",IF(N19&lt;&gt;"",N19-B19,TODAY()-B19))</f>
        <v/>
      </c>
      <c r="S19" s="38" t="str">
        <f aca="true">IF(OR(M19="",K19="Completed",K19="Cancelled"),"",IF(M19&lt;TODAY(),"OVERDUE",IF(M19-TODAY()&lt;=7,"Due ≤7d","On Schedule")))</f>
        <v/>
      </c>
      <c r="T19" s="21"/>
    </row>
    <row r="20" customFormat="false" ht="15" hidden="false" customHeight="false" outlineLevel="0" collapsed="false">
      <c r="A20" s="6" t="s">
        <v>1201</v>
      </c>
      <c r="B20" s="35"/>
      <c r="C20" s="34"/>
      <c r="D20" s="34"/>
      <c r="E20" s="34"/>
      <c r="F20" s="21"/>
      <c r="G20" s="34"/>
      <c r="H20" s="34"/>
      <c r="I20" s="34"/>
      <c r="J20" s="34"/>
      <c r="K20" s="34"/>
      <c r="L20" s="35"/>
      <c r="M20" s="35"/>
      <c r="N20" s="35"/>
      <c r="O20" s="42"/>
      <c r="P20" s="21"/>
      <c r="Q20" s="21"/>
      <c r="R20" s="33" t="str">
        <f aca="true">IF(B20="","",IF(N20&lt;&gt;"",N20-B20,TODAY()-B20))</f>
        <v/>
      </c>
      <c r="S20" s="38" t="str">
        <f aca="true">IF(OR(M20="",K20="Completed",K20="Cancelled"),"",IF(M20&lt;TODAY(),"OVERDUE",IF(M20-TODAY()&lt;=7,"Due ≤7d","On Schedule")))</f>
        <v/>
      </c>
      <c r="T20" s="21"/>
    </row>
    <row r="21" customFormat="false" ht="15" hidden="false" customHeight="false" outlineLevel="0" collapsed="false">
      <c r="A21" s="6" t="s">
        <v>1202</v>
      </c>
      <c r="B21" s="35"/>
      <c r="C21" s="34"/>
      <c r="D21" s="34"/>
      <c r="E21" s="34"/>
      <c r="F21" s="21"/>
      <c r="G21" s="34"/>
      <c r="H21" s="34"/>
      <c r="I21" s="34"/>
      <c r="J21" s="34"/>
      <c r="K21" s="34"/>
      <c r="L21" s="35"/>
      <c r="M21" s="35"/>
      <c r="N21" s="35"/>
      <c r="O21" s="42"/>
      <c r="P21" s="21"/>
      <c r="Q21" s="21"/>
      <c r="R21" s="33" t="str">
        <f aca="true">IF(B21="","",IF(N21&lt;&gt;"",N21-B21,TODAY()-B21))</f>
        <v/>
      </c>
      <c r="S21" s="38" t="str">
        <f aca="true">IF(OR(M21="",K21="Completed",K21="Cancelled"),"",IF(M21&lt;TODAY(),"OVERDUE",IF(M21-TODAY()&lt;=7,"Due ≤7d","On Schedule")))</f>
        <v/>
      </c>
      <c r="T21" s="21"/>
    </row>
    <row r="22" customFormat="false" ht="15" hidden="false" customHeight="false" outlineLevel="0" collapsed="false">
      <c r="A22" s="6" t="s">
        <v>1203</v>
      </c>
      <c r="B22" s="35"/>
      <c r="C22" s="34"/>
      <c r="D22" s="34"/>
      <c r="E22" s="34"/>
      <c r="F22" s="21"/>
      <c r="G22" s="34"/>
      <c r="H22" s="34"/>
      <c r="I22" s="34"/>
      <c r="J22" s="34"/>
      <c r="K22" s="34"/>
      <c r="L22" s="35"/>
      <c r="M22" s="35"/>
      <c r="N22" s="35"/>
      <c r="O22" s="42"/>
      <c r="P22" s="21"/>
      <c r="Q22" s="21"/>
      <c r="R22" s="33" t="str">
        <f aca="true">IF(B22="","",IF(N22&lt;&gt;"",N22-B22,TODAY()-B22))</f>
        <v/>
      </c>
      <c r="S22" s="38" t="str">
        <f aca="true">IF(OR(M22="",K22="Completed",K22="Cancelled"),"",IF(M22&lt;TODAY(),"OVERDUE",IF(M22-TODAY()&lt;=7,"Due ≤7d","On Schedule")))</f>
        <v/>
      </c>
      <c r="T22" s="21"/>
    </row>
    <row r="23" customFormat="false" ht="15" hidden="false" customHeight="false" outlineLevel="0" collapsed="false">
      <c r="A23" s="6" t="s">
        <v>1204</v>
      </c>
      <c r="B23" s="35"/>
      <c r="C23" s="34"/>
      <c r="D23" s="34"/>
      <c r="E23" s="34"/>
      <c r="F23" s="21"/>
      <c r="G23" s="34"/>
      <c r="H23" s="34"/>
      <c r="I23" s="34"/>
      <c r="J23" s="34"/>
      <c r="K23" s="34"/>
      <c r="L23" s="35"/>
      <c r="M23" s="35"/>
      <c r="N23" s="35"/>
      <c r="O23" s="42"/>
      <c r="P23" s="21"/>
      <c r="Q23" s="21"/>
      <c r="R23" s="33" t="str">
        <f aca="true">IF(B23="","",IF(N23&lt;&gt;"",N23-B23,TODAY()-B23))</f>
        <v/>
      </c>
      <c r="S23" s="38" t="str">
        <f aca="true">IF(OR(M23="",K23="Completed",K23="Cancelled"),"",IF(M23&lt;TODAY(),"OVERDUE",IF(M23-TODAY()&lt;=7,"Due ≤7d","On Schedule")))</f>
        <v/>
      </c>
      <c r="T23" s="21"/>
    </row>
    <row r="24" customFormat="false" ht="15" hidden="false" customHeight="false" outlineLevel="0" collapsed="false">
      <c r="A24" s="6" t="s">
        <v>1205</v>
      </c>
      <c r="B24" s="35"/>
      <c r="C24" s="34"/>
      <c r="D24" s="34"/>
      <c r="E24" s="34"/>
      <c r="F24" s="21"/>
      <c r="G24" s="34"/>
      <c r="H24" s="34"/>
      <c r="I24" s="34"/>
      <c r="J24" s="34"/>
      <c r="K24" s="34"/>
      <c r="L24" s="35"/>
      <c r="M24" s="35"/>
      <c r="N24" s="35"/>
      <c r="O24" s="42"/>
      <c r="P24" s="21"/>
      <c r="Q24" s="21"/>
      <c r="R24" s="33" t="str">
        <f aca="true">IF(B24="","",IF(N24&lt;&gt;"",N24-B24,TODAY()-B24))</f>
        <v/>
      </c>
      <c r="S24" s="38" t="str">
        <f aca="true">IF(OR(M24="",K24="Completed",K24="Cancelled"),"",IF(M24&lt;TODAY(),"OVERDUE",IF(M24-TODAY()&lt;=7,"Due ≤7d","On Schedule")))</f>
        <v/>
      </c>
      <c r="T24" s="21"/>
    </row>
    <row r="25" customFormat="false" ht="15" hidden="false" customHeight="false" outlineLevel="0" collapsed="false">
      <c r="A25" s="6" t="s">
        <v>1206</v>
      </c>
      <c r="B25" s="35"/>
      <c r="C25" s="34"/>
      <c r="D25" s="34"/>
      <c r="E25" s="34"/>
      <c r="F25" s="21"/>
      <c r="G25" s="34"/>
      <c r="H25" s="34"/>
      <c r="I25" s="34"/>
      <c r="J25" s="34"/>
      <c r="K25" s="34"/>
      <c r="L25" s="35"/>
      <c r="M25" s="35"/>
      <c r="N25" s="35"/>
      <c r="O25" s="42"/>
      <c r="P25" s="21"/>
      <c r="Q25" s="21"/>
      <c r="R25" s="33" t="str">
        <f aca="true">IF(B25="","",IF(N25&lt;&gt;"",N25-B25,TODAY()-B25))</f>
        <v/>
      </c>
      <c r="S25" s="38" t="str">
        <f aca="true">IF(OR(M25="",K25="Completed",K25="Cancelled"),"",IF(M25&lt;TODAY(),"OVERDUE",IF(M25-TODAY()&lt;=7,"Due ≤7d","On Schedule")))</f>
        <v/>
      </c>
      <c r="T25" s="21"/>
    </row>
    <row r="26" customFormat="false" ht="15" hidden="false" customHeight="false" outlineLevel="0" collapsed="false">
      <c r="A26" s="6" t="s">
        <v>1207</v>
      </c>
      <c r="B26" s="35"/>
      <c r="C26" s="34"/>
      <c r="D26" s="34"/>
      <c r="E26" s="34"/>
      <c r="F26" s="21"/>
      <c r="G26" s="34"/>
      <c r="H26" s="34"/>
      <c r="I26" s="34"/>
      <c r="J26" s="34"/>
      <c r="K26" s="34"/>
      <c r="L26" s="35"/>
      <c r="M26" s="35"/>
      <c r="N26" s="35"/>
      <c r="O26" s="42"/>
      <c r="P26" s="21"/>
      <c r="Q26" s="21"/>
      <c r="R26" s="33" t="str">
        <f aca="true">IF(B26="","",IF(N26&lt;&gt;"",N26-B26,TODAY()-B26))</f>
        <v/>
      </c>
      <c r="S26" s="38" t="str">
        <f aca="true">IF(OR(M26="",K26="Completed",K26="Cancelled"),"",IF(M26&lt;TODAY(),"OVERDUE",IF(M26-TODAY()&lt;=7,"Due ≤7d","On Schedule")))</f>
        <v/>
      </c>
      <c r="T26" s="21"/>
    </row>
    <row r="27" customFormat="false" ht="15" hidden="false" customHeight="false" outlineLevel="0" collapsed="false">
      <c r="A27" s="6" t="s">
        <v>1208</v>
      </c>
      <c r="B27" s="35"/>
      <c r="C27" s="34"/>
      <c r="D27" s="34"/>
      <c r="E27" s="34"/>
      <c r="F27" s="21"/>
      <c r="G27" s="34"/>
      <c r="H27" s="34"/>
      <c r="I27" s="34"/>
      <c r="J27" s="34"/>
      <c r="K27" s="34"/>
      <c r="L27" s="35"/>
      <c r="M27" s="35"/>
      <c r="N27" s="35"/>
      <c r="O27" s="42"/>
      <c r="P27" s="21"/>
      <c r="Q27" s="21"/>
      <c r="R27" s="33" t="str">
        <f aca="true">IF(B27="","",IF(N27&lt;&gt;"",N27-B27,TODAY()-B27))</f>
        <v/>
      </c>
      <c r="S27" s="38" t="str">
        <f aca="true">IF(OR(M27="",K27="Completed",K27="Cancelled"),"",IF(M27&lt;TODAY(),"OVERDUE",IF(M27-TODAY()&lt;=7,"Due ≤7d","On Schedule")))</f>
        <v/>
      </c>
      <c r="T27" s="21"/>
    </row>
    <row r="28" customFormat="false" ht="15" hidden="false" customHeight="false" outlineLevel="0" collapsed="false">
      <c r="A28" s="6" t="s">
        <v>1209</v>
      </c>
      <c r="B28" s="35"/>
      <c r="C28" s="34"/>
      <c r="D28" s="34"/>
      <c r="E28" s="34"/>
      <c r="F28" s="21"/>
      <c r="G28" s="34"/>
      <c r="H28" s="34"/>
      <c r="I28" s="34"/>
      <c r="J28" s="34"/>
      <c r="K28" s="34"/>
      <c r="L28" s="35"/>
      <c r="M28" s="35"/>
      <c r="N28" s="35"/>
      <c r="O28" s="42"/>
      <c r="P28" s="21"/>
      <c r="Q28" s="21"/>
      <c r="R28" s="33" t="str">
        <f aca="true">IF(B28="","",IF(N28&lt;&gt;"",N28-B28,TODAY()-B28))</f>
        <v/>
      </c>
      <c r="S28" s="38" t="str">
        <f aca="true">IF(OR(M28="",K28="Completed",K28="Cancelled"),"",IF(M28&lt;TODAY(),"OVERDUE",IF(M28-TODAY()&lt;=7,"Due ≤7d","On Schedule")))</f>
        <v/>
      </c>
      <c r="T28" s="21"/>
    </row>
    <row r="29" customFormat="false" ht="15" hidden="false" customHeight="false" outlineLevel="0" collapsed="false">
      <c r="A29" s="6" t="s">
        <v>1210</v>
      </c>
      <c r="B29" s="35"/>
      <c r="C29" s="34"/>
      <c r="D29" s="34"/>
      <c r="E29" s="34"/>
      <c r="F29" s="21"/>
      <c r="G29" s="34"/>
      <c r="H29" s="34"/>
      <c r="I29" s="34"/>
      <c r="J29" s="34"/>
      <c r="K29" s="34"/>
      <c r="L29" s="35"/>
      <c r="M29" s="35"/>
      <c r="N29" s="35"/>
      <c r="O29" s="42"/>
      <c r="P29" s="21"/>
      <c r="Q29" s="21"/>
      <c r="R29" s="33" t="str">
        <f aca="true">IF(B29="","",IF(N29&lt;&gt;"",N29-B29,TODAY()-B29))</f>
        <v/>
      </c>
      <c r="S29" s="38" t="str">
        <f aca="true">IF(OR(M29="",K29="Completed",K29="Cancelled"),"",IF(M29&lt;TODAY(),"OVERDUE",IF(M29-TODAY()&lt;=7,"Due ≤7d","On Schedule")))</f>
        <v/>
      </c>
      <c r="T29" s="21"/>
    </row>
    <row r="30" customFormat="false" ht="15" hidden="false" customHeight="false" outlineLevel="0" collapsed="false">
      <c r="A30" s="6" t="s">
        <v>1211</v>
      </c>
      <c r="B30" s="35"/>
      <c r="C30" s="34"/>
      <c r="D30" s="34"/>
      <c r="E30" s="34"/>
      <c r="F30" s="21"/>
      <c r="G30" s="34"/>
      <c r="H30" s="34"/>
      <c r="I30" s="34"/>
      <c r="J30" s="34"/>
      <c r="K30" s="34"/>
      <c r="L30" s="35"/>
      <c r="M30" s="35"/>
      <c r="N30" s="35"/>
      <c r="O30" s="42"/>
      <c r="P30" s="21"/>
      <c r="Q30" s="21"/>
      <c r="R30" s="33" t="str">
        <f aca="true">IF(B30="","",IF(N30&lt;&gt;"",N30-B30,TODAY()-B30))</f>
        <v/>
      </c>
      <c r="S30" s="38" t="str">
        <f aca="true">IF(OR(M30="",K30="Completed",K30="Cancelled"),"",IF(M30&lt;TODAY(),"OVERDUE",IF(M30-TODAY()&lt;=7,"Due ≤7d","On Schedule")))</f>
        <v/>
      </c>
      <c r="T30" s="21"/>
    </row>
    <row r="31" customFormat="false" ht="15" hidden="false" customHeight="false" outlineLevel="0" collapsed="false">
      <c r="A31" s="6" t="s">
        <v>1212</v>
      </c>
      <c r="B31" s="35"/>
      <c r="C31" s="34"/>
      <c r="D31" s="34"/>
      <c r="E31" s="34"/>
      <c r="F31" s="21"/>
      <c r="G31" s="34"/>
      <c r="H31" s="34"/>
      <c r="I31" s="34"/>
      <c r="J31" s="34"/>
      <c r="K31" s="34"/>
      <c r="L31" s="35"/>
      <c r="M31" s="35"/>
      <c r="N31" s="35"/>
      <c r="O31" s="42"/>
      <c r="P31" s="21"/>
      <c r="Q31" s="21"/>
      <c r="R31" s="33" t="str">
        <f aca="true">IF(B31="","",IF(N31&lt;&gt;"",N31-B31,TODAY()-B31))</f>
        <v/>
      </c>
      <c r="S31" s="38" t="str">
        <f aca="true">IF(OR(M31="",K31="Completed",K31="Cancelled"),"",IF(M31&lt;TODAY(),"OVERDUE",IF(M31-TODAY()&lt;=7,"Due ≤7d","On Schedule")))</f>
        <v/>
      </c>
      <c r="T31" s="21"/>
    </row>
    <row r="32" customFormat="false" ht="15" hidden="false" customHeight="false" outlineLevel="0" collapsed="false">
      <c r="A32" s="6" t="s">
        <v>1213</v>
      </c>
      <c r="B32" s="35"/>
      <c r="C32" s="34"/>
      <c r="D32" s="34"/>
      <c r="E32" s="34"/>
      <c r="F32" s="21"/>
      <c r="G32" s="34"/>
      <c r="H32" s="34"/>
      <c r="I32" s="34"/>
      <c r="J32" s="34"/>
      <c r="K32" s="34"/>
      <c r="L32" s="35"/>
      <c r="M32" s="35"/>
      <c r="N32" s="35"/>
      <c r="O32" s="42"/>
      <c r="P32" s="21"/>
      <c r="Q32" s="21"/>
      <c r="R32" s="33" t="str">
        <f aca="true">IF(B32="","",IF(N32&lt;&gt;"",N32-B32,TODAY()-B32))</f>
        <v/>
      </c>
      <c r="S32" s="38" t="str">
        <f aca="true">IF(OR(M32="",K32="Completed",K32="Cancelled"),"",IF(M32&lt;TODAY(),"OVERDUE",IF(M32-TODAY()&lt;=7,"Due ≤7d","On Schedule")))</f>
        <v/>
      </c>
      <c r="T32" s="21"/>
    </row>
    <row r="33" customFormat="false" ht="15" hidden="false" customHeight="false" outlineLevel="0" collapsed="false">
      <c r="A33" s="6" t="s">
        <v>1214</v>
      </c>
      <c r="B33" s="35"/>
      <c r="C33" s="34"/>
      <c r="D33" s="34"/>
      <c r="E33" s="34"/>
      <c r="F33" s="21"/>
      <c r="G33" s="34"/>
      <c r="H33" s="34"/>
      <c r="I33" s="34"/>
      <c r="J33" s="34"/>
      <c r="K33" s="34"/>
      <c r="L33" s="35"/>
      <c r="M33" s="35"/>
      <c r="N33" s="35"/>
      <c r="O33" s="42"/>
      <c r="P33" s="21"/>
      <c r="Q33" s="21"/>
      <c r="R33" s="33" t="str">
        <f aca="true">IF(B33="","",IF(N33&lt;&gt;"",N33-B33,TODAY()-B33))</f>
        <v/>
      </c>
      <c r="S33" s="38" t="str">
        <f aca="true">IF(OR(M33="",K33="Completed",K33="Cancelled"),"",IF(M33&lt;TODAY(),"OVERDUE",IF(M33-TODAY()&lt;=7,"Due ≤7d","On Schedule")))</f>
        <v/>
      </c>
      <c r="T33" s="21"/>
    </row>
    <row r="34" customFormat="false" ht="15" hidden="false" customHeight="false" outlineLevel="0" collapsed="false">
      <c r="A34" s="6" t="s">
        <v>1215</v>
      </c>
      <c r="B34" s="35"/>
      <c r="C34" s="34"/>
      <c r="D34" s="34"/>
      <c r="E34" s="34"/>
      <c r="F34" s="21"/>
      <c r="G34" s="34"/>
      <c r="H34" s="34"/>
      <c r="I34" s="34"/>
      <c r="J34" s="34"/>
      <c r="K34" s="34"/>
      <c r="L34" s="35"/>
      <c r="M34" s="35"/>
      <c r="N34" s="35"/>
      <c r="O34" s="42"/>
      <c r="P34" s="21"/>
      <c r="Q34" s="21"/>
      <c r="R34" s="33" t="str">
        <f aca="true">IF(B34="","",IF(N34&lt;&gt;"",N34-B34,TODAY()-B34))</f>
        <v/>
      </c>
      <c r="S34" s="38" t="str">
        <f aca="true">IF(OR(M34="",K34="Completed",K34="Cancelled"),"",IF(M34&lt;TODAY(),"OVERDUE",IF(M34-TODAY()&lt;=7,"Due ≤7d","On Schedule")))</f>
        <v/>
      </c>
      <c r="T34" s="21"/>
    </row>
    <row r="35" customFormat="false" ht="15" hidden="false" customHeight="false" outlineLevel="0" collapsed="false">
      <c r="A35" s="6" t="s">
        <v>1216</v>
      </c>
      <c r="B35" s="35"/>
      <c r="C35" s="34"/>
      <c r="D35" s="34"/>
      <c r="E35" s="34"/>
      <c r="F35" s="21"/>
      <c r="G35" s="34"/>
      <c r="H35" s="34"/>
      <c r="I35" s="34"/>
      <c r="J35" s="34"/>
      <c r="K35" s="34"/>
      <c r="L35" s="35"/>
      <c r="M35" s="35"/>
      <c r="N35" s="35"/>
      <c r="O35" s="42"/>
      <c r="P35" s="21"/>
      <c r="Q35" s="21"/>
      <c r="R35" s="33" t="str">
        <f aca="true">IF(B35="","",IF(N35&lt;&gt;"",N35-B35,TODAY()-B35))</f>
        <v/>
      </c>
      <c r="S35" s="38" t="str">
        <f aca="true">IF(OR(M35="",K35="Completed",K35="Cancelled"),"",IF(M35&lt;TODAY(),"OVERDUE",IF(M35-TODAY()&lt;=7,"Due ≤7d","On Schedule")))</f>
        <v/>
      </c>
      <c r="T35" s="21"/>
    </row>
    <row r="36" customFormat="false" ht="15" hidden="false" customHeight="false" outlineLevel="0" collapsed="false">
      <c r="A36" s="6" t="s">
        <v>1217</v>
      </c>
      <c r="B36" s="35"/>
      <c r="C36" s="34"/>
      <c r="D36" s="34"/>
      <c r="E36" s="34"/>
      <c r="F36" s="21"/>
      <c r="G36" s="34"/>
      <c r="H36" s="34"/>
      <c r="I36" s="34"/>
      <c r="J36" s="34"/>
      <c r="K36" s="34"/>
      <c r="L36" s="35"/>
      <c r="M36" s="35"/>
      <c r="N36" s="35"/>
      <c r="O36" s="42"/>
      <c r="P36" s="21"/>
      <c r="Q36" s="21"/>
      <c r="R36" s="33" t="str">
        <f aca="true">IF(B36="","",IF(N36&lt;&gt;"",N36-B36,TODAY()-B36))</f>
        <v/>
      </c>
      <c r="S36" s="38" t="str">
        <f aca="true">IF(OR(M36="",K36="Completed",K36="Cancelled"),"",IF(M36&lt;TODAY(),"OVERDUE",IF(M36-TODAY()&lt;=7,"Due ≤7d","On Schedule")))</f>
        <v/>
      </c>
      <c r="T36" s="21"/>
    </row>
    <row r="37" customFormat="false" ht="15" hidden="false" customHeight="false" outlineLevel="0" collapsed="false">
      <c r="A37" s="6" t="s">
        <v>1218</v>
      </c>
      <c r="B37" s="35"/>
      <c r="C37" s="34"/>
      <c r="D37" s="34"/>
      <c r="E37" s="34"/>
      <c r="F37" s="21"/>
      <c r="G37" s="34"/>
      <c r="H37" s="34"/>
      <c r="I37" s="34"/>
      <c r="J37" s="34"/>
      <c r="K37" s="34"/>
      <c r="L37" s="35"/>
      <c r="M37" s="35"/>
      <c r="N37" s="35"/>
      <c r="O37" s="42"/>
      <c r="P37" s="21"/>
      <c r="Q37" s="21"/>
      <c r="R37" s="33" t="str">
        <f aca="true">IF(B37="","",IF(N37&lt;&gt;"",N37-B37,TODAY()-B37))</f>
        <v/>
      </c>
      <c r="S37" s="38" t="str">
        <f aca="true">IF(OR(M37="",K37="Completed",K37="Cancelled"),"",IF(M37&lt;TODAY(),"OVERDUE",IF(M37-TODAY()&lt;=7,"Due ≤7d","On Schedule")))</f>
        <v/>
      </c>
      <c r="T37" s="21"/>
    </row>
    <row r="38" customFormat="false" ht="15" hidden="false" customHeight="false" outlineLevel="0" collapsed="false">
      <c r="A38" s="6" t="s">
        <v>1219</v>
      </c>
      <c r="B38" s="35"/>
      <c r="C38" s="34"/>
      <c r="D38" s="34"/>
      <c r="E38" s="34"/>
      <c r="F38" s="21"/>
      <c r="G38" s="34"/>
      <c r="H38" s="34"/>
      <c r="I38" s="34"/>
      <c r="J38" s="34"/>
      <c r="K38" s="34"/>
      <c r="L38" s="35"/>
      <c r="M38" s="35"/>
      <c r="N38" s="35"/>
      <c r="O38" s="42"/>
      <c r="P38" s="21"/>
      <c r="Q38" s="21"/>
      <c r="R38" s="33" t="str">
        <f aca="true">IF(B38="","",IF(N38&lt;&gt;"",N38-B38,TODAY()-B38))</f>
        <v/>
      </c>
      <c r="S38" s="38" t="str">
        <f aca="true">IF(OR(M38="",K38="Completed",K38="Cancelled"),"",IF(M38&lt;TODAY(),"OVERDUE",IF(M38-TODAY()&lt;=7,"Due ≤7d","On Schedule")))</f>
        <v/>
      </c>
      <c r="T38" s="21"/>
    </row>
    <row r="39" customFormat="false" ht="15" hidden="false" customHeight="false" outlineLevel="0" collapsed="false">
      <c r="A39" s="6" t="s">
        <v>1220</v>
      </c>
      <c r="B39" s="35"/>
      <c r="C39" s="34"/>
      <c r="D39" s="34"/>
      <c r="E39" s="34"/>
      <c r="F39" s="21"/>
      <c r="G39" s="34"/>
      <c r="H39" s="34"/>
      <c r="I39" s="34"/>
      <c r="J39" s="34"/>
      <c r="K39" s="34"/>
      <c r="L39" s="35"/>
      <c r="M39" s="35"/>
      <c r="N39" s="35"/>
      <c r="O39" s="42"/>
      <c r="P39" s="21"/>
      <c r="Q39" s="21"/>
      <c r="R39" s="33" t="str">
        <f aca="true">IF(B39="","",IF(N39&lt;&gt;"",N39-B39,TODAY()-B39))</f>
        <v/>
      </c>
      <c r="S39" s="38" t="str">
        <f aca="true">IF(OR(M39="",K39="Completed",K39="Cancelled"),"",IF(M39&lt;TODAY(),"OVERDUE",IF(M39-TODAY()&lt;=7,"Due ≤7d","On Schedule")))</f>
        <v/>
      </c>
      <c r="T39" s="21"/>
    </row>
    <row r="40" customFormat="false" ht="15" hidden="false" customHeight="false" outlineLevel="0" collapsed="false">
      <c r="A40" s="6" t="s">
        <v>1221</v>
      </c>
      <c r="B40" s="35"/>
      <c r="C40" s="34"/>
      <c r="D40" s="34"/>
      <c r="E40" s="34"/>
      <c r="F40" s="21"/>
      <c r="G40" s="34"/>
      <c r="H40" s="34"/>
      <c r="I40" s="34"/>
      <c r="J40" s="34"/>
      <c r="K40" s="34"/>
      <c r="L40" s="35"/>
      <c r="M40" s="35"/>
      <c r="N40" s="35"/>
      <c r="O40" s="42"/>
      <c r="P40" s="21"/>
      <c r="Q40" s="21"/>
      <c r="R40" s="33" t="str">
        <f aca="true">IF(B40="","",IF(N40&lt;&gt;"",N40-B40,TODAY()-B40))</f>
        <v/>
      </c>
      <c r="S40" s="38" t="str">
        <f aca="true">IF(OR(M40="",K40="Completed",K40="Cancelled"),"",IF(M40&lt;TODAY(),"OVERDUE",IF(M40-TODAY()&lt;=7,"Due ≤7d","On Schedule")))</f>
        <v/>
      </c>
      <c r="T40" s="21"/>
    </row>
    <row r="41" customFormat="false" ht="15" hidden="false" customHeight="false" outlineLevel="0" collapsed="false">
      <c r="A41" s="6" t="s">
        <v>1222</v>
      </c>
      <c r="B41" s="35"/>
      <c r="C41" s="34"/>
      <c r="D41" s="34"/>
      <c r="E41" s="34"/>
      <c r="F41" s="21"/>
      <c r="G41" s="34"/>
      <c r="H41" s="34"/>
      <c r="I41" s="34"/>
      <c r="J41" s="34"/>
      <c r="K41" s="34"/>
      <c r="L41" s="35"/>
      <c r="M41" s="35"/>
      <c r="N41" s="35"/>
      <c r="O41" s="42"/>
      <c r="P41" s="21"/>
      <c r="Q41" s="21"/>
      <c r="R41" s="33" t="str">
        <f aca="true">IF(B41="","",IF(N41&lt;&gt;"",N41-B41,TODAY()-B41))</f>
        <v/>
      </c>
      <c r="S41" s="38" t="str">
        <f aca="true">IF(OR(M41="",K41="Completed",K41="Cancelled"),"",IF(M41&lt;TODAY(),"OVERDUE",IF(M41-TODAY()&lt;=7,"Due ≤7d","On Schedule")))</f>
        <v/>
      </c>
      <c r="T41" s="21"/>
    </row>
    <row r="42" customFormat="false" ht="15" hidden="false" customHeight="false" outlineLevel="0" collapsed="false">
      <c r="A42" s="6" t="s">
        <v>1223</v>
      </c>
      <c r="B42" s="35"/>
      <c r="C42" s="34"/>
      <c r="D42" s="34"/>
      <c r="E42" s="34"/>
      <c r="F42" s="21"/>
      <c r="G42" s="34"/>
      <c r="H42" s="34"/>
      <c r="I42" s="34"/>
      <c r="J42" s="34"/>
      <c r="K42" s="34"/>
      <c r="L42" s="35"/>
      <c r="M42" s="35"/>
      <c r="N42" s="35"/>
      <c r="O42" s="42"/>
      <c r="P42" s="21"/>
      <c r="Q42" s="21"/>
      <c r="R42" s="33" t="str">
        <f aca="true">IF(B42="","",IF(N42&lt;&gt;"",N42-B42,TODAY()-B42))</f>
        <v/>
      </c>
      <c r="S42" s="38" t="str">
        <f aca="true">IF(OR(M42="",K42="Completed",K42="Cancelled"),"",IF(M42&lt;TODAY(),"OVERDUE",IF(M42-TODAY()&lt;=7,"Due ≤7d","On Schedule")))</f>
        <v/>
      </c>
      <c r="T42" s="21"/>
    </row>
    <row r="43" customFormat="false" ht="15" hidden="false" customHeight="false" outlineLevel="0" collapsed="false">
      <c r="A43" s="6" t="s">
        <v>1224</v>
      </c>
      <c r="B43" s="35"/>
      <c r="C43" s="34"/>
      <c r="D43" s="34"/>
      <c r="E43" s="34"/>
      <c r="F43" s="21"/>
      <c r="G43" s="34"/>
      <c r="H43" s="34"/>
      <c r="I43" s="34"/>
      <c r="J43" s="34"/>
      <c r="K43" s="34"/>
      <c r="L43" s="35"/>
      <c r="M43" s="35"/>
      <c r="N43" s="35"/>
      <c r="O43" s="42"/>
      <c r="P43" s="21"/>
      <c r="Q43" s="21"/>
      <c r="R43" s="33" t="str">
        <f aca="true">IF(B43="","",IF(N43&lt;&gt;"",N43-B43,TODAY()-B43))</f>
        <v/>
      </c>
      <c r="S43" s="38" t="str">
        <f aca="true">IF(OR(M43="",K43="Completed",K43="Cancelled"),"",IF(M43&lt;TODAY(),"OVERDUE",IF(M43-TODAY()&lt;=7,"Due ≤7d","On Schedule")))</f>
        <v/>
      </c>
      <c r="T43" s="21"/>
    </row>
    <row r="44" customFormat="false" ht="15" hidden="false" customHeight="false" outlineLevel="0" collapsed="false">
      <c r="A44" s="6" t="s">
        <v>1225</v>
      </c>
      <c r="B44" s="35"/>
      <c r="C44" s="34"/>
      <c r="D44" s="34"/>
      <c r="E44" s="34"/>
      <c r="F44" s="21"/>
      <c r="G44" s="34"/>
      <c r="H44" s="34"/>
      <c r="I44" s="34"/>
      <c r="J44" s="34"/>
      <c r="K44" s="34"/>
      <c r="L44" s="35"/>
      <c r="M44" s="35"/>
      <c r="N44" s="35"/>
      <c r="O44" s="42"/>
      <c r="P44" s="21"/>
      <c r="Q44" s="21"/>
      <c r="R44" s="33" t="str">
        <f aca="true">IF(B44="","",IF(N44&lt;&gt;"",N44-B44,TODAY()-B44))</f>
        <v/>
      </c>
      <c r="S44" s="38" t="str">
        <f aca="true">IF(OR(M44="",K44="Completed",K44="Cancelled"),"",IF(M44&lt;TODAY(),"OVERDUE",IF(M44-TODAY()&lt;=7,"Due ≤7d","On Schedule")))</f>
        <v/>
      </c>
      <c r="T44" s="21"/>
    </row>
    <row r="45" customFormat="false" ht="15" hidden="false" customHeight="false" outlineLevel="0" collapsed="false">
      <c r="A45" s="6" t="s">
        <v>1226</v>
      </c>
      <c r="B45" s="35"/>
      <c r="C45" s="34"/>
      <c r="D45" s="34"/>
      <c r="E45" s="34"/>
      <c r="F45" s="21"/>
      <c r="G45" s="34"/>
      <c r="H45" s="34"/>
      <c r="I45" s="34"/>
      <c r="J45" s="34"/>
      <c r="K45" s="34"/>
      <c r="L45" s="35"/>
      <c r="M45" s="35"/>
      <c r="N45" s="35"/>
      <c r="O45" s="42"/>
      <c r="P45" s="21"/>
      <c r="Q45" s="21"/>
      <c r="R45" s="33" t="str">
        <f aca="true">IF(B45="","",IF(N45&lt;&gt;"",N45-B45,TODAY()-B45))</f>
        <v/>
      </c>
      <c r="S45" s="38" t="str">
        <f aca="true">IF(OR(M45="",K45="Completed",K45="Cancelled"),"",IF(M45&lt;TODAY(),"OVERDUE",IF(M45-TODAY()&lt;=7,"Due ≤7d","On Schedule")))</f>
        <v/>
      </c>
      <c r="T45" s="21"/>
    </row>
    <row r="46" customFormat="false" ht="15" hidden="false" customHeight="false" outlineLevel="0" collapsed="false">
      <c r="A46" s="6" t="s">
        <v>1227</v>
      </c>
      <c r="B46" s="35"/>
      <c r="C46" s="34"/>
      <c r="D46" s="34"/>
      <c r="E46" s="34"/>
      <c r="F46" s="21"/>
      <c r="G46" s="34"/>
      <c r="H46" s="34"/>
      <c r="I46" s="34"/>
      <c r="J46" s="34"/>
      <c r="K46" s="34"/>
      <c r="L46" s="35"/>
      <c r="M46" s="35"/>
      <c r="N46" s="35"/>
      <c r="O46" s="42"/>
      <c r="P46" s="21"/>
      <c r="Q46" s="21"/>
      <c r="R46" s="33" t="str">
        <f aca="true">IF(B46="","",IF(N46&lt;&gt;"",N46-B46,TODAY()-B46))</f>
        <v/>
      </c>
      <c r="S46" s="38" t="str">
        <f aca="true">IF(OR(M46="",K46="Completed",K46="Cancelled"),"",IF(M46&lt;TODAY(),"OVERDUE",IF(M46-TODAY()&lt;=7,"Due ≤7d","On Schedule")))</f>
        <v/>
      </c>
      <c r="T46" s="21"/>
    </row>
    <row r="47" customFormat="false" ht="15" hidden="false" customHeight="false" outlineLevel="0" collapsed="false">
      <c r="A47" s="6" t="s">
        <v>1228</v>
      </c>
      <c r="B47" s="35"/>
      <c r="C47" s="34"/>
      <c r="D47" s="34"/>
      <c r="E47" s="34"/>
      <c r="F47" s="21"/>
      <c r="G47" s="34"/>
      <c r="H47" s="34"/>
      <c r="I47" s="34"/>
      <c r="J47" s="34"/>
      <c r="K47" s="34"/>
      <c r="L47" s="35"/>
      <c r="M47" s="35"/>
      <c r="N47" s="35"/>
      <c r="O47" s="42"/>
      <c r="P47" s="21"/>
      <c r="Q47" s="21"/>
      <c r="R47" s="33" t="str">
        <f aca="true">IF(B47="","",IF(N47&lt;&gt;"",N47-B47,TODAY()-B47))</f>
        <v/>
      </c>
      <c r="S47" s="38" t="str">
        <f aca="true">IF(OR(M47="",K47="Completed",K47="Cancelled"),"",IF(M47&lt;TODAY(),"OVERDUE",IF(M47-TODAY()&lt;=7,"Due ≤7d","On Schedule")))</f>
        <v/>
      </c>
      <c r="T47" s="21"/>
    </row>
    <row r="48" customFormat="false" ht="15" hidden="false" customHeight="false" outlineLevel="0" collapsed="false">
      <c r="A48" s="6" t="s">
        <v>1229</v>
      </c>
      <c r="B48" s="35"/>
      <c r="C48" s="34"/>
      <c r="D48" s="34"/>
      <c r="E48" s="34"/>
      <c r="F48" s="21"/>
      <c r="G48" s="34"/>
      <c r="H48" s="34"/>
      <c r="I48" s="34"/>
      <c r="J48" s="34"/>
      <c r="K48" s="34"/>
      <c r="L48" s="35"/>
      <c r="M48" s="35"/>
      <c r="N48" s="35"/>
      <c r="O48" s="42"/>
      <c r="P48" s="21"/>
      <c r="Q48" s="21"/>
      <c r="R48" s="33" t="str">
        <f aca="true">IF(B48="","",IF(N48&lt;&gt;"",N48-B48,TODAY()-B48))</f>
        <v/>
      </c>
      <c r="S48" s="38" t="str">
        <f aca="true">IF(OR(M48="",K48="Completed",K48="Cancelled"),"",IF(M48&lt;TODAY(),"OVERDUE",IF(M48-TODAY()&lt;=7,"Due ≤7d","On Schedule")))</f>
        <v/>
      </c>
      <c r="T48" s="21"/>
    </row>
    <row r="49" customFormat="false" ht="15" hidden="false" customHeight="false" outlineLevel="0" collapsed="false">
      <c r="A49" s="6" t="s">
        <v>1230</v>
      </c>
      <c r="B49" s="35"/>
      <c r="C49" s="34"/>
      <c r="D49" s="34"/>
      <c r="E49" s="34"/>
      <c r="F49" s="21"/>
      <c r="G49" s="34"/>
      <c r="H49" s="34"/>
      <c r="I49" s="34"/>
      <c r="J49" s="34"/>
      <c r="K49" s="34"/>
      <c r="L49" s="35"/>
      <c r="M49" s="35"/>
      <c r="N49" s="35"/>
      <c r="O49" s="42"/>
      <c r="P49" s="21"/>
      <c r="Q49" s="21"/>
      <c r="R49" s="33" t="str">
        <f aca="true">IF(B49="","",IF(N49&lt;&gt;"",N49-B49,TODAY()-B49))</f>
        <v/>
      </c>
      <c r="S49" s="38" t="str">
        <f aca="true">IF(OR(M49="",K49="Completed",K49="Cancelled"),"",IF(M49&lt;TODAY(),"OVERDUE",IF(M49-TODAY()&lt;=7,"Due ≤7d","On Schedule")))</f>
        <v/>
      </c>
      <c r="T49" s="21"/>
    </row>
    <row r="50" customFormat="false" ht="15" hidden="false" customHeight="false" outlineLevel="0" collapsed="false">
      <c r="A50" s="6" t="s">
        <v>1231</v>
      </c>
      <c r="B50" s="35"/>
      <c r="C50" s="34"/>
      <c r="D50" s="34"/>
      <c r="E50" s="34"/>
      <c r="F50" s="21"/>
      <c r="G50" s="34"/>
      <c r="H50" s="34"/>
      <c r="I50" s="34"/>
      <c r="J50" s="34"/>
      <c r="K50" s="34"/>
      <c r="L50" s="35"/>
      <c r="M50" s="35"/>
      <c r="N50" s="35"/>
      <c r="O50" s="42"/>
      <c r="P50" s="21"/>
      <c r="Q50" s="21"/>
      <c r="R50" s="33" t="str">
        <f aca="true">IF(B50="","",IF(N50&lt;&gt;"",N50-B50,TODAY()-B50))</f>
        <v/>
      </c>
      <c r="S50" s="38" t="str">
        <f aca="true">IF(OR(M50="",K50="Completed",K50="Cancelled"),"",IF(M50&lt;TODAY(),"OVERDUE",IF(M50-TODAY()&lt;=7,"Due ≤7d","On Schedule")))</f>
        <v/>
      </c>
      <c r="T50" s="21"/>
    </row>
    <row r="51" customFormat="false" ht="15" hidden="false" customHeight="false" outlineLevel="0" collapsed="false">
      <c r="A51" s="6" t="s">
        <v>1232</v>
      </c>
      <c r="B51" s="35"/>
      <c r="C51" s="34"/>
      <c r="D51" s="34"/>
      <c r="E51" s="34"/>
      <c r="F51" s="21"/>
      <c r="G51" s="34"/>
      <c r="H51" s="34"/>
      <c r="I51" s="34"/>
      <c r="J51" s="34"/>
      <c r="K51" s="34"/>
      <c r="L51" s="35"/>
      <c r="M51" s="35"/>
      <c r="N51" s="35"/>
      <c r="O51" s="42"/>
      <c r="P51" s="21"/>
      <c r="Q51" s="21"/>
      <c r="R51" s="33" t="str">
        <f aca="true">IF(B51="","",IF(N51&lt;&gt;"",N51-B51,TODAY()-B51))</f>
        <v/>
      </c>
      <c r="S51" s="38" t="str">
        <f aca="true">IF(OR(M51="",K51="Completed",K51="Cancelled"),"",IF(M51&lt;TODAY(),"OVERDUE",IF(M51-TODAY()&lt;=7,"Due ≤7d","On Schedule")))</f>
        <v/>
      </c>
      <c r="T51" s="21"/>
    </row>
    <row r="52" customFormat="false" ht="15" hidden="false" customHeight="false" outlineLevel="0" collapsed="false">
      <c r="A52" s="6" t="s">
        <v>1233</v>
      </c>
      <c r="B52" s="35"/>
      <c r="C52" s="34"/>
      <c r="D52" s="34"/>
      <c r="E52" s="34"/>
      <c r="F52" s="21"/>
      <c r="G52" s="34"/>
      <c r="H52" s="34"/>
      <c r="I52" s="34"/>
      <c r="J52" s="34"/>
      <c r="K52" s="34"/>
      <c r="L52" s="35"/>
      <c r="M52" s="35"/>
      <c r="N52" s="35"/>
      <c r="O52" s="42"/>
      <c r="P52" s="21"/>
      <c r="Q52" s="21"/>
      <c r="R52" s="33" t="str">
        <f aca="true">IF(B52="","",IF(N52&lt;&gt;"",N52-B52,TODAY()-B52))</f>
        <v/>
      </c>
      <c r="S52" s="38" t="str">
        <f aca="true">IF(OR(M52="",K52="Completed",K52="Cancelled"),"",IF(M52&lt;TODAY(),"OVERDUE",IF(M52-TODAY()&lt;=7,"Due ≤7d","On Schedule")))</f>
        <v/>
      </c>
      <c r="T52" s="21"/>
    </row>
    <row r="53" customFormat="false" ht="15" hidden="false" customHeight="false" outlineLevel="0" collapsed="false">
      <c r="A53" s="6" t="s">
        <v>1234</v>
      </c>
      <c r="B53" s="35"/>
      <c r="C53" s="34"/>
      <c r="D53" s="34"/>
      <c r="E53" s="34"/>
      <c r="F53" s="21"/>
      <c r="G53" s="34"/>
      <c r="H53" s="34"/>
      <c r="I53" s="34"/>
      <c r="J53" s="34"/>
      <c r="K53" s="34"/>
      <c r="L53" s="35"/>
      <c r="M53" s="35"/>
      <c r="N53" s="35"/>
      <c r="O53" s="42"/>
      <c r="P53" s="21"/>
      <c r="Q53" s="21"/>
      <c r="R53" s="33" t="str">
        <f aca="true">IF(B53="","",IF(N53&lt;&gt;"",N53-B53,TODAY()-B53))</f>
        <v/>
      </c>
      <c r="S53" s="38" t="str">
        <f aca="true">IF(OR(M53="",K53="Completed",K53="Cancelled"),"",IF(M53&lt;TODAY(),"OVERDUE",IF(M53-TODAY()&lt;=7,"Due ≤7d","On Schedule")))</f>
        <v/>
      </c>
      <c r="T53" s="21"/>
    </row>
    <row r="54" customFormat="false" ht="15" hidden="false" customHeight="false" outlineLevel="0" collapsed="false">
      <c r="A54" s="6" t="s">
        <v>1235</v>
      </c>
      <c r="B54" s="35"/>
      <c r="C54" s="34"/>
      <c r="D54" s="34"/>
      <c r="E54" s="34"/>
      <c r="F54" s="21"/>
      <c r="G54" s="34"/>
      <c r="H54" s="34"/>
      <c r="I54" s="34"/>
      <c r="J54" s="34"/>
      <c r="K54" s="34"/>
      <c r="L54" s="35"/>
      <c r="M54" s="35"/>
      <c r="N54" s="35"/>
      <c r="O54" s="42"/>
      <c r="P54" s="21"/>
      <c r="Q54" s="21"/>
      <c r="R54" s="33" t="str">
        <f aca="true">IF(B54="","",IF(N54&lt;&gt;"",N54-B54,TODAY()-B54))</f>
        <v/>
      </c>
      <c r="S54" s="38" t="str">
        <f aca="true">IF(OR(M54="",K54="Completed",K54="Cancelled"),"",IF(M54&lt;TODAY(),"OVERDUE",IF(M54-TODAY()&lt;=7,"Due ≤7d","On Schedule")))</f>
        <v/>
      </c>
      <c r="T54" s="21"/>
    </row>
    <row r="55" customFormat="false" ht="15" hidden="false" customHeight="false" outlineLevel="0" collapsed="false">
      <c r="A55" s="6" t="s">
        <v>1236</v>
      </c>
      <c r="B55" s="35"/>
      <c r="C55" s="34"/>
      <c r="D55" s="34"/>
      <c r="E55" s="34"/>
      <c r="F55" s="21"/>
      <c r="G55" s="34"/>
      <c r="H55" s="34"/>
      <c r="I55" s="34"/>
      <c r="J55" s="34"/>
      <c r="K55" s="34"/>
      <c r="L55" s="35"/>
      <c r="M55" s="35"/>
      <c r="N55" s="35"/>
      <c r="O55" s="42"/>
      <c r="P55" s="21"/>
      <c r="Q55" s="21"/>
      <c r="R55" s="33" t="str">
        <f aca="true">IF(B55="","",IF(N55&lt;&gt;"",N55-B55,TODAY()-B55))</f>
        <v/>
      </c>
      <c r="S55" s="38" t="str">
        <f aca="true">IF(OR(M55="",K55="Completed",K55="Cancelled"),"",IF(M55&lt;TODAY(),"OVERDUE",IF(M55-TODAY()&lt;=7,"Due ≤7d","On Schedule")))</f>
        <v/>
      </c>
      <c r="T55" s="21"/>
    </row>
    <row r="56" customFormat="false" ht="15" hidden="false" customHeight="false" outlineLevel="0" collapsed="false">
      <c r="A56" s="6" t="s">
        <v>1237</v>
      </c>
      <c r="B56" s="35"/>
      <c r="C56" s="34"/>
      <c r="D56" s="34"/>
      <c r="E56" s="34"/>
      <c r="F56" s="21"/>
      <c r="G56" s="34"/>
      <c r="H56" s="34"/>
      <c r="I56" s="34"/>
      <c r="J56" s="34"/>
      <c r="K56" s="34"/>
      <c r="L56" s="35"/>
      <c r="M56" s="35"/>
      <c r="N56" s="35"/>
      <c r="O56" s="42"/>
      <c r="P56" s="21"/>
      <c r="Q56" s="21"/>
      <c r="R56" s="33" t="str">
        <f aca="true">IF(B56="","",IF(N56&lt;&gt;"",N56-B56,TODAY()-B56))</f>
        <v/>
      </c>
      <c r="S56" s="38" t="str">
        <f aca="true">IF(OR(M56="",K56="Completed",K56="Cancelled"),"",IF(M56&lt;TODAY(),"OVERDUE",IF(M56-TODAY()&lt;=7,"Due ≤7d","On Schedule")))</f>
        <v/>
      </c>
      <c r="T56" s="21"/>
    </row>
    <row r="57" customFormat="false" ht="15" hidden="false" customHeight="false" outlineLevel="0" collapsed="false">
      <c r="A57" s="6" t="s">
        <v>1238</v>
      </c>
      <c r="B57" s="35"/>
      <c r="C57" s="34"/>
      <c r="D57" s="34"/>
      <c r="E57" s="34"/>
      <c r="F57" s="21"/>
      <c r="G57" s="34"/>
      <c r="H57" s="34"/>
      <c r="I57" s="34"/>
      <c r="J57" s="34"/>
      <c r="K57" s="34"/>
      <c r="L57" s="35"/>
      <c r="M57" s="35"/>
      <c r="N57" s="35"/>
      <c r="O57" s="42"/>
      <c r="P57" s="21"/>
      <c r="Q57" s="21"/>
      <c r="R57" s="33" t="str">
        <f aca="true">IF(B57="","",IF(N57&lt;&gt;"",N57-B57,TODAY()-B57))</f>
        <v/>
      </c>
      <c r="S57" s="38" t="str">
        <f aca="true">IF(OR(M57="",K57="Completed",K57="Cancelled"),"",IF(M57&lt;TODAY(),"OVERDUE",IF(M57-TODAY()&lt;=7,"Due ≤7d","On Schedule")))</f>
        <v/>
      </c>
      <c r="T57" s="21"/>
    </row>
    <row r="58" customFormat="false" ht="15" hidden="false" customHeight="false" outlineLevel="0" collapsed="false">
      <c r="A58" s="6" t="s">
        <v>1239</v>
      </c>
      <c r="B58" s="35"/>
      <c r="C58" s="34"/>
      <c r="D58" s="34"/>
      <c r="E58" s="34"/>
      <c r="F58" s="21"/>
      <c r="G58" s="34"/>
      <c r="H58" s="34"/>
      <c r="I58" s="34"/>
      <c r="J58" s="34"/>
      <c r="K58" s="34"/>
      <c r="L58" s="35"/>
      <c r="M58" s="35"/>
      <c r="N58" s="35"/>
      <c r="O58" s="42"/>
      <c r="P58" s="21"/>
      <c r="Q58" s="21"/>
      <c r="R58" s="33" t="str">
        <f aca="true">IF(B58="","",IF(N58&lt;&gt;"",N58-B58,TODAY()-B58))</f>
        <v/>
      </c>
      <c r="S58" s="38" t="str">
        <f aca="true">IF(OR(M58="",K58="Completed",K58="Cancelled"),"",IF(M58&lt;TODAY(),"OVERDUE",IF(M58-TODAY()&lt;=7,"Due ≤7d","On Schedule")))</f>
        <v/>
      </c>
      <c r="T58" s="21"/>
    </row>
    <row r="59" customFormat="false" ht="15" hidden="false" customHeight="false" outlineLevel="0" collapsed="false">
      <c r="A59" s="6" t="s">
        <v>1240</v>
      </c>
      <c r="B59" s="35"/>
      <c r="C59" s="34"/>
      <c r="D59" s="34"/>
      <c r="E59" s="34"/>
      <c r="F59" s="21"/>
      <c r="G59" s="34"/>
      <c r="H59" s="34"/>
      <c r="I59" s="34"/>
      <c r="J59" s="34"/>
      <c r="K59" s="34"/>
      <c r="L59" s="35"/>
      <c r="M59" s="35"/>
      <c r="N59" s="35"/>
      <c r="O59" s="42"/>
      <c r="P59" s="21"/>
      <c r="Q59" s="21"/>
      <c r="R59" s="33" t="str">
        <f aca="true">IF(B59="","",IF(N59&lt;&gt;"",N59-B59,TODAY()-B59))</f>
        <v/>
      </c>
      <c r="S59" s="38" t="str">
        <f aca="true">IF(OR(M59="",K59="Completed",K59="Cancelled"),"",IF(M59&lt;TODAY(),"OVERDUE",IF(M59-TODAY()&lt;=7,"Due ≤7d","On Schedule")))</f>
        <v/>
      </c>
      <c r="T59" s="21"/>
    </row>
    <row r="60" customFormat="false" ht="15" hidden="false" customHeight="false" outlineLevel="0" collapsed="false">
      <c r="A60" s="6" t="s">
        <v>1241</v>
      </c>
      <c r="B60" s="35"/>
      <c r="C60" s="34"/>
      <c r="D60" s="34"/>
      <c r="E60" s="34"/>
      <c r="F60" s="21"/>
      <c r="G60" s="34"/>
      <c r="H60" s="34"/>
      <c r="I60" s="34"/>
      <c r="J60" s="34"/>
      <c r="K60" s="34"/>
      <c r="L60" s="35"/>
      <c r="M60" s="35"/>
      <c r="N60" s="35"/>
      <c r="O60" s="42"/>
      <c r="P60" s="21"/>
      <c r="Q60" s="21"/>
      <c r="R60" s="33" t="str">
        <f aca="true">IF(B60="","",IF(N60&lt;&gt;"",N60-B60,TODAY()-B60))</f>
        <v/>
      </c>
      <c r="S60" s="38" t="str">
        <f aca="true">IF(OR(M60="",K60="Completed",K60="Cancelled"),"",IF(M60&lt;TODAY(),"OVERDUE",IF(M60-TODAY()&lt;=7,"Due ≤7d","On Schedule")))</f>
        <v/>
      </c>
      <c r="T60" s="21"/>
    </row>
    <row r="61" customFormat="false" ht="15" hidden="false" customHeight="false" outlineLevel="0" collapsed="false">
      <c r="A61" s="6" t="s">
        <v>1242</v>
      </c>
      <c r="B61" s="35"/>
      <c r="C61" s="34"/>
      <c r="D61" s="34"/>
      <c r="E61" s="34"/>
      <c r="F61" s="21"/>
      <c r="G61" s="34"/>
      <c r="H61" s="34"/>
      <c r="I61" s="34"/>
      <c r="J61" s="34"/>
      <c r="K61" s="34"/>
      <c r="L61" s="35"/>
      <c r="M61" s="35"/>
      <c r="N61" s="35"/>
      <c r="O61" s="42"/>
      <c r="P61" s="21"/>
      <c r="Q61" s="21"/>
      <c r="R61" s="33" t="str">
        <f aca="true">IF(B61="","",IF(N61&lt;&gt;"",N61-B61,TODAY()-B61))</f>
        <v/>
      </c>
      <c r="S61" s="38" t="str">
        <f aca="true">IF(OR(M61="",K61="Completed",K61="Cancelled"),"",IF(M61&lt;TODAY(),"OVERDUE",IF(M61-TODAY()&lt;=7,"Due ≤7d","On Schedule")))</f>
        <v/>
      </c>
      <c r="T61" s="21"/>
    </row>
    <row r="62" customFormat="false" ht="15" hidden="false" customHeight="false" outlineLevel="0" collapsed="false">
      <c r="A62" s="6" t="s">
        <v>1243</v>
      </c>
      <c r="B62" s="35"/>
      <c r="C62" s="34"/>
      <c r="D62" s="34"/>
      <c r="E62" s="34"/>
      <c r="F62" s="21"/>
      <c r="G62" s="34"/>
      <c r="H62" s="34"/>
      <c r="I62" s="34"/>
      <c r="J62" s="34"/>
      <c r="K62" s="34"/>
      <c r="L62" s="35"/>
      <c r="M62" s="35"/>
      <c r="N62" s="35"/>
      <c r="O62" s="42"/>
      <c r="P62" s="21"/>
      <c r="Q62" s="21"/>
      <c r="R62" s="33" t="str">
        <f aca="true">IF(B62="","",IF(N62&lt;&gt;"",N62-B62,TODAY()-B62))</f>
        <v/>
      </c>
      <c r="S62" s="38" t="str">
        <f aca="true">IF(OR(M62="",K62="Completed",K62="Cancelled"),"",IF(M62&lt;TODAY(),"OVERDUE",IF(M62-TODAY()&lt;=7,"Due ≤7d","On Schedule")))</f>
        <v/>
      </c>
      <c r="T62" s="21"/>
    </row>
    <row r="63" customFormat="false" ht="15" hidden="false" customHeight="false" outlineLevel="0" collapsed="false">
      <c r="A63" s="6" t="s">
        <v>1244</v>
      </c>
      <c r="B63" s="35"/>
      <c r="C63" s="34"/>
      <c r="D63" s="34"/>
      <c r="E63" s="34"/>
      <c r="F63" s="21"/>
      <c r="G63" s="34"/>
      <c r="H63" s="34"/>
      <c r="I63" s="34"/>
      <c r="J63" s="34"/>
      <c r="K63" s="34"/>
      <c r="L63" s="35"/>
      <c r="M63" s="35"/>
      <c r="N63" s="35"/>
      <c r="O63" s="42"/>
      <c r="P63" s="21"/>
      <c r="Q63" s="21"/>
      <c r="R63" s="33" t="str">
        <f aca="true">IF(B63="","",IF(N63&lt;&gt;"",N63-B63,TODAY()-B63))</f>
        <v/>
      </c>
      <c r="S63" s="38" t="str">
        <f aca="true">IF(OR(M63="",K63="Completed",K63="Cancelled"),"",IF(M63&lt;TODAY(),"OVERDUE",IF(M63-TODAY()&lt;=7,"Due ≤7d","On Schedule")))</f>
        <v/>
      </c>
      <c r="T63" s="21"/>
    </row>
    <row r="64" customFormat="false" ht="15" hidden="false" customHeight="false" outlineLevel="0" collapsed="false">
      <c r="A64" s="6" t="s">
        <v>1245</v>
      </c>
      <c r="B64" s="35"/>
      <c r="C64" s="34"/>
      <c r="D64" s="34"/>
      <c r="E64" s="34"/>
      <c r="F64" s="21"/>
      <c r="G64" s="34"/>
      <c r="H64" s="34"/>
      <c r="I64" s="34"/>
      <c r="J64" s="34"/>
      <c r="K64" s="34"/>
      <c r="L64" s="35"/>
      <c r="M64" s="35"/>
      <c r="N64" s="35"/>
      <c r="O64" s="42"/>
      <c r="P64" s="21"/>
      <c r="Q64" s="21"/>
      <c r="R64" s="33" t="str">
        <f aca="true">IF(B64="","",IF(N64&lt;&gt;"",N64-B64,TODAY()-B64))</f>
        <v/>
      </c>
      <c r="S64" s="38" t="str">
        <f aca="true">IF(OR(M64="",K64="Completed",K64="Cancelled"),"",IF(M64&lt;TODAY(),"OVERDUE",IF(M64-TODAY()&lt;=7,"Due ≤7d","On Schedule")))</f>
        <v/>
      </c>
      <c r="T64" s="21"/>
    </row>
    <row r="65" customFormat="false" ht="15" hidden="false" customHeight="false" outlineLevel="0" collapsed="false">
      <c r="A65" s="6" t="s">
        <v>1246</v>
      </c>
      <c r="B65" s="35"/>
      <c r="C65" s="34"/>
      <c r="D65" s="34"/>
      <c r="E65" s="34"/>
      <c r="F65" s="21"/>
      <c r="G65" s="34"/>
      <c r="H65" s="34"/>
      <c r="I65" s="34"/>
      <c r="J65" s="34"/>
      <c r="K65" s="34"/>
      <c r="L65" s="35"/>
      <c r="M65" s="35"/>
      <c r="N65" s="35"/>
      <c r="O65" s="42"/>
      <c r="P65" s="21"/>
      <c r="Q65" s="21"/>
      <c r="R65" s="33" t="str">
        <f aca="true">IF(B65="","",IF(N65&lt;&gt;"",N65-B65,TODAY()-B65))</f>
        <v/>
      </c>
      <c r="S65" s="38" t="str">
        <f aca="true">IF(OR(M65="",K65="Completed",K65="Cancelled"),"",IF(M65&lt;TODAY(),"OVERDUE",IF(M65-TODAY()&lt;=7,"Due ≤7d","On Schedule")))</f>
        <v/>
      </c>
      <c r="T65" s="21"/>
    </row>
    <row r="66" customFormat="false" ht="15" hidden="false" customHeight="false" outlineLevel="0" collapsed="false">
      <c r="A66" s="6" t="s">
        <v>1247</v>
      </c>
      <c r="B66" s="35"/>
      <c r="C66" s="34"/>
      <c r="D66" s="34"/>
      <c r="E66" s="34"/>
      <c r="F66" s="21"/>
      <c r="G66" s="34"/>
      <c r="H66" s="34"/>
      <c r="I66" s="34"/>
      <c r="J66" s="34"/>
      <c r="K66" s="34"/>
      <c r="L66" s="35"/>
      <c r="M66" s="35"/>
      <c r="N66" s="35"/>
      <c r="O66" s="42"/>
      <c r="P66" s="21"/>
      <c r="Q66" s="21"/>
      <c r="R66" s="33" t="str">
        <f aca="true">IF(B66="","",IF(N66&lt;&gt;"",N66-B66,TODAY()-B66))</f>
        <v/>
      </c>
      <c r="S66" s="38" t="str">
        <f aca="true">IF(OR(M66="",K66="Completed",K66="Cancelled"),"",IF(M66&lt;TODAY(),"OVERDUE",IF(M66-TODAY()&lt;=7,"Due ≤7d","On Schedule")))</f>
        <v/>
      </c>
      <c r="T66" s="21"/>
    </row>
    <row r="67" customFormat="false" ht="15" hidden="false" customHeight="false" outlineLevel="0" collapsed="false">
      <c r="A67" s="6" t="s">
        <v>1248</v>
      </c>
      <c r="B67" s="35"/>
      <c r="C67" s="34"/>
      <c r="D67" s="34"/>
      <c r="E67" s="34"/>
      <c r="F67" s="21"/>
      <c r="G67" s="34"/>
      <c r="H67" s="34"/>
      <c r="I67" s="34"/>
      <c r="J67" s="34"/>
      <c r="K67" s="34"/>
      <c r="L67" s="35"/>
      <c r="M67" s="35"/>
      <c r="N67" s="35"/>
      <c r="O67" s="42"/>
      <c r="P67" s="21"/>
      <c r="Q67" s="21"/>
      <c r="R67" s="33" t="str">
        <f aca="true">IF(B67="","",IF(N67&lt;&gt;"",N67-B67,TODAY()-B67))</f>
        <v/>
      </c>
      <c r="S67" s="38" t="str">
        <f aca="true">IF(OR(M67="",K67="Completed",K67="Cancelled"),"",IF(M67&lt;TODAY(),"OVERDUE",IF(M67-TODAY()&lt;=7,"Due ≤7d","On Schedule")))</f>
        <v/>
      </c>
      <c r="T67" s="21"/>
    </row>
    <row r="68" customFormat="false" ht="15" hidden="false" customHeight="false" outlineLevel="0" collapsed="false">
      <c r="A68" s="6" t="s">
        <v>1249</v>
      </c>
      <c r="B68" s="35"/>
      <c r="C68" s="34"/>
      <c r="D68" s="34"/>
      <c r="E68" s="34"/>
      <c r="F68" s="21"/>
      <c r="G68" s="34"/>
      <c r="H68" s="34"/>
      <c r="I68" s="34"/>
      <c r="J68" s="34"/>
      <c r="K68" s="34"/>
      <c r="L68" s="35"/>
      <c r="M68" s="35"/>
      <c r="N68" s="35"/>
      <c r="O68" s="42"/>
      <c r="P68" s="21"/>
      <c r="Q68" s="21"/>
      <c r="R68" s="33" t="str">
        <f aca="true">IF(B68="","",IF(N68&lt;&gt;"",N68-B68,TODAY()-B68))</f>
        <v/>
      </c>
      <c r="S68" s="38" t="str">
        <f aca="true">IF(OR(M68="",K68="Completed",K68="Cancelled"),"",IF(M68&lt;TODAY(),"OVERDUE",IF(M68-TODAY()&lt;=7,"Due ≤7d","On Schedule")))</f>
        <v/>
      </c>
      <c r="T68" s="21"/>
    </row>
    <row r="69" customFormat="false" ht="15" hidden="false" customHeight="false" outlineLevel="0" collapsed="false">
      <c r="A69" s="6" t="s">
        <v>1250</v>
      </c>
      <c r="B69" s="35"/>
      <c r="C69" s="34"/>
      <c r="D69" s="34"/>
      <c r="E69" s="34"/>
      <c r="F69" s="21"/>
      <c r="G69" s="34"/>
      <c r="H69" s="34"/>
      <c r="I69" s="34"/>
      <c r="J69" s="34"/>
      <c r="K69" s="34"/>
      <c r="L69" s="35"/>
      <c r="M69" s="35"/>
      <c r="N69" s="35"/>
      <c r="O69" s="42"/>
      <c r="P69" s="21"/>
      <c r="Q69" s="21"/>
      <c r="R69" s="33" t="str">
        <f aca="true">IF(B69="","",IF(N69&lt;&gt;"",N69-B69,TODAY()-B69))</f>
        <v/>
      </c>
      <c r="S69" s="38" t="str">
        <f aca="true">IF(OR(M69="",K69="Completed",K69="Cancelled"),"",IF(M69&lt;TODAY(),"OVERDUE",IF(M69-TODAY()&lt;=7,"Due ≤7d","On Schedule")))</f>
        <v/>
      </c>
      <c r="T69" s="21"/>
    </row>
    <row r="70" customFormat="false" ht="15" hidden="false" customHeight="false" outlineLevel="0" collapsed="false">
      <c r="A70" s="6" t="s">
        <v>1251</v>
      </c>
      <c r="B70" s="35"/>
      <c r="C70" s="34"/>
      <c r="D70" s="34"/>
      <c r="E70" s="34"/>
      <c r="F70" s="21"/>
      <c r="G70" s="34"/>
      <c r="H70" s="34"/>
      <c r="I70" s="34"/>
      <c r="J70" s="34"/>
      <c r="K70" s="34"/>
      <c r="L70" s="35"/>
      <c r="M70" s="35"/>
      <c r="N70" s="35"/>
      <c r="O70" s="42"/>
      <c r="P70" s="21"/>
      <c r="Q70" s="21"/>
      <c r="R70" s="33" t="str">
        <f aca="true">IF(B70="","",IF(N70&lt;&gt;"",N70-B70,TODAY()-B70))</f>
        <v/>
      </c>
      <c r="S70" s="38" t="str">
        <f aca="true">IF(OR(M70="",K70="Completed",K70="Cancelled"),"",IF(M70&lt;TODAY(),"OVERDUE",IF(M70-TODAY()&lt;=7,"Due ≤7d","On Schedule")))</f>
        <v/>
      </c>
      <c r="T70" s="21"/>
    </row>
    <row r="71" customFormat="false" ht="15" hidden="false" customHeight="false" outlineLevel="0" collapsed="false">
      <c r="A71" s="6" t="s">
        <v>1252</v>
      </c>
      <c r="B71" s="35"/>
      <c r="C71" s="34"/>
      <c r="D71" s="34"/>
      <c r="E71" s="34"/>
      <c r="F71" s="21"/>
      <c r="G71" s="34"/>
      <c r="H71" s="34"/>
      <c r="I71" s="34"/>
      <c r="J71" s="34"/>
      <c r="K71" s="34"/>
      <c r="L71" s="35"/>
      <c r="M71" s="35"/>
      <c r="N71" s="35"/>
      <c r="O71" s="42"/>
      <c r="P71" s="21"/>
      <c r="Q71" s="21"/>
      <c r="R71" s="33" t="str">
        <f aca="true">IF(B71="","",IF(N71&lt;&gt;"",N71-B71,TODAY()-B71))</f>
        <v/>
      </c>
      <c r="S71" s="38" t="str">
        <f aca="true">IF(OR(M71="",K71="Completed",K71="Cancelled"),"",IF(M71&lt;TODAY(),"OVERDUE",IF(M71-TODAY()&lt;=7,"Due ≤7d","On Schedule")))</f>
        <v/>
      </c>
      <c r="T71" s="21"/>
    </row>
    <row r="72" customFormat="false" ht="15" hidden="false" customHeight="false" outlineLevel="0" collapsed="false">
      <c r="A72" s="6" t="s">
        <v>1253</v>
      </c>
      <c r="B72" s="35"/>
      <c r="C72" s="34"/>
      <c r="D72" s="34"/>
      <c r="E72" s="34"/>
      <c r="F72" s="21"/>
      <c r="G72" s="34"/>
      <c r="H72" s="34"/>
      <c r="I72" s="34"/>
      <c r="J72" s="34"/>
      <c r="K72" s="34"/>
      <c r="L72" s="35"/>
      <c r="M72" s="35"/>
      <c r="N72" s="35"/>
      <c r="O72" s="42"/>
      <c r="P72" s="21"/>
      <c r="Q72" s="21"/>
      <c r="R72" s="33" t="str">
        <f aca="true">IF(B72="","",IF(N72&lt;&gt;"",N72-B72,TODAY()-B72))</f>
        <v/>
      </c>
      <c r="S72" s="38" t="str">
        <f aca="true">IF(OR(M72="",K72="Completed",K72="Cancelled"),"",IF(M72&lt;TODAY(),"OVERDUE",IF(M72-TODAY()&lt;=7,"Due ≤7d","On Schedule")))</f>
        <v/>
      </c>
      <c r="T72" s="21"/>
    </row>
    <row r="73" customFormat="false" ht="15" hidden="false" customHeight="false" outlineLevel="0" collapsed="false">
      <c r="A73" s="6" t="s">
        <v>1254</v>
      </c>
      <c r="B73" s="35"/>
      <c r="C73" s="34"/>
      <c r="D73" s="34"/>
      <c r="E73" s="34"/>
      <c r="F73" s="21"/>
      <c r="G73" s="34"/>
      <c r="H73" s="34"/>
      <c r="I73" s="34"/>
      <c r="J73" s="34"/>
      <c r="K73" s="34"/>
      <c r="L73" s="35"/>
      <c r="M73" s="35"/>
      <c r="N73" s="35"/>
      <c r="O73" s="42"/>
      <c r="P73" s="21"/>
      <c r="Q73" s="21"/>
      <c r="R73" s="33" t="str">
        <f aca="true">IF(B73="","",IF(N73&lt;&gt;"",N73-B73,TODAY()-B73))</f>
        <v/>
      </c>
      <c r="S73" s="38" t="str">
        <f aca="true">IF(OR(M73="",K73="Completed",K73="Cancelled"),"",IF(M73&lt;TODAY(),"OVERDUE",IF(M73-TODAY()&lt;=7,"Due ≤7d","On Schedule")))</f>
        <v/>
      </c>
      <c r="T73" s="21"/>
    </row>
    <row r="74" customFormat="false" ht="15" hidden="false" customHeight="false" outlineLevel="0" collapsed="false">
      <c r="A74" s="6" t="s">
        <v>1255</v>
      </c>
      <c r="B74" s="35"/>
      <c r="C74" s="34"/>
      <c r="D74" s="34"/>
      <c r="E74" s="34"/>
      <c r="F74" s="21"/>
      <c r="G74" s="34"/>
      <c r="H74" s="34"/>
      <c r="I74" s="34"/>
      <c r="J74" s="34"/>
      <c r="K74" s="34"/>
      <c r="L74" s="35"/>
      <c r="M74" s="35"/>
      <c r="N74" s="35"/>
      <c r="O74" s="42"/>
      <c r="P74" s="21"/>
      <c r="Q74" s="21"/>
      <c r="R74" s="33" t="str">
        <f aca="true">IF(B74="","",IF(N74&lt;&gt;"",N74-B74,TODAY()-B74))</f>
        <v/>
      </c>
      <c r="S74" s="38" t="str">
        <f aca="true">IF(OR(M74="",K74="Completed",K74="Cancelled"),"",IF(M74&lt;TODAY(),"OVERDUE",IF(M74-TODAY()&lt;=7,"Due ≤7d","On Schedule")))</f>
        <v/>
      </c>
      <c r="T74" s="21"/>
    </row>
    <row r="75" customFormat="false" ht="15" hidden="false" customHeight="false" outlineLevel="0" collapsed="false">
      <c r="A75" s="6" t="s">
        <v>1256</v>
      </c>
      <c r="B75" s="35"/>
      <c r="C75" s="34"/>
      <c r="D75" s="34"/>
      <c r="E75" s="34"/>
      <c r="F75" s="21"/>
      <c r="G75" s="34"/>
      <c r="H75" s="34"/>
      <c r="I75" s="34"/>
      <c r="J75" s="34"/>
      <c r="K75" s="34"/>
      <c r="L75" s="35"/>
      <c r="M75" s="35"/>
      <c r="N75" s="35"/>
      <c r="O75" s="42"/>
      <c r="P75" s="21"/>
      <c r="Q75" s="21"/>
      <c r="R75" s="33" t="str">
        <f aca="true">IF(B75="","",IF(N75&lt;&gt;"",N75-B75,TODAY()-B75))</f>
        <v/>
      </c>
      <c r="S75" s="38" t="str">
        <f aca="true">IF(OR(M75="",K75="Completed",K75="Cancelled"),"",IF(M75&lt;TODAY(),"OVERDUE",IF(M75-TODAY()&lt;=7,"Due ≤7d","On Schedule")))</f>
        <v/>
      </c>
      <c r="T75" s="21"/>
    </row>
    <row r="76" customFormat="false" ht="15" hidden="false" customHeight="false" outlineLevel="0" collapsed="false">
      <c r="A76" s="6" t="s">
        <v>1257</v>
      </c>
      <c r="B76" s="35"/>
      <c r="C76" s="34"/>
      <c r="D76" s="34"/>
      <c r="E76" s="34"/>
      <c r="F76" s="21"/>
      <c r="G76" s="34"/>
      <c r="H76" s="34"/>
      <c r="I76" s="34"/>
      <c r="J76" s="34"/>
      <c r="K76" s="34"/>
      <c r="L76" s="35"/>
      <c r="M76" s="35"/>
      <c r="N76" s="35"/>
      <c r="O76" s="42"/>
      <c r="P76" s="21"/>
      <c r="Q76" s="21"/>
      <c r="R76" s="33" t="str">
        <f aca="true">IF(B76="","",IF(N76&lt;&gt;"",N76-B76,TODAY()-B76))</f>
        <v/>
      </c>
      <c r="S76" s="38" t="str">
        <f aca="true">IF(OR(M76="",K76="Completed",K76="Cancelled"),"",IF(M76&lt;TODAY(),"OVERDUE",IF(M76-TODAY()&lt;=7,"Due ≤7d","On Schedule")))</f>
        <v/>
      </c>
      <c r="T76" s="21"/>
    </row>
    <row r="77" customFormat="false" ht="15" hidden="false" customHeight="false" outlineLevel="0" collapsed="false">
      <c r="A77" s="6" t="s">
        <v>1258</v>
      </c>
      <c r="B77" s="35"/>
      <c r="C77" s="34"/>
      <c r="D77" s="34"/>
      <c r="E77" s="34"/>
      <c r="F77" s="21"/>
      <c r="G77" s="34"/>
      <c r="H77" s="34"/>
      <c r="I77" s="34"/>
      <c r="J77" s="34"/>
      <c r="K77" s="34"/>
      <c r="L77" s="35"/>
      <c r="M77" s="35"/>
      <c r="N77" s="35"/>
      <c r="O77" s="42"/>
      <c r="P77" s="21"/>
      <c r="Q77" s="21"/>
      <c r="R77" s="33" t="str">
        <f aca="true">IF(B77="","",IF(N77&lt;&gt;"",N77-B77,TODAY()-B77))</f>
        <v/>
      </c>
      <c r="S77" s="38" t="str">
        <f aca="true">IF(OR(M77="",K77="Completed",K77="Cancelled"),"",IF(M77&lt;TODAY(),"OVERDUE",IF(M77-TODAY()&lt;=7,"Due ≤7d","On Schedule")))</f>
        <v/>
      </c>
      <c r="T77" s="21"/>
    </row>
    <row r="78" customFormat="false" ht="15" hidden="false" customHeight="false" outlineLevel="0" collapsed="false">
      <c r="A78" s="6" t="s">
        <v>1259</v>
      </c>
      <c r="B78" s="35"/>
      <c r="C78" s="34"/>
      <c r="D78" s="34"/>
      <c r="E78" s="34"/>
      <c r="F78" s="21"/>
      <c r="G78" s="34"/>
      <c r="H78" s="34"/>
      <c r="I78" s="34"/>
      <c r="J78" s="34"/>
      <c r="K78" s="34"/>
      <c r="L78" s="35"/>
      <c r="M78" s="35"/>
      <c r="N78" s="35"/>
      <c r="O78" s="42"/>
      <c r="P78" s="21"/>
      <c r="Q78" s="21"/>
      <c r="R78" s="33" t="str">
        <f aca="true">IF(B78="","",IF(N78&lt;&gt;"",N78-B78,TODAY()-B78))</f>
        <v/>
      </c>
      <c r="S78" s="38" t="str">
        <f aca="true">IF(OR(M78="",K78="Completed",K78="Cancelled"),"",IF(M78&lt;TODAY(),"OVERDUE",IF(M78-TODAY()&lt;=7,"Due ≤7d","On Schedule")))</f>
        <v/>
      </c>
      <c r="T78" s="21"/>
    </row>
    <row r="79" customFormat="false" ht="15" hidden="false" customHeight="false" outlineLevel="0" collapsed="false">
      <c r="A79" s="6" t="s">
        <v>1260</v>
      </c>
      <c r="B79" s="35"/>
      <c r="C79" s="34"/>
      <c r="D79" s="34"/>
      <c r="E79" s="34"/>
      <c r="F79" s="21"/>
      <c r="G79" s="34"/>
      <c r="H79" s="34"/>
      <c r="I79" s="34"/>
      <c r="J79" s="34"/>
      <c r="K79" s="34"/>
      <c r="L79" s="35"/>
      <c r="M79" s="35"/>
      <c r="N79" s="35"/>
      <c r="O79" s="42"/>
      <c r="P79" s="21"/>
      <c r="Q79" s="21"/>
      <c r="R79" s="33" t="str">
        <f aca="true">IF(B79="","",IF(N79&lt;&gt;"",N79-B79,TODAY()-B79))</f>
        <v/>
      </c>
      <c r="S79" s="38" t="str">
        <f aca="true">IF(OR(M79="",K79="Completed",K79="Cancelled"),"",IF(M79&lt;TODAY(),"OVERDUE",IF(M79-TODAY()&lt;=7,"Due ≤7d","On Schedule")))</f>
        <v/>
      </c>
      <c r="T79" s="21"/>
    </row>
    <row r="80" customFormat="false" ht="15" hidden="false" customHeight="false" outlineLevel="0" collapsed="false">
      <c r="A80" s="6" t="s">
        <v>1261</v>
      </c>
      <c r="B80" s="35"/>
      <c r="C80" s="34"/>
      <c r="D80" s="34"/>
      <c r="E80" s="34"/>
      <c r="F80" s="21"/>
      <c r="G80" s="34"/>
      <c r="H80" s="34"/>
      <c r="I80" s="34"/>
      <c r="J80" s="34"/>
      <c r="K80" s="34"/>
      <c r="L80" s="35"/>
      <c r="M80" s="35"/>
      <c r="N80" s="35"/>
      <c r="O80" s="42"/>
      <c r="P80" s="21"/>
      <c r="Q80" s="21"/>
      <c r="R80" s="33" t="str">
        <f aca="true">IF(B80="","",IF(N80&lt;&gt;"",N80-B80,TODAY()-B80))</f>
        <v/>
      </c>
      <c r="S80" s="38" t="str">
        <f aca="true">IF(OR(M80="",K80="Completed",K80="Cancelled"),"",IF(M80&lt;TODAY(),"OVERDUE",IF(M80-TODAY()&lt;=7,"Due ≤7d","On Schedule")))</f>
        <v/>
      </c>
      <c r="T80" s="21"/>
    </row>
    <row r="81" customFormat="false" ht="15" hidden="false" customHeight="false" outlineLevel="0" collapsed="false">
      <c r="A81" s="6" t="s">
        <v>1262</v>
      </c>
      <c r="B81" s="35"/>
      <c r="C81" s="34"/>
      <c r="D81" s="34"/>
      <c r="E81" s="34"/>
      <c r="F81" s="21"/>
      <c r="G81" s="34"/>
      <c r="H81" s="34"/>
      <c r="I81" s="34"/>
      <c r="J81" s="34"/>
      <c r="K81" s="34"/>
      <c r="L81" s="35"/>
      <c r="M81" s="35"/>
      <c r="N81" s="35"/>
      <c r="O81" s="42"/>
      <c r="P81" s="21"/>
      <c r="Q81" s="21"/>
      <c r="R81" s="33" t="str">
        <f aca="true">IF(B81="","",IF(N81&lt;&gt;"",N81-B81,TODAY()-B81))</f>
        <v/>
      </c>
      <c r="S81" s="38" t="str">
        <f aca="true">IF(OR(M81="",K81="Completed",K81="Cancelled"),"",IF(M81&lt;TODAY(),"OVERDUE",IF(M81-TODAY()&lt;=7,"Due ≤7d","On Schedule")))</f>
        <v/>
      </c>
      <c r="T81" s="21"/>
    </row>
    <row r="82" customFormat="false" ht="15" hidden="false" customHeight="false" outlineLevel="0" collapsed="false">
      <c r="A82" s="6" t="s">
        <v>1263</v>
      </c>
      <c r="B82" s="35"/>
      <c r="C82" s="34"/>
      <c r="D82" s="34"/>
      <c r="E82" s="34"/>
      <c r="F82" s="21"/>
      <c r="G82" s="34"/>
      <c r="H82" s="34"/>
      <c r="I82" s="34"/>
      <c r="J82" s="34"/>
      <c r="K82" s="34"/>
      <c r="L82" s="35"/>
      <c r="M82" s="35"/>
      <c r="N82" s="35"/>
      <c r="O82" s="42"/>
      <c r="P82" s="21"/>
      <c r="Q82" s="21"/>
      <c r="R82" s="33" t="str">
        <f aca="true">IF(B82="","",IF(N82&lt;&gt;"",N82-B82,TODAY()-B82))</f>
        <v/>
      </c>
      <c r="S82" s="38" t="str">
        <f aca="true">IF(OR(M82="",K82="Completed",K82="Cancelled"),"",IF(M82&lt;TODAY(),"OVERDUE",IF(M82-TODAY()&lt;=7,"Due ≤7d","On Schedule")))</f>
        <v/>
      </c>
      <c r="T82" s="21"/>
    </row>
    <row r="83" customFormat="false" ht="15" hidden="false" customHeight="false" outlineLevel="0" collapsed="false">
      <c r="A83" s="6" t="s">
        <v>1264</v>
      </c>
      <c r="B83" s="35"/>
      <c r="C83" s="34"/>
      <c r="D83" s="34"/>
      <c r="E83" s="34"/>
      <c r="F83" s="21"/>
      <c r="G83" s="34"/>
      <c r="H83" s="34"/>
      <c r="I83" s="34"/>
      <c r="J83" s="34"/>
      <c r="K83" s="34"/>
      <c r="L83" s="35"/>
      <c r="M83" s="35"/>
      <c r="N83" s="35"/>
      <c r="O83" s="42"/>
      <c r="P83" s="21"/>
      <c r="Q83" s="21"/>
      <c r="R83" s="33" t="str">
        <f aca="true">IF(B83="","",IF(N83&lt;&gt;"",N83-B83,TODAY()-B83))</f>
        <v/>
      </c>
      <c r="S83" s="38" t="str">
        <f aca="true">IF(OR(M83="",K83="Completed",K83="Cancelled"),"",IF(M83&lt;TODAY(),"OVERDUE",IF(M83-TODAY()&lt;=7,"Due ≤7d","On Schedule")))</f>
        <v/>
      </c>
      <c r="T83" s="21"/>
    </row>
    <row r="84" customFormat="false" ht="15" hidden="false" customHeight="false" outlineLevel="0" collapsed="false">
      <c r="A84" s="6" t="s">
        <v>1265</v>
      </c>
      <c r="B84" s="35"/>
      <c r="C84" s="34"/>
      <c r="D84" s="34"/>
      <c r="E84" s="34"/>
      <c r="F84" s="21"/>
      <c r="G84" s="34"/>
      <c r="H84" s="34"/>
      <c r="I84" s="34"/>
      <c r="J84" s="34"/>
      <c r="K84" s="34"/>
      <c r="L84" s="35"/>
      <c r="M84" s="35"/>
      <c r="N84" s="35"/>
      <c r="O84" s="42"/>
      <c r="P84" s="21"/>
      <c r="Q84" s="21"/>
      <c r="R84" s="33" t="str">
        <f aca="true">IF(B84="","",IF(N84&lt;&gt;"",N84-B84,TODAY()-B84))</f>
        <v/>
      </c>
      <c r="S84" s="38" t="str">
        <f aca="true">IF(OR(M84="",K84="Completed",K84="Cancelled"),"",IF(M84&lt;TODAY(),"OVERDUE",IF(M84-TODAY()&lt;=7,"Due ≤7d","On Schedule")))</f>
        <v/>
      </c>
      <c r="T84" s="21"/>
    </row>
    <row r="85" customFormat="false" ht="15" hidden="false" customHeight="false" outlineLevel="0" collapsed="false">
      <c r="A85" s="6" t="s">
        <v>1266</v>
      </c>
      <c r="B85" s="35"/>
      <c r="C85" s="34"/>
      <c r="D85" s="34"/>
      <c r="E85" s="34"/>
      <c r="F85" s="21"/>
      <c r="G85" s="34"/>
      <c r="H85" s="34"/>
      <c r="I85" s="34"/>
      <c r="J85" s="34"/>
      <c r="K85" s="34"/>
      <c r="L85" s="35"/>
      <c r="M85" s="35"/>
      <c r="N85" s="35"/>
      <c r="O85" s="42"/>
      <c r="P85" s="21"/>
      <c r="Q85" s="21"/>
      <c r="R85" s="33" t="str">
        <f aca="true">IF(B85="","",IF(N85&lt;&gt;"",N85-B85,TODAY()-B85))</f>
        <v/>
      </c>
      <c r="S85" s="38" t="str">
        <f aca="true">IF(OR(M85="",K85="Completed",K85="Cancelled"),"",IF(M85&lt;TODAY(),"OVERDUE",IF(M85-TODAY()&lt;=7,"Due ≤7d","On Schedule")))</f>
        <v/>
      </c>
      <c r="T85" s="21"/>
    </row>
    <row r="86" customFormat="false" ht="15" hidden="false" customHeight="false" outlineLevel="0" collapsed="false">
      <c r="A86" s="6" t="s">
        <v>1267</v>
      </c>
      <c r="B86" s="35"/>
      <c r="C86" s="34"/>
      <c r="D86" s="34"/>
      <c r="E86" s="34"/>
      <c r="F86" s="21"/>
      <c r="G86" s="34"/>
      <c r="H86" s="34"/>
      <c r="I86" s="34"/>
      <c r="J86" s="34"/>
      <c r="K86" s="34"/>
      <c r="L86" s="35"/>
      <c r="M86" s="35"/>
      <c r="N86" s="35"/>
      <c r="O86" s="42"/>
      <c r="P86" s="21"/>
      <c r="Q86" s="21"/>
      <c r="R86" s="33" t="str">
        <f aca="true">IF(B86="","",IF(N86&lt;&gt;"",N86-B86,TODAY()-B86))</f>
        <v/>
      </c>
      <c r="S86" s="38" t="str">
        <f aca="true">IF(OR(M86="",K86="Completed",K86="Cancelled"),"",IF(M86&lt;TODAY(),"OVERDUE",IF(M86-TODAY()&lt;=7,"Due ≤7d","On Schedule")))</f>
        <v/>
      </c>
      <c r="T86" s="21"/>
    </row>
    <row r="87" customFormat="false" ht="15" hidden="false" customHeight="false" outlineLevel="0" collapsed="false">
      <c r="A87" s="6" t="s">
        <v>1268</v>
      </c>
      <c r="B87" s="35"/>
      <c r="C87" s="34"/>
      <c r="D87" s="34"/>
      <c r="E87" s="34"/>
      <c r="F87" s="21"/>
      <c r="G87" s="34"/>
      <c r="H87" s="34"/>
      <c r="I87" s="34"/>
      <c r="J87" s="34"/>
      <c r="K87" s="34"/>
      <c r="L87" s="35"/>
      <c r="M87" s="35"/>
      <c r="N87" s="35"/>
      <c r="O87" s="42"/>
      <c r="P87" s="21"/>
      <c r="Q87" s="21"/>
      <c r="R87" s="33" t="str">
        <f aca="true">IF(B87="","",IF(N87&lt;&gt;"",N87-B87,TODAY()-B87))</f>
        <v/>
      </c>
      <c r="S87" s="38" t="str">
        <f aca="true">IF(OR(M87="",K87="Completed",K87="Cancelled"),"",IF(M87&lt;TODAY(),"OVERDUE",IF(M87-TODAY()&lt;=7,"Due ≤7d","On Schedule")))</f>
        <v/>
      </c>
      <c r="T87" s="21"/>
    </row>
    <row r="88" customFormat="false" ht="15" hidden="false" customHeight="false" outlineLevel="0" collapsed="false">
      <c r="A88" s="6" t="s">
        <v>1269</v>
      </c>
      <c r="B88" s="35"/>
      <c r="C88" s="34"/>
      <c r="D88" s="34"/>
      <c r="E88" s="34"/>
      <c r="F88" s="21"/>
      <c r="G88" s="34"/>
      <c r="H88" s="34"/>
      <c r="I88" s="34"/>
      <c r="J88" s="34"/>
      <c r="K88" s="34"/>
      <c r="L88" s="35"/>
      <c r="M88" s="35"/>
      <c r="N88" s="35"/>
      <c r="O88" s="42"/>
      <c r="P88" s="21"/>
      <c r="Q88" s="21"/>
      <c r="R88" s="33" t="str">
        <f aca="true">IF(B88="","",IF(N88&lt;&gt;"",N88-B88,TODAY()-B88))</f>
        <v/>
      </c>
      <c r="S88" s="38" t="str">
        <f aca="true">IF(OR(M88="",K88="Completed",K88="Cancelled"),"",IF(M88&lt;TODAY(),"OVERDUE",IF(M88-TODAY()&lt;=7,"Due ≤7d","On Schedule")))</f>
        <v/>
      </c>
      <c r="T88" s="21"/>
    </row>
    <row r="89" customFormat="false" ht="15" hidden="false" customHeight="false" outlineLevel="0" collapsed="false">
      <c r="A89" s="6" t="s">
        <v>1270</v>
      </c>
      <c r="B89" s="35"/>
      <c r="C89" s="34"/>
      <c r="D89" s="34"/>
      <c r="E89" s="34"/>
      <c r="F89" s="21"/>
      <c r="G89" s="34"/>
      <c r="H89" s="34"/>
      <c r="I89" s="34"/>
      <c r="J89" s="34"/>
      <c r="K89" s="34"/>
      <c r="L89" s="35"/>
      <c r="M89" s="35"/>
      <c r="N89" s="35"/>
      <c r="O89" s="42"/>
      <c r="P89" s="21"/>
      <c r="Q89" s="21"/>
      <c r="R89" s="33" t="str">
        <f aca="true">IF(B89="","",IF(N89&lt;&gt;"",N89-B89,TODAY()-B89))</f>
        <v/>
      </c>
      <c r="S89" s="38" t="str">
        <f aca="true">IF(OR(M89="",K89="Completed",K89="Cancelled"),"",IF(M89&lt;TODAY(),"OVERDUE",IF(M89-TODAY()&lt;=7,"Due ≤7d","On Schedule")))</f>
        <v/>
      </c>
      <c r="T89" s="21"/>
    </row>
    <row r="90" customFormat="false" ht="15" hidden="false" customHeight="false" outlineLevel="0" collapsed="false">
      <c r="A90" s="6" t="s">
        <v>1271</v>
      </c>
      <c r="B90" s="35"/>
      <c r="C90" s="34"/>
      <c r="D90" s="34"/>
      <c r="E90" s="34"/>
      <c r="F90" s="21"/>
      <c r="G90" s="34"/>
      <c r="H90" s="34"/>
      <c r="I90" s="34"/>
      <c r="J90" s="34"/>
      <c r="K90" s="34"/>
      <c r="L90" s="35"/>
      <c r="M90" s="35"/>
      <c r="N90" s="35"/>
      <c r="O90" s="42"/>
      <c r="P90" s="21"/>
      <c r="Q90" s="21"/>
      <c r="R90" s="33" t="str">
        <f aca="true">IF(B90="","",IF(N90&lt;&gt;"",N90-B90,TODAY()-B90))</f>
        <v/>
      </c>
      <c r="S90" s="38" t="str">
        <f aca="true">IF(OR(M90="",K90="Completed",K90="Cancelled"),"",IF(M90&lt;TODAY(),"OVERDUE",IF(M90-TODAY()&lt;=7,"Due ≤7d","On Schedule")))</f>
        <v/>
      </c>
      <c r="T90" s="21"/>
    </row>
    <row r="91" customFormat="false" ht="15" hidden="false" customHeight="false" outlineLevel="0" collapsed="false">
      <c r="A91" s="6" t="s">
        <v>1272</v>
      </c>
      <c r="B91" s="35"/>
      <c r="C91" s="34"/>
      <c r="D91" s="34"/>
      <c r="E91" s="34"/>
      <c r="F91" s="21"/>
      <c r="G91" s="34"/>
      <c r="H91" s="34"/>
      <c r="I91" s="34"/>
      <c r="J91" s="34"/>
      <c r="K91" s="34"/>
      <c r="L91" s="35"/>
      <c r="M91" s="35"/>
      <c r="N91" s="35"/>
      <c r="O91" s="42"/>
      <c r="P91" s="21"/>
      <c r="Q91" s="21"/>
      <c r="R91" s="33" t="str">
        <f aca="true">IF(B91="","",IF(N91&lt;&gt;"",N91-B91,TODAY()-B91))</f>
        <v/>
      </c>
      <c r="S91" s="38" t="str">
        <f aca="true">IF(OR(M91="",K91="Completed",K91="Cancelled"),"",IF(M91&lt;TODAY(),"OVERDUE",IF(M91-TODAY()&lt;=7,"Due ≤7d","On Schedule")))</f>
        <v/>
      </c>
      <c r="T91" s="21"/>
    </row>
    <row r="92" customFormat="false" ht="15" hidden="false" customHeight="false" outlineLevel="0" collapsed="false">
      <c r="A92" s="6" t="s">
        <v>1273</v>
      </c>
      <c r="B92" s="35"/>
      <c r="C92" s="34"/>
      <c r="D92" s="34"/>
      <c r="E92" s="34"/>
      <c r="F92" s="21"/>
      <c r="G92" s="34"/>
      <c r="H92" s="34"/>
      <c r="I92" s="34"/>
      <c r="J92" s="34"/>
      <c r="K92" s="34"/>
      <c r="L92" s="35"/>
      <c r="M92" s="35"/>
      <c r="N92" s="35"/>
      <c r="O92" s="42"/>
      <c r="P92" s="21"/>
      <c r="Q92" s="21"/>
      <c r="R92" s="33" t="str">
        <f aca="true">IF(B92="","",IF(N92&lt;&gt;"",N92-B92,TODAY()-B92))</f>
        <v/>
      </c>
      <c r="S92" s="38" t="str">
        <f aca="true">IF(OR(M92="",K92="Completed",K92="Cancelled"),"",IF(M92&lt;TODAY(),"OVERDUE",IF(M92-TODAY()&lt;=7,"Due ≤7d","On Schedule")))</f>
        <v/>
      </c>
      <c r="T92" s="21"/>
    </row>
    <row r="93" customFormat="false" ht="15" hidden="false" customHeight="false" outlineLevel="0" collapsed="false">
      <c r="A93" s="6" t="s">
        <v>1274</v>
      </c>
      <c r="B93" s="35"/>
      <c r="C93" s="34"/>
      <c r="D93" s="34"/>
      <c r="E93" s="34"/>
      <c r="F93" s="21"/>
      <c r="G93" s="34"/>
      <c r="H93" s="34"/>
      <c r="I93" s="34"/>
      <c r="J93" s="34"/>
      <c r="K93" s="34"/>
      <c r="L93" s="35"/>
      <c r="M93" s="35"/>
      <c r="N93" s="35"/>
      <c r="O93" s="42"/>
      <c r="P93" s="21"/>
      <c r="Q93" s="21"/>
      <c r="R93" s="33" t="str">
        <f aca="true">IF(B93="","",IF(N93&lt;&gt;"",N93-B93,TODAY()-B93))</f>
        <v/>
      </c>
      <c r="S93" s="38" t="str">
        <f aca="true">IF(OR(M93="",K93="Completed",K93="Cancelled"),"",IF(M93&lt;TODAY(),"OVERDUE",IF(M93-TODAY()&lt;=7,"Due ≤7d","On Schedule")))</f>
        <v/>
      </c>
      <c r="T93" s="21"/>
    </row>
    <row r="94" customFormat="false" ht="15" hidden="false" customHeight="false" outlineLevel="0" collapsed="false">
      <c r="A94" s="6" t="s">
        <v>1275</v>
      </c>
      <c r="B94" s="35"/>
      <c r="C94" s="34"/>
      <c r="D94" s="34"/>
      <c r="E94" s="34"/>
      <c r="F94" s="21"/>
      <c r="G94" s="34"/>
      <c r="H94" s="34"/>
      <c r="I94" s="34"/>
      <c r="J94" s="34"/>
      <c r="K94" s="34"/>
      <c r="L94" s="35"/>
      <c r="M94" s="35"/>
      <c r="N94" s="35"/>
      <c r="O94" s="42"/>
      <c r="P94" s="21"/>
      <c r="Q94" s="21"/>
      <c r="R94" s="33" t="str">
        <f aca="true">IF(B94="","",IF(N94&lt;&gt;"",N94-B94,TODAY()-B94))</f>
        <v/>
      </c>
      <c r="S94" s="38" t="str">
        <f aca="true">IF(OR(M94="",K94="Completed",K94="Cancelled"),"",IF(M94&lt;TODAY(),"OVERDUE",IF(M94-TODAY()&lt;=7,"Due ≤7d","On Schedule")))</f>
        <v/>
      </c>
      <c r="T94" s="21"/>
    </row>
    <row r="95" customFormat="false" ht="15" hidden="false" customHeight="false" outlineLevel="0" collapsed="false">
      <c r="A95" s="6" t="s">
        <v>1276</v>
      </c>
      <c r="B95" s="35"/>
      <c r="C95" s="34"/>
      <c r="D95" s="34"/>
      <c r="E95" s="34"/>
      <c r="F95" s="21"/>
      <c r="G95" s="34"/>
      <c r="H95" s="34"/>
      <c r="I95" s="34"/>
      <c r="J95" s="34"/>
      <c r="K95" s="34"/>
      <c r="L95" s="35"/>
      <c r="M95" s="35"/>
      <c r="N95" s="35"/>
      <c r="O95" s="42"/>
      <c r="P95" s="21"/>
      <c r="Q95" s="21"/>
      <c r="R95" s="33" t="str">
        <f aca="true">IF(B95="","",IF(N95&lt;&gt;"",N95-B95,TODAY()-B95))</f>
        <v/>
      </c>
      <c r="S95" s="38" t="str">
        <f aca="true">IF(OR(M95="",K95="Completed",K95="Cancelled"),"",IF(M95&lt;TODAY(),"OVERDUE",IF(M95-TODAY()&lt;=7,"Due ≤7d","On Schedule")))</f>
        <v/>
      </c>
      <c r="T95" s="21"/>
    </row>
    <row r="96" customFormat="false" ht="15" hidden="false" customHeight="false" outlineLevel="0" collapsed="false">
      <c r="A96" s="6" t="s">
        <v>1277</v>
      </c>
      <c r="B96" s="35"/>
      <c r="C96" s="34"/>
      <c r="D96" s="34"/>
      <c r="E96" s="34"/>
      <c r="F96" s="21"/>
      <c r="G96" s="34"/>
      <c r="H96" s="34"/>
      <c r="I96" s="34"/>
      <c r="J96" s="34"/>
      <c r="K96" s="34"/>
      <c r="L96" s="35"/>
      <c r="M96" s="35"/>
      <c r="N96" s="35"/>
      <c r="O96" s="42"/>
      <c r="P96" s="21"/>
      <c r="Q96" s="21"/>
      <c r="R96" s="33" t="str">
        <f aca="true">IF(B96="","",IF(N96&lt;&gt;"",N96-B96,TODAY()-B96))</f>
        <v/>
      </c>
      <c r="S96" s="38" t="str">
        <f aca="true">IF(OR(M96="",K96="Completed",K96="Cancelled"),"",IF(M96&lt;TODAY(),"OVERDUE",IF(M96-TODAY()&lt;=7,"Due ≤7d","On Schedule")))</f>
        <v/>
      </c>
      <c r="T96" s="21"/>
    </row>
    <row r="97" customFormat="false" ht="15" hidden="false" customHeight="false" outlineLevel="0" collapsed="false">
      <c r="A97" s="6" t="s">
        <v>1278</v>
      </c>
      <c r="B97" s="35"/>
      <c r="C97" s="34"/>
      <c r="D97" s="34"/>
      <c r="E97" s="34"/>
      <c r="F97" s="21"/>
      <c r="G97" s="34"/>
      <c r="H97" s="34"/>
      <c r="I97" s="34"/>
      <c r="J97" s="34"/>
      <c r="K97" s="34"/>
      <c r="L97" s="35"/>
      <c r="M97" s="35"/>
      <c r="N97" s="35"/>
      <c r="O97" s="42"/>
      <c r="P97" s="21"/>
      <c r="Q97" s="21"/>
      <c r="R97" s="33" t="str">
        <f aca="true">IF(B97="","",IF(N97&lt;&gt;"",N97-B97,TODAY()-B97))</f>
        <v/>
      </c>
      <c r="S97" s="38" t="str">
        <f aca="true">IF(OR(M97="",K97="Completed",K97="Cancelled"),"",IF(M97&lt;TODAY(),"OVERDUE",IF(M97-TODAY()&lt;=7,"Due ≤7d","On Schedule")))</f>
        <v/>
      </c>
      <c r="T97" s="21"/>
    </row>
    <row r="98" customFormat="false" ht="15" hidden="false" customHeight="false" outlineLevel="0" collapsed="false">
      <c r="A98" s="6" t="s">
        <v>1279</v>
      </c>
      <c r="B98" s="35"/>
      <c r="C98" s="34"/>
      <c r="D98" s="34"/>
      <c r="E98" s="34"/>
      <c r="F98" s="21"/>
      <c r="G98" s="34"/>
      <c r="H98" s="34"/>
      <c r="I98" s="34"/>
      <c r="J98" s="34"/>
      <c r="K98" s="34"/>
      <c r="L98" s="35"/>
      <c r="M98" s="35"/>
      <c r="N98" s="35"/>
      <c r="O98" s="42"/>
      <c r="P98" s="21"/>
      <c r="Q98" s="21"/>
      <c r="R98" s="33" t="str">
        <f aca="true">IF(B98="","",IF(N98&lt;&gt;"",N98-B98,TODAY()-B98))</f>
        <v/>
      </c>
      <c r="S98" s="38" t="str">
        <f aca="true">IF(OR(M98="",K98="Completed",K98="Cancelled"),"",IF(M98&lt;TODAY(),"OVERDUE",IF(M98-TODAY()&lt;=7,"Due ≤7d","On Schedule")))</f>
        <v/>
      </c>
      <c r="T98" s="21"/>
    </row>
    <row r="99" customFormat="false" ht="15" hidden="false" customHeight="false" outlineLevel="0" collapsed="false">
      <c r="A99" s="6" t="s">
        <v>1280</v>
      </c>
      <c r="B99" s="35"/>
      <c r="C99" s="34"/>
      <c r="D99" s="34"/>
      <c r="E99" s="34"/>
      <c r="F99" s="21"/>
      <c r="G99" s="34"/>
      <c r="H99" s="34"/>
      <c r="I99" s="34"/>
      <c r="J99" s="34"/>
      <c r="K99" s="34"/>
      <c r="L99" s="35"/>
      <c r="M99" s="35"/>
      <c r="N99" s="35"/>
      <c r="O99" s="42"/>
      <c r="P99" s="21"/>
      <c r="Q99" s="21"/>
      <c r="R99" s="33" t="str">
        <f aca="true">IF(B99="","",IF(N99&lt;&gt;"",N99-B99,TODAY()-B99))</f>
        <v/>
      </c>
      <c r="S99" s="38" t="str">
        <f aca="true">IF(OR(M99="",K99="Completed",K99="Cancelled"),"",IF(M99&lt;TODAY(),"OVERDUE",IF(M99-TODAY()&lt;=7,"Due ≤7d","On Schedule")))</f>
        <v/>
      </c>
      <c r="T99" s="21"/>
    </row>
    <row r="100" customFormat="false" ht="15" hidden="false" customHeight="false" outlineLevel="0" collapsed="false">
      <c r="A100" s="6" t="s">
        <v>1281</v>
      </c>
      <c r="B100" s="35"/>
      <c r="C100" s="34"/>
      <c r="D100" s="34"/>
      <c r="E100" s="34"/>
      <c r="F100" s="21"/>
      <c r="G100" s="34"/>
      <c r="H100" s="34"/>
      <c r="I100" s="34"/>
      <c r="J100" s="34"/>
      <c r="K100" s="34"/>
      <c r="L100" s="35"/>
      <c r="M100" s="35"/>
      <c r="N100" s="35"/>
      <c r="O100" s="42"/>
      <c r="P100" s="21"/>
      <c r="Q100" s="21"/>
      <c r="R100" s="33" t="str">
        <f aca="true">IF(B100="","",IF(N100&lt;&gt;"",N100-B100,TODAY()-B100))</f>
        <v/>
      </c>
      <c r="S100" s="38" t="str">
        <f aca="true">IF(OR(M100="",K100="Completed",K100="Cancelled"),"",IF(M100&lt;TODAY(),"OVERDUE",IF(M100-TODAY()&lt;=7,"Due ≤7d","On Schedule")))</f>
        <v/>
      </c>
      <c r="T100" s="21"/>
    </row>
    <row r="101" customFormat="false" ht="15" hidden="false" customHeight="false" outlineLevel="0" collapsed="false">
      <c r="A101" s="6" t="s">
        <v>1282</v>
      </c>
      <c r="B101" s="35"/>
      <c r="C101" s="34"/>
      <c r="D101" s="34"/>
      <c r="E101" s="34"/>
      <c r="F101" s="21"/>
      <c r="G101" s="34"/>
      <c r="H101" s="34"/>
      <c r="I101" s="34"/>
      <c r="J101" s="34"/>
      <c r="K101" s="34"/>
      <c r="L101" s="35"/>
      <c r="M101" s="35"/>
      <c r="N101" s="35"/>
      <c r="O101" s="42"/>
      <c r="P101" s="21"/>
      <c r="Q101" s="21"/>
      <c r="R101" s="33" t="str">
        <f aca="true">IF(B101="","",IF(N101&lt;&gt;"",N101-B101,TODAY()-B101))</f>
        <v/>
      </c>
      <c r="S101" s="38" t="str">
        <f aca="true">IF(OR(M101="",K101="Completed",K101="Cancelled"),"",IF(M101&lt;TODAY(),"OVERDUE",IF(M101-TODAY()&lt;=7,"Due ≤7d","On Schedule")))</f>
        <v/>
      </c>
      <c r="T101" s="21"/>
    </row>
    <row r="102" customFormat="false" ht="15" hidden="false" customHeight="false" outlineLevel="0" collapsed="false">
      <c r="A102" s="6" t="s">
        <v>1283</v>
      </c>
      <c r="B102" s="35"/>
      <c r="C102" s="34"/>
      <c r="D102" s="34"/>
      <c r="E102" s="34"/>
      <c r="F102" s="21"/>
      <c r="G102" s="34"/>
      <c r="H102" s="34"/>
      <c r="I102" s="34"/>
      <c r="J102" s="34"/>
      <c r="K102" s="34"/>
      <c r="L102" s="35"/>
      <c r="M102" s="35"/>
      <c r="N102" s="35"/>
      <c r="O102" s="42"/>
      <c r="P102" s="21"/>
      <c r="Q102" s="21"/>
      <c r="R102" s="33" t="str">
        <f aca="true">IF(B102="","",IF(N102&lt;&gt;"",N102-B102,TODAY()-B102))</f>
        <v/>
      </c>
      <c r="S102" s="38" t="str">
        <f aca="true">IF(OR(M102="",K102="Completed",K102="Cancelled"),"",IF(M102&lt;TODAY(),"OVERDUE",IF(M102-TODAY()&lt;=7,"Due ≤7d","On Schedule")))</f>
        <v/>
      </c>
      <c r="T102" s="21"/>
    </row>
    <row r="103" customFormat="false" ht="15" hidden="false" customHeight="false" outlineLevel="0" collapsed="false">
      <c r="A103" s="6" t="s">
        <v>1284</v>
      </c>
      <c r="B103" s="35"/>
      <c r="C103" s="34"/>
      <c r="D103" s="34"/>
      <c r="E103" s="34"/>
      <c r="F103" s="21"/>
      <c r="G103" s="34"/>
      <c r="H103" s="34"/>
      <c r="I103" s="34"/>
      <c r="J103" s="34"/>
      <c r="K103" s="34"/>
      <c r="L103" s="35"/>
      <c r="M103" s="35"/>
      <c r="N103" s="35"/>
      <c r="O103" s="42"/>
      <c r="P103" s="21"/>
      <c r="Q103" s="21"/>
      <c r="R103" s="33" t="str">
        <f aca="true">IF(B103="","",IF(N103&lt;&gt;"",N103-B103,TODAY()-B103))</f>
        <v/>
      </c>
      <c r="S103" s="38" t="str">
        <f aca="true">IF(OR(M103="",K103="Completed",K103="Cancelled"),"",IF(M103&lt;TODAY(),"OVERDUE",IF(M103-TODAY()&lt;=7,"Due ≤7d","On Schedule")))</f>
        <v/>
      </c>
      <c r="T103" s="21"/>
    </row>
    <row r="104" customFormat="false" ht="15" hidden="false" customHeight="false" outlineLevel="0" collapsed="false">
      <c r="A104" s="6" t="s">
        <v>1285</v>
      </c>
      <c r="B104" s="35"/>
      <c r="C104" s="34"/>
      <c r="D104" s="34"/>
      <c r="E104" s="34"/>
      <c r="F104" s="21"/>
      <c r="G104" s="34"/>
      <c r="H104" s="34"/>
      <c r="I104" s="34"/>
      <c r="J104" s="34"/>
      <c r="K104" s="34"/>
      <c r="L104" s="35"/>
      <c r="M104" s="35"/>
      <c r="N104" s="35"/>
      <c r="O104" s="42"/>
      <c r="P104" s="21"/>
      <c r="Q104" s="21"/>
      <c r="R104" s="33" t="str">
        <f aca="true">IF(B104="","",IF(N104&lt;&gt;"",N104-B104,TODAY()-B104))</f>
        <v/>
      </c>
      <c r="S104" s="38" t="str">
        <f aca="true">IF(OR(M104="",K104="Completed",K104="Cancelled"),"",IF(M104&lt;TODAY(),"OVERDUE",IF(M104-TODAY()&lt;=7,"Due ≤7d","On Schedule")))</f>
        <v/>
      </c>
      <c r="T104" s="21"/>
    </row>
    <row r="105" customFormat="false" ht="15" hidden="false" customHeight="false" outlineLevel="0" collapsed="false">
      <c r="A105" s="6" t="s">
        <v>1286</v>
      </c>
      <c r="B105" s="35"/>
      <c r="C105" s="34"/>
      <c r="D105" s="34"/>
      <c r="E105" s="34"/>
      <c r="F105" s="21"/>
      <c r="G105" s="34"/>
      <c r="H105" s="34"/>
      <c r="I105" s="34"/>
      <c r="J105" s="34"/>
      <c r="K105" s="34"/>
      <c r="L105" s="35"/>
      <c r="M105" s="35"/>
      <c r="N105" s="35"/>
      <c r="O105" s="42"/>
      <c r="P105" s="21"/>
      <c r="Q105" s="21"/>
      <c r="R105" s="33" t="str">
        <f aca="true">IF(B105="","",IF(N105&lt;&gt;"",N105-B105,TODAY()-B105))</f>
        <v/>
      </c>
      <c r="S105" s="38" t="str">
        <f aca="true">IF(OR(M105="",K105="Completed",K105="Cancelled"),"",IF(M105&lt;TODAY(),"OVERDUE",IF(M105-TODAY()&lt;=7,"Due ≤7d","On Schedule")))</f>
        <v/>
      </c>
      <c r="T105" s="21"/>
    </row>
    <row r="106" customFormat="false" ht="15" hidden="false" customHeight="false" outlineLevel="0" collapsed="false">
      <c r="A106" s="6" t="s">
        <v>1287</v>
      </c>
      <c r="B106" s="35"/>
      <c r="C106" s="34"/>
      <c r="D106" s="34"/>
      <c r="E106" s="34"/>
      <c r="F106" s="21"/>
      <c r="G106" s="34"/>
      <c r="H106" s="34"/>
      <c r="I106" s="34"/>
      <c r="J106" s="34"/>
      <c r="K106" s="34"/>
      <c r="L106" s="35"/>
      <c r="M106" s="35"/>
      <c r="N106" s="35"/>
      <c r="O106" s="42"/>
      <c r="P106" s="21"/>
      <c r="Q106" s="21"/>
      <c r="R106" s="33" t="str">
        <f aca="true">IF(B106="","",IF(N106&lt;&gt;"",N106-B106,TODAY()-B106))</f>
        <v/>
      </c>
      <c r="S106" s="38" t="str">
        <f aca="true">IF(OR(M106="",K106="Completed",K106="Cancelled"),"",IF(M106&lt;TODAY(),"OVERDUE",IF(M106-TODAY()&lt;=7,"Due ≤7d","On Schedule")))</f>
        <v/>
      </c>
      <c r="T106" s="21"/>
    </row>
    <row r="107" customFormat="false" ht="15" hidden="false" customHeight="false" outlineLevel="0" collapsed="false">
      <c r="A107" s="6" t="s">
        <v>1288</v>
      </c>
      <c r="B107" s="35"/>
      <c r="C107" s="34"/>
      <c r="D107" s="34"/>
      <c r="E107" s="34"/>
      <c r="F107" s="21"/>
      <c r="G107" s="34"/>
      <c r="H107" s="34"/>
      <c r="I107" s="34"/>
      <c r="J107" s="34"/>
      <c r="K107" s="34"/>
      <c r="L107" s="35"/>
      <c r="M107" s="35"/>
      <c r="N107" s="35"/>
      <c r="O107" s="42"/>
      <c r="P107" s="21"/>
      <c r="Q107" s="21"/>
      <c r="R107" s="33" t="str">
        <f aca="true">IF(B107="","",IF(N107&lt;&gt;"",N107-B107,TODAY()-B107))</f>
        <v/>
      </c>
      <c r="S107" s="38" t="str">
        <f aca="true">IF(OR(M107="",K107="Completed",K107="Cancelled"),"",IF(M107&lt;TODAY(),"OVERDUE",IF(M107-TODAY()&lt;=7,"Due ≤7d","On Schedule")))</f>
        <v/>
      </c>
      <c r="T107" s="21"/>
    </row>
    <row r="108" customFormat="false" ht="15" hidden="false" customHeight="false" outlineLevel="0" collapsed="false">
      <c r="A108" s="6" t="s">
        <v>1289</v>
      </c>
      <c r="B108" s="35"/>
      <c r="C108" s="34"/>
      <c r="D108" s="34"/>
      <c r="E108" s="34"/>
      <c r="F108" s="21"/>
      <c r="G108" s="34"/>
      <c r="H108" s="34"/>
      <c r="I108" s="34"/>
      <c r="J108" s="34"/>
      <c r="K108" s="34"/>
      <c r="L108" s="35"/>
      <c r="M108" s="35"/>
      <c r="N108" s="35"/>
      <c r="O108" s="42"/>
      <c r="P108" s="21"/>
      <c r="Q108" s="21"/>
      <c r="R108" s="33" t="str">
        <f aca="true">IF(B108="","",IF(N108&lt;&gt;"",N108-B108,TODAY()-B108))</f>
        <v/>
      </c>
      <c r="S108" s="38" t="str">
        <f aca="true">IF(OR(M108="",K108="Completed",K108="Cancelled"),"",IF(M108&lt;TODAY(),"OVERDUE",IF(M108-TODAY()&lt;=7,"Due ≤7d","On Schedule")))</f>
        <v/>
      </c>
      <c r="T108" s="21"/>
    </row>
    <row r="109" customFormat="false" ht="15" hidden="false" customHeight="false" outlineLevel="0" collapsed="false">
      <c r="A109" s="6" t="s">
        <v>1290</v>
      </c>
      <c r="B109" s="35"/>
      <c r="C109" s="34"/>
      <c r="D109" s="34"/>
      <c r="E109" s="34"/>
      <c r="F109" s="21"/>
      <c r="G109" s="34"/>
      <c r="H109" s="34"/>
      <c r="I109" s="34"/>
      <c r="J109" s="34"/>
      <c r="K109" s="34"/>
      <c r="L109" s="35"/>
      <c r="M109" s="35"/>
      <c r="N109" s="35"/>
      <c r="O109" s="42"/>
      <c r="P109" s="21"/>
      <c r="Q109" s="21"/>
      <c r="R109" s="33" t="str">
        <f aca="true">IF(B109="","",IF(N109&lt;&gt;"",N109-B109,TODAY()-B109))</f>
        <v/>
      </c>
      <c r="S109" s="38" t="str">
        <f aca="true">IF(OR(M109="",K109="Completed",K109="Cancelled"),"",IF(M109&lt;TODAY(),"OVERDUE",IF(M109-TODAY()&lt;=7,"Due ≤7d","On Schedule")))</f>
        <v/>
      </c>
      <c r="T109" s="21"/>
    </row>
    <row r="110" customFormat="false" ht="15" hidden="false" customHeight="false" outlineLevel="0" collapsed="false">
      <c r="A110" s="6" t="s">
        <v>1291</v>
      </c>
      <c r="B110" s="35"/>
      <c r="C110" s="34"/>
      <c r="D110" s="34"/>
      <c r="E110" s="34"/>
      <c r="F110" s="21"/>
      <c r="G110" s="34"/>
      <c r="H110" s="34"/>
      <c r="I110" s="34"/>
      <c r="J110" s="34"/>
      <c r="K110" s="34"/>
      <c r="L110" s="35"/>
      <c r="M110" s="35"/>
      <c r="N110" s="35"/>
      <c r="O110" s="42"/>
      <c r="P110" s="21"/>
      <c r="Q110" s="21"/>
      <c r="R110" s="33" t="str">
        <f aca="true">IF(B110="","",IF(N110&lt;&gt;"",N110-B110,TODAY()-B110))</f>
        <v/>
      </c>
      <c r="S110" s="38" t="str">
        <f aca="true">IF(OR(M110="",K110="Completed",K110="Cancelled"),"",IF(M110&lt;TODAY(),"OVERDUE",IF(M110-TODAY()&lt;=7,"Due ≤7d","On Schedule")))</f>
        <v/>
      </c>
      <c r="T110" s="21"/>
    </row>
    <row r="111" customFormat="false" ht="15" hidden="false" customHeight="false" outlineLevel="0" collapsed="false">
      <c r="A111" s="6" t="s">
        <v>1292</v>
      </c>
      <c r="B111" s="35"/>
      <c r="C111" s="34"/>
      <c r="D111" s="34"/>
      <c r="E111" s="34"/>
      <c r="F111" s="21"/>
      <c r="G111" s="34"/>
      <c r="H111" s="34"/>
      <c r="I111" s="34"/>
      <c r="J111" s="34"/>
      <c r="K111" s="34"/>
      <c r="L111" s="35"/>
      <c r="M111" s="35"/>
      <c r="N111" s="35"/>
      <c r="O111" s="42"/>
      <c r="P111" s="21"/>
      <c r="Q111" s="21"/>
      <c r="R111" s="33" t="str">
        <f aca="true">IF(B111="","",IF(N111&lt;&gt;"",N111-B111,TODAY()-B111))</f>
        <v/>
      </c>
      <c r="S111" s="38" t="str">
        <f aca="true">IF(OR(M111="",K111="Completed",K111="Cancelled"),"",IF(M111&lt;TODAY(),"OVERDUE",IF(M111-TODAY()&lt;=7,"Due ≤7d","On Schedule")))</f>
        <v/>
      </c>
      <c r="T111" s="21"/>
    </row>
    <row r="112" customFormat="false" ht="15" hidden="false" customHeight="false" outlineLevel="0" collapsed="false">
      <c r="A112" s="6" t="s">
        <v>1293</v>
      </c>
      <c r="B112" s="35"/>
      <c r="C112" s="34"/>
      <c r="D112" s="34"/>
      <c r="E112" s="34"/>
      <c r="F112" s="21"/>
      <c r="G112" s="34"/>
      <c r="H112" s="34"/>
      <c r="I112" s="34"/>
      <c r="J112" s="34"/>
      <c r="K112" s="34"/>
      <c r="L112" s="35"/>
      <c r="M112" s="35"/>
      <c r="N112" s="35"/>
      <c r="O112" s="42"/>
      <c r="P112" s="21"/>
      <c r="Q112" s="21"/>
      <c r="R112" s="33" t="str">
        <f aca="true">IF(B112="","",IF(N112&lt;&gt;"",N112-B112,TODAY()-B112))</f>
        <v/>
      </c>
      <c r="S112" s="38" t="str">
        <f aca="true">IF(OR(M112="",K112="Completed",K112="Cancelled"),"",IF(M112&lt;TODAY(),"OVERDUE",IF(M112-TODAY()&lt;=7,"Due ≤7d","On Schedule")))</f>
        <v/>
      </c>
      <c r="T112" s="21"/>
    </row>
    <row r="113" customFormat="false" ht="15" hidden="false" customHeight="false" outlineLevel="0" collapsed="false">
      <c r="A113" s="6" t="s">
        <v>1294</v>
      </c>
      <c r="B113" s="35"/>
      <c r="C113" s="34"/>
      <c r="D113" s="34"/>
      <c r="E113" s="34"/>
      <c r="F113" s="21"/>
      <c r="G113" s="34"/>
      <c r="H113" s="34"/>
      <c r="I113" s="34"/>
      <c r="J113" s="34"/>
      <c r="K113" s="34"/>
      <c r="L113" s="35"/>
      <c r="M113" s="35"/>
      <c r="N113" s="35"/>
      <c r="O113" s="42"/>
      <c r="P113" s="21"/>
      <c r="Q113" s="21"/>
      <c r="R113" s="33" t="str">
        <f aca="true">IF(B113="","",IF(N113&lt;&gt;"",N113-B113,TODAY()-B113))</f>
        <v/>
      </c>
      <c r="S113" s="38" t="str">
        <f aca="true">IF(OR(M113="",K113="Completed",K113="Cancelled"),"",IF(M113&lt;TODAY(),"OVERDUE",IF(M113-TODAY()&lt;=7,"Due ≤7d","On Schedule")))</f>
        <v/>
      </c>
      <c r="T113" s="21"/>
    </row>
    <row r="114" customFormat="false" ht="15" hidden="false" customHeight="false" outlineLevel="0" collapsed="false">
      <c r="A114" s="6" t="s">
        <v>1295</v>
      </c>
      <c r="B114" s="35"/>
      <c r="C114" s="34"/>
      <c r="D114" s="34"/>
      <c r="E114" s="34"/>
      <c r="F114" s="21"/>
      <c r="G114" s="34"/>
      <c r="H114" s="34"/>
      <c r="I114" s="34"/>
      <c r="J114" s="34"/>
      <c r="K114" s="34"/>
      <c r="L114" s="35"/>
      <c r="M114" s="35"/>
      <c r="N114" s="35"/>
      <c r="O114" s="42"/>
      <c r="P114" s="21"/>
      <c r="Q114" s="21"/>
      <c r="R114" s="33" t="str">
        <f aca="true">IF(B114="","",IF(N114&lt;&gt;"",N114-B114,TODAY()-B114))</f>
        <v/>
      </c>
      <c r="S114" s="38" t="str">
        <f aca="true">IF(OR(M114="",K114="Completed",K114="Cancelled"),"",IF(M114&lt;TODAY(),"OVERDUE",IF(M114-TODAY()&lt;=7,"Due ≤7d","On Schedule")))</f>
        <v/>
      </c>
      <c r="T114" s="21"/>
    </row>
    <row r="115" customFormat="false" ht="15" hidden="false" customHeight="false" outlineLevel="0" collapsed="false">
      <c r="A115" s="6" t="s">
        <v>1296</v>
      </c>
      <c r="B115" s="35"/>
      <c r="C115" s="34"/>
      <c r="D115" s="34"/>
      <c r="E115" s="34"/>
      <c r="F115" s="21"/>
      <c r="G115" s="34"/>
      <c r="H115" s="34"/>
      <c r="I115" s="34"/>
      <c r="J115" s="34"/>
      <c r="K115" s="34"/>
      <c r="L115" s="35"/>
      <c r="M115" s="35"/>
      <c r="N115" s="35"/>
      <c r="O115" s="42"/>
      <c r="P115" s="21"/>
      <c r="Q115" s="21"/>
      <c r="R115" s="33" t="str">
        <f aca="true">IF(B115="","",IF(N115&lt;&gt;"",N115-B115,TODAY()-B115))</f>
        <v/>
      </c>
      <c r="S115" s="38" t="str">
        <f aca="true">IF(OR(M115="",K115="Completed",K115="Cancelled"),"",IF(M115&lt;TODAY(),"OVERDUE",IF(M115-TODAY()&lt;=7,"Due ≤7d","On Schedule")))</f>
        <v/>
      </c>
      <c r="T115" s="21"/>
    </row>
    <row r="116" customFormat="false" ht="15" hidden="false" customHeight="false" outlineLevel="0" collapsed="false">
      <c r="A116" s="6" t="s">
        <v>1297</v>
      </c>
      <c r="B116" s="35"/>
      <c r="C116" s="34"/>
      <c r="D116" s="34"/>
      <c r="E116" s="34"/>
      <c r="F116" s="21"/>
      <c r="G116" s="34"/>
      <c r="H116" s="34"/>
      <c r="I116" s="34"/>
      <c r="J116" s="34"/>
      <c r="K116" s="34"/>
      <c r="L116" s="35"/>
      <c r="M116" s="35"/>
      <c r="N116" s="35"/>
      <c r="O116" s="42"/>
      <c r="P116" s="21"/>
      <c r="Q116" s="21"/>
      <c r="R116" s="33" t="str">
        <f aca="true">IF(B116="","",IF(N116&lt;&gt;"",N116-B116,TODAY()-B116))</f>
        <v/>
      </c>
      <c r="S116" s="38" t="str">
        <f aca="true">IF(OR(M116="",K116="Completed",K116="Cancelled"),"",IF(M116&lt;TODAY(),"OVERDUE",IF(M116-TODAY()&lt;=7,"Due ≤7d","On Schedule")))</f>
        <v/>
      </c>
      <c r="T116" s="21"/>
    </row>
    <row r="117" customFormat="false" ht="15" hidden="false" customHeight="false" outlineLevel="0" collapsed="false">
      <c r="A117" s="6" t="s">
        <v>1298</v>
      </c>
      <c r="B117" s="35"/>
      <c r="C117" s="34"/>
      <c r="D117" s="34"/>
      <c r="E117" s="34"/>
      <c r="F117" s="21"/>
      <c r="G117" s="34"/>
      <c r="H117" s="34"/>
      <c r="I117" s="34"/>
      <c r="J117" s="34"/>
      <c r="K117" s="34"/>
      <c r="L117" s="35"/>
      <c r="M117" s="35"/>
      <c r="N117" s="35"/>
      <c r="O117" s="42"/>
      <c r="P117" s="21"/>
      <c r="Q117" s="21"/>
      <c r="R117" s="33" t="str">
        <f aca="true">IF(B117="","",IF(N117&lt;&gt;"",N117-B117,TODAY()-B117))</f>
        <v/>
      </c>
      <c r="S117" s="38" t="str">
        <f aca="true">IF(OR(M117="",K117="Completed",K117="Cancelled"),"",IF(M117&lt;TODAY(),"OVERDUE",IF(M117-TODAY()&lt;=7,"Due ≤7d","On Schedule")))</f>
        <v/>
      </c>
      <c r="T117" s="21"/>
    </row>
    <row r="118" customFormat="false" ht="15" hidden="false" customHeight="false" outlineLevel="0" collapsed="false">
      <c r="A118" s="6" t="s">
        <v>1299</v>
      </c>
      <c r="B118" s="35"/>
      <c r="C118" s="34"/>
      <c r="D118" s="34"/>
      <c r="E118" s="34"/>
      <c r="F118" s="21"/>
      <c r="G118" s="34"/>
      <c r="H118" s="34"/>
      <c r="I118" s="34"/>
      <c r="J118" s="34"/>
      <c r="K118" s="34"/>
      <c r="L118" s="35"/>
      <c r="M118" s="35"/>
      <c r="N118" s="35"/>
      <c r="O118" s="42"/>
      <c r="P118" s="21"/>
      <c r="Q118" s="21"/>
      <c r="R118" s="33" t="str">
        <f aca="true">IF(B118="","",IF(N118&lt;&gt;"",N118-B118,TODAY()-B118))</f>
        <v/>
      </c>
      <c r="S118" s="38" t="str">
        <f aca="true">IF(OR(M118="",K118="Completed",K118="Cancelled"),"",IF(M118&lt;TODAY(),"OVERDUE",IF(M118-TODAY()&lt;=7,"Due ≤7d","On Schedule")))</f>
        <v/>
      </c>
      <c r="T118" s="21"/>
    </row>
    <row r="119" customFormat="false" ht="15" hidden="false" customHeight="false" outlineLevel="0" collapsed="false">
      <c r="A119" s="6" t="s">
        <v>1300</v>
      </c>
      <c r="B119" s="35"/>
      <c r="C119" s="34"/>
      <c r="D119" s="34"/>
      <c r="E119" s="34"/>
      <c r="F119" s="21"/>
      <c r="G119" s="34"/>
      <c r="H119" s="34"/>
      <c r="I119" s="34"/>
      <c r="J119" s="34"/>
      <c r="K119" s="34"/>
      <c r="L119" s="35"/>
      <c r="M119" s="35"/>
      <c r="N119" s="35"/>
      <c r="O119" s="42"/>
      <c r="P119" s="21"/>
      <c r="Q119" s="21"/>
      <c r="R119" s="33" t="str">
        <f aca="true">IF(B119="","",IF(N119&lt;&gt;"",N119-B119,TODAY()-B119))</f>
        <v/>
      </c>
      <c r="S119" s="38" t="str">
        <f aca="true">IF(OR(M119="",K119="Completed",K119="Cancelled"),"",IF(M119&lt;TODAY(),"OVERDUE",IF(M119-TODAY()&lt;=7,"Due ≤7d","On Schedule")))</f>
        <v/>
      </c>
      <c r="T119" s="21"/>
    </row>
    <row r="120" customFormat="false" ht="15" hidden="false" customHeight="false" outlineLevel="0" collapsed="false">
      <c r="A120" s="6" t="s">
        <v>1301</v>
      </c>
      <c r="B120" s="35"/>
      <c r="C120" s="34"/>
      <c r="D120" s="34"/>
      <c r="E120" s="34"/>
      <c r="F120" s="21"/>
      <c r="G120" s="34"/>
      <c r="H120" s="34"/>
      <c r="I120" s="34"/>
      <c r="J120" s="34"/>
      <c r="K120" s="34"/>
      <c r="L120" s="35"/>
      <c r="M120" s="35"/>
      <c r="N120" s="35"/>
      <c r="O120" s="42"/>
      <c r="P120" s="21"/>
      <c r="Q120" s="21"/>
      <c r="R120" s="33" t="str">
        <f aca="true">IF(B120="","",IF(N120&lt;&gt;"",N120-B120,TODAY()-B120))</f>
        <v/>
      </c>
      <c r="S120" s="38" t="str">
        <f aca="true">IF(OR(M120="",K120="Completed",K120="Cancelled"),"",IF(M120&lt;TODAY(),"OVERDUE",IF(M120-TODAY()&lt;=7,"Due ≤7d","On Schedule")))</f>
        <v/>
      </c>
      <c r="T120" s="21"/>
    </row>
    <row r="121" customFormat="false" ht="15" hidden="false" customHeight="false" outlineLevel="0" collapsed="false">
      <c r="A121" s="6" t="s">
        <v>1302</v>
      </c>
      <c r="B121" s="35"/>
      <c r="C121" s="34"/>
      <c r="D121" s="34"/>
      <c r="E121" s="34"/>
      <c r="F121" s="21"/>
      <c r="G121" s="34"/>
      <c r="H121" s="34"/>
      <c r="I121" s="34"/>
      <c r="J121" s="34"/>
      <c r="K121" s="34"/>
      <c r="L121" s="35"/>
      <c r="M121" s="35"/>
      <c r="N121" s="35"/>
      <c r="O121" s="42"/>
      <c r="P121" s="21"/>
      <c r="Q121" s="21"/>
      <c r="R121" s="33" t="str">
        <f aca="true">IF(B121="","",IF(N121&lt;&gt;"",N121-B121,TODAY()-B121))</f>
        <v/>
      </c>
      <c r="S121" s="38" t="str">
        <f aca="true">IF(OR(M121="",K121="Completed",K121="Cancelled"),"",IF(M121&lt;TODAY(),"OVERDUE",IF(M121-TODAY()&lt;=7,"Due ≤7d","On Schedule")))</f>
        <v/>
      </c>
      <c r="T121" s="21"/>
    </row>
    <row r="122" customFormat="false" ht="15" hidden="false" customHeight="false" outlineLevel="0" collapsed="false">
      <c r="A122" s="6" t="s">
        <v>1303</v>
      </c>
      <c r="B122" s="35"/>
      <c r="C122" s="34"/>
      <c r="D122" s="34"/>
      <c r="E122" s="34"/>
      <c r="F122" s="21"/>
      <c r="G122" s="34"/>
      <c r="H122" s="34"/>
      <c r="I122" s="34"/>
      <c r="J122" s="34"/>
      <c r="K122" s="34"/>
      <c r="L122" s="35"/>
      <c r="M122" s="35"/>
      <c r="N122" s="35"/>
      <c r="O122" s="42"/>
      <c r="P122" s="21"/>
      <c r="Q122" s="21"/>
      <c r="R122" s="33" t="str">
        <f aca="true">IF(B122="","",IF(N122&lt;&gt;"",N122-B122,TODAY()-B122))</f>
        <v/>
      </c>
      <c r="S122" s="38" t="str">
        <f aca="true">IF(OR(M122="",K122="Completed",K122="Cancelled"),"",IF(M122&lt;TODAY(),"OVERDUE",IF(M122-TODAY()&lt;=7,"Due ≤7d","On Schedule")))</f>
        <v/>
      </c>
      <c r="T122" s="21"/>
    </row>
    <row r="123" customFormat="false" ht="15" hidden="false" customHeight="false" outlineLevel="0" collapsed="false">
      <c r="A123" s="6" t="s">
        <v>1304</v>
      </c>
      <c r="B123" s="35"/>
      <c r="C123" s="34"/>
      <c r="D123" s="34"/>
      <c r="E123" s="34"/>
      <c r="F123" s="21"/>
      <c r="G123" s="34"/>
      <c r="H123" s="34"/>
      <c r="I123" s="34"/>
      <c r="J123" s="34"/>
      <c r="K123" s="34"/>
      <c r="L123" s="35"/>
      <c r="M123" s="35"/>
      <c r="N123" s="35"/>
      <c r="O123" s="42"/>
      <c r="P123" s="21"/>
      <c r="Q123" s="21"/>
      <c r="R123" s="33" t="str">
        <f aca="true">IF(B123="","",IF(N123&lt;&gt;"",N123-B123,TODAY()-B123))</f>
        <v/>
      </c>
      <c r="S123" s="38" t="str">
        <f aca="true">IF(OR(M123="",K123="Completed",K123="Cancelled"),"",IF(M123&lt;TODAY(),"OVERDUE",IF(M123-TODAY()&lt;=7,"Due ≤7d","On Schedule")))</f>
        <v/>
      </c>
      <c r="T123" s="21"/>
    </row>
    <row r="124" customFormat="false" ht="15" hidden="false" customHeight="false" outlineLevel="0" collapsed="false">
      <c r="A124" s="6" t="s">
        <v>1305</v>
      </c>
      <c r="B124" s="35"/>
      <c r="C124" s="34"/>
      <c r="D124" s="34"/>
      <c r="E124" s="34"/>
      <c r="F124" s="21"/>
      <c r="G124" s="34"/>
      <c r="H124" s="34"/>
      <c r="I124" s="34"/>
      <c r="J124" s="34"/>
      <c r="K124" s="34"/>
      <c r="L124" s="35"/>
      <c r="M124" s="35"/>
      <c r="N124" s="35"/>
      <c r="O124" s="42"/>
      <c r="P124" s="21"/>
      <c r="Q124" s="21"/>
      <c r="R124" s="33" t="str">
        <f aca="true">IF(B124="","",IF(N124&lt;&gt;"",N124-B124,TODAY()-B124))</f>
        <v/>
      </c>
      <c r="S124" s="38" t="str">
        <f aca="true">IF(OR(M124="",K124="Completed",K124="Cancelled"),"",IF(M124&lt;TODAY(),"OVERDUE",IF(M124-TODAY()&lt;=7,"Due ≤7d","On Schedule")))</f>
        <v/>
      </c>
      <c r="T124" s="21"/>
    </row>
    <row r="125" customFormat="false" ht="15" hidden="false" customHeight="false" outlineLevel="0" collapsed="false">
      <c r="A125" s="6" t="s">
        <v>1306</v>
      </c>
      <c r="B125" s="35"/>
      <c r="C125" s="34"/>
      <c r="D125" s="34"/>
      <c r="E125" s="34"/>
      <c r="F125" s="21"/>
      <c r="G125" s="34"/>
      <c r="H125" s="34"/>
      <c r="I125" s="34"/>
      <c r="J125" s="34"/>
      <c r="K125" s="34"/>
      <c r="L125" s="35"/>
      <c r="M125" s="35"/>
      <c r="N125" s="35"/>
      <c r="O125" s="42"/>
      <c r="P125" s="21"/>
      <c r="Q125" s="21"/>
      <c r="R125" s="33" t="str">
        <f aca="true">IF(B125="","",IF(N125&lt;&gt;"",N125-B125,TODAY()-B125))</f>
        <v/>
      </c>
      <c r="S125" s="38" t="str">
        <f aca="true">IF(OR(M125="",K125="Completed",K125="Cancelled"),"",IF(M125&lt;TODAY(),"OVERDUE",IF(M125-TODAY()&lt;=7,"Due ≤7d","On Schedule")))</f>
        <v/>
      </c>
      <c r="T125" s="21"/>
    </row>
    <row r="126" customFormat="false" ht="15" hidden="false" customHeight="false" outlineLevel="0" collapsed="false">
      <c r="A126" s="6" t="s">
        <v>1307</v>
      </c>
      <c r="B126" s="35"/>
      <c r="C126" s="34"/>
      <c r="D126" s="34"/>
      <c r="E126" s="34"/>
      <c r="F126" s="21"/>
      <c r="G126" s="34"/>
      <c r="H126" s="34"/>
      <c r="I126" s="34"/>
      <c r="J126" s="34"/>
      <c r="K126" s="34"/>
      <c r="L126" s="35"/>
      <c r="M126" s="35"/>
      <c r="N126" s="35"/>
      <c r="O126" s="42"/>
      <c r="P126" s="21"/>
      <c r="Q126" s="21"/>
      <c r="R126" s="33" t="str">
        <f aca="true">IF(B126="","",IF(N126&lt;&gt;"",N126-B126,TODAY()-B126))</f>
        <v/>
      </c>
      <c r="S126" s="38" t="str">
        <f aca="true">IF(OR(M126="",K126="Completed",K126="Cancelled"),"",IF(M126&lt;TODAY(),"OVERDUE",IF(M126-TODAY()&lt;=7,"Due ≤7d","On Schedule")))</f>
        <v/>
      </c>
      <c r="T126" s="21"/>
    </row>
    <row r="127" customFormat="false" ht="15" hidden="false" customHeight="false" outlineLevel="0" collapsed="false">
      <c r="A127" s="6" t="s">
        <v>1308</v>
      </c>
      <c r="B127" s="35"/>
      <c r="C127" s="34"/>
      <c r="D127" s="34"/>
      <c r="E127" s="34"/>
      <c r="F127" s="21"/>
      <c r="G127" s="34"/>
      <c r="H127" s="34"/>
      <c r="I127" s="34"/>
      <c r="J127" s="34"/>
      <c r="K127" s="34"/>
      <c r="L127" s="35"/>
      <c r="M127" s="35"/>
      <c r="N127" s="35"/>
      <c r="O127" s="42"/>
      <c r="P127" s="21"/>
      <c r="Q127" s="21"/>
      <c r="R127" s="33" t="str">
        <f aca="true">IF(B127="","",IF(N127&lt;&gt;"",N127-B127,TODAY()-B127))</f>
        <v/>
      </c>
      <c r="S127" s="38" t="str">
        <f aca="true">IF(OR(M127="",K127="Completed",K127="Cancelled"),"",IF(M127&lt;TODAY(),"OVERDUE",IF(M127-TODAY()&lt;=7,"Due ≤7d","On Schedule")))</f>
        <v/>
      </c>
      <c r="T127" s="21"/>
    </row>
    <row r="128" customFormat="false" ht="15" hidden="false" customHeight="false" outlineLevel="0" collapsed="false">
      <c r="A128" s="6" t="s">
        <v>1309</v>
      </c>
      <c r="B128" s="35"/>
      <c r="C128" s="34"/>
      <c r="D128" s="34"/>
      <c r="E128" s="34"/>
      <c r="F128" s="21"/>
      <c r="G128" s="34"/>
      <c r="H128" s="34"/>
      <c r="I128" s="34"/>
      <c r="J128" s="34"/>
      <c r="K128" s="34"/>
      <c r="L128" s="35"/>
      <c r="M128" s="35"/>
      <c r="N128" s="35"/>
      <c r="O128" s="42"/>
      <c r="P128" s="21"/>
      <c r="Q128" s="21"/>
      <c r="R128" s="33" t="str">
        <f aca="true">IF(B128="","",IF(N128&lt;&gt;"",N128-B128,TODAY()-B128))</f>
        <v/>
      </c>
      <c r="S128" s="38" t="str">
        <f aca="true">IF(OR(M128="",K128="Completed",K128="Cancelled"),"",IF(M128&lt;TODAY(),"OVERDUE",IF(M128-TODAY()&lt;=7,"Due ≤7d","On Schedule")))</f>
        <v/>
      </c>
      <c r="T128" s="21"/>
    </row>
    <row r="129" customFormat="false" ht="15" hidden="false" customHeight="false" outlineLevel="0" collapsed="false">
      <c r="A129" s="6" t="s">
        <v>1310</v>
      </c>
      <c r="B129" s="35"/>
      <c r="C129" s="34"/>
      <c r="D129" s="34"/>
      <c r="E129" s="34"/>
      <c r="F129" s="21"/>
      <c r="G129" s="34"/>
      <c r="H129" s="34"/>
      <c r="I129" s="34"/>
      <c r="J129" s="34"/>
      <c r="K129" s="34"/>
      <c r="L129" s="35"/>
      <c r="M129" s="35"/>
      <c r="N129" s="35"/>
      <c r="O129" s="42"/>
      <c r="P129" s="21"/>
      <c r="Q129" s="21"/>
      <c r="R129" s="33" t="str">
        <f aca="true">IF(B129="","",IF(N129&lt;&gt;"",N129-B129,TODAY()-B129))</f>
        <v/>
      </c>
      <c r="S129" s="38" t="str">
        <f aca="true">IF(OR(M129="",K129="Completed",K129="Cancelled"),"",IF(M129&lt;TODAY(),"OVERDUE",IF(M129-TODAY()&lt;=7,"Due ≤7d","On Schedule")))</f>
        <v/>
      </c>
      <c r="T129" s="21"/>
    </row>
    <row r="130" customFormat="false" ht="15" hidden="false" customHeight="false" outlineLevel="0" collapsed="false">
      <c r="A130" s="6" t="s">
        <v>1311</v>
      </c>
      <c r="B130" s="35"/>
      <c r="C130" s="34"/>
      <c r="D130" s="34"/>
      <c r="E130" s="34"/>
      <c r="F130" s="21"/>
      <c r="G130" s="34"/>
      <c r="H130" s="34"/>
      <c r="I130" s="34"/>
      <c r="J130" s="34"/>
      <c r="K130" s="34"/>
      <c r="L130" s="35"/>
      <c r="M130" s="35"/>
      <c r="N130" s="35"/>
      <c r="O130" s="42"/>
      <c r="P130" s="21"/>
      <c r="Q130" s="21"/>
      <c r="R130" s="33" t="str">
        <f aca="true">IF(B130="","",IF(N130&lt;&gt;"",N130-B130,TODAY()-B130))</f>
        <v/>
      </c>
      <c r="S130" s="38" t="str">
        <f aca="true">IF(OR(M130="",K130="Completed",K130="Cancelled"),"",IF(M130&lt;TODAY(),"OVERDUE",IF(M130-TODAY()&lt;=7,"Due ≤7d","On Schedule")))</f>
        <v/>
      </c>
      <c r="T130" s="21"/>
    </row>
    <row r="131" customFormat="false" ht="15" hidden="false" customHeight="false" outlineLevel="0" collapsed="false">
      <c r="A131" s="6" t="s">
        <v>1312</v>
      </c>
      <c r="B131" s="35"/>
      <c r="C131" s="34"/>
      <c r="D131" s="34"/>
      <c r="E131" s="34"/>
      <c r="F131" s="21"/>
      <c r="G131" s="34"/>
      <c r="H131" s="34"/>
      <c r="I131" s="34"/>
      <c r="J131" s="34"/>
      <c r="K131" s="34"/>
      <c r="L131" s="35"/>
      <c r="M131" s="35"/>
      <c r="N131" s="35"/>
      <c r="O131" s="42"/>
      <c r="P131" s="21"/>
      <c r="Q131" s="21"/>
      <c r="R131" s="33" t="str">
        <f aca="true">IF(B131="","",IF(N131&lt;&gt;"",N131-B131,TODAY()-B131))</f>
        <v/>
      </c>
      <c r="S131" s="38" t="str">
        <f aca="true">IF(OR(M131="",K131="Completed",K131="Cancelled"),"",IF(M131&lt;TODAY(),"OVERDUE",IF(M131-TODAY()&lt;=7,"Due ≤7d","On Schedule")))</f>
        <v/>
      </c>
      <c r="T131" s="21"/>
    </row>
    <row r="132" customFormat="false" ht="15" hidden="false" customHeight="false" outlineLevel="0" collapsed="false">
      <c r="A132" s="6" t="s">
        <v>1313</v>
      </c>
      <c r="B132" s="35"/>
      <c r="C132" s="34"/>
      <c r="D132" s="34"/>
      <c r="E132" s="34"/>
      <c r="F132" s="21"/>
      <c r="G132" s="34"/>
      <c r="H132" s="34"/>
      <c r="I132" s="34"/>
      <c r="J132" s="34"/>
      <c r="K132" s="34"/>
      <c r="L132" s="35"/>
      <c r="M132" s="35"/>
      <c r="N132" s="35"/>
      <c r="O132" s="42"/>
      <c r="P132" s="21"/>
      <c r="Q132" s="21"/>
      <c r="R132" s="33" t="str">
        <f aca="true">IF(B132="","",IF(N132&lt;&gt;"",N132-B132,TODAY()-B132))</f>
        <v/>
      </c>
      <c r="S132" s="38" t="str">
        <f aca="true">IF(OR(M132="",K132="Completed",K132="Cancelled"),"",IF(M132&lt;TODAY(),"OVERDUE",IF(M132-TODAY()&lt;=7,"Due ≤7d","On Schedule")))</f>
        <v/>
      </c>
      <c r="T132" s="21"/>
    </row>
    <row r="133" customFormat="false" ht="15" hidden="false" customHeight="false" outlineLevel="0" collapsed="false">
      <c r="A133" s="6" t="s">
        <v>1314</v>
      </c>
      <c r="B133" s="35"/>
      <c r="C133" s="34"/>
      <c r="D133" s="34"/>
      <c r="E133" s="34"/>
      <c r="F133" s="21"/>
      <c r="G133" s="34"/>
      <c r="H133" s="34"/>
      <c r="I133" s="34"/>
      <c r="J133" s="34"/>
      <c r="K133" s="34"/>
      <c r="L133" s="35"/>
      <c r="M133" s="35"/>
      <c r="N133" s="35"/>
      <c r="O133" s="42"/>
      <c r="P133" s="21"/>
      <c r="Q133" s="21"/>
      <c r="R133" s="33" t="str">
        <f aca="true">IF(B133="","",IF(N133&lt;&gt;"",N133-B133,TODAY()-B133))</f>
        <v/>
      </c>
      <c r="S133" s="38" t="str">
        <f aca="true">IF(OR(M133="",K133="Completed",K133="Cancelled"),"",IF(M133&lt;TODAY(),"OVERDUE",IF(M133-TODAY()&lt;=7,"Due ≤7d","On Schedule")))</f>
        <v/>
      </c>
      <c r="T133" s="21"/>
    </row>
    <row r="134" customFormat="false" ht="15" hidden="false" customHeight="false" outlineLevel="0" collapsed="false">
      <c r="A134" s="6" t="s">
        <v>1315</v>
      </c>
      <c r="B134" s="35"/>
      <c r="C134" s="34"/>
      <c r="D134" s="34"/>
      <c r="E134" s="34"/>
      <c r="F134" s="21"/>
      <c r="G134" s="34"/>
      <c r="H134" s="34"/>
      <c r="I134" s="34"/>
      <c r="J134" s="34"/>
      <c r="K134" s="34"/>
      <c r="L134" s="35"/>
      <c r="M134" s="35"/>
      <c r="N134" s="35"/>
      <c r="O134" s="42"/>
      <c r="P134" s="21"/>
      <c r="Q134" s="21"/>
      <c r="R134" s="33" t="str">
        <f aca="true">IF(B134="","",IF(N134&lt;&gt;"",N134-B134,TODAY()-B134))</f>
        <v/>
      </c>
      <c r="S134" s="38" t="str">
        <f aca="true">IF(OR(M134="",K134="Completed",K134="Cancelled"),"",IF(M134&lt;TODAY(),"OVERDUE",IF(M134-TODAY()&lt;=7,"Due ≤7d","On Schedule")))</f>
        <v/>
      </c>
      <c r="T134" s="21"/>
    </row>
    <row r="135" customFormat="false" ht="15" hidden="false" customHeight="false" outlineLevel="0" collapsed="false">
      <c r="A135" s="6" t="s">
        <v>1316</v>
      </c>
      <c r="B135" s="35"/>
      <c r="C135" s="34"/>
      <c r="D135" s="34"/>
      <c r="E135" s="34"/>
      <c r="F135" s="21"/>
      <c r="G135" s="34"/>
      <c r="H135" s="34"/>
      <c r="I135" s="34"/>
      <c r="J135" s="34"/>
      <c r="K135" s="34"/>
      <c r="L135" s="35"/>
      <c r="M135" s="35"/>
      <c r="N135" s="35"/>
      <c r="O135" s="42"/>
      <c r="P135" s="21"/>
      <c r="Q135" s="21"/>
      <c r="R135" s="33" t="str">
        <f aca="true">IF(B135="","",IF(N135&lt;&gt;"",N135-B135,TODAY()-B135))</f>
        <v/>
      </c>
      <c r="S135" s="38" t="str">
        <f aca="true">IF(OR(M135="",K135="Completed",K135="Cancelled"),"",IF(M135&lt;TODAY(),"OVERDUE",IF(M135-TODAY()&lt;=7,"Due ≤7d","On Schedule")))</f>
        <v/>
      </c>
      <c r="T135" s="21"/>
    </row>
    <row r="136" customFormat="false" ht="15" hidden="false" customHeight="false" outlineLevel="0" collapsed="false">
      <c r="A136" s="6" t="s">
        <v>1317</v>
      </c>
      <c r="B136" s="35"/>
      <c r="C136" s="34"/>
      <c r="D136" s="34"/>
      <c r="E136" s="34"/>
      <c r="F136" s="21"/>
      <c r="G136" s="34"/>
      <c r="H136" s="34"/>
      <c r="I136" s="34"/>
      <c r="J136" s="34"/>
      <c r="K136" s="34"/>
      <c r="L136" s="35"/>
      <c r="M136" s="35"/>
      <c r="N136" s="35"/>
      <c r="O136" s="42"/>
      <c r="P136" s="21"/>
      <c r="Q136" s="21"/>
      <c r="R136" s="33" t="str">
        <f aca="true">IF(B136="","",IF(N136&lt;&gt;"",N136-B136,TODAY()-B136))</f>
        <v/>
      </c>
      <c r="S136" s="38" t="str">
        <f aca="true">IF(OR(M136="",K136="Completed",K136="Cancelled"),"",IF(M136&lt;TODAY(),"OVERDUE",IF(M136-TODAY()&lt;=7,"Due ≤7d","On Schedule")))</f>
        <v/>
      </c>
      <c r="T136" s="21"/>
    </row>
    <row r="137" customFormat="false" ht="15" hidden="false" customHeight="false" outlineLevel="0" collapsed="false">
      <c r="A137" s="6" t="s">
        <v>1318</v>
      </c>
      <c r="B137" s="35"/>
      <c r="C137" s="34"/>
      <c r="D137" s="34"/>
      <c r="E137" s="34"/>
      <c r="F137" s="21"/>
      <c r="G137" s="34"/>
      <c r="H137" s="34"/>
      <c r="I137" s="34"/>
      <c r="J137" s="34"/>
      <c r="K137" s="34"/>
      <c r="L137" s="35"/>
      <c r="M137" s="35"/>
      <c r="N137" s="35"/>
      <c r="O137" s="42"/>
      <c r="P137" s="21"/>
      <c r="Q137" s="21"/>
      <c r="R137" s="33" t="str">
        <f aca="true">IF(B137="","",IF(N137&lt;&gt;"",N137-B137,TODAY()-B137))</f>
        <v/>
      </c>
      <c r="S137" s="38" t="str">
        <f aca="true">IF(OR(M137="",K137="Completed",K137="Cancelled"),"",IF(M137&lt;TODAY(),"OVERDUE",IF(M137-TODAY()&lt;=7,"Due ≤7d","On Schedule")))</f>
        <v/>
      </c>
      <c r="T137" s="21"/>
    </row>
    <row r="138" customFormat="false" ht="15" hidden="false" customHeight="false" outlineLevel="0" collapsed="false">
      <c r="A138" s="6" t="s">
        <v>1319</v>
      </c>
      <c r="B138" s="35"/>
      <c r="C138" s="34"/>
      <c r="D138" s="34"/>
      <c r="E138" s="34"/>
      <c r="F138" s="21"/>
      <c r="G138" s="34"/>
      <c r="H138" s="34"/>
      <c r="I138" s="34"/>
      <c r="J138" s="34"/>
      <c r="K138" s="34"/>
      <c r="L138" s="35"/>
      <c r="M138" s="35"/>
      <c r="N138" s="35"/>
      <c r="O138" s="42"/>
      <c r="P138" s="21"/>
      <c r="Q138" s="21"/>
      <c r="R138" s="33" t="str">
        <f aca="true">IF(B138="","",IF(N138&lt;&gt;"",N138-B138,TODAY()-B138))</f>
        <v/>
      </c>
      <c r="S138" s="38" t="str">
        <f aca="true">IF(OR(M138="",K138="Completed",K138="Cancelled"),"",IF(M138&lt;TODAY(),"OVERDUE",IF(M138-TODAY()&lt;=7,"Due ≤7d","On Schedule")))</f>
        <v/>
      </c>
      <c r="T138" s="21"/>
    </row>
    <row r="139" customFormat="false" ht="15" hidden="false" customHeight="false" outlineLevel="0" collapsed="false">
      <c r="A139" s="6" t="s">
        <v>1320</v>
      </c>
      <c r="B139" s="35"/>
      <c r="C139" s="34"/>
      <c r="D139" s="34"/>
      <c r="E139" s="34"/>
      <c r="F139" s="21"/>
      <c r="G139" s="34"/>
      <c r="H139" s="34"/>
      <c r="I139" s="34"/>
      <c r="J139" s="34"/>
      <c r="K139" s="34"/>
      <c r="L139" s="35"/>
      <c r="M139" s="35"/>
      <c r="N139" s="35"/>
      <c r="O139" s="42"/>
      <c r="P139" s="21"/>
      <c r="Q139" s="21"/>
      <c r="R139" s="33" t="str">
        <f aca="true">IF(B139="","",IF(N139&lt;&gt;"",N139-B139,TODAY()-B139))</f>
        <v/>
      </c>
      <c r="S139" s="38" t="str">
        <f aca="true">IF(OR(M139="",K139="Completed",K139="Cancelled"),"",IF(M139&lt;TODAY(),"OVERDUE",IF(M139-TODAY()&lt;=7,"Due ≤7d","On Schedule")))</f>
        <v/>
      </c>
      <c r="T139" s="21"/>
    </row>
    <row r="140" customFormat="false" ht="15" hidden="false" customHeight="false" outlineLevel="0" collapsed="false">
      <c r="A140" s="6" t="s">
        <v>1321</v>
      </c>
      <c r="B140" s="35"/>
      <c r="C140" s="34"/>
      <c r="D140" s="34"/>
      <c r="E140" s="34"/>
      <c r="F140" s="21"/>
      <c r="G140" s="34"/>
      <c r="H140" s="34"/>
      <c r="I140" s="34"/>
      <c r="J140" s="34"/>
      <c r="K140" s="34"/>
      <c r="L140" s="35"/>
      <c r="M140" s="35"/>
      <c r="N140" s="35"/>
      <c r="O140" s="42"/>
      <c r="P140" s="21"/>
      <c r="Q140" s="21"/>
      <c r="R140" s="33" t="str">
        <f aca="true">IF(B140="","",IF(N140&lt;&gt;"",N140-B140,TODAY()-B140))</f>
        <v/>
      </c>
      <c r="S140" s="38" t="str">
        <f aca="true">IF(OR(M140="",K140="Completed",K140="Cancelled"),"",IF(M140&lt;TODAY(),"OVERDUE",IF(M140-TODAY()&lt;=7,"Due ≤7d","On Schedule")))</f>
        <v/>
      </c>
      <c r="T140" s="21"/>
    </row>
    <row r="141" customFormat="false" ht="15" hidden="false" customHeight="false" outlineLevel="0" collapsed="false">
      <c r="A141" s="6" t="s">
        <v>1322</v>
      </c>
      <c r="B141" s="35"/>
      <c r="C141" s="34"/>
      <c r="D141" s="34"/>
      <c r="E141" s="34"/>
      <c r="F141" s="21"/>
      <c r="G141" s="34"/>
      <c r="H141" s="34"/>
      <c r="I141" s="34"/>
      <c r="J141" s="34"/>
      <c r="K141" s="34"/>
      <c r="L141" s="35"/>
      <c r="M141" s="35"/>
      <c r="N141" s="35"/>
      <c r="O141" s="42"/>
      <c r="P141" s="21"/>
      <c r="Q141" s="21"/>
      <c r="R141" s="33" t="str">
        <f aca="true">IF(B141="","",IF(N141&lt;&gt;"",N141-B141,TODAY()-B141))</f>
        <v/>
      </c>
      <c r="S141" s="38" t="str">
        <f aca="true">IF(OR(M141="",K141="Completed",K141="Cancelled"),"",IF(M141&lt;TODAY(),"OVERDUE",IF(M141-TODAY()&lt;=7,"Due ≤7d","On Schedule")))</f>
        <v/>
      </c>
      <c r="T141" s="21"/>
    </row>
    <row r="142" customFormat="false" ht="15" hidden="false" customHeight="false" outlineLevel="0" collapsed="false">
      <c r="A142" s="6" t="s">
        <v>1323</v>
      </c>
      <c r="B142" s="35"/>
      <c r="C142" s="34"/>
      <c r="D142" s="34"/>
      <c r="E142" s="34"/>
      <c r="F142" s="21"/>
      <c r="G142" s="34"/>
      <c r="H142" s="34"/>
      <c r="I142" s="34"/>
      <c r="J142" s="34"/>
      <c r="K142" s="34"/>
      <c r="L142" s="35"/>
      <c r="M142" s="35"/>
      <c r="N142" s="35"/>
      <c r="O142" s="42"/>
      <c r="P142" s="21"/>
      <c r="Q142" s="21"/>
      <c r="R142" s="33" t="str">
        <f aca="true">IF(B142="","",IF(N142&lt;&gt;"",N142-B142,TODAY()-B142))</f>
        <v/>
      </c>
      <c r="S142" s="38" t="str">
        <f aca="true">IF(OR(M142="",K142="Completed",K142="Cancelled"),"",IF(M142&lt;TODAY(),"OVERDUE",IF(M142-TODAY()&lt;=7,"Due ≤7d","On Schedule")))</f>
        <v/>
      </c>
      <c r="T142" s="21"/>
    </row>
    <row r="143" customFormat="false" ht="15" hidden="false" customHeight="false" outlineLevel="0" collapsed="false">
      <c r="A143" s="6" t="s">
        <v>1324</v>
      </c>
      <c r="B143" s="35"/>
      <c r="C143" s="34"/>
      <c r="D143" s="34"/>
      <c r="E143" s="34"/>
      <c r="F143" s="21"/>
      <c r="G143" s="34"/>
      <c r="H143" s="34"/>
      <c r="I143" s="34"/>
      <c r="J143" s="34"/>
      <c r="K143" s="34"/>
      <c r="L143" s="35"/>
      <c r="M143" s="35"/>
      <c r="N143" s="35"/>
      <c r="O143" s="42"/>
      <c r="P143" s="21"/>
      <c r="Q143" s="21"/>
      <c r="R143" s="33" t="str">
        <f aca="true">IF(B143="","",IF(N143&lt;&gt;"",N143-B143,TODAY()-B143))</f>
        <v/>
      </c>
      <c r="S143" s="38" t="str">
        <f aca="true">IF(OR(M143="",K143="Completed",K143="Cancelled"),"",IF(M143&lt;TODAY(),"OVERDUE",IF(M143-TODAY()&lt;=7,"Due ≤7d","On Schedule")))</f>
        <v/>
      </c>
      <c r="T143" s="21"/>
    </row>
    <row r="144" customFormat="false" ht="15" hidden="false" customHeight="false" outlineLevel="0" collapsed="false">
      <c r="A144" s="6" t="s">
        <v>1325</v>
      </c>
      <c r="B144" s="35"/>
      <c r="C144" s="34"/>
      <c r="D144" s="34"/>
      <c r="E144" s="34"/>
      <c r="F144" s="21"/>
      <c r="G144" s="34"/>
      <c r="H144" s="34"/>
      <c r="I144" s="34"/>
      <c r="J144" s="34"/>
      <c r="K144" s="34"/>
      <c r="L144" s="35"/>
      <c r="M144" s="35"/>
      <c r="N144" s="35"/>
      <c r="O144" s="42"/>
      <c r="P144" s="21"/>
      <c r="Q144" s="21"/>
      <c r="R144" s="33" t="str">
        <f aca="true">IF(B144="","",IF(N144&lt;&gt;"",N144-B144,TODAY()-B144))</f>
        <v/>
      </c>
      <c r="S144" s="38" t="str">
        <f aca="true">IF(OR(M144="",K144="Completed",K144="Cancelled"),"",IF(M144&lt;TODAY(),"OVERDUE",IF(M144-TODAY()&lt;=7,"Due ≤7d","On Schedule")))</f>
        <v/>
      </c>
      <c r="T144" s="21"/>
    </row>
    <row r="145" customFormat="false" ht="15" hidden="false" customHeight="false" outlineLevel="0" collapsed="false">
      <c r="A145" s="6" t="s">
        <v>1326</v>
      </c>
      <c r="B145" s="35"/>
      <c r="C145" s="34"/>
      <c r="D145" s="34"/>
      <c r="E145" s="34"/>
      <c r="F145" s="21"/>
      <c r="G145" s="34"/>
      <c r="H145" s="34"/>
      <c r="I145" s="34"/>
      <c r="J145" s="34"/>
      <c r="K145" s="34"/>
      <c r="L145" s="35"/>
      <c r="M145" s="35"/>
      <c r="N145" s="35"/>
      <c r="O145" s="42"/>
      <c r="P145" s="21"/>
      <c r="Q145" s="21"/>
      <c r="R145" s="33" t="str">
        <f aca="true">IF(B145="","",IF(N145&lt;&gt;"",N145-B145,TODAY()-B145))</f>
        <v/>
      </c>
      <c r="S145" s="38" t="str">
        <f aca="true">IF(OR(M145="",K145="Completed",K145="Cancelled"),"",IF(M145&lt;TODAY(),"OVERDUE",IF(M145-TODAY()&lt;=7,"Due ≤7d","On Schedule")))</f>
        <v/>
      </c>
      <c r="T145" s="21"/>
    </row>
    <row r="146" customFormat="false" ht="15" hidden="false" customHeight="false" outlineLevel="0" collapsed="false">
      <c r="A146" s="6" t="s">
        <v>1327</v>
      </c>
      <c r="B146" s="35"/>
      <c r="C146" s="34"/>
      <c r="D146" s="34"/>
      <c r="E146" s="34"/>
      <c r="F146" s="21"/>
      <c r="G146" s="34"/>
      <c r="H146" s="34"/>
      <c r="I146" s="34"/>
      <c r="J146" s="34"/>
      <c r="K146" s="34"/>
      <c r="L146" s="35"/>
      <c r="M146" s="35"/>
      <c r="N146" s="35"/>
      <c r="O146" s="42"/>
      <c r="P146" s="21"/>
      <c r="Q146" s="21"/>
      <c r="R146" s="33" t="str">
        <f aca="true">IF(B146="","",IF(N146&lt;&gt;"",N146-B146,TODAY()-B146))</f>
        <v/>
      </c>
      <c r="S146" s="38" t="str">
        <f aca="true">IF(OR(M146="",K146="Completed",K146="Cancelled"),"",IF(M146&lt;TODAY(),"OVERDUE",IF(M146-TODAY()&lt;=7,"Due ≤7d","On Schedule")))</f>
        <v/>
      </c>
      <c r="T146" s="21"/>
    </row>
    <row r="147" customFormat="false" ht="15" hidden="false" customHeight="false" outlineLevel="0" collapsed="false">
      <c r="A147" s="6" t="s">
        <v>1328</v>
      </c>
      <c r="B147" s="35"/>
      <c r="C147" s="34"/>
      <c r="D147" s="34"/>
      <c r="E147" s="34"/>
      <c r="F147" s="21"/>
      <c r="G147" s="34"/>
      <c r="H147" s="34"/>
      <c r="I147" s="34"/>
      <c r="J147" s="34"/>
      <c r="K147" s="34"/>
      <c r="L147" s="35"/>
      <c r="M147" s="35"/>
      <c r="N147" s="35"/>
      <c r="O147" s="42"/>
      <c r="P147" s="21"/>
      <c r="Q147" s="21"/>
      <c r="R147" s="33" t="str">
        <f aca="true">IF(B147="","",IF(N147&lt;&gt;"",N147-B147,TODAY()-B147))</f>
        <v/>
      </c>
      <c r="S147" s="38" t="str">
        <f aca="true">IF(OR(M147="",K147="Completed",K147="Cancelled"),"",IF(M147&lt;TODAY(),"OVERDUE",IF(M147-TODAY()&lt;=7,"Due ≤7d","On Schedule")))</f>
        <v/>
      </c>
      <c r="T147" s="21"/>
    </row>
    <row r="148" customFormat="false" ht="15" hidden="false" customHeight="false" outlineLevel="0" collapsed="false">
      <c r="A148" s="6" t="s">
        <v>1329</v>
      </c>
      <c r="B148" s="35"/>
      <c r="C148" s="34"/>
      <c r="D148" s="34"/>
      <c r="E148" s="34"/>
      <c r="F148" s="21"/>
      <c r="G148" s="34"/>
      <c r="H148" s="34"/>
      <c r="I148" s="34"/>
      <c r="J148" s="34"/>
      <c r="K148" s="34"/>
      <c r="L148" s="35"/>
      <c r="M148" s="35"/>
      <c r="N148" s="35"/>
      <c r="O148" s="42"/>
      <c r="P148" s="21"/>
      <c r="Q148" s="21"/>
      <c r="R148" s="33" t="str">
        <f aca="true">IF(B148="","",IF(N148&lt;&gt;"",N148-B148,TODAY()-B148))</f>
        <v/>
      </c>
      <c r="S148" s="38" t="str">
        <f aca="true">IF(OR(M148="",K148="Completed",K148="Cancelled"),"",IF(M148&lt;TODAY(),"OVERDUE",IF(M148-TODAY()&lt;=7,"Due ≤7d","On Schedule")))</f>
        <v/>
      </c>
      <c r="T148" s="21"/>
    </row>
    <row r="149" customFormat="false" ht="15" hidden="false" customHeight="false" outlineLevel="0" collapsed="false">
      <c r="A149" s="6" t="s">
        <v>1330</v>
      </c>
      <c r="B149" s="35"/>
      <c r="C149" s="34"/>
      <c r="D149" s="34"/>
      <c r="E149" s="34"/>
      <c r="F149" s="21"/>
      <c r="G149" s="34"/>
      <c r="H149" s="34"/>
      <c r="I149" s="34"/>
      <c r="J149" s="34"/>
      <c r="K149" s="34"/>
      <c r="L149" s="35"/>
      <c r="M149" s="35"/>
      <c r="N149" s="35"/>
      <c r="O149" s="42"/>
      <c r="P149" s="21"/>
      <c r="Q149" s="21"/>
      <c r="R149" s="33" t="str">
        <f aca="true">IF(B149="","",IF(N149&lt;&gt;"",N149-B149,TODAY()-B149))</f>
        <v/>
      </c>
      <c r="S149" s="38" t="str">
        <f aca="true">IF(OR(M149="",K149="Completed",K149="Cancelled"),"",IF(M149&lt;TODAY(),"OVERDUE",IF(M149-TODAY()&lt;=7,"Due ≤7d","On Schedule")))</f>
        <v/>
      </c>
      <c r="T149" s="21"/>
    </row>
    <row r="150" customFormat="false" ht="15" hidden="false" customHeight="false" outlineLevel="0" collapsed="false">
      <c r="A150" s="6" t="s">
        <v>1331</v>
      </c>
      <c r="B150" s="35"/>
      <c r="C150" s="34"/>
      <c r="D150" s="34"/>
      <c r="E150" s="34"/>
      <c r="F150" s="21"/>
      <c r="G150" s="34"/>
      <c r="H150" s="34"/>
      <c r="I150" s="34"/>
      <c r="J150" s="34"/>
      <c r="K150" s="34"/>
      <c r="L150" s="35"/>
      <c r="M150" s="35"/>
      <c r="N150" s="35"/>
      <c r="O150" s="42"/>
      <c r="P150" s="21"/>
      <c r="Q150" s="21"/>
      <c r="R150" s="33" t="str">
        <f aca="true">IF(B150="","",IF(N150&lt;&gt;"",N150-B150,TODAY()-B150))</f>
        <v/>
      </c>
      <c r="S150" s="38" t="str">
        <f aca="true">IF(OR(M150="",K150="Completed",K150="Cancelled"),"",IF(M150&lt;TODAY(),"OVERDUE",IF(M150-TODAY()&lt;=7,"Due ≤7d","On Schedule")))</f>
        <v/>
      </c>
      <c r="T150" s="21"/>
    </row>
    <row r="151" customFormat="false" ht="15" hidden="false" customHeight="false" outlineLevel="0" collapsed="false">
      <c r="A151" s="6" t="s">
        <v>1332</v>
      </c>
      <c r="B151" s="35"/>
      <c r="C151" s="34"/>
      <c r="D151" s="34"/>
      <c r="E151" s="34"/>
      <c r="F151" s="21"/>
      <c r="G151" s="34"/>
      <c r="H151" s="34"/>
      <c r="I151" s="34"/>
      <c r="J151" s="34"/>
      <c r="K151" s="34"/>
      <c r="L151" s="35"/>
      <c r="M151" s="35"/>
      <c r="N151" s="35"/>
      <c r="O151" s="42"/>
      <c r="P151" s="21"/>
      <c r="Q151" s="21"/>
      <c r="R151" s="33" t="str">
        <f aca="true">IF(B151="","",IF(N151&lt;&gt;"",N151-B151,TODAY()-B151))</f>
        <v/>
      </c>
      <c r="S151" s="38" t="str">
        <f aca="true">IF(OR(M151="",K151="Completed",K151="Cancelled"),"",IF(M151&lt;TODAY(),"OVERDUE",IF(M151-TODAY()&lt;=7,"Due ≤7d","On Schedule")))</f>
        <v/>
      </c>
      <c r="T151" s="21"/>
    </row>
    <row r="152" customFormat="false" ht="15" hidden="false" customHeight="false" outlineLevel="0" collapsed="false">
      <c r="A152" s="6" t="s">
        <v>1333</v>
      </c>
      <c r="B152" s="35"/>
      <c r="C152" s="34"/>
      <c r="D152" s="34"/>
      <c r="E152" s="34"/>
      <c r="F152" s="21"/>
      <c r="G152" s="34"/>
      <c r="H152" s="34"/>
      <c r="I152" s="34"/>
      <c r="J152" s="34"/>
      <c r="K152" s="34"/>
      <c r="L152" s="35"/>
      <c r="M152" s="35"/>
      <c r="N152" s="35"/>
      <c r="O152" s="42"/>
      <c r="P152" s="21"/>
      <c r="Q152" s="21"/>
      <c r="R152" s="33" t="str">
        <f aca="true">IF(B152="","",IF(N152&lt;&gt;"",N152-B152,TODAY()-B152))</f>
        <v/>
      </c>
      <c r="S152" s="38" t="str">
        <f aca="true">IF(OR(M152="",K152="Completed",K152="Cancelled"),"",IF(M152&lt;TODAY(),"OVERDUE",IF(M152-TODAY()&lt;=7,"Due ≤7d","On Schedule")))</f>
        <v/>
      </c>
      <c r="T152" s="21"/>
    </row>
    <row r="153" customFormat="false" ht="15" hidden="false" customHeight="false" outlineLevel="0" collapsed="false">
      <c r="A153" s="6" t="s">
        <v>1334</v>
      </c>
      <c r="B153" s="35"/>
      <c r="C153" s="34"/>
      <c r="D153" s="34"/>
      <c r="E153" s="34"/>
      <c r="F153" s="21"/>
      <c r="G153" s="34"/>
      <c r="H153" s="34"/>
      <c r="I153" s="34"/>
      <c r="J153" s="34"/>
      <c r="K153" s="34"/>
      <c r="L153" s="35"/>
      <c r="M153" s="35"/>
      <c r="N153" s="35"/>
      <c r="O153" s="42"/>
      <c r="P153" s="21"/>
      <c r="Q153" s="21"/>
      <c r="R153" s="33" t="str">
        <f aca="true">IF(B153="","",IF(N153&lt;&gt;"",N153-B153,TODAY()-B153))</f>
        <v/>
      </c>
      <c r="S153" s="38" t="str">
        <f aca="true">IF(OR(M153="",K153="Completed",K153="Cancelled"),"",IF(M153&lt;TODAY(),"OVERDUE",IF(M153-TODAY()&lt;=7,"Due ≤7d","On Schedule")))</f>
        <v/>
      </c>
      <c r="T153" s="21"/>
    </row>
    <row r="154" customFormat="false" ht="15" hidden="false" customHeight="false" outlineLevel="0" collapsed="false">
      <c r="A154" s="6" t="s">
        <v>1335</v>
      </c>
      <c r="B154" s="35"/>
      <c r="C154" s="34"/>
      <c r="D154" s="34"/>
      <c r="E154" s="34"/>
      <c r="F154" s="21"/>
      <c r="G154" s="34"/>
      <c r="H154" s="34"/>
      <c r="I154" s="34"/>
      <c r="J154" s="34"/>
      <c r="K154" s="34"/>
      <c r="L154" s="35"/>
      <c r="M154" s="35"/>
      <c r="N154" s="35"/>
      <c r="O154" s="42"/>
      <c r="P154" s="21"/>
      <c r="Q154" s="21"/>
      <c r="R154" s="33" t="str">
        <f aca="true">IF(B154="","",IF(N154&lt;&gt;"",N154-B154,TODAY()-B154))</f>
        <v/>
      </c>
      <c r="S154" s="38" t="str">
        <f aca="true">IF(OR(M154="",K154="Completed",K154="Cancelled"),"",IF(M154&lt;TODAY(),"OVERDUE",IF(M154-TODAY()&lt;=7,"Due ≤7d","On Schedule")))</f>
        <v/>
      </c>
      <c r="T154" s="21"/>
    </row>
    <row r="155" customFormat="false" ht="15" hidden="false" customHeight="false" outlineLevel="0" collapsed="false">
      <c r="A155" s="6" t="s">
        <v>1336</v>
      </c>
      <c r="B155" s="35"/>
      <c r="C155" s="34"/>
      <c r="D155" s="34"/>
      <c r="E155" s="34"/>
      <c r="F155" s="21"/>
      <c r="G155" s="34"/>
      <c r="H155" s="34"/>
      <c r="I155" s="34"/>
      <c r="J155" s="34"/>
      <c r="K155" s="34"/>
      <c r="L155" s="35"/>
      <c r="M155" s="35"/>
      <c r="N155" s="35"/>
      <c r="O155" s="42"/>
      <c r="P155" s="21"/>
      <c r="Q155" s="21"/>
      <c r="R155" s="33" t="str">
        <f aca="true">IF(B155="","",IF(N155&lt;&gt;"",N155-B155,TODAY()-B155))</f>
        <v/>
      </c>
      <c r="S155" s="38" t="str">
        <f aca="true">IF(OR(M155="",K155="Completed",K155="Cancelled"),"",IF(M155&lt;TODAY(),"OVERDUE",IF(M155-TODAY()&lt;=7,"Due ≤7d","On Schedule")))</f>
        <v/>
      </c>
      <c r="T155" s="21"/>
    </row>
    <row r="156" customFormat="false" ht="15" hidden="false" customHeight="false" outlineLevel="0" collapsed="false">
      <c r="A156" s="6" t="s">
        <v>1337</v>
      </c>
      <c r="B156" s="35"/>
      <c r="C156" s="34"/>
      <c r="D156" s="34"/>
      <c r="E156" s="34"/>
      <c r="F156" s="21"/>
      <c r="G156" s="34"/>
      <c r="H156" s="34"/>
      <c r="I156" s="34"/>
      <c r="J156" s="34"/>
      <c r="K156" s="34"/>
      <c r="L156" s="35"/>
      <c r="M156" s="35"/>
      <c r="N156" s="35"/>
      <c r="O156" s="42"/>
      <c r="P156" s="21"/>
      <c r="Q156" s="21"/>
      <c r="R156" s="33" t="str">
        <f aca="true">IF(B156="","",IF(N156&lt;&gt;"",N156-B156,TODAY()-B156))</f>
        <v/>
      </c>
      <c r="S156" s="38" t="str">
        <f aca="true">IF(OR(M156="",K156="Completed",K156="Cancelled"),"",IF(M156&lt;TODAY(),"OVERDUE",IF(M156-TODAY()&lt;=7,"Due ≤7d","On Schedule")))</f>
        <v/>
      </c>
      <c r="T156" s="21"/>
    </row>
    <row r="157" customFormat="false" ht="15" hidden="false" customHeight="false" outlineLevel="0" collapsed="false">
      <c r="A157" s="6" t="s">
        <v>1338</v>
      </c>
      <c r="B157" s="35"/>
      <c r="C157" s="34"/>
      <c r="D157" s="34"/>
      <c r="E157" s="34"/>
      <c r="F157" s="21"/>
      <c r="G157" s="34"/>
      <c r="H157" s="34"/>
      <c r="I157" s="34"/>
      <c r="J157" s="34"/>
      <c r="K157" s="34"/>
      <c r="L157" s="35"/>
      <c r="M157" s="35"/>
      <c r="N157" s="35"/>
      <c r="O157" s="42"/>
      <c r="P157" s="21"/>
      <c r="Q157" s="21"/>
      <c r="R157" s="33" t="str">
        <f aca="true">IF(B157="","",IF(N157&lt;&gt;"",N157-B157,TODAY()-B157))</f>
        <v/>
      </c>
      <c r="S157" s="38" t="str">
        <f aca="true">IF(OR(M157="",K157="Completed",K157="Cancelled"),"",IF(M157&lt;TODAY(),"OVERDUE",IF(M157-TODAY()&lt;=7,"Due ≤7d","On Schedule")))</f>
        <v/>
      </c>
      <c r="T157" s="21"/>
    </row>
    <row r="158" customFormat="false" ht="15" hidden="false" customHeight="false" outlineLevel="0" collapsed="false">
      <c r="A158" s="6" t="s">
        <v>1339</v>
      </c>
      <c r="B158" s="35"/>
      <c r="C158" s="34"/>
      <c r="D158" s="34"/>
      <c r="E158" s="34"/>
      <c r="F158" s="21"/>
      <c r="G158" s="34"/>
      <c r="H158" s="34"/>
      <c r="I158" s="34"/>
      <c r="J158" s="34"/>
      <c r="K158" s="34"/>
      <c r="L158" s="35"/>
      <c r="M158" s="35"/>
      <c r="N158" s="35"/>
      <c r="O158" s="42"/>
      <c r="P158" s="21"/>
      <c r="Q158" s="21"/>
      <c r="R158" s="33" t="str">
        <f aca="true">IF(B158="","",IF(N158&lt;&gt;"",N158-B158,TODAY()-B158))</f>
        <v/>
      </c>
      <c r="S158" s="38" t="str">
        <f aca="true">IF(OR(M158="",K158="Completed",K158="Cancelled"),"",IF(M158&lt;TODAY(),"OVERDUE",IF(M158-TODAY()&lt;=7,"Due ≤7d","On Schedule")))</f>
        <v/>
      </c>
      <c r="T158" s="21"/>
    </row>
    <row r="159" customFormat="false" ht="15" hidden="false" customHeight="false" outlineLevel="0" collapsed="false">
      <c r="A159" s="6" t="s">
        <v>1340</v>
      </c>
      <c r="B159" s="35"/>
      <c r="C159" s="34"/>
      <c r="D159" s="34"/>
      <c r="E159" s="34"/>
      <c r="F159" s="21"/>
      <c r="G159" s="34"/>
      <c r="H159" s="34"/>
      <c r="I159" s="34"/>
      <c r="J159" s="34"/>
      <c r="K159" s="34"/>
      <c r="L159" s="35"/>
      <c r="M159" s="35"/>
      <c r="N159" s="35"/>
      <c r="O159" s="42"/>
      <c r="P159" s="21"/>
      <c r="Q159" s="21"/>
      <c r="R159" s="33" t="str">
        <f aca="true">IF(B159="","",IF(N159&lt;&gt;"",N159-B159,TODAY()-B159))</f>
        <v/>
      </c>
      <c r="S159" s="38" t="str">
        <f aca="true">IF(OR(M159="",K159="Completed",K159="Cancelled"),"",IF(M159&lt;TODAY(),"OVERDUE",IF(M159-TODAY()&lt;=7,"Due ≤7d","On Schedule")))</f>
        <v/>
      </c>
      <c r="T159" s="21"/>
    </row>
    <row r="160" customFormat="false" ht="15" hidden="false" customHeight="false" outlineLevel="0" collapsed="false">
      <c r="A160" s="6" t="s">
        <v>1341</v>
      </c>
      <c r="B160" s="35"/>
      <c r="C160" s="34"/>
      <c r="D160" s="34"/>
      <c r="E160" s="34"/>
      <c r="F160" s="21"/>
      <c r="G160" s="34"/>
      <c r="H160" s="34"/>
      <c r="I160" s="34"/>
      <c r="J160" s="34"/>
      <c r="K160" s="34"/>
      <c r="L160" s="35"/>
      <c r="M160" s="35"/>
      <c r="N160" s="35"/>
      <c r="O160" s="42"/>
      <c r="P160" s="21"/>
      <c r="Q160" s="21"/>
      <c r="R160" s="33" t="str">
        <f aca="true">IF(B160="","",IF(N160&lt;&gt;"",N160-B160,TODAY()-B160))</f>
        <v/>
      </c>
      <c r="S160" s="38" t="str">
        <f aca="true">IF(OR(M160="",K160="Completed",K160="Cancelled"),"",IF(M160&lt;TODAY(),"OVERDUE",IF(M160-TODAY()&lt;=7,"Due ≤7d","On Schedule")))</f>
        <v/>
      </c>
      <c r="T160" s="21"/>
    </row>
    <row r="161" customFormat="false" ht="15" hidden="false" customHeight="false" outlineLevel="0" collapsed="false">
      <c r="A161" s="6" t="s">
        <v>1342</v>
      </c>
      <c r="B161" s="35"/>
      <c r="C161" s="34"/>
      <c r="D161" s="34"/>
      <c r="E161" s="34"/>
      <c r="F161" s="21"/>
      <c r="G161" s="34"/>
      <c r="H161" s="34"/>
      <c r="I161" s="34"/>
      <c r="J161" s="34"/>
      <c r="K161" s="34"/>
      <c r="L161" s="35"/>
      <c r="M161" s="35"/>
      <c r="N161" s="35"/>
      <c r="O161" s="42"/>
      <c r="P161" s="21"/>
      <c r="Q161" s="21"/>
      <c r="R161" s="33" t="str">
        <f aca="true">IF(B161="","",IF(N161&lt;&gt;"",N161-B161,TODAY()-B161))</f>
        <v/>
      </c>
      <c r="S161" s="38" t="str">
        <f aca="true">IF(OR(M161="",K161="Completed",K161="Cancelled"),"",IF(M161&lt;TODAY(),"OVERDUE",IF(M161-TODAY()&lt;=7,"Due ≤7d","On Schedule")))</f>
        <v/>
      </c>
      <c r="T161" s="21"/>
    </row>
    <row r="162" customFormat="false" ht="15" hidden="false" customHeight="false" outlineLevel="0" collapsed="false">
      <c r="A162" s="6" t="s">
        <v>1343</v>
      </c>
      <c r="B162" s="35"/>
      <c r="C162" s="34"/>
      <c r="D162" s="34"/>
      <c r="E162" s="34"/>
      <c r="F162" s="21"/>
      <c r="G162" s="34"/>
      <c r="H162" s="34"/>
      <c r="I162" s="34"/>
      <c r="J162" s="34"/>
      <c r="K162" s="34"/>
      <c r="L162" s="35"/>
      <c r="M162" s="35"/>
      <c r="N162" s="35"/>
      <c r="O162" s="42"/>
      <c r="P162" s="21"/>
      <c r="Q162" s="21"/>
      <c r="R162" s="33" t="str">
        <f aca="true">IF(B162="","",IF(N162&lt;&gt;"",N162-B162,TODAY()-B162))</f>
        <v/>
      </c>
      <c r="S162" s="38" t="str">
        <f aca="true">IF(OR(M162="",K162="Completed",K162="Cancelled"),"",IF(M162&lt;TODAY(),"OVERDUE",IF(M162-TODAY()&lt;=7,"Due ≤7d","On Schedule")))</f>
        <v/>
      </c>
      <c r="T162" s="21"/>
    </row>
    <row r="163" customFormat="false" ht="15" hidden="false" customHeight="false" outlineLevel="0" collapsed="false">
      <c r="A163" s="6" t="s">
        <v>1344</v>
      </c>
      <c r="B163" s="35"/>
      <c r="C163" s="34"/>
      <c r="D163" s="34"/>
      <c r="E163" s="34"/>
      <c r="F163" s="21"/>
      <c r="G163" s="34"/>
      <c r="H163" s="34"/>
      <c r="I163" s="34"/>
      <c r="J163" s="34"/>
      <c r="K163" s="34"/>
      <c r="L163" s="35"/>
      <c r="M163" s="35"/>
      <c r="N163" s="35"/>
      <c r="O163" s="42"/>
      <c r="P163" s="21"/>
      <c r="Q163" s="21"/>
      <c r="R163" s="33" t="str">
        <f aca="true">IF(B163="","",IF(N163&lt;&gt;"",N163-B163,TODAY()-B163))</f>
        <v/>
      </c>
      <c r="S163" s="38" t="str">
        <f aca="true">IF(OR(M163="",K163="Completed",K163="Cancelled"),"",IF(M163&lt;TODAY(),"OVERDUE",IF(M163-TODAY()&lt;=7,"Due ≤7d","On Schedule")))</f>
        <v/>
      </c>
      <c r="T163" s="21"/>
    </row>
    <row r="164" customFormat="false" ht="15" hidden="false" customHeight="false" outlineLevel="0" collapsed="false">
      <c r="A164" s="6" t="s">
        <v>1345</v>
      </c>
      <c r="B164" s="35"/>
      <c r="C164" s="34"/>
      <c r="D164" s="34"/>
      <c r="E164" s="34"/>
      <c r="F164" s="21"/>
      <c r="G164" s="34"/>
      <c r="H164" s="34"/>
      <c r="I164" s="34"/>
      <c r="J164" s="34"/>
      <c r="K164" s="34"/>
      <c r="L164" s="35"/>
      <c r="M164" s="35"/>
      <c r="N164" s="35"/>
      <c r="O164" s="42"/>
      <c r="P164" s="21"/>
      <c r="Q164" s="21"/>
      <c r="R164" s="33" t="str">
        <f aca="true">IF(B164="","",IF(N164&lt;&gt;"",N164-B164,TODAY()-B164))</f>
        <v/>
      </c>
      <c r="S164" s="38" t="str">
        <f aca="true">IF(OR(M164="",K164="Completed",K164="Cancelled"),"",IF(M164&lt;TODAY(),"OVERDUE",IF(M164-TODAY()&lt;=7,"Due ≤7d","On Schedule")))</f>
        <v/>
      </c>
      <c r="T164" s="21"/>
    </row>
    <row r="165" customFormat="false" ht="15" hidden="false" customHeight="false" outlineLevel="0" collapsed="false">
      <c r="A165" s="6" t="s">
        <v>1346</v>
      </c>
      <c r="B165" s="35"/>
      <c r="C165" s="34"/>
      <c r="D165" s="34"/>
      <c r="E165" s="34"/>
      <c r="F165" s="21"/>
      <c r="G165" s="34"/>
      <c r="H165" s="34"/>
      <c r="I165" s="34"/>
      <c r="J165" s="34"/>
      <c r="K165" s="34"/>
      <c r="L165" s="35"/>
      <c r="M165" s="35"/>
      <c r="N165" s="35"/>
      <c r="O165" s="42"/>
      <c r="P165" s="21"/>
      <c r="Q165" s="21"/>
      <c r="R165" s="33" t="str">
        <f aca="true">IF(B165="","",IF(N165&lt;&gt;"",N165-B165,TODAY()-B165))</f>
        <v/>
      </c>
      <c r="S165" s="38" t="str">
        <f aca="true">IF(OR(M165="",K165="Completed",K165="Cancelled"),"",IF(M165&lt;TODAY(),"OVERDUE",IF(M165-TODAY()&lt;=7,"Due ≤7d","On Schedule")))</f>
        <v/>
      </c>
      <c r="T165" s="21"/>
    </row>
    <row r="166" customFormat="false" ht="15" hidden="false" customHeight="false" outlineLevel="0" collapsed="false">
      <c r="A166" s="6" t="s">
        <v>1347</v>
      </c>
      <c r="B166" s="35"/>
      <c r="C166" s="34"/>
      <c r="D166" s="34"/>
      <c r="E166" s="34"/>
      <c r="F166" s="21"/>
      <c r="G166" s="34"/>
      <c r="H166" s="34"/>
      <c r="I166" s="34"/>
      <c r="J166" s="34"/>
      <c r="K166" s="34"/>
      <c r="L166" s="35"/>
      <c r="M166" s="35"/>
      <c r="N166" s="35"/>
      <c r="O166" s="42"/>
      <c r="P166" s="21"/>
      <c r="Q166" s="21"/>
      <c r="R166" s="33" t="str">
        <f aca="true">IF(B166="","",IF(N166&lt;&gt;"",N166-B166,TODAY()-B166))</f>
        <v/>
      </c>
      <c r="S166" s="38" t="str">
        <f aca="true">IF(OR(M166="",K166="Completed",K166="Cancelled"),"",IF(M166&lt;TODAY(),"OVERDUE",IF(M166-TODAY()&lt;=7,"Due ≤7d","On Schedule")))</f>
        <v/>
      </c>
      <c r="T166" s="21"/>
    </row>
    <row r="167" customFormat="false" ht="15" hidden="false" customHeight="false" outlineLevel="0" collapsed="false">
      <c r="A167" s="6" t="s">
        <v>1348</v>
      </c>
      <c r="B167" s="35"/>
      <c r="C167" s="34"/>
      <c r="D167" s="34"/>
      <c r="E167" s="34"/>
      <c r="F167" s="21"/>
      <c r="G167" s="34"/>
      <c r="H167" s="34"/>
      <c r="I167" s="34"/>
      <c r="J167" s="34"/>
      <c r="K167" s="34"/>
      <c r="L167" s="35"/>
      <c r="M167" s="35"/>
      <c r="N167" s="35"/>
      <c r="O167" s="42"/>
      <c r="P167" s="21"/>
      <c r="Q167" s="21"/>
      <c r="R167" s="33" t="str">
        <f aca="true">IF(B167="","",IF(N167&lt;&gt;"",N167-B167,TODAY()-B167))</f>
        <v/>
      </c>
      <c r="S167" s="38" t="str">
        <f aca="true">IF(OR(M167="",K167="Completed",K167="Cancelled"),"",IF(M167&lt;TODAY(),"OVERDUE",IF(M167-TODAY()&lt;=7,"Due ≤7d","On Schedule")))</f>
        <v/>
      </c>
      <c r="T167" s="21"/>
    </row>
    <row r="168" customFormat="false" ht="15" hidden="false" customHeight="false" outlineLevel="0" collapsed="false">
      <c r="A168" s="6" t="s">
        <v>1349</v>
      </c>
      <c r="B168" s="35"/>
      <c r="C168" s="34"/>
      <c r="D168" s="34"/>
      <c r="E168" s="34"/>
      <c r="F168" s="21"/>
      <c r="G168" s="34"/>
      <c r="H168" s="34"/>
      <c r="I168" s="34"/>
      <c r="J168" s="34"/>
      <c r="K168" s="34"/>
      <c r="L168" s="35"/>
      <c r="M168" s="35"/>
      <c r="N168" s="35"/>
      <c r="O168" s="42"/>
      <c r="P168" s="21"/>
      <c r="Q168" s="21"/>
      <c r="R168" s="33" t="str">
        <f aca="true">IF(B168="","",IF(N168&lt;&gt;"",N168-B168,TODAY()-B168))</f>
        <v/>
      </c>
      <c r="S168" s="38" t="str">
        <f aca="true">IF(OR(M168="",K168="Completed",K168="Cancelled"),"",IF(M168&lt;TODAY(),"OVERDUE",IF(M168-TODAY()&lt;=7,"Due ≤7d","On Schedule")))</f>
        <v/>
      </c>
      <c r="T168" s="21"/>
    </row>
    <row r="169" customFormat="false" ht="15" hidden="false" customHeight="false" outlineLevel="0" collapsed="false">
      <c r="A169" s="6" t="s">
        <v>1350</v>
      </c>
      <c r="B169" s="35"/>
      <c r="C169" s="34"/>
      <c r="D169" s="34"/>
      <c r="E169" s="34"/>
      <c r="F169" s="21"/>
      <c r="G169" s="34"/>
      <c r="H169" s="34"/>
      <c r="I169" s="34"/>
      <c r="J169" s="34"/>
      <c r="K169" s="34"/>
      <c r="L169" s="35"/>
      <c r="M169" s="35"/>
      <c r="N169" s="35"/>
      <c r="O169" s="42"/>
      <c r="P169" s="21"/>
      <c r="Q169" s="21"/>
      <c r="R169" s="33" t="str">
        <f aca="true">IF(B169="","",IF(N169&lt;&gt;"",N169-B169,TODAY()-B169))</f>
        <v/>
      </c>
      <c r="S169" s="38" t="str">
        <f aca="true">IF(OR(M169="",K169="Completed",K169="Cancelled"),"",IF(M169&lt;TODAY(),"OVERDUE",IF(M169-TODAY()&lt;=7,"Due ≤7d","On Schedule")))</f>
        <v/>
      </c>
      <c r="T169" s="21"/>
    </row>
    <row r="170" customFormat="false" ht="15" hidden="false" customHeight="false" outlineLevel="0" collapsed="false">
      <c r="A170" s="6" t="s">
        <v>1351</v>
      </c>
      <c r="B170" s="35"/>
      <c r="C170" s="34"/>
      <c r="D170" s="34"/>
      <c r="E170" s="34"/>
      <c r="F170" s="21"/>
      <c r="G170" s="34"/>
      <c r="H170" s="34"/>
      <c r="I170" s="34"/>
      <c r="J170" s="34"/>
      <c r="K170" s="34"/>
      <c r="L170" s="35"/>
      <c r="M170" s="35"/>
      <c r="N170" s="35"/>
      <c r="O170" s="42"/>
      <c r="P170" s="21"/>
      <c r="Q170" s="21"/>
      <c r="R170" s="33" t="str">
        <f aca="true">IF(B170="","",IF(N170&lt;&gt;"",N170-B170,TODAY()-B170))</f>
        <v/>
      </c>
      <c r="S170" s="38" t="str">
        <f aca="true">IF(OR(M170="",K170="Completed",K170="Cancelled"),"",IF(M170&lt;TODAY(),"OVERDUE",IF(M170-TODAY()&lt;=7,"Due ≤7d","On Schedule")))</f>
        <v/>
      </c>
      <c r="T170" s="21"/>
    </row>
    <row r="171" customFormat="false" ht="15" hidden="false" customHeight="false" outlineLevel="0" collapsed="false">
      <c r="A171" s="6" t="s">
        <v>1352</v>
      </c>
      <c r="B171" s="35"/>
      <c r="C171" s="34"/>
      <c r="D171" s="34"/>
      <c r="E171" s="34"/>
      <c r="F171" s="21"/>
      <c r="G171" s="34"/>
      <c r="H171" s="34"/>
      <c r="I171" s="34"/>
      <c r="J171" s="34"/>
      <c r="K171" s="34"/>
      <c r="L171" s="35"/>
      <c r="M171" s="35"/>
      <c r="N171" s="35"/>
      <c r="O171" s="42"/>
      <c r="P171" s="21"/>
      <c r="Q171" s="21"/>
      <c r="R171" s="33" t="str">
        <f aca="true">IF(B171="","",IF(N171&lt;&gt;"",N171-B171,TODAY()-B171))</f>
        <v/>
      </c>
      <c r="S171" s="38" t="str">
        <f aca="true">IF(OR(M171="",K171="Completed",K171="Cancelled"),"",IF(M171&lt;TODAY(),"OVERDUE",IF(M171-TODAY()&lt;=7,"Due ≤7d","On Schedule")))</f>
        <v/>
      </c>
      <c r="T171" s="21"/>
    </row>
    <row r="172" customFormat="false" ht="15" hidden="false" customHeight="false" outlineLevel="0" collapsed="false">
      <c r="A172" s="6" t="s">
        <v>1353</v>
      </c>
      <c r="B172" s="35"/>
      <c r="C172" s="34"/>
      <c r="D172" s="34"/>
      <c r="E172" s="34"/>
      <c r="F172" s="21"/>
      <c r="G172" s="34"/>
      <c r="H172" s="34"/>
      <c r="I172" s="34"/>
      <c r="J172" s="34"/>
      <c r="K172" s="34"/>
      <c r="L172" s="35"/>
      <c r="M172" s="35"/>
      <c r="N172" s="35"/>
      <c r="O172" s="42"/>
      <c r="P172" s="21"/>
      <c r="Q172" s="21"/>
      <c r="R172" s="33" t="str">
        <f aca="true">IF(B172="","",IF(N172&lt;&gt;"",N172-B172,TODAY()-B172))</f>
        <v/>
      </c>
      <c r="S172" s="38" t="str">
        <f aca="true">IF(OR(M172="",K172="Completed",K172="Cancelled"),"",IF(M172&lt;TODAY(),"OVERDUE",IF(M172-TODAY()&lt;=7,"Due ≤7d","On Schedule")))</f>
        <v/>
      </c>
      <c r="T172" s="21"/>
    </row>
    <row r="173" customFormat="false" ht="15" hidden="false" customHeight="false" outlineLevel="0" collapsed="false">
      <c r="A173" s="6" t="s">
        <v>1354</v>
      </c>
      <c r="B173" s="35"/>
      <c r="C173" s="34"/>
      <c r="D173" s="34"/>
      <c r="E173" s="34"/>
      <c r="F173" s="21"/>
      <c r="G173" s="34"/>
      <c r="H173" s="34"/>
      <c r="I173" s="34"/>
      <c r="J173" s="34"/>
      <c r="K173" s="34"/>
      <c r="L173" s="35"/>
      <c r="M173" s="35"/>
      <c r="N173" s="35"/>
      <c r="O173" s="42"/>
      <c r="P173" s="21"/>
      <c r="Q173" s="21"/>
      <c r="R173" s="33" t="str">
        <f aca="true">IF(B173="","",IF(N173&lt;&gt;"",N173-B173,TODAY()-B173))</f>
        <v/>
      </c>
      <c r="S173" s="38" t="str">
        <f aca="true">IF(OR(M173="",K173="Completed",K173="Cancelled"),"",IF(M173&lt;TODAY(),"OVERDUE",IF(M173-TODAY()&lt;=7,"Due ≤7d","On Schedule")))</f>
        <v/>
      </c>
      <c r="T173" s="21"/>
    </row>
    <row r="174" customFormat="false" ht="15" hidden="false" customHeight="false" outlineLevel="0" collapsed="false">
      <c r="A174" s="6" t="s">
        <v>1355</v>
      </c>
      <c r="B174" s="35"/>
      <c r="C174" s="34"/>
      <c r="D174" s="34"/>
      <c r="E174" s="34"/>
      <c r="F174" s="21"/>
      <c r="G174" s="34"/>
      <c r="H174" s="34"/>
      <c r="I174" s="34"/>
      <c r="J174" s="34"/>
      <c r="K174" s="34"/>
      <c r="L174" s="35"/>
      <c r="M174" s="35"/>
      <c r="N174" s="35"/>
      <c r="O174" s="42"/>
      <c r="P174" s="21"/>
      <c r="Q174" s="21"/>
      <c r="R174" s="33" t="str">
        <f aca="true">IF(B174="","",IF(N174&lt;&gt;"",N174-B174,TODAY()-B174))</f>
        <v/>
      </c>
      <c r="S174" s="38" t="str">
        <f aca="true">IF(OR(M174="",K174="Completed",K174="Cancelled"),"",IF(M174&lt;TODAY(),"OVERDUE",IF(M174-TODAY()&lt;=7,"Due ≤7d","On Schedule")))</f>
        <v/>
      </c>
      <c r="T174" s="21"/>
    </row>
    <row r="175" customFormat="false" ht="15" hidden="false" customHeight="false" outlineLevel="0" collapsed="false">
      <c r="A175" s="6" t="s">
        <v>1356</v>
      </c>
      <c r="B175" s="35"/>
      <c r="C175" s="34"/>
      <c r="D175" s="34"/>
      <c r="E175" s="34"/>
      <c r="F175" s="21"/>
      <c r="G175" s="34"/>
      <c r="H175" s="34"/>
      <c r="I175" s="34"/>
      <c r="J175" s="34"/>
      <c r="K175" s="34"/>
      <c r="L175" s="35"/>
      <c r="M175" s="35"/>
      <c r="N175" s="35"/>
      <c r="O175" s="42"/>
      <c r="P175" s="21"/>
      <c r="Q175" s="21"/>
      <c r="R175" s="33" t="str">
        <f aca="true">IF(B175="","",IF(N175&lt;&gt;"",N175-B175,TODAY()-B175))</f>
        <v/>
      </c>
      <c r="S175" s="38" t="str">
        <f aca="true">IF(OR(M175="",K175="Completed",K175="Cancelled"),"",IF(M175&lt;TODAY(),"OVERDUE",IF(M175-TODAY()&lt;=7,"Due ≤7d","On Schedule")))</f>
        <v/>
      </c>
      <c r="T175" s="21"/>
    </row>
    <row r="176" customFormat="false" ht="15" hidden="false" customHeight="false" outlineLevel="0" collapsed="false">
      <c r="A176" s="6" t="s">
        <v>1357</v>
      </c>
      <c r="B176" s="35"/>
      <c r="C176" s="34"/>
      <c r="D176" s="34"/>
      <c r="E176" s="34"/>
      <c r="F176" s="21"/>
      <c r="G176" s="34"/>
      <c r="H176" s="34"/>
      <c r="I176" s="34"/>
      <c r="J176" s="34"/>
      <c r="K176" s="34"/>
      <c r="L176" s="35"/>
      <c r="M176" s="35"/>
      <c r="N176" s="35"/>
      <c r="O176" s="42"/>
      <c r="P176" s="21"/>
      <c r="Q176" s="21"/>
      <c r="R176" s="33" t="str">
        <f aca="true">IF(B176="","",IF(N176&lt;&gt;"",N176-B176,TODAY()-B176))</f>
        <v/>
      </c>
      <c r="S176" s="38" t="str">
        <f aca="true">IF(OR(M176="",K176="Completed",K176="Cancelled"),"",IF(M176&lt;TODAY(),"OVERDUE",IF(M176-TODAY()&lt;=7,"Due ≤7d","On Schedule")))</f>
        <v/>
      </c>
      <c r="T176" s="21"/>
    </row>
    <row r="177" customFormat="false" ht="15" hidden="false" customHeight="false" outlineLevel="0" collapsed="false">
      <c r="A177" s="6" t="s">
        <v>1358</v>
      </c>
      <c r="B177" s="35"/>
      <c r="C177" s="34"/>
      <c r="D177" s="34"/>
      <c r="E177" s="34"/>
      <c r="F177" s="21"/>
      <c r="G177" s="34"/>
      <c r="H177" s="34"/>
      <c r="I177" s="34"/>
      <c r="J177" s="34"/>
      <c r="K177" s="34"/>
      <c r="L177" s="35"/>
      <c r="M177" s="35"/>
      <c r="N177" s="35"/>
      <c r="O177" s="42"/>
      <c r="P177" s="21"/>
      <c r="Q177" s="21"/>
      <c r="R177" s="33" t="str">
        <f aca="true">IF(B177="","",IF(N177&lt;&gt;"",N177-B177,TODAY()-B177))</f>
        <v/>
      </c>
      <c r="S177" s="38" t="str">
        <f aca="true">IF(OR(M177="",K177="Completed",K177="Cancelled"),"",IF(M177&lt;TODAY(),"OVERDUE",IF(M177-TODAY()&lt;=7,"Due ≤7d","On Schedule")))</f>
        <v/>
      </c>
      <c r="T177" s="21"/>
    </row>
    <row r="178" customFormat="false" ht="15" hidden="false" customHeight="false" outlineLevel="0" collapsed="false">
      <c r="A178" s="6" t="s">
        <v>1359</v>
      </c>
      <c r="B178" s="35"/>
      <c r="C178" s="34"/>
      <c r="D178" s="34"/>
      <c r="E178" s="34"/>
      <c r="F178" s="21"/>
      <c r="G178" s="34"/>
      <c r="H178" s="34"/>
      <c r="I178" s="34"/>
      <c r="J178" s="34"/>
      <c r="K178" s="34"/>
      <c r="L178" s="35"/>
      <c r="M178" s="35"/>
      <c r="N178" s="35"/>
      <c r="O178" s="42"/>
      <c r="P178" s="21"/>
      <c r="Q178" s="21"/>
      <c r="R178" s="33" t="str">
        <f aca="true">IF(B178="","",IF(N178&lt;&gt;"",N178-B178,TODAY()-B178))</f>
        <v/>
      </c>
      <c r="S178" s="38" t="str">
        <f aca="true">IF(OR(M178="",K178="Completed",K178="Cancelled"),"",IF(M178&lt;TODAY(),"OVERDUE",IF(M178-TODAY()&lt;=7,"Due ≤7d","On Schedule")))</f>
        <v/>
      </c>
      <c r="T178" s="21"/>
    </row>
    <row r="179" customFormat="false" ht="15" hidden="false" customHeight="false" outlineLevel="0" collapsed="false">
      <c r="A179" s="6" t="s">
        <v>1360</v>
      </c>
      <c r="B179" s="35"/>
      <c r="C179" s="34"/>
      <c r="D179" s="34"/>
      <c r="E179" s="34"/>
      <c r="F179" s="21"/>
      <c r="G179" s="34"/>
      <c r="H179" s="34"/>
      <c r="I179" s="34"/>
      <c r="J179" s="34"/>
      <c r="K179" s="34"/>
      <c r="L179" s="35"/>
      <c r="M179" s="35"/>
      <c r="N179" s="35"/>
      <c r="O179" s="42"/>
      <c r="P179" s="21"/>
      <c r="Q179" s="21"/>
      <c r="R179" s="33" t="str">
        <f aca="true">IF(B179="","",IF(N179&lt;&gt;"",N179-B179,TODAY()-B179))</f>
        <v/>
      </c>
      <c r="S179" s="38" t="str">
        <f aca="true">IF(OR(M179="",K179="Completed",K179="Cancelled"),"",IF(M179&lt;TODAY(),"OVERDUE",IF(M179-TODAY()&lt;=7,"Due ≤7d","On Schedule")))</f>
        <v/>
      </c>
      <c r="T179" s="21"/>
    </row>
    <row r="180" customFormat="false" ht="15" hidden="false" customHeight="false" outlineLevel="0" collapsed="false">
      <c r="A180" s="6" t="s">
        <v>1361</v>
      </c>
      <c r="B180" s="35"/>
      <c r="C180" s="34"/>
      <c r="D180" s="34"/>
      <c r="E180" s="34"/>
      <c r="F180" s="21"/>
      <c r="G180" s="34"/>
      <c r="H180" s="34"/>
      <c r="I180" s="34"/>
      <c r="J180" s="34"/>
      <c r="K180" s="34"/>
      <c r="L180" s="35"/>
      <c r="M180" s="35"/>
      <c r="N180" s="35"/>
      <c r="O180" s="42"/>
      <c r="P180" s="21"/>
      <c r="Q180" s="21"/>
      <c r="R180" s="33" t="str">
        <f aca="true">IF(B180="","",IF(N180&lt;&gt;"",N180-B180,TODAY()-B180))</f>
        <v/>
      </c>
      <c r="S180" s="38" t="str">
        <f aca="true">IF(OR(M180="",K180="Completed",K180="Cancelled"),"",IF(M180&lt;TODAY(),"OVERDUE",IF(M180-TODAY()&lt;=7,"Due ≤7d","On Schedule")))</f>
        <v/>
      </c>
      <c r="T180" s="21"/>
    </row>
    <row r="181" customFormat="false" ht="15" hidden="false" customHeight="false" outlineLevel="0" collapsed="false">
      <c r="A181" s="6" t="s">
        <v>1362</v>
      </c>
      <c r="B181" s="35"/>
      <c r="C181" s="34"/>
      <c r="D181" s="34"/>
      <c r="E181" s="34"/>
      <c r="F181" s="21"/>
      <c r="G181" s="34"/>
      <c r="H181" s="34"/>
      <c r="I181" s="34"/>
      <c r="J181" s="34"/>
      <c r="K181" s="34"/>
      <c r="L181" s="35"/>
      <c r="M181" s="35"/>
      <c r="N181" s="35"/>
      <c r="O181" s="42"/>
      <c r="P181" s="21"/>
      <c r="Q181" s="21"/>
      <c r="R181" s="33" t="str">
        <f aca="true">IF(B181="","",IF(N181&lt;&gt;"",N181-B181,TODAY()-B181))</f>
        <v/>
      </c>
      <c r="S181" s="38" t="str">
        <f aca="true">IF(OR(M181="",K181="Completed",K181="Cancelled"),"",IF(M181&lt;TODAY(),"OVERDUE",IF(M181-TODAY()&lt;=7,"Due ≤7d","On Schedule")))</f>
        <v/>
      </c>
      <c r="T181" s="21"/>
    </row>
    <row r="182" customFormat="false" ht="15" hidden="false" customHeight="false" outlineLevel="0" collapsed="false">
      <c r="A182" s="6" t="s">
        <v>1363</v>
      </c>
      <c r="B182" s="35"/>
      <c r="C182" s="34"/>
      <c r="D182" s="34"/>
      <c r="E182" s="34"/>
      <c r="F182" s="21"/>
      <c r="G182" s="34"/>
      <c r="H182" s="34"/>
      <c r="I182" s="34"/>
      <c r="J182" s="34"/>
      <c r="K182" s="34"/>
      <c r="L182" s="35"/>
      <c r="M182" s="35"/>
      <c r="N182" s="35"/>
      <c r="O182" s="42"/>
      <c r="P182" s="21"/>
      <c r="Q182" s="21"/>
      <c r="R182" s="33" t="str">
        <f aca="true">IF(B182="","",IF(N182&lt;&gt;"",N182-B182,TODAY()-B182))</f>
        <v/>
      </c>
      <c r="S182" s="38" t="str">
        <f aca="true">IF(OR(M182="",K182="Completed",K182="Cancelled"),"",IF(M182&lt;TODAY(),"OVERDUE",IF(M182-TODAY()&lt;=7,"Due ≤7d","On Schedule")))</f>
        <v/>
      </c>
      <c r="T182" s="21"/>
    </row>
    <row r="183" customFormat="false" ht="15" hidden="false" customHeight="false" outlineLevel="0" collapsed="false">
      <c r="A183" s="6" t="s">
        <v>1364</v>
      </c>
      <c r="B183" s="35"/>
      <c r="C183" s="34"/>
      <c r="D183" s="34"/>
      <c r="E183" s="34"/>
      <c r="F183" s="21"/>
      <c r="G183" s="34"/>
      <c r="H183" s="34"/>
      <c r="I183" s="34"/>
      <c r="J183" s="34"/>
      <c r="K183" s="34"/>
      <c r="L183" s="35"/>
      <c r="M183" s="35"/>
      <c r="N183" s="35"/>
      <c r="O183" s="42"/>
      <c r="P183" s="21"/>
      <c r="Q183" s="21"/>
      <c r="R183" s="33" t="str">
        <f aca="true">IF(B183="","",IF(N183&lt;&gt;"",N183-B183,TODAY()-B183))</f>
        <v/>
      </c>
      <c r="S183" s="38" t="str">
        <f aca="true">IF(OR(M183="",K183="Completed",K183="Cancelled"),"",IF(M183&lt;TODAY(),"OVERDUE",IF(M183-TODAY()&lt;=7,"Due ≤7d","On Schedule")))</f>
        <v/>
      </c>
      <c r="T183" s="21"/>
    </row>
    <row r="184" customFormat="false" ht="15" hidden="false" customHeight="false" outlineLevel="0" collapsed="false">
      <c r="A184" s="6" t="s">
        <v>1365</v>
      </c>
      <c r="B184" s="35"/>
      <c r="C184" s="34"/>
      <c r="D184" s="34"/>
      <c r="E184" s="34"/>
      <c r="F184" s="21"/>
      <c r="G184" s="34"/>
      <c r="H184" s="34"/>
      <c r="I184" s="34"/>
      <c r="J184" s="34"/>
      <c r="K184" s="34"/>
      <c r="L184" s="35"/>
      <c r="M184" s="35"/>
      <c r="N184" s="35"/>
      <c r="O184" s="42"/>
      <c r="P184" s="21"/>
      <c r="Q184" s="21"/>
      <c r="R184" s="33" t="str">
        <f aca="true">IF(B184="","",IF(N184&lt;&gt;"",N184-B184,TODAY()-B184))</f>
        <v/>
      </c>
      <c r="S184" s="38" t="str">
        <f aca="true">IF(OR(M184="",K184="Completed",K184="Cancelled"),"",IF(M184&lt;TODAY(),"OVERDUE",IF(M184-TODAY()&lt;=7,"Due ≤7d","On Schedule")))</f>
        <v/>
      </c>
      <c r="T184" s="21"/>
    </row>
    <row r="185" customFormat="false" ht="15" hidden="false" customHeight="false" outlineLevel="0" collapsed="false">
      <c r="A185" s="6" t="s">
        <v>1366</v>
      </c>
      <c r="B185" s="35"/>
      <c r="C185" s="34"/>
      <c r="D185" s="34"/>
      <c r="E185" s="34"/>
      <c r="F185" s="21"/>
      <c r="G185" s="34"/>
      <c r="H185" s="34"/>
      <c r="I185" s="34"/>
      <c r="J185" s="34"/>
      <c r="K185" s="34"/>
      <c r="L185" s="35"/>
      <c r="M185" s="35"/>
      <c r="N185" s="35"/>
      <c r="O185" s="42"/>
      <c r="P185" s="21"/>
      <c r="Q185" s="21"/>
      <c r="R185" s="33" t="str">
        <f aca="true">IF(B185="","",IF(N185&lt;&gt;"",N185-B185,TODAY()-B185))</f>
        <v/>
      </c>
      <c r="S185" s="38" t="str">
        <f aca="true">IF(OR(M185="",K185="Completed",K185="Cancelled"),"",IF(M185&lt;TODAY(),"OVERDUE",IF(M185-TODAY()&lt;=7,"Due ≤7d","On Schedule")))</f>
        <v/>
      </c>
      <c r="T185" s="21"/>
    </row>
    <row r="186" customFormat="false" ht="15" hidden="false" customHeight="false" outlineLevel="0" collapsed="false">
      <c r="A186" s="6" t="s">
        <v>1367</v>
      </c>
      <c r="B186" s="35"/>
      <c r="C186" s="34"/>
      <c r="D186" s="34"/>
      <c r="E186" s="34"/>
      <c r="F186" s="21"/>
      <c r="G186" s="34"/>
      <c r="H186" s="34"/>
      <c r="I186" s="34"/>
      <c r="J186" s="34"/>
      <c r="K186" s="34"/>
      <c r="L186" s="35"/>
      <c r="M186" s="35"/>
      <c r="N186" s="35"/>
      <c r="O186" s="42"/>
      <c r="P186" s="21"/>
      <c r="Q186" s="21"/>
      <c r="R186" s="33" t="str">
        <f aca="true">IF(B186="","",IF(N186&lt;&gt;"",N186-B186,TODAY()-B186))</f>
        <v/>
      </c>
      <c r="S186" s="38" t="str">
        <f aca="true">IF(OR(M186="",K186="Completed",K186="Cancelled"),"",IF(M186&lt;TODAY(),"OVERDUE",IF(M186-TODAY()&lt;=7,"Due ≤7d","On Schedule")))</f>
        <v/>
      </c>
      <c r="T186" s="21"/>
    </row>
    <row r="187" customFormat="false" ht="15" hidden="false" customHeight="false" outlineLevel="0" collapsed="false">
      <c r="A187" s="6" t="s">
        <v>1368</v>
      </c>
      <c r="B187" s="35"/>
      <c r="C187" s="34"/>
      <c r="D187" s="34"/>
      <c r="E187" s="34"/>
      <c r="F187" s="21"/>
      <c r="G187" s="34"/>
      <c r="H187" s="34"/>
      <c r="I187" s="34"/>
      <c r="J187" s="34"/>
      <c r="K187" s="34"/>
      <c r="L187" s="35"/>
      <c r="M187" s="35"/>
      <c r="N187" s="35"/>
      <c r="O187" s="42"/>
      <c r="P187" s="21"/>
      <c r="Q187" s="21"/>
      <c r="R187" s="33" t="str">
        <f aca="true">IF(B187="","",IF(N187&lt;&gt;"",N187-B187,TODAY()-B187))</f>
        <v/>
      </c>
      <c r="S187" s="38" t="str">
        <f aca="true">IF(OR(M187="",K187="Completed",K187="Cancelled"),"",IF(M187&lt;TODAY(),"OVERDUE",IF(M187-TODAY()&lt;=7,"Due ≤7d","On Schedule")))</f>
        <v/>
      </c>
      <c r="T187" s="21"/>
    </row>
    <row r="188" customFormat="false" ht="15" hidden="false" customHeight="false" outlineLevel="0" collapsed="false">
      <c r="A188" s="6" t="s">
        <v>1369</v>
      </c>
      <c r="B188" s="35"/>
      <c r="C188" s="34"/>
      <c r="D188" s="34"/>
      <c r="E188" s="34"/>
      <c r="F188" s="21"/>
      <c r="G188" s="34"/>
      <c r="H188" s="34"/>
      <c r="I188" s="34"/>
      <c r="J188" s="34"/>
      <c r="K188" s="34"/>
      <c r="L188" s="35"/>
      <c r="M188" s="35"/>
      <c r="N188" s="35"/>
      <c r="O188" s="42"/>
      <c r="P188" s="21"/>
      <c r="Q188" s="21"/>
      <c r="R188" s="33" t="str">
        <f aca="true">IF(B188="","",IF(N188&lt;&gt;"",N188-B188,TODAY()-B188))</f>
        <v/>
      </c>
      <c r="S188" s="38" t="str">
        <f aca="true">IF(OR(M188="",K188="Completed",K188="Cancelled"),"",IF(M188&lt;TODAY(),"OVERDUE",IF(M188-TODAY()&lt;=7,"Due ≤7d","On Schedule")))</f>
        <v/>
      </c>
      <c r="T188" s="21"/>
    </row>
    <row r="189" customFormat="false" ht="15" hidden="false" customHeight="false" outlineLevel="0" collapsed="false">
      <c r="A189" s="6" t="s">
        <v>1370</v>
      </c>
      <c r="B189" s="35"/>
      <c r="C189" s="34"/>
      <c r="D189" s="34"/>
      <c r="E189" s="34"/>
      <c r="F189" s="21"/>
      <c r="G189" s="34"/>
      <c r="H189" s="34"/>
      <c r="I189" s="34"/>
      <c r="J189" s="34"/>
      <c r="K189" s="34"/>
      <c r="L189" s="35"/>
      <c r="M189" s="35"/>
      <c r="N189" s="35"/>
      <c r="O189" s="42"/>
      <c r="P189" s="21"/>
      <c r="Q189" s="21"/>
      <c r="R189" s="33" t="str">
        <f aca="true">IF(B189="","",IF(N189&lt;&gt;"",N189-B189,TODAY()-B189))</f>
        <v/>
      </c>
      <c r="S189" s="38" t="str">
        <f aca="true">IF(OR(M189="",K189="Completed",K189="Cancelled"),"",IF(M189&lt;TODAY(),"OVERDUE",IF(M189-TODAY()&lt;=7,"Due ≤7d","On Schedule")))</f>
        <v/>
      </c>
      <c r="T189" s="21"/>
    </row>
    <row r="190" customFormat="false" ht="15" hidden="false" customHeight="false" outlineLevel="0" collapsed="false">
      <c r="A190" s="6" t="s">
        <v>1371</v>
      </c>
      <c r="B190" s="35"/>
      <c r="C190" s="34"/>
      <c r="D190" s="34"/>
      <c r="E190" s="34"/>
      <c r="F190" s="21"/>
      <c r="G190" s="34"/>
      <c r="H190" s="34"/>
      <c r="I190" s="34"/>
      <c r="J190" s="34"/>
      <c r="K190" s="34"/>
      <c r="L190" s="35"/>
      <c r="M190" s="35"/>
      <c r="N190" s="35"/>
      <c r="O190" s="42"/>
      <c r="P190" s="21"/>
      <c r="Q190" s="21"/>
      <c r="R190" s="33" t="str">
        <f aca="true">IF(B190="","",IF(N190&lt;&gt;"",N190-B190,TODAY()-B190))</f>
        <v/>
      </c>
      <c r="S190" s="38" t="str">
        <f aca="true">IF(OR(M190="",K190="Completed",K190="Cancelled"),"",IF(M190&lt;TODAY(),"OVERDUE",IF(M190-TODAY()&lt;=7,"Due ≤7d","On Schedule")))</f>
        <v/>
      </c>
      <c r="T190" s="21"/>
    </row>
    <row r="191" customFormat="false" ht="15" hidden="false" customHeight="false" outlineLevel="0" collapsed="false">
      <c r="A191" s="6" t="s">
        <v>1372</v>
      </c>
      <c r="B191" s="35"/>
      <c r="C191" s="34"/>
      <c r="D191" s="34"/>
      <c r="E191" s="34"/>
      <c r="F191" s="21"/>
      <c r="G191" s="34"/>
      <c r="H191" s="34"/>
      <c r="I191" s="34"/>
      <c r="J191" s="34"/>
      <c r="K191" s="34"/>
      <c r="L191" s="35"/>
      <c r="M191" s="35"/>
      <c r="N191" s="35"/>
      <c r="O191" s="42"/>
      <c r="P191" s="21"/>
      <c r="Q191" s="21"/>
      <c r="R191" s="33" t="str">
        <f aca="true">IF(B191="","",IF(N191&lt;&gt;"",N191-B191,TODAY()-B191))</f>
        <v/>
      </c>
      <c r="S191" s="38" t="str">
        <f aca="true">IF(OR(M191="",K191="Completed",K191="Cancelled"),"",IF(M191&lt;TODAY(),"OVERDUE",IF(M191-TODAY()&lt;=7,"Due ≤7d","On Schedule")))</f>
        <v/>
      </c>
      <c r="T191" s="21"/>
    </row>
    <row r="192" customFormat="false" ht="15" hidden="false" customHeight="false" outlineLevel="0" collapsed="false">
      <c r="A192" s="6" t="s">
        <v>1373</v>
      </c>
      <c r="B192" s="35"/>
      <c r="C192" s="34"/>
      <c r="D192" s="34"/>
      <c r="E192" s="34"/>
      <c r="F192" s="21"/>
      <c r="G192" s="34"/>
      <c r="H192" s="34"/>
      <c r="I192" s="34"/>
      <c r="J192" s="34"/>
      <c r="K192" s="34"/>
      <c r="L192" s="35"/>
      <c r="M192" s="35"/>
      <c r="N192" s="35"/>
      <c r="O192" s="42"/>
      <c r="P192" s="21"/>
      <c r="Q192" s="21"/>
      <c r="R192" s="33" t="str">
        <f aca="true">IF(B192="","",IF(N192&lt;&gt;"",N192-B192,TODAY()-B192))</f>
        <v/>
      </c>
      <c r="S192" s="38" t="str">
        <f aca="true">IF(OR(M192="",K192="Completed",K192="Cancelled"),"",IF(M192&lt;TODAY(),"OVERDUE",IF(M192-TODAY()&lt;=7,"Due ≤7d","On Schedule")))</f>
        <v/>
      </c>
      <c r="T192" s="21"/>
    </row>
    <row r="193" customFormat="false" ht="15" hidden="false" customHeight="false" outlineLevel="0" collapsed="false">
      <c r="A193" s="6" t="s">
        <v>1374</v>
      </c>
      <c r="B193" s="35"/>
      <c r="C193" s="34"/>
      <c r="D193" s="34"/>
      <c r="E193" s="34"/>
      <c r="F193" s="21"/>
      <c r="G193" s="34"/>
      <c r="H193" s="34"/>
      <c r="I193" s="34"/>
      <c r="J193" s="34"/>
      <c r="K193" s="34"/>
      <c r="L193" s="35"/>
      <c r="M193" s="35"/>
      <c r="N193" s="35"/>
      <c r="O193" s="42"/>
      <c r="P193" s="21"/>
      <c r="Q193" s="21"/>
      <c r="R193" s="33" t="str">
        <f aca="true">IF(B193="","",IF(N193&lt;&gt;"",N193-B193,TODAY()-B193))</f>
        <v/>
      </c>
      <c r="S193" s="38" t="str">
        <f aca="true">IF(OR(M193="",K193="Completed",K193="Cancelled"),"",IF(M193&lt;TODAY(),"OVERDUE",IF(M193-TODAY()&lt;=7,"Due ≤7d","On Schedule")))</f>
        <v/>
      </c>
      <c r="T193" s="21"/>
    </row>
    <row r="194" customFormat="false" ht="15" hidden="false" customHeight="false" outlineLevel="0" collapsed="false">
      <c r="A194" s="6" t="s">
        <v>1375</v>
      </c>
      <c r="B194" s="35"/>
      <c r="C194" s="34"/>
      <c r="D194" s="34"/>
      <c r="E194" s="34"/>
      <c r="F194" s="21"/>
      <c r="G194" s="34"/>
      <c r="H194" s="34"/>
      <c r="I194" s="34"/>
      <c r="J194" s="34"/>
      <c r="K194" s="34"/>
      <c r="L194" s="35"/>
      <c r="M194" s="35"/>
      <c r="N194" s="35"/>
      <c r="O194" s="42"/>
      <c r="P194" s="21"/>
      <c r="Q194" s="21"/>
      <c r="R194" s="33" t="str">
        <f aca="true">IF(B194="","",IF(N194&lt;&gt;"",N194-B194,TODAY()-B194))</f>
        <v/>
      </c>
      <c r="S194" s="38" t="str">
        <f aca="true">IF(OR(M194="",K194="Completed",K194="Cancelled"),"",IF(M194&lt;TODAY(),"OVERDUE",IF(M194-TODAY()&lt;=7,"Due ≤7d","On Schedule")))</f>
        <v/>
      </c>
      <c r="T194" s="21"/>
    </row>
    <row r="195" customFormat="false" ht="15" hidden="false" customHeight="false" outlineLevel="0" collapsed="false">
      <c r="A195" s="6" t="s">
        <v>1376</v>
      </c>
      <c r="B195" s="35"/>
      <c r="C195" s="34"/>
      <c r="D195" s="34"/>
      <c r="E195" s="34"/>
      <c r="F195" s="21"/>
      <c r="G195" s="34"/>
      <c r="H195" s="34"/>
      <c r="I195" s="34"/>
      <c r="J195" s="34"/>
      <c r="K195" s="34"/>
      <c r="L195" s="35"/>
      <c r="M195" s="35"/>
      <c r="N195" s="35"/>
      <c r="O195" s="42"/>
      <c r="P195" s="21"/>
      <c r="Q195" s="21"/>
      <c r="R195" s="33" t="str">
        <f aca="true">IF(B195="","",IF(N195&lt;&gt;"",N195-B195,TODAY()-B195))</f>
        <v/>
      </c>
      <c r="S195" s="38" t="str">
        <f aca="true">IF(OR(M195="",K195="Completed",K195="Cancelled"),"",IF(M195&lt;TODAY(),"OVERDUE",IF(M195-TODAY()&lt;=7,"Due ≤7d","On Schedule")))</f>
        <v/>
      </c>
      <c r="T195" s="21"/>
    </row>
    <row r="196" customFormat="false" ht="15" hidden="false" customHeight="false" outlineLevel="0" collapsed="false">
      <c r="A196" s="6" t="s">
        <v>1377</v>
      </c>
      <c r="B196" s="35"/>
      <c r="C196" s="34"/>
      <c r="D196" s="34"/>
      <c r="E196" s="34"/>
      <c r="F196" s="21"/>
      <c r="G196" s="34"/>
      <c r="H196" s="34"/>
      <c r="I196" s="34"/>
      <c r="J196" s="34"/>
      <c r="K196" s="34"/>
      <c r="L196" s="35"/>
      <c r="M196" s="35"/>
      <c r="N196" s="35"/>
      <c r="O196" s="42"/>
      <c r="P196" s="21"/>
      <c r="Q196" s="21"/>
      <c r="R196" s="33" t="str">
        <f aca="true">IF(B196="","",IF(N196&lt;&gt;"",N196-B196,TODAY()-B196))</f>
        <v/>
      </c>
      <c r="S196" s="38" t="str">
        <f aca="true">IF(OR(M196="",K196="Completed",K196="Cancelled"),"",IF(M196&lt;TODAY(),"OVERDUE",IF(M196-TODAY()&lt;=7,"Due ≤7d","On Schedule")))</f>
        <v/>
      </c>
      <c r="T196" s="21"/>
    </row>
    <row r="197" customFormat="false" ht="15" hidden="false" customHeight="false" outlineLevel="0" collapsed="false">
      <c r="A197" s="6" t="s">
        <v>1378</v>
      </c>
      <c r="B197" s="35"/>
      <c r="C197" s="34"/>
      <c r="D197" s="34"/>
      <c r="E197" s="34"/>
      <c r="F197" s="21"/>
      <c r="G197" s="34"/>
      <c r="H197" s="34"/>
      <c r="I197" s="34"/>
      <c r="J197" s="34"/>
      <c r="K197" s="34"/>
      <c r="L197" s="35"/>
      <c r="M197" s="35"/>
      <c r="N197" s="35"/>
      <c r="O197" s="42"/>
      <c r="P197" s="21"/>
      <c r="Q197" s="21"/>
      <c r="R197" s="33" t="str">
        <f aca="true">IF(B197="","",IF(N197&lt;&gt;"",N197-B197,TODAY()-B197))</f>
        <v/>
      </c>
      <c r="S197" s="38" t="str">
        <f aca="true">IF(OR(M197="",K197="Completed",K197="Cancelled"),"",IF(M197&lt;TODAY(),"OVERDUE",IF(M197-TODAY()&lt;=7,"Due ≤7d","On Schedule")))</f>
        <v/>
      </c>
      <c r="T197" s="21"/>
    </row>
    <row r="198" customFormat="false" ht="15" hidden="false" customHeight="false" outlineLevel="0" collapsed="false">
      <c r="A198" s="6" t="s">
        <v>1379</v>
      </c>
      <c r="B198" s="35"/>
      <c r="C198" s="34"/>
      <c r="D198" s="34"/>
      <c r="E198" s="34"/>
      <c r="F198" s="21"/>
      <c r="G198" s="34"/>
      <c r="H198" s="34"/>
      <c r="I198" s="34"/>
      <c r="J198" s="34"/>
      <c r="K198" s="34"/>
      <c r="L198" s="35"/>
      <c r="M198" s="35"/>
      <c r="N198" s="35"/>
      <c r="O198" s="42"/>
      <c r="P198" s="21"/>
      <c r="Q198" s="21"/>
      <c r="R198" s="33" t="str">
        <f aca="true">IF(B198="","",IF(N198&lt;&gt;"",N198-B198,TODAY()-B198))</f>
        <v/>
      </c>
      <c r="S198" s="38" t="str">
        <f aca="true">IF(OR(M198="",K198="Completed",K198="Cancelled"),"",IF(M198&lt;TODAY(),"OVERDUE",IF(M198-TODAY()&lt;=7,"Due ≤7d","On Schedule")))</f>
        <v/>
      </c>
      <c r="T198" s="21"/>
    </row>
    <row r="199" customFormat="false" ht="15" hidden="false" customHeight="false" outlineLevel="0" collapsed="false">
      <c r="A199" s="6" t="s">
        <v>1380</v>
      </c>
      <c r="B199" s="35"/>
      <c r="C199" s="34"/>
      <c r="D199" s="34"/>
      <c r="E199" s="34"/>
      <c r="F199" s="21"/>
      <c r="G199" s="34"/>
      <c r="H199" s="34"/>
      <c r="I199" s="34"/>
      <c r="J199" s="34"/>
      <c r="K199" s="34"/>
      <c r="L199" s="35"/>
      <c r="M199" s="35"/>
      <c r="N199" s="35"/>
      <c r="O199" s="42"/>
      <c r="P199" s="21"/>
      <c r="Q199" s="21"/>
      <c r="R199" s="33" t="str">
        <f aca="true">IF(B199="","",IF(N199&lt;&gt;"",N199-B199,TODAY()-B199))</f>
        <v/>
      </c>
      <c r="S199" s="38" t="str">
        <f aca="true">IF(OR(M199="",K199="Completed",K199="Cancelled"),"",IF(M199&lt;TODAY(),"OVERDUE",IF(M199-TODAY()&lt;=7,"Due ≤7d","On Schedule")))</f>
        <v/>
      </c>
      <c r="T199" s="21"/>
    </row>
    <row r="200" customFormat="false" ht="15" hidden="false" customHeight="false" outlineLevel="0" collapsed="false">
      <c r="A200" s="6" t="s">
        <v>1381</v>
      </c>
      <c r="B200" s="35"/>
      <c r="C200" s="34"/>
      <c r="D200" s="34"/>
      <c r="E200" s="34"/>
      <c r="F200" s="21"/>
      <c r="G200" s="34"/>
      <c r="H200" s="34"/>
      <c r="I200" s="34"/>
      <c r="J200" s="34"/>
      <c r="K200" s="34"/>
      <c r="L200" s="35"/>
      <c r="M200" s="35"/>
      <c r="N200" s="35"/>
      <c r="O200" s="42"/>
      <c r="P200" s="21"/>
      <c r="Q200" s="21"/>
      <c r="R200" s="33" t="str">
        <f aca="true">IF(B200="","",IF(N200&lt;&gt;"",N200-B200,TODAY()-B200))</f>
        <v/>
      </c>
      <c r="S200" s="38" t="str">
        <f aca="true">IF(OR(M200="",K200="Completed",K200="Cancelled"),"",IF(M200&lt;TODAY(),"OVERDUE",IF(M200-TODAY()&lt;=7,"Due ≤7d","On Schedule")))</f>
        <v/>
      </c>
      <c r="T200" s="21"/>
    </row>
    <row r="201" customFormat="false" ht="15" hidden="false" customHeight="false" outlineLevel="0" collapsed="false">
      <c r="A201" s="6" t="s">
        <v>1382</v>
      </c>
      <c r="B201" s="35"/>
      <c r="C201" s="34"/>
      <c r="D201" s="34"/>
      <c r="E201" s="34"/>
      <c r="F201" s="21"/>
      <c r="G201" s="34"/>
      <c r="H201" s="34"/>
      <c r="I201" s="34"/>
      <c r="J201" s="34"/>
      <c r="K201" s="34"/>
      <c r="L201" s="35"/>
      <c r="M201" s="35"/>
      <c r="N201" s="35"/>
      <c r="O201" s="42"/>
      <c r="P201" s="21"/>
      <c r="Q201" s="21"/>
      <c r="R201" s="33" t="str">
        <f aca="true">IF(B201="","",IF(N201&lt;&gt;"",N201-B201,TODAY()-B201))</f>
        <v/>
      </c>
      <c r="S201" s="38" t="str">
        <f aca="true">IF(OR(M201="",K201="Completed",K201="Cancelled"),"",IF(M201&lt;TODAY(),"OVERDUE",IF(M201-TODAY()&lt;=7,"Due ≤7d","On Schedule")))</f>
        <v/>
      </c>
      <c r="T201" s="21"/>
    </row>
    <row r="202" customFormat="false" ht="15" hidden="false" customHeight="false" outlineLevel="0" collapsed="false">
      <c r="A202" s="6" t="s">
        <v>1383</v>
      </c>
      <c r="B202" s="35"/>
      <c r="C202" s="34"/>
      <c r="D202" s="34"/>
      <c r="E202" s="34"/>
      <c r="F202" s="21"/>
      <c r="G202" s="34"/>
      <c r="H202" s="34"/>
      <c r="I202" s="34"/>
      <c r="J202" s="34"/>
      <c r="K202" s="34"/>
      <c r="L202" s="35"/>
      <c r="M202" s="35"/>
      <c r="N202" s="35"/>
      <c r="O202" s="42"/>
      <c r="P202" s="21"/>
      <c r="Q202" s="21"/>
      <c r="R202" s="33" t="str">
        <f aca="true">IF(B202="","",IF(N202&lt;&gt;"",N202-B202,TODAY()-B202))</f>
        <v/>
      </c>
      <c r="S202" s="38" t="str">
        <f aca="true">IF(OR(M202="",K202="Completed",K202="Cancelled"),"",IF(M202&lt;TODAY(),"OVERDUE",IF(M202-TODAY()&lt;=7,"Due ≤7d","On Schedule")))</f>
        <v/>
      </c>
      <c r="T202" s="21"/>
    </row>
    <row r="203" customFormat="false" ht="15" hidden="false" customHeight="false" outlineLevel="0" collapsed="false">
      <c r="A203" s="6" t="s">
        <v>1384</v>
      </c>
      <c r="B203" s="35"/>
      <c r="C203" s="34"/>
      <c r="D203" s="34"/>
      <c r="E203" s="34"/>
      <c r="F203" s="21"/>
      <c r="G203" s="34"/>
      <c r="H203" s="34"/>
      <c r="I203" s="34"/>
      <c r="J203" s="34"/>
      <c r="K203" s="34"/>
      <c r="L203" s="35"/>
      <c r="M203" s="35"/>
      <c r="N203" s="35"/>
      <c r="O203" s="42"/>
      <c r="P203" s="21"/>
      <c r="Q203" s="21"/>
      <c r="R203" s="33" t="str">
        <f aca="true">IF(B203="","",IF(N203&lt;&gt;"",N203-B203,TODAY()-B203))</f>
        <v/>
      </c>
      <c r="S203" s="38" t="str">
        <f aca="true">IF(OR(M203="",K203="Completed",K203="Cancelled"),"",IF(M203&lt;TODAY(),"OVERDUE",IF(M203-TODAY()&lt;=7,"Due ≤7d","On Schedule")))</f>
        <v/>
      </c>
      <c r="T203" s="21"/>
    </row>
    <row r="204" customFormat="false" ht="15" hidden="false" customHeight="false" outlineLevel="0" collapsed="false">
      <c r="A204" s="6" t="s">
        <v>1385</v>
      </c>
      <c r="B204" s="35"/>
      <c r="C204" s="34"/>
      <c r="D204" s="34"/>
      <c r="E204" s="34"/>
      <c r="F204" s="21"/>
      <c r="G204" s="34"/>
      <c r="H204" s="34"/>
      <c r="I204" s="34"/>
      <c r="J204" s="34"/>
      <c r="K204" s="34"/>
      <c r="L204" s="35"/>
      <c r="M204" s="35"/>
      <c r="N204" s="35"/>
      <c r="O204" s="42"/>
      <c r="P204" s="21"/>
      <c r="Q204" s="21"/>
      <c r="R204" s="33" t="str">
        <f aca="true">IF(B204="","",IF(N204&lt;&gt;"",N204-B204,TODAY()-B204))</f>
        <v/>
      </c>
      <c r="S204" s="38" t="str">
        <f aca="true">IF(OR(M204="",K204="Completed",K204="Cancelled"),"",IF(M204&lt;TODAY(),"OVERDUE",IF(M204-TODAY()&lt;=7,"Due ≤7d","On Schedule")))</f>
        <v/>
      </c>
      <c r="T204" s="21"/>
    </row>
    <row r="205" customFormat="false" ht="15" hidden="false" customHeight="false" outlineLevel="0" collapsed="false">
      <c r="A205" s="6" t="s">
        <v>1386</v>
      </c>
      <c r="B205" s="35"/>
      <c r="C205" s="34"/>
      <c r="D205" s="34"/>
      <c r="E205" s="34"/>
      <c r="F205" s="21"/>
      <c r="G205" s="34"/>
      <c r="H205" s="34"/>
      <c r="I205" s="34"/>
      <c r="J205" s="34"/>
      <c r="K205" s="34"/>
      <c r="L205" s="35"/>
      <c r="M205" s="35"/>
      <c r="N205" s="35"/>
      <c r="O205" s="42"/>
      <c r="P205" s="21"/>
      <c r="Q205" s="21"/>
      <c r="R205" s="33" t="str">
        <f aca="true">IF(B205="","",IF(N205&lt;&gt;"",N205-B205,TODAY()-B205))</f>
        <v/>
      </c>
      <c r="S205" s="38" t="str">
        <f aca="true">IF(OR(M205="",K205="Completed",K205="Cancelled"),"",IF(M205&lt;TODAY(),"OVERDUE",IF(M205-TODAY()&lt;=7,"Due ≤7d","On Schedule")))</f>
        <v/>
      </c>
      <c r="T205" s="21"/>
    </row>
    <row r="206" customFormat="false" ht="15" hidden="false" customHeight="false" outlineLevel="0" collapsed="false">
      <c r="A206" s="6" t="s">
        <v>1387</v>
      </c>
      <c r="B206" s="35"/>
      <c r="C206" s="34"/>
      <c r="D206" s="34"/>
      <c r="E206" s="34"/>
      <c r="F206" s="21"/>
      <c r="G206" s="34"/>
      <c r="H206" s="34"/>
      <c r="I206" s="34"/>
      <c r="J206" s="34"/>
      <c r="K206" s="34"/>
      <c r="L206" s="35"/>
      <c r="M206" s="35"/>
      <c r="N206" s="35"/>
      <c r="O206" s="42"/>
      <c r="P206" s="21"/>
      <c r="Q206" s="21"/>
      <c r="R206" s="33" t="str">
        <f aca="true">IF(B206="","",IF(N206&lt;&gt;"",N206-B206,TODAY()-B206))</f>
        <v/>
      </c>
      <c r="S206" s="38" t="str">
        <f aca="true">IF(OR(M206="",K206="Completed",K206="Cancelled"),"",IF(M206&lt;TODAY(),"OVERDUE",IF(M206-TODAY()&lt;=7,"Due ≤7d","On Schedule")))</f>
        <v/>
      </c>
      <c r="T206" s="21"/>
    </row>
    <row r="207" customFormat="false" ht="15" hidden="false" customHeight="false" outlineLevel="0" collapsed="false">
      <c r="A207" s="6" t="s">
        <v>1388</v>
      </c>
      <c r="B207" s="35"/>
      <c r="C207" s="34"/>
      <c r="D207" s="34"/>
      <c r="E207" s="34"/>
      <c r="F207" s="21"/>
      <c r="G207" s="34"/>
      <c r="H207" s="34"/>
      <c r="I207" s="34"/>
      <c r="J207" s="34"/>
      <c r="K207" s="34"/>
      <c r="L207" s="35"/>
      <c r="M207" s="35"/>
      <c r="N207" s="35"/>
      <c r="O207" s="42"/>
      <c r="P207" s="21"/>
      <c r="Q207" s="21"/>
      <c r="R207" s="33" t="str">
        <f aca="true">IF(B207="","",IF(N207&lt;&gt;"",N207-B207,TODAY()-B207))</f>
        <v/>
      </c>
      <c r="S207" s="38" t="str">
        <f aca="true">IF(OR(M207="",K207="Completed",K207="Cancelled"),"",IF(M207&lt;TODAY(),"OVERDUE",IF(M207-TODAY()&lt;=7,"Due ≤7d","On Schedule")))</f>
        <v/>
      </c>
      <c r="T207" s="21"/>
    </row>
    <row r="208" customFormat="false" ht="15" hidden="false" customHeight="false" outlineLevel="0" collapsed="false">
      <c r="A208" s="6" t="s">
        <v>1389</v>
      </c>
      <c r="B208" s="35"/>
      <c r="C208" s="34"/>
      <c r="D208" s="34"/>
      <c r="E208" s="34"/>
      <c r="F208" s="21"/>
      <c r="G208" s="34"/>
      <c r="H208" s="34"/>
      <c r="I208" s="34"/>
      <c r="J208" s="34"/>
      <c r="K208" s="34"/>
      <c r="L208" s="35"/>
      <c r="M208" s="35"/>
      <c r="N208" s="35"/>
      <c r="O208" s="42"/>
      <c r="P208" s="21"/>
      <c r="Q208" s="21"/>
      <c r="R208" s="33" t="str">
        <f aca="true">IF(B208="","",IF(N208&lt;&gt;"",N208-B208,TODAY()-B208))</f>
        <v/>
      </c>
      <c r="S208" s="38" t="str">
        <f aca="true">IF(OR(M208="",K208="Completed",K208="Cancelled"),"",IF(M208&lt;TODAY(),"OVERDUE",IF(M208-TODAY()&lt;=7,"Due ≤7d","On Schedule")))</f>
        <v/>
      </c>
      <c r="T208" s="21"/>
    </row>
    <row r="209" customFormat="false" ht="15" hidden="false" customHeight="false" outlineLevel="0" collapsed="false">
      <c r="A209" s="6" t="s">
        <v>1390</v>
      </c>
      <c r="B209" s="35"/>
      <c r="C209" s="34"/>
      <c r="D209" s="34"/>
      <c r="E209" s="34"/>
      <c r="F209" s="21"/>
      <c r="G209" s="34"/>
      <c r="H209" s="34"/>
      <c r="I209" s="34"/>
      <c r="J209" s="34"/>
      <c r="K209" s="34"/>
      <c r="L209" s="35"/>
      <c r="M209" s="35"/>
      <c r="N209" s="35"/>
      <c r="O209" s="42"/>
      <c r="P209" s="21"/>
      <c r="Q209" s="21"/>
      <c r="R209" s="33" t="str">
        <f aca="true">IF(B209="","",IF(N209&lt;&gt;"",N209-B209,TODAY()-B209))</f>
        <v/>
      </c>
      <c r="S209" s="38" t="str">
        <f aca="true">IF(OR(M209="",K209="Completed",K209="Cancelled"),"",IF(M209&lt;TODAY(),"OVERDUE",IF(M209-TODAY()&lt;=7,"Due ≤7d","On Schedule")))</f>
        <v/>
      </c>
      <c r="T209" s="21"/>
    </row>
    <row r="210" customFormat="false" ht="15" hidden="false" customHeight="false" outlineLevel="0" collapsed="false">
      <c r="A210" s="6" t="s">
        <v>1391</v>
      </c>
      <c r="B210" s="35"/>
      <c r="C210" s="34"/>
      <c r="D210" s="34"/>
      <c r="E210" s="34"/>
      <c r="F210" s="21"/>
      <c r="G210" s="34"/>
      <c r="H210" s="34"/>
      <c r="I210" s="34"/>
      <c r="J210" s="34"/>
      <c r="K210" s="34"/>
      <c r="L210" s="35"/>
      <c r="M210" s="35"/>
      <c r="N210" s="35"/>
      <c r="O210" s="42"/>
      <c r="P210" s="21"/>
      <c r="Q210" s="21"/>
      <c r="R210" s="33" t="str">
        <f aca="true">IF(B210="","",IF(N210&lt;&gt;"",N210-B210,TODAY()-B210))</f>
        <v/>
      </c>
      <c r="S210" s="38" t="str">
        <f aca="true">IF(OR(M210="",K210="Completed",K210="Cancelled"),"",IF(M210&lt;TODAY(),"OVERDUE",IF(M210-TODAY()&lt;=7,"Due ≤7d","On Schedule")))</f>
        <v/>
      </c>
      <c r="T210" s="21"/>
    </row>
    <row r="211" customFormat="false" ht="15" hidden="false" customHeight="false" outlineLevel="0" collapsed="false">
      <c r="A211" s="6" t="s">
        <v>1392</v>
      </c>
      <c r="B211" s="35"/>
      <c r="C211" s="34"/>
      <c r="D211" s="34"/>
      <c r="E211" s="34"/>
      <c r="F211" s="21"/>
      <c r="G211" s="34"/>
      <c r="H211" s="34"/>
      <c r="I211" s="34"/>
      <c r="J211" s="34"/>
      <c r="K211" s="34"/>
      <c r="L211" s="35"/>
      <c r="M211" s="35"/>
      <c r="N211" s="35"/>
      <c r="O211" s="42"/>
      <c r="P211" s="21"/>
      <c r="Q211" s="21"/>
      <c r="R211" s="33" t="str">
        <f aca="true">IF(B211="","",IF(N211&lt;&gt;"",N211-B211,TODAY()-B211))</f>
        <v/>
      </c>
      <c r="S211" s="38" t="str">
        <f aca="true">IF(OR(M211="",K211="Completed",K211="Cancelled"),"",IF(M211&lt;TODAY(),"OVERDUE",IF(M211-TODAY()&lt;=7,"Due ≤7d","On Schedule")))</f>
        <v/>
      </c>
      <c r="T211" s="21"/>
    </row>
    <row r="212" customFormat="false" ht="15" hidden="false" customHeight="false" outlineLevel="0" collapsed="false">
      <c r="A212" s="6" t="s">
        <v>1393</v>
      </c>
      <c r="B212" s="35"/>
      <c r="C212" s="34"/>
      <c r="D212" s="34"/>
      <c r="E212" s="34"/>
      <c r="F212" s="21"/>
      <c r="G212" s="34"/>
      <c r="H212" s="34"/>
      <c r="I212" s="34"/>
      <c r="J212" s="34"/>
      <c r="K212" s="34"/>
      <c r="L212" s="35"/>
      <c r="M212" s="35"/>
      <c r="N212" s="35"/>
      <c r="O212" s="42"/>
      <c r="P212" s="21"/>
      <c r="Q212" s="21"/>
      <c r="R212" s="33" t="str">
        <f aca="true">IF(B212="","",IF(N212&lt;&gt;"",N212-B212,TODAY()-B212))</f>
        <v/>
      </c>
      <c r="S212" s="38" t="str">
        <f aca="true">IF(OR(M212="",K212="Completed",K212="Cancelled"),"",IF(M212&lt;TODAY(),"OVERDUE",IF(M212-TODAY()&lt;=7,"Due ≤7d","On Schedule")))</f>
        <v/>
      </c>
      <c r="T212" s="21"/>
    </row>
    <row r="213" customFormat="false" ht="15" hidden="false" customHeight="false" outlineLevel="0" collapsed="false">
      <c r="A213" s="6" t="s">
        <v>1394</v>
      </c>
      <c r="B213" s="35"/>
      <c r="C213" s="34"/>
      <c r="D213" s="34"/>
      <c r="E213" s="34"/>
      <c r="F213" s="21"/>
      <c r="G213" s="34"/>
      <c r="H213" s="34"/>
      <c r="I213" s="34"/>
      <c r="J213" s="34"/>
      <c r="K213" s="34"/>
      <c r="L213" s="35"/>
      <c r="M213" s="35"/>
      <c r="N213" s="35"/>
      <c r="O213" s="42"/>
      <c r="P213" s="21"/>
      <c r="Q213" s="21"/>
      <c r="R213" s="33" t="str">
        <f aca="true">IF(B213="","",IF(N213&lt;&gt;"",N213-B213,TODAY()-B213))</f>
        <v/>
      </c>
      <c r="S213" s="38" t="str">
        <f aca="true">IF(OR(M213="",K213="Completed",K213="Cancelled"),"",IF(M213&lt;TODAY(),"OVERDUE",IF(M213-TODAY()&lt;=7,"Due ≤7d","On Schedule")))</f>
        <v/>
      </c>
      <c r="T213" s="21"/>
    </row>
    <row r="214" customFormat="false" ht="15" hidden="false" customHeight="false" outlineLevel="0" collapsed="false">
      <c r="A214" s="6" t="s">
        <v>1395</v>
      </c>
      <c r="B214" s="35"/>
      <c r="C214" s="34"/>
      <c r="D214" s="34"/>
      <c r="E214" s="34"/>
      <c r="F214" s="21"/>
      <c r="G214" s="34"/>
      <c r="H214" s="34"/>
      <c r="I214" s="34"/>
      <c r="J214" s="34"/>
      <c r="K214" s="34"/>
      <c r="L214" s="35"/>
      <c r="M214" s="35"/>
      <c r="N214" s="35"/>
      <c r="O214" s="42"/>
      <c r="P214" s="21"/>
      <c r="Q214" s="21"/>
      <c r="R214" s="33" t="str">
        <f aca="true">IF(B214="","",IF(N214&lt;&gt;"",N214-B214,TODAY()-B214))</f>
        <v/>
      </c>
      <c r="S214" s="38" t="str">
        <f aca="true">IF(OR(M214="",K214="Completed",K214="Cancelled"),"",IF(M214&lt;TODAY(),"OVERDUE",IF(M214-TODAY()&lt;=7,"Due ≤7d","On Schedule")))</f>
        <v/>
      </c>
      <c r="T214" s="21"/>
    </row>
    <row r="215" customFormat="false" ht="15" hidden="false" customHeight="false" outlineLevel="0" collapsed="false">
      <c r="A215" s="6" t="s">
        <v>1396</v>
      </c>
      <c r="B215" s="35"/>
      <c r="C215" s="34"/>
      <c r="D215" s="34"/>
      <c r="E215" s="34"/>
      <c r="F215" s="21"/>
      <c r="G215" s="34"/>
      <c r="H215" s="34"/>
      <c r="I215" s="34"/>
      <c r="J215" s="34"/>
      <c r="K215" s="34"/>
      <c r="L215" s="35"/>
      <c r="M215" s="35"/>
      <c r="N215" s="35"/>
      <c r="O215" s="42"/>
      <c r="P215" s="21"/>
      <c r="Q215" s="21"/>
      <c r="R215" s="33" t="str">
        <f aca="true">IF(B215="","",IF(N215&lt;&gt;"",N215-B215,TODAY()-B215))</f>
        <v/>
      </c>
      <c r="S215" s="38" t="str">
        <f aca="true">IF(OR(M215="",K215="Completed",K215="Cancelled"),"",IF(M215&lt;TODAY(),"OVERDUE",IF(M215-TODAY()&lt;=7,"Due ≤7d","On Schedule")))</f>
        <v/>
      </c>
      <c r="T215" s="21"/>
    </row>
    <row r="216" customFormat="false" ht="15" hidden="false" customHeight="false" outlineLevel="0" collapsed="false">
      <c r="A216" s="6" t="s">
        <v>1397</v>
      </c>
      <c r="B216" s="35"/>
      <c r="C216" s="34"/>
      <c r="D216" s="34"/>
      <c r="E216" s="34"/>
      <c r="F216" s="21"/>
      <c r="G216" s="34"/>
      <c r="H216" s="34"/>
      <c r="I216" s="34"/>
      <c r="J216" s="34"/>
      <c r="K216" s="34"/>
      <c r="L216" s="35"/>
      <c r="M216" s="35"/>
      <c r="N216" s="35"/>
      <c r="O216" s="42"/>
      <c r="P216" s="21"/>
      <c r="Q216" s="21"/>
      <c r="R216" s="33" t="str">
        <f aca="true">IF(B216="","",IF(N216&lt;&gt;"",N216-B216,TODAY()-B216))</f>
        <v/>
      </c>
      <c r="S216" s="38" t="str">
        <f aca="true">IF(OR(M216="",K216="Completed",K216="Cancelled"),"",IF(M216&lt;TODAY(),"OVERDUE",IF(M216-TODAY()&lt;=7,"Due ≤7d","On Schedule")))</f>
        <v/>
      </c>
      <c r="T216" s="21"/>
    </row>
    <row r="217" customFormat="false" ht="15" hidden="false" customHeight="false" outlineLevel="0" collapsed="false">
      <c r="A217" s="6" t="s">
        <v>1398</v>
      </c>
      <c r="B217" s="35"/>
      <c r="C217" s="34"/>
      <c r="D217" s="34"/>
      <c r="E217" s="34"/>
      <c r="F217" s="21"/>
      <c r="G217" s="34"/>
      <c r="H217" s="34"/>
      <c r="I217" s="34"/>
      <c r="J217" s="34"/>
      <c r="K217" s="34"/>
      <c r="L217" s="35"/>
      <c r="M217" s="35"/>
      <c r="N217" s="35"/>
      <c r="O217" s="42"/>
      <c r="P217" s="21"/>
      <c r="Q217" s="21"/>
      <c r="R217" s="33" t="str">
        <f aca="true">IF(B217="","",IF(N217&lt;&gt;"",N217-B217,TODAY()-B217))</f>
        <v/>
      </c>
      <c r="S217" s="38" t="str">
        <f aca="true">IF(OR(M217="",K217="Completed",K217="Cancelled"),"",IF(M217&lt;TODAY(),"OVERDUE",IF(M217-TODAY()&lt;=7,"Due ≤7d","On Schedule")))</f>
        <v/>
      </c>
      <c r="T217" s="21"/>
    </row>
    <row r="218" customFormat="false" ht="15" hidden="false" customHeight="false" outlineLevel="0" collapsed="false">
      <c r="A218" s="6" t="s">
        <v>1399</v>
      </c>
      <c r="B218" s="35"/>
      <c r="C218" s="34"/>
      <c r="D218" s="34"/>
      <c r="E218" s="34"/>
      <c r="F218" s="21"/>
      <c r="G218" s="34"/>
      <c r="H218" s="34"/>
      <c r="I218" s="34"/>
      <c r="J218" s="34"/>
      <c r="K218" s="34"/>
      <c r="L218" s="35"/>
      <c r="M218" s="35"/>
      <c r="N218" s="35"/>
      <c r="O218" s="42"/>
      <c r="P218" s="21"/>
      <c r="Q218" s="21"/>
      <c r="R218" s="33" t="str">
        <f aca="true">IF(B218="","",IF(N218&lt;&gt;"",N218-B218,TODAY()-B218))</f>
        <v/>
      </c>
      <c r="S218" s="38" t="str">
        <f aca="true">IF(OR(M218="",K218="Completed",K218="Cancelled"),"",IF(M218&lt;TODAY(),"OVERDUE",IF(M218-TODAY()&lt;=7,"Due ≤7d","On Schedule")))</f>
        <v/>
      </c>
      <c r="T218" s="21"/>
    </row>
    <row r="219" customFormat="false" ht="15" hidden="false" customHeight="false" outlineLevel="0" collapsed="false">
      <c r="A219" s="6" t="s">
        <v>1400</v>
      </c>
      <c r="B219" s="35"/>
      <c r="C219" s="34"/>
      <c r="D219" s="34"/>
      <c r="E219" s="34"/>
      <c r="F219" s="21"/>
      <c r="G219" s="34"/>
      <c r="H219" s="34"/>
      <c r="I219" s="34"/>
      <c r="J219" s="34"/>
      <c r="K219" s="34"/>
      <c r="L219" s="35"/>
      <c r="M219" s="35"/>
      <c r="N219" s="35"/>
      <c r="O219" s="42"/>
      <c r="P219" s="21"/>
      <c r="Q219" s="21"/>
      <c r="R219" s="33" t="str">
        <f aca="true">IF(B219="","",IF(N219&lt;&gt;"",N219-B219,TODAY()-B219))</f>
        <v/>
      </c>
      <c r="S219" s="38" t="str">
        <f aca="true">IF(OR(M219="",K219="Completed",K219="Cancelled"),"",IF(M219&lt;TODAY(),"OVERDUE",IF(M219-TODAY()&lt;=7,"Due ≤7d","On Schedule")))</f>
        <v/>
      </c>
      <c r="T219" s="21"/>
    </row>
    <row r="220" customFormat="false" ht="15" hidden="false" customHeight="false" outlineLevel="0" collapsed="false">
      <c r="A220" s="6" t="s">
        <v>1401</v>
      </c>
      <c r="B220" s="35"/>
      <c r="C220" s="34"/>
      <c r="D220" s="34"/>
      <c r="E220" s="34"/>
      <c r="F220" s="21"/>
      <c r="G220" s="34"/>
      <c r="H220" s="34"/>
      <c r="I220" s="34"/>
      <c r="J220" s="34"/>
      <c r="K220" s="34"/>
      <c r="L220" s="35"/>
      <c r="M220" s="35"/>
      <c r="N220" s="35"/>
      <c r="O220" s="42"/>
      <c r="P220" s="21"/>
      <c r="Q220" s="21"/>
      <c r="R220" s="33" t="str">
        <f aca="true">IF(B220="","",IF(N220&lt;&gt;"",N220-B220,TODAY()-B220))</f>
        <v/>
      </c>
      <c r="S220" s="38" t="str">
        <f aca="true">IF(OR(M220="",K220="Completed",K220="Cancelled"),"",IF(M220&lt;TODAY(),"OVERDUE",IF(M220-TODAY()&lt;=7,"Due ≤7d","On Schedule")))</f>
        <v/>
      </c>
      <c r="T220" s="21"/>
    </row>
    <row r="221" customFormat="false" ht="15" hidden="false" customHeight="false" outlineLevel="0" collapsed="false">
      <c r="A221" s="6" t="s">
        <v>1402</v>
      </c>
      <c r="B221" s="35"/>
      <c r="C221" s="34"/>
      <c r="D221" s="34"/>
      <c r="E221" s="34"/>
      <c r="F221" s="21"/>
      <c r="G221" s="34"/>
      <c r="H221" s="34"/>
      <c r="I221" s="34"/>
      <c r="J221" s="34"/>
      <c r="K221" s="34"/>
      <c r="L221" s="35"/>
      <c r="M221" s="35"/>
      <c r="N221" s="35"/>
      <c r="O221" s="42"/>
      <c r="P221" s="21"/>
      <c r="Q221" s="21"/>
      <c r="R221" s="33" t="str">
        <f aca="true">IF(B221="","",IF(N221&lt;&gt;"",N221-B221,TODAY()-B221))</f>
        <v/>
      </c>
      <c r="S221" s="38" t="str">
        <f aca="true">IF(OR(M221="",K221="Completed",K221="Cancelled"),"",IF(M221&lt;TODAY(),"OVERDUE",IF(M221-TODAY()&lt;=7,"Due ≤7d","On Schedule")))</f>
        <v/>
      </c>
      <c r="T221" s="21"/>
    </row>
    <row r="222" customFormat="false" ht="15" hidden="false" customHeight="false" outlineLevel="0" collapsed="false">
      <c r="A222" s="6" t="s">
        <v>1403</v>
      </c>
      <c r="B222" s="35"/>
      <c r="C222" s="34"/>
      <c r="D222" s="34"/>
      <c r="E222" s="34"/>
      <c r="F222" s="21"/>
      <c r="G222" s="34"/>
      <c r="H222" s="34"/>
      <c r="I222" s="34"/>
      <c r="J222" s="34"/>
      <c r="K222" s="34"/>
      <c r="L222" s="35"/>
      <c r="M222" s="35"/>
      <c r="N222" s="35"/>
      <c r="O222" s="42"/>
      <c r="P222" s="21"/>
      <c r="Q222" s="21"/>
      <c r="R222" s="33" t="str">
        <f aca="true">IF(B222="","",IF(N222&lt;&gt;"",N222-B222,TODAY()-B222))</f>
        <v/>
      </c>
      <c r="S222" s="38" t="str">
        <f aca="true">IF(OR(M222="",K222="Completed",K222="Cancelled"),"",IF(M222&lt;TODAY(),"OVERDUE",IF(M222-TODAY()&lt;=7,"Due ≤7d","On Schedule")))</f>
        <v/>
      </c>
      <c r="T222" s="21"/>
    </row>
    <row r="223" customFormat="false" ht="15" hidden="false" customHeight="false" outlineLevel="0" collapsed="false">
      <c r="A223" s="6" t="s">
        <v>1404</v>
      </c>
      <c r="B223" s="35"/>
      <c r="C223" s="34"/>
      <c r="D223" s="34"/>
      <c r="E223" s="34"/>
      <c r="F223" s="21"/>
      <c r="G223" s="34"/>
      <c r="H223" s="34"/>
      <c r="I223" s="34"/>
      <c r="J223" s="34"/>
      <c r="K223" s="34"/>
      <c r="L223" s="35"/>
      <c r="M223" s="35"/>
      <c r="N223" s="35"/>
      <c r="O223" s="42"/>
      <c r="P223" s="21"/>
      <c r="Q223" s="21"/>
      <c r="R223" s="33" t="str">
        <f aca="true">IF(B223="","",IF(N223&lt;&gt;"",N223-B223,TODAY()-B223))</f>
        <v/>
      </c>
      <c r="S223" s="38" t="str">
        <f aca="true">IF(OR(M223="",K223="Completed",K223="Cancelled"),"",IF(M223&lt;TODAY(),"OVERDUE",IF(M223-TODAY()&lt;=7,"Due ≤7d","On Schedule")))</f>
        <v/>
      </c>
      <c r="T223" s="21"/>
    </row>
    <row r="224" customFormat="false" ht="15" hidden="false" customHeight="false" outlineLevel="0" collapsed="false">
      <c r="A224" s="6" t="s">
        <v>1405</v>
      </c>
      <c r="B224" s="35"/>
      <c r="C224" s="34"/>
      <c r="D224" s="34"/>
      <c r="E224" s="34"/>
      <c r="F224" s="21"/>
      <c r="G224" s="34"/>
      <c r="H224" s="34"/>
      <c r="I224" s="34"/>
      <c r="J224" s="34"/>
      <c r="K224" s="34"/>
      <c r="L224" s="35"/>
      <c r="M224" s="35"/>
      <c r="N224" s="35"/>
      <c r="O224" s="42"/>
      <c r="P224" s="21"/>
      <c r="Q224" s="21"/>
      <c r="R224" s="33" t="str">
        <f aca="true">IF(B224="","",IF(N224&lt;&gt;"",N224-B224,TODAY()-B224))</f>
        <v/>
      </c>
      <c r="S224" s="38" t="str">
        <f aca="true">IF(OR(M224="",K224="Completed",K224="Cancelled"),"",IF(M224&lt;TODAY(),"OVERDUE",IF(M224-TODAY()&lt;=7,"Due ≤7d","On Schedule")))</f>
        <v/>
      </c>
      <c r="T224" s="21"/>
    </row>
    <row r="225" customFormat="false" ht="15" hidden="false" customHeight="false" outlineLevel="0" collapsed="false">
      <c r="A225" s="6" t="s">
        <v>1406</v>
      </c>
      <c r="B225" s="35"/>
      <c r="C225" s="34"/>
      <c r="D225" s="34"/>
      <c r="E225" s="34"/>
      <c r="F225" s="21"/>
      <c r="G225" s="34"/>
      <c r="H225" s="34"/>
      <c r="I225" s="34"/>
      <c r="J225" s="34"/>
      <c r="K225" s="34"/>
      <c r="L225" s="35"/>
      <c r="M225" s="35"/>
      <c r="N225" s="35"/>
      <c r="O225" s="42"/>
      <c r="P225" s="21"/>
      <c r="Q225" s="21"/>
      <c r="R225" s="33" t="str">
        <f aca="true">IF(B225="","",IF(N225&lt;&gt;"",N225-B225,TODAY()-B225))</f>
        <v/>
      </c>
      <c r="S225" s="38" t="str">
        <f aca="true">IF(OR(M225="",K225="Completed",K225="Cancelled"),"",IF(M225&lt;TODAY(),"OVERDUE",IF(M225-TODAY()&lt;=7,"Due ≤7d","On Schedule")))</f>
        <v/>
      </c>
      <c r="T225" s="21"/>
    </row>
    <row r="226" customFormat="false" ht="15" hidden="false" customHeight="false" outlineLevel="0" collapsed="false">
      <c r="A226" s="6" t="s">
        <v>1407</v>
      </c>
      <c r="B226" s="35"/>
      <c r="C226" s="34"/>
      <c r="D226" s="34"/>
      <c r="E226" s="34"/>
      <c r="F226" s="21"/>
      <c r="G226" s="34"/>
      <c r="H226" s="34"/>
      <c r="I226" s="34"/>
      <c r="J226" s="34"/>
      <c r="K226" s="34"/>
      <c r="L226" s="35"/>
      <c r="M226" s="35"/>
      <c r="N226" s="35"/>
      <c r="O226" s="42"/>
      <c r="P226" s="21"/>
      <c r="Q226" s="21"/>
      <c r="R226" s="33" t="str">
        <f aca="true">IF(B226="","",IF(N226&lt;&gt;"",N226-B226,TODAY()-B226))</f>
        <v/>
      </c>
      <c r="S226" s="38" t="str">
        <f aca="true">IF(OR(M226="",K226="Completed",K226="Cancelled"),"",IF(M226&lt;TODAY(),"OVERDUE",IF(M226-TODAY()&lt;=7,"Due ≤7d","On Schedule")))</f>
        <v/>
      </c>
      <c r="T226" s="21"/>
    </row>
    <row r="227" customFormat="false" ht="15" hidden="false" customHeight="false" outlineLevel="0" collapsed="false">
      <c r="A227" s="6" t="s">
        <v>1408</v>
      </c>
      <c r="B227" s="35"/>
      <c r="C227" s="34"/>
      <c r="D227" s="34"/>
      <c r="E227" s="34"/>
      <c r="F227" s="21"/>
      <c r="G227" s="34"/>
      <c r="H227" s="34"/>
      <c r="I227" s="34"/>
      <c r="J227" s="34"/>
      <c r="K227" s="34"/>
      <c r="L227" s="35"/>
      <c r="M227" s="35"/>
      <c r="N227" s="35"/>
      <c r="O227" s="42"/>
      <c r="P227" s="21"/>
      <c r="Q227" s="21"/>
      <c r="R227" s="33" t="str">
        <f aca="true">IF(B227="","",IF(N227&lt;&gt;"",N227-B227,TODAY()-B227))</f>
        <v/>
      </c>
      <c r="S227" s="38" t="str">
        <f aca="true">IF(OR(M227="",K227="Completed",K227="Cancelled"),"",IF(M227&lt;TODAY(),"OVERDUE",IF(M227-TODAY()&lt;=7,"Due ≤7d","On Schedule")))</f>
        <v/>
      </c>
      <c r="T227" s="21"/>
    </row>
    <row r="228" customFormat="false" ht="15" hidden="false" customHeight="false" outlineLevel="0" collapsed="false">
      <c r="A228" s="6" t="s">
        <v>1409</v>
      </c>
      <c r="B228" s="35"/>
      <c r="C228" s="34"/>
      <c r="D228" s="34"/>
      <c r="E228" s="34"/>
      <c r="F228" s="21"/>
      <c r="G228" s="34"/>
      <c r="H228" s="34"/>
      <c r="I228" s="34"/>
      <c r="J228" s="34"/>
      <c r="K228" s="34"/>
      <c r="L228" s="35"/>
      <c r="M228" s="35"/>
      <c r="N228" s="35"/>
      <c r="O228" s="42"/>
      <c r="P228" s="21"/>
      <c r="Q228" s="21"/>
      <c r="R228" s="33" t="str">
        <f aca="true">IF(B228="","",IF(N228&lt;&gt;"",N228-B228,TODAY()-B228))</f>
        <v/>
      </c>
      <c r="S228" s="38" t="str">
        <f aca="true">IF(OR(M228="",K228="Completed",K228="Cancelled"),"",IF(M228&lt;TODAY(),"OVERDUE",IF(M228-TODAY()&lt;=7,"Due ≤7d","On Schedule")))</f>
        <v/>
      </c>
      <c r="T228" s="21"/>
    </row>
    <row r="229" customFormat="false" ht="15" hidden="false" customHeight="false" outlineLevel="0" collapsed="false">
      <c r="A229" s="6" t="s">
        <v>1410</v>
      </c>
      <c r="B229" s="35"/>
      <c r="C229" s="34"/>
      <c r="D229" s="34"/>
      <c r="E229" s="34"/>
      <c r="F229" s="21"/>
      <c r="G229" s="34"/>
      <c r="H229" s="34"/>
      <c r="I229" s="34"/>
      <c r="J229" s="34"/>
      <c r="K229" s="34"/>
      <c r="L229" s="35"/>
      <c r="M229" s="35"/>
      <c r="N229" s="35"/>
      <c r="O229" s="42"/>
      <c r="P229" s="21"/>
      <c r="Q229" s="21"/>
      <c r="R229" s="33" t="str">
        <f aca="true">IF(B229="","",IF(N229&lt;&gt;"",N229-B229,TODAY()-B229))</f>
        <v/>
      </c>
      <c r="S229" s="38" t="str">
        <f aca="true">IF(OR(M229="",K229="Completed",K229="Cancelled"),"",IF(M229&lt;TODAY(),"OVERDUE",IF(M229-TODAY()&lt;=7,"Due ≤7d","On Schedule")))</f>
        <v/>
      </c>
      <c r="T229" s="21"/>
    </row>
    <row r="230" customFormat="false" ht="15" hidden="false" customHeight="false" outlineLevel="0" collapsed="false">
      <c r="A230" s="6" t="s">
        <v>1411</v>
      </c>
      <c r="B230" s="35"/>
      <c r="C230" s="34"/>
      <c r="D230" s="34"/>
      <c r="E230" s="34"/>
      <c r="F230" s="21"/>
      <c r="G230" s="34"/>
      <c r="H230" s="34"/>
      <c r="I230" s="34"/>
      <c r="J230" s="34"/>
      <c r="K230" s="34"/>
      <c r="L230" s="35"/>
      <c r="M230" s="35"/>
      <c r="N230" s="35"/>
      <c r="O230" s="42"/>
      <c r="P230" s="21"/>
      <c r="Q230" s="21"/>
      <c r="R230" s="33" t="str">
        <f aca="true">IF(B230="","",IF(N230&lt;&gt;"",N230-B230,TODAY()-B230))</f>
        <v/>
      </c>
      <c r="S230" s="38" t="str">
        <f aca="true">IF(OR(M230="",K230="Completed",K230="Cancelled"),"",IF(M230&lt;TODAY(),"OVERDUE",IF(M230-TODAY()&lt;=7,"Due ≤7d","On Schedule")))</f>
        <v/>
      </c>
      <c r="T230" s="21"/>
    </row>
    <row r="231" customFormat="false" ht="15" hidden="false" customHeight="false" outlineLevel="0" collapsed="false">
      <c r="A231" s="6" t="s">
        <v>1412</v>
      </c>
      <c r="B231" s="35"/>
      <c r="C231" s="34"/>
      <c r="D231" s="34"/>
      <c r="E231" s="34"/>
      <c r="F231" s="21"/>
      <c r="G231" s="34"/>
      <c r="H231" s="34"/>
      <c r="I231" s="34"/>
      <c r="J231" s="34"/>
      <c r="K231" s="34"/>
      <c r="L231" s="35"/>
      <c r="M231" s="35"/>
      <c r="N231" s="35"/>
      <c r="O231" s="42"/>
      <c r="P231" s="21"/>
      <c r="Q231" s="21"/>
      <c r="R231" s="33" t="str">
        <f aca="true">IF(B231="","",IF(N231&lt;&gt;"",N231-B231,TODAY()-B231))</f>
        <v/>
      </c>
      <c r="S231" s="38" t="str">
        <f aca="true">IF(OR(M231="",K231="Completed",K231="Cancelled"),"",IF(M231&lt;TODAY(),"OVERDUE",IF(M231-TODAY()&lt;=7,"Due ≤7d","On Schedule")))</f>
        <v/>
      </c>
      <c r="T231" s="21"/>
    </row>
    <row r="232" customFormat="false" ht="15" hidden="false" customHeight="false" outlineLevel="0" collapsed="false">
      <c r="A232" s="6" t="s">
        <v>1413</v>
      </c>
      <c r="B232" s="35"/>
      <c r="C232" s="34"/>
      <c r="D232" s="34"/>
      <c r="E232" s="34"/>
      <c r="F232" s="21"/>
      <c r="G232" s="34"/>
      <c r="H232" s="34"/>
      <c r="I232" s="34"/>
      <c r="J232" s="34"/>
      <c r="K232" s="34"/>
      <c r="L232" s="35"/>
      <c r="M232" s="35"/>
      <c r="N232" s="35"/>
      <c r="O232" s="42"/>
      <c r="P232" s="21"/>
      <c r="Q232" s="21"/>
      <c r="R232" s="33" t="str">
        <f aca="true">IF(B232="","",IF(N232&lt;&gt;"",N232-B232,TODAY()-B232))</f>
        <v/>
      </c>
      <c r="S232" s="38" t="str">
        <f aca="true">IF(OR(M232="",K232="Completed",K232="Cancelled"),"",IF(M232&lt;TODAY(),"OVERDUE",IF(M232-TODAY()&lt;=7,"Due ≤7d","On Schedule")))</f>
        <v/>
      </c>
      <c r="T232" s="21"/>
    </row>
    <row r="233" customFormat="false" ht="15" hidden="false" customHeight="false" outlineLevel="0" collapsed="false">
      <c r="A233" s="6" t="s">
        <v>1414</v>
      </c>
      <c r="B233" s="35"/>
      <c r="C233" s="34"/>
      <c r="D233" s="34"/>
      <c r="E233" s="34"/>
      <c r="F233" s="21"/>
      <c r="G233" s="34"/>
      <c r="H233" s="34"/>
      <c r="I233" s="34"/>
      <c r="J233" s="34"/>
      <c r="K233" s="34"/>
      <c r="L233" s="35"/>
      <c r="M233" s="35"/>
      <c r="N233" s="35"/>
      <c r="O233" s="42"/>
      <c r="P233" s="21"/>
      <c r="Q233" s="21"/>
      <c r="R233" s="33" t="str">
        <f aca="true">IF(B233="","",IF(N233&lt;&gt;"",N233-B233,TODAY()-B233))</f>
        <v/>
      </c>
      <c r="S233" s="38" t="str">
        <f aca="true">IF(OR(M233="",K233="Completed",K233="Cancelled"),"",IF(M233&lt;TODAY(),"OVERDUE",IF(M233-TODAY()&lt;=7,"Due ≤7d","On Schedule")))</f>
        <v/>
      </c>
      <c r="T233" s="21"/>
    </row>
    <row r="234" customFormat="false" ht="15" hidden="false" customHeight="false" outlineLevel="0" collapsed="false">
      <c r="A234" s="6" t="s">
        <v>1415</v>
      </c>
      <c r="B234" s="35"/>
      <c r="C234" s="34"/>
      <c r="D234" s="34"/>
      <c r="E234" s="34"/>
      <c r="F234" s="21"/>
      <c r="G234" s="34"/>
      <c r="H234" s="34"/>
      <c r="I234" s="34"/>
      <c r="J234" s="34"/>
      <c r="K234" s="34"/>
      <c r="L234" s="35"/>
      <c r="M234" s="35"/>
      <c r="N234" s="35"/>
      <c r="O234" s="42"/>
      <c r="P234" s="21"/>
      <c r="Q234" s="21"/>
      <c r="R234" s="33" t="str">
        <f aca="true">IF(B234="","",IF(N234&lt;&gt;"",N234-B234,TODAY()-B234))</f>
        <v/>
      </c>
      <c r="S234" s="38" t="str">
        <f aca="true">IF(OR(M234="",K234="Completed",K234="Cancelled"),"",IF(M234&lt;TODAY(),"OVERDUE",IF(M234-TODAY()&lt;=7,"Due ≤7d","On Schedule")))</f>
        <v/>
      </c>
      <c r="T234" s="21"/>
    </row>
    <row r="235" customFormat="false" ht="15" hidden="false" customHeight="false" outlineLevel="0" collapsed="false">
      <c r="A235" s="6" t="s">
        <v>1416</v>
      </c>
      <c r="B235" s="35"/>
      <c r="C235" s="34"/>
      <c r="D235" s="34"/>
      <c r="E235" s="34"/>
      <c r="F235" s="21"/>
      <c r="G235" s="34"/>
      <c r="H235" s="34"/>
      <c r="I235" s="34"/>
      <c r="J235" s="34"/>
      <c r="K235" s="34"/>
      <c r="L235" s="35"/>
      <c r="M235" s="35"/>
      <c r="N235" s="35"/>
      <c r="O235" s="42"/>
      <c r="P235" s="21"/>
      <c r="Q235" s="21"/>
      <c r="R235" s="33" t="str">
        <f aca="true">IF(B235="","",IF(N235&lt;&gt;"",N235-B235,TODAY()-B235))</f>
        <v/>
      </c>
      <c r="S235" s="38" t="str">
        <f aca="true">IF(OR(M235="",K235="Completed",K235="Cancelled"),"",IF(M235&lt;TODAY(),"OVERDUE",IF(M235-TODAY()&lt;=7,"Due ≤7d","On Schedule")))</f>
        <v/>
      </c>
      <c r="T235" s="21"/>
    </row>
    <row r="236" customFormat="false" ht="15" hidden="false" customHeight="false" outlineLevel="0" collapsed="false">
      <c r="A236" s="6" t="s">
        <v>1417</v>
      </c>
      <c r="B236" s="35"/>
      <c r="C236" s="34"/>
      <c r="D236" s="34"/>
      <c r="E236" s="34"/>
      <c r="F236" s="21"/>
      <c r="G236" s="34"/>
      <c r="H236" s="34"/>
      <c r="I236" s="34"/>
      <c r="J236" s="34"/>
      <c r="K236" s="34"/>
      <c r="L236" s="35"/>
      <c r="M236" s="35"/>
      <c r="N236" s="35"/>
      <c r="O236" s="42"/>
      <c r="P236" s="21"/>
      <c r="Q236" s="21"/>
      <c r="R236" s="33" t="str">
        <f aca="true">IF(B236="","",IF(N236&lt;&gt;"",N236-B236,TODAY()-B236))</f>
        <v/>
      </c>
      <c r="S236" s="38" t="str">
        <f aca="true">IF(OR(M236="",K236="Completed",K236="Cancelled"),"",IF(M236&lt;TODAY(),"OVERDUE",IF(M236-TODAY()&lt;=7,"Due ≤7d","On Schedule")))</f>
        <v/>
      </c>
      <c r="T236" s="21"/>
    </row>
    <row r="237" customFormat="false" ht="15" hidden="false" customHeight="false" outlineLevel="0" collapsed="false">
      <c r="A237" s="6" t="s">
        <v>1418</v>
      </c>
      <c r="B237" s="35"/>
      <c r="C237" s="34"/>
      <c r="D237" s="34"/>
      <c r="E237" s="34"/>
      <c r="F237" s="21"/>
      <c r="G237" s="34"/>
      <c r="H237" s="34"/>
      <c r="I237" s="34"/>
      <c r="J237" s="34"/>
      <c r="K237" s="34"/>
      <c r="L237" s="35"/>
      <c r="M237" s="35"/>
      <c r="N237" s="35"/>
      <c r="O237" s="42"/>
      <c r="P237" s="21"/>
      <c r="Q237" s="21"/>
      <c r="R237" s="33" t="str">
        <f aca="true">IF(B237="","",IF(N237&lt;&gt;"",N237-B237,TODAY()-B237))</f>
        <v/>
      </c>
      <c r="S237" s="38" t="str">
        <f aca="true">IF(OR(M237="",K237="Completed",K237="Cancelled"),"",IF(M237&lt;TODAY(),"OVERDUE",IF(M237-TODAY()&lt;=7,"Due ≤7d","On Schedule")))</f>
        <v/>
      </c>
      <c r="T237" s="21"/>
    </row>
    <row r="238" customFormat="false" ht="15" hidden="false" customHeight="false" outlineLevel="0" collapsed="false">
      <c r="A238" s="6" t="s">
        <v>1419</v>
      </c>
      <c r="B238" s="35"/>
      <c r="C238" s="34"/>
      <c r="D238" s="34"/>
      <c r="E238" s="34"/>
      <c r="F238" s="21"/>
      <c r="G238" s="34"/>
      <c r="H238" s="34"/>
      <c r="I238" s="34"/>
      <c r="J238" s="34"/>
      <c r="K238" s="34"/>
      <c r="L238" s="35"/>
      <c r="M238" s="35"/>
      <c r="N238" s="35"/>
      <c r="O238" s="42"/>
      <c r="P238" s="21"/>
      <c r="Q238" s="21"/>
      <c r="R238" s="33" t="str">
        <f aca="true">IF(B238="","",IF(N238&lt;&gt;"",N238-B238,TODAY()-B238))</f>
        <v/>
      </c>
      <c r="S238" s="38" t="str">
        <f aca="true">IF(OR(M238="",K238="Completed",K238="Cancelled"),"",IF(M238&lt;TODAY(),"OVERDUE",IF(M238-TODAY()&lt;=7,"Due ≤7d","On Schedule")))</f>
        <v/>
      </c>
      <c r="T238" s="21"/>
    </row>
    <row r="239" customFormat="false" ht="15" hidden="false" customHeight="false" outlineLevel="0" collapsed="false">
      <c r="A239" s="6" t="s">
        <v>1420</v>
      </c>
      <c r="B239" s="35"/>
      <c r="C239" s="34"/>
      <c r="D239" s="34"/>
      <c r="E239" s="34"/>
      <c r="F239" s="21"/>
      <c r="G239" s="34"/>
      <c r="H239" s="34"/>
      <c r="I239" s="34"/>
      <c r="J239" s="34"/>
      <c r="K239" s="34"/>
      <c r="L239" s="35"/>
      <c r="M239" s="35"/>
      <c r="N239" s="35"/>
      <c r="O239" s="42"/>
      <c r="P239" s="21"/>
      <c r="Q239" s="21"/>
      <c r="R239" s="33" t="str">
        <f aca="true">IF(B239="","",IF(N239&lt;&gt;"",N239-B239,TODAY()-B239))</f>
        <v/>
      </c>
      <c r="S239" s="38" t="str">
        <f aca="true">IF(OR(M239="",K239="Completed",K239="Cancelled"),"",IF(M239&lt;TODAY(),"OVERDUE",IF(M239-TODAY()&lt;=7,"Due ≤7d","On Schedule")))</f>
        <v/>
      </c>
      <c r="T239" s="21"/>
    </row>
    <row r="240" customFormat="false" ht="15" hidden="false" customHeight="false" outlineLevel="0" collapsed="false">
      <c r="A240" s="6" t="s">
        <v>1421</v>
      </c>
      <c r="B240" s="35"/>
      <c r="C240" s="34"/>
      <c r="D240" s="34"/>
      <c r="E240" s="34"/>
      <c r="F240" s="21"/>
      <c r="G240" s="34"/>
      <c r="H240" s="34"/>
      <c r="I240" s="34"/>
      <c r="J240" s="34"/>
      <c r="K240" s="34"/>
      <c r="L240" s="35"/>
      <c r="M240" s="35"/>
      <c r="N240" s="35"/>
      <c r="O240" s="42"/>
      <c r="P240" s="21"/>
      <c r="Q240" s="21"/>
      <c r="R240" s="33" t="str">
        <f aca="true">IF(B240="","",IF(N240&lt;&gt;"",N240-B240,TODAY()-B240))</f>
        <v/>
      </c>
      <c r="S240" s="38" t="str">
        <f aca="true">IF(OR(M240="",K240="Completed",K240="Cancelled"),"",IF(M240&lt;TODAY(),"OVERDUE",IF(M240-TODAY()&lt;=7,"Due ≤7d","On Schedule")))</f>
        <v/>
      </c>
      <c r="T240" s="21"/>
    </row>
    <row r="241" customFormat="false" ht="15" hidden="false" customHeight="false" outlineLevel="0" collapsed="false">
      <c r="A241" s="6" t="s">
        <v>1422</v>
      </c>
      <c r="B241" s="35"/>
      <c r="C241" s="34"/>
      <c r="D241" s="34"/>
      <c r="E241" s="34"/>
      <c r="F241" s="21"/>
      <c r="G241" s="34"/>
      <c r="H241" s="34"/>
      <c r="I241" s="34"/>
      <c r="J241" s="34"/>
      <c r="K241" s="34"/>
      <c r="L241" s="35"/>
      <c r="M241" s="35"/>
      <c r="N241" s="35"/>
      <c r="O241" s="42"/>
      <c r="P241" s="21"/>
      <c r="Q241" s="21"/>
      <c r="R241" s="33" t="str">
        <f aca="true">IF(B241="","",IF(N241&lt;&gt;"",N241-B241,TODAY()-B241))</f>
        <v/>
      </c>
      <c r="S241" s="38" t="str">
        <f aca="true">IF(OR(M241="",K241="Completed",K241="Cancelled"),"",IF(M241&lt;TODAY(),"OVERDUE",IF(M241-TODAY()&lt;=7,"Due ≤7d","On Schedule")))</f>
        <v/>
      </c>
      <c r="T241" s="21"/>
    </row>
    <row r="242" customFormat="false" ht="15" hidden="false" customHeight="false" outlineLevel="0" collapsed="false">
      <c r="A242" s="6" t="s">
        <v>1423</v>
      </c>
      <c r="B242" s="35"/>
      <c r="C242" s="34"/>
      <c r="D242" s="34"/>
      <c r="E242" s="34"/>
      <c r="F242" s="21"/>
      <c r="G242" s="34"/>
      <c r="H242" s="34"/>
      <c r="I242" s="34"/>
      <c r="J242" s="34"/>
      <c r="K242" s="34"/>
      <c r="L242" s="35"/>
      <c r="M242" s="35"/>
      <c r="N242" s="35"/>
      <c r="O242" s="42"/>
      <c r="P242" s="21"/>
      <c r="Q242" s="21"/>
      <c r="R242" s="33" t="str">
        <f aca="true">IF(B242="","",IF(N242&lt;&gt;"",N242-B242,TODAY()-B242))</f>
        <v/>
      </c>
      <c r="S242" s="38" t="str">
        <f aca="true">IF(OR(M242="",K242="Completed",K242="Cancelled"),"",IF(M242&lt;TODAY(),"OVERDUE",IF(M242-TODAY()&lt;=7,"Due ≤7d","On Schedule")))</f>
        <v/>
      </c>
      <c r="T242" s="21"/>
    </row>
    <row r="243" customFormat="false" ht="15" hidden="false" customHeight="false" outlineLevel="0" collapsed="false">
      <c r="A243" s="6" t="s">
        <v>1424</v>
      </c>
      <c r="B243" s="35"/>
      <c r="C243" s="34"/>
      <c r="D243" s="34"/>
      <c r="E243" s="34"/>
      <c r="F243" s="21"/>
      <c r="G243" s="34"/>
      <c r="H243" s="34"/>
      <c r="I243" s="34"/>
      <c r="J243" s="34"/>
      <c r="K243" s="34"/>
      <c r="L243" s="35"/>
      <c r="M243" s="35"/>
      <c r="N243" s="35"/>
      <c r="O243" s="42"/>
      <c r="P243" s="21"/>
      <c r="Q243" s="21"/>
      <c r="R243" s="33" t="str">
        <f aca="true">IF(B243="","",IF(N243&lt;&gt;"",N243-B243,TODAY()-B243))</f>
        <v/>
      </c>
      <c r="S243" s="38" t="str">
        <f aca="true">IF(OR(M243="",K243="Completed",K243="Cancelled"),"",IF(M243&lt;TODAY(),"OVERDUE",IF(M243-TODAY()&lt;=7,"Due ≤7d","On Schedule")))</f>
        <v/>
      </c>
      <c r="T243" s="21"/>
    </row>
    <row r="244" customFormat="false" ht="15" hidden="false" customHeight="false" outlineLevel="0" collapsed="false">
      <c r="A244" s="6" t="s">
        <v>1425</v>
      </c>
      <c r="B244" s="35"/>
      <c r="C244" s="34"/>
      <c r="D244" s="34"/>
      <c r="E244" s="34"/>
      <c r="F244" s="21"/>
      <c r="G244" s="34"/>
      <c r="H244" s="34"/>
      <c r="I244" s="34"/>
      <c r="J244" s="34"/>
      <c r="K244" s="34"/>
      <c r="L244" s="35"/>
      <c r="M244" s="35"/>
      <c r="N244" s="35"/>
      <c r="O244" s="42"/>
      <c r="P244" s="21"/>
      <c r="Q244" s="21"/>
      <c r="R244" s="33" t="str">
        <f aca="true">IF(B244="","",IF(N244&lt;&gt;"",N244-B244,TODAY()-B244))</f>
        <v/>
      </c>
      <c r="S244" s="38" t="str">
        <f aca="true">IF(OR(M244="",K244="Completed",K244="Cancelled"),"",IF(M244&lt;TODAY(),"OVERDUE",IF(M244-TODAY()&lt;=7,"Due ≤7d","On Schedule")))</f>
        <v/>
      </c>
      <c r="T244" s="21"/>
    </row>
    <row r="245" customFormat="false" ht="15" hidden="false" customHeight="false" outlineLevel="0" collapsed="false">
      <c r="A245" s="6" t="s">
        <v>1426</v>
      </c>
      <c r="B245" s="35"/>
      <c r="C245" s="34"/>
      <c r="D245" s="34"/>
      <c r="E245" s="34"/>
      <c r="F245" s="21"/>
      <c r="G245" s="34"/>
      <c r="H245" s="34"/>
      <c r="I245" s="34"/>
      <c r="J245" s="34"/>
      <c r="K245" s="34"/>
      <c r="L245" s="35"/>
      <c r="M245" s="35"/>
      <c r="N245" s="35"/>
      <c r="O245" s="42"/>
      <c r="P245" s="21"/>
      <c r="Q245" s="21"/>
      <c r="R245" s="33" t="str">
        <f aca="true">IF(B245="","",IF(N245&lt;&gt;"",N245-B245,TODAY()-B245))</f>
        <v/>
      </c>
      <c r="S245" s="38" t="str">
        <f aca="true">IF(OR(M245="",K245="Completed",K245="Cancelled"),"",IF(M245&lt;TODAY(),"OVERDUE",IF(M245-TODAY()&lt;=7,"Due ≤7d","On Schedule")))</f>
        <v/>
      </c>
      <c r="T245" s="21"/>
    </row>
    <row r="246" customFormat="false" ht="15" hidden="false" customHeight="false" outlineLevel="0" collapsed="false">
      <c r="A246" s="6" t="s">
        <v>1427</v>
      </c>
      <c r="B246" s="35"/>
      <c r="C246" s="34"/>
      <c r="D246" s="34"/>
      <c r="E246" s="34"/>
      <c r="F246" s="21"/>
      <c r="G246" s="34"/>
      <c r="H246" s="34"/>
      <c r="I246" s="34"/>
      <c r="J246" s="34"/>
      <c r="K246" s="34"/>
      <c r="L246" s="35"/>
      <c r="M246" s="35"/>
      <c r="N246" s="35"/>
      <c r="O246" s="42"/>
      <c r="P246" s="21"/>
      <c r="Q246" s="21"/>
      <c r="R246" s="33" t="str">
        <f aca="true">IF(B246="","",IF(N246&lt;&gt;"",N246-B246,TODAY()-B246))</f>
        <v/>
      </c>
      <c r="S246" s="38" t="str">
        <f aca="true">IF(OR(M246="",K246="Completed",K246="Cancelled"),"",IF(M246&lt;TODAY(),"OVERDUE",IF(M246-TODAY()&lt;=7,"Due ≤7d","On Schedule")))</f>
        <v/>
      </c>
      <c r="T246" s="21"/>
    </row>
    <row r="247" customFormat="false" ht="15" hidden="false" customHeight="false" outlineLevel="0" collapsed="false">
      <c r="A247" s="6" t="s">
        <v>1428</v>
      </c>
      <c r="B247" s="35"/>
      <c r="C247" s="34"/>
      <c r="D247" s="34"/>
      <c r="E247" s="34"/>
      <c r="F247" s="21"/>
      <c r="G247" s="34"/>
      <c r="H247" s="34"/>
      <c r="I247" s="34"/>
      <c r="J247" s="34"/>
      <c r="K247" s="34"/>
      <c r="L247" s="35"/>
      <c r="M247" s="35"/>
      <c r="N247" s="35"/>
      <c r="O247" s="42"/>
      <c r="P247" s="21"/>
      <c r="Q247" s="21"/>
      <c r="R247" s="33" t="str">
        <f aca="true">IF(B247="","",IF(N247&lt;&gt;"",N247-B247,TODAY()-B247))</f>
        <v/>
      </c>
      <c r="S247" s="38" t="str">
        <f aca="true">IF(OR(M247="",K247="Completed",K247="Cancelled"),"",IF(M247&lt;TODAY(),"OVERDUE",IF(M247-TODAY()&lt;=7,"Due ≤7d","On Schedule")))</f>
        <v/>
      </c>
      <c r="T247" s="21"/>
    </row>
    <row r="248" customFormat="false" ht="15" hidden="false" customHeight="false" outlineLevel="0" collapsed="false">
      <c r="A248" s="6" t="s">
        <v>1429</v>
      </c>
      <c r="B248" s="35"/>
      <c r="C248" s="34"/>
      <c r="D248" s="34"/>
      <c r="E248" s="34"/>
      <c r="F248" s="21"/>
      <c r="G248" s="34"/>
      <c r="H248" s="34"/>
      <c r="I248" s="34"/>
      <c r="J248" s="34"/>
      <c r="K248" s="34"/>
      <c r="L248" s="35"/>
      <c r="M248" s="35"/>
      <c r="N248" s="35"/>
      <c r="O248" s="42"/>
      <c r="P248" s="21"/>
      <c r="Q248" s="21"/>
      <c r="R248" s="33" t="str">
        <f aca="true">IF(B248="","",IF(N248&lt;&gt;"",N248-B248,TODAY()-B248))</f>
        <v/>
      </c>
      <c r="S248" s="38" t="str">
        <f aca="true">IF(OR(M248="",K248="Completed",K248="Cancelled"),"",IF(M248&lt;TODAY(),"OVERDUE",IF(M248-TODAY()&lt;=7,"Due ≤7d","On Schedule")))</f>
        <v/>
      </c>
      <c r="T248" s="21"/>
    </row>
    <row r="249" customFormat="false" ht="15" hidden="false" customHeight="false" outlineLevel="0" collapsed="false">
      <c r="A249" s="6" t="s">
        <v>1430</v>
      </c>
      <c r="B249" s="35"/>
      <c r="C249" s="34"/>
      <c r="D249" s="34"/>
      <c r="E249" s="34"/>
      <c r="F249" s="21"/>
      <c r="G249" s="34"/>
      <c r="H249" s="34"/>
      <c r="I249" s="34"/>
      <c r="J249" s="34"/>
      <c r="K249" s="34"/>
      <c r="L249" s="35"/>
      <c r="M249" s="35"/>
      <c r="N249" s="35"/>
      <c r="O249" s="42"/>
      <c r="P249" s="21"/>
      <c r="Q249" s="21"/>
      <c r="R249" s="33" t="str">
        <f aca="true">IF(B249="","",IF(N249&lt;&gt;"",N249-B249,TODAY()-B249))</f>
        <v/>
      </c>
      <c r="S249" s="38" t="str">
        <f aca="true">IF(OR(M249="",K249="Completed",K249="Cancelled"),"",IF(M249&lt;TODAY(),"OVERDUE",IF(M249-TODAY()&lt;=7,"Due ≤7d","On Schedule")))</f>
        <v/>
      </c>
      <c r="T249" s="21"/>
    </row>
    <row r="250" customFormat="false" ht="15" hidden="false" customHeight="false" outlineLevel="0" collapsed="false">
      <c r="A250" s="6" t="s">
        <v>1431</v>
      </c>
      <c r="B250" s="35"/>
      <c r="C250" s="34"/>
      <c r="D250" s="34"/>
      <c r="E250" s="34"/>
      <c r="F250" s="21"/>
      <c r="G250" s="34"/>
      <c r="H250" s="34"/>
      <c r="I250" s="34"/>
      <c r="J250" s="34"/>
      <c r="K250" s="34"/>
      <c r="L250" s="35"/>
      <c r="M250" s="35"/>
      <c r="N250" s="35"/>
      <c r="O250" s="42"/>
      <c r="P250" s="21"/>
      <c r="Q250" s="21"/>
      <c r="R250" s="33" t="str">
        <f aca="true">IF(B250="","",IF(N250&lt;&gt;"",N250-B250,TODAY()-B250))</f>
        <v/>
      </c>
      <c r="S250" s="38" t="str">
        <f aca="true">IF(OR(M250="",K250="Completed",K250="Cancelled"),"",IF(M250&lt;TODAY(),"OVERDUE",IF(M250-TODAY()&lt;=7,"Due ≤7d","On Schedule")))</f>
        <v/>
      </c>
      <c r="T250" s="21"/>
    </row>
    <row r="251" customFormat="false" ht="15" hidden="false" customHeight="false" outlineLevel="0" collapsed="false">
      <c r="A251" s="6" t="s">
        <v>1432</v>
      </c>
      <c r="B251" s="35"/>
      <c r="C251" s="34"/>
      <c r="D251" s="34"/>
      <c r="E251" s="34"/>
      <c r="F251" s="21"/>
      <c r="G251" s="34"/>
      <c r="H251" s="34"/>
      <c r="I251" s="34"/>
      <c r="J251" s="34"/>
      <c r="K251" s="34"/>
      <c r="L251" s="35"/>
      <c r="M251" s="35"/>
      <c r="N251" s="35"/>
      <c r="O251" s="42"/>
      <c r="P251" s="21"/>
      <c r="Q251" s="21"/>
      <c r="R251" s="33" t="str">
        <f aca="true">IF(B251="","",IF(N251&lt;&gt;"",N251-B251,TODAY()-B251))</f>
        <v/>
      </c>
      <c r="S251" s="38" t="str">
        <f aca="true">IF(OR(M251="",K251="Completed",K251="Cancelled"),"",IF(M251&lt;TODAY(),"OVERDUE",IF(M251-TODAY()&lt;=7,"Due ≤7d","On Schedule")))</f>
        <v/>
      </c>
      <c r="T251" s="21"/>
    </row>
    <row r="252" customFormat="false" ht="15" hidden="false" customHeight="false" outlineLevel="0" collapsed="false">
      <c r="A252" s="6" t="s">
        <v>1433</v>
      </c>
      <c r="B252" s="35"/>
      <c r="C252" s="34"/>
      <c r="D252" s="34"/>
      <c r="E252" s="34"/>
      <c r="F252" s="21"/>
      <c r="G252" s="34"/>
      <c r="H252" s="34"/>
      <c r="I252" s="34"/>
      <c r="J252" s="34"/>
      <c r="K252" s="34"/>
      <c r="L252" s="35"/>
      <c r="M252" s="35"/>
      <c r="N252" s="35"/>
      <c r="O252" s="42"/>
      <c r="P252" s="21"/>
      <c r="Q252" s="21"/>
      <c r="R252" s="33" t="str">
        <f aca="true">IF(B252="","",IF(N252&lt;&gt;"",N252-B252,TODAY()-B252))</f>
        <v/>
      </c>
      <c r="S252" s="38" t="str">
        <f aca="true">IF(OR(M252="",K252="Completed",K252="Cancelled"),"",IF(M252&lt;TODAY(),"OVERDUE",IF(M252-TODAY()&lt;=7,"Due ≤7d","On Schedule")))</f>
        <v/>
      </c>
      <c r="T252" s="21"/>
    </row>
    <row r="253" customFormat="false" ht="15" hidden="false" customHeight="false" outlineLevel="0" collapsed="false">
      <c r="A253" s="6" t="s">
        <v>1434</v>
      </c>
      <c r="B253" s="35"/>
      <c r="C253" s="34"/>
      <c r="D253" s="34"/>
      <c r="E253" s="34"/>
      <c r="F253" s="21"/>
      <c r="G253" s="34"/>
      <c r="H253" s="34"/>
      <c r="I253" s="34"/>
      <c r="J253" s="34"/>
      <c r="K253" s="34"/>
      <c r="L253" s="35"/>
      <c r="M253" s="35"/>
      <c r="N253" s="35"/>
      <c r="O253" s="42"/>
      <c r="P253" s="21"/>
      <c r="Q253" s="21"/>
      <c r="R253" s="33" t="str">
        <f aca="true">IF(B253="","",IF(N253&lt;&gt;"",N253-B253,TODAY()-B253))</f>
        <v/>
      </c>
      <c r="S253" s="38" t="str">
        <f aca="true">IF(OR(M253="",K253="Completed",K253="Cancelled"),"",IF(M253&lt;TODAY(),"OVERDUE",IF(M253-TODAY()&lt;=7,"Due ≤7d","On Schedule")))</f>
        <v/>
      </c>
      <c r="T253" s="21"/>
    </row>
    <row r="254" customFormat="false" ht="15" hidden="false" customHeight="false" outlineLevel="0" collapsed="false">
      <c r="A254" s="6" t="s">
        <v>1435</v>
      </c>
      <c r="B254" s="35"/>
      <c r="C254" s="34"/>
      <c r="D254" s="34"/>
      <c r="E254" s="34"/>
      <c r="F254" s="21"/>
      <c r="G254" s="34"/>
      <c r="H254" s="34"/>
      <c r="I254" s="34"/>
      <c r="J254" s="34"/>
      <c r="K254" s="34"/>
      <c r="L254" s="35"/>
      <c r="M254" s="35"/>
      <c r="N254" s="35"/>
      <c r="O254" s="42"/>
      <c r="P254" s="21"/>
      <c r="Q254" s="21"/>
      <c r="R254" s="33" t="str">
        <f aca="true">IF(B254="","",IF(N254&lt;&gt;"",N254-B254,TODAY()-B254))</f>
        <v/>
      </c>
      <c r="S254" s="38" t="str">
        <f aca="true">IF(OR(M254="",K254="Completed",K254="Cancelled"),"",IF(M254&lt;TODAY(),"OVERDUE",IF(M254-TODAY()&lt;=7,"Due ≤7d","On Schedule")))</f>
        <v/>
      </c>
      <c r="T254" s="21"/>
    </row>
    <row r="255" customFormat="false" ht="15" hidden="false" customHeight="false" outlineLevel="0" collapsed="false">
      <c r="A255" s="6" t="s">
        <v>1436</v>
      </c>
      <c r="B255" s="35"/>
      <c r="C255" s="34"/>
      <c r="D255" s="34"/>
      <c r="E255" s="34"/>
      <c r="F255" s="21"/>
      <c r="G255" s="34"/>
      <c r="H255" s="34"/>
      <c r="I255" s="34"/>
      <c r="J255" s="34"/>
      <c r="K255" s="34"/>
      <c r="L255" s="35"/>
      <c r="M255" s="35"/>
      <c r="N255" s="35"/>
      <c r="O255" s="42"/>
      <c r="P255" s="21"/>
      <c r="Q255" s="21"/>
      <c r="R255" s="33" t="str">
        <f aca="true">IF(B255="","",IF(N255&lt;&gt;"",N255-B255,TODAY()-B255))</f>
        <v/>
      </c>
      <c r="S255" s="38" t="str">
        <f aca="true">IF(OR(M255="",K255="Completed",K255="Cancelled"),"",IF(M255&lt;TODAY(),"OVERDUE",IF(M255-TODAY()&lt;=7,"Due ≤7d","On Schedule")))</f>
        <v/>
      </c>
      <c r="T255" s="21"/>
    </row>
    <row r="256" customFormat="false" ht="15" hidden="false" customHeight="false" outlineLevel="0" collapsed="false">
      <c r="A256" s="6" t="s">
        <v>1437</v>
      </c>
      <c r="B256" s="35"/>
      <c r="C256" s="34"/>
      <c r="D256" s="34"/>
      <c r="E256" s="34"/>
      <c r="F256" s="21"/>
      <c r="G256" s="34"/>
      <c r="H256" s="34"/>
      <c r="I256" s="34"/>
      <c r="J256" s="34"/>
      <c r="K256" s="34"/>
      <c r="L256" s="35"/>
      <c r="M256" s="35"/>
      <c r="N256" s="35"/>
      <c r="O256" s="42"/>
      <c r="P256" s="21"/>
      <c r="Q256" s="21"/>
      <c r="R256" s="33" t="str">
        <f aca="true">IF(B256="","",IF(N256&lt;&gt;"",N256-B256,TODAY()-B256))</f>
        <v/>
      </c>
      <c r="S256" s="38" t="str">
        <f aca="true">IF(OR(M256="",K256="Completed",K256="Cancelled"),"",IF(M256&lt;TODAY(),"OVERDUE",IF(M256-TODAY()&lt;=7,"Due ≤7d","On Schedule")))</f>
        <v/>
      </c>
      <c r="T256" s="21"/>
    </row>
    <row r="257" customFormat="false" ht="15" hidden="false" customHeight="false" outlineLevel="0" collapsed="false">
      <c r="A257" s="6" t="s">
        <v>1438</v>
      </c>
      <c r="B257" s="35"/>
      <c r="C257" s="34"/>
      <c r="D257" s="34"/>
      <c r="E257" s="34"/>
      <c r="F257" s="21"/>
      <c r="G257" s="34"/>
      <c r="H257" s="34"/>
      <c r="I257" s="34"/>
      <c r="J257" s="34"/>
      <c r="K257" s="34"/>
      <c r="L257" s="35"/>
      <c r="M257" s="35"/>
      <c r="N257" s="35"/>
      <c r="O257" s="42"/>
      <c r="P257" s="21"/>
      <c r="Q257" s="21"/>
      <c r="R257" s="33" t="str">
        <f aca="true">IF(B257="","",IF(N257&lt;&gt;"",N257-B257,TODAY()-B257))</f>
        <v/>
      </c>
      <c r="S257" s="38" t="str">
        <f aca="true">IF(OR(M257="",K257="Completed",K257="Cancelled"),"",IF(M257&lt;TODAY(),"OVERDUE",IF(M257-TODAY()&lt;=7,"Due ≤7d","On Schedule")))</f>
        <v/>
      </c>
      <c r="T257" s="21"/>
    </row>
    <row r="258" customFormat="false" ht="15" hidden="false" customHeight="false" outlineLevel="0" collapsed="false">
      <c r="A258" s="6" t="s">
        <v>1439</v>
      </c>
      <c r="B258" s="35"/>
      <c r="C258" s="34"/>
      <c r="D258" s="34"/>
      <c r="E258" s="34"/>
      <c r="F258" s="21"/>
      <c r="G258" s="34"/>
      <c r="H258" s="34"/>
      <c r="I258" s="34"/>
      <c r="J258" s="34"/>
      <c r="K258" s="34"/>
      <c r="L258" s="35"/>
      <c r="M258" s="35"/>
      <c r="N258" s="35"/>
      <c r="O258" s="42"/>
      <c r="P258" s="21"/>
      <c r="Q258" s="21"/>
      <c r="R258" s="33" t="str">
        <f aca="true">IF(B258="","",IF(N258&lt;&gt;"",N258-B258,TODAY()-B258))</f>
        <v/>
      </c>
      <c r="S258" s="38" t="str">
        <f aca="true">IF(OR(M258="",K258="Completed",K258="Cancelled"),"",IF(M258&lt;TODAY(),"OVERDUE",IF(M258-TODAY()&lt;=7,"Due ≤7d","On Schedule")))</f>
        <v/>
      </c>
      <c r="T258" s="21"/>
    </row>
    <row r="259" customFormat="false" ht="15" hidden="false" customHeight="false" outlineLevel="0" collapsed="false">
      <c r="A259" s="6" t="s">
        <v>1440</v>
      </c>
      <c r="B259" s="35"/>
      <c r="C259" s="34"/>
      <c r="D259" s="34"/>
      <c r="E259" s="34"/>
      <c r="F259" s="21"/>
      <c r="G259" s="34"/>
      <c r="H259" s="34"/>
      <c r="I259" s="34"/>
      <c r="J259" s="34"/>
      <c r="K259" s="34"/>
      <c r="L259" s="35"/>
      <c r="M259" s="35"/>
      <c r="N259" s="35"/>
      <c r="O259" s="42"/>
      <c r="P259" s="21"/>
      <c r="Q259" s="21"/>
      <c r="R259" s="33" t="str">
        <f aca="true">IF(B259="","",IF(N259&lt;&gt;"",N259-B259,TODAY()-B259))</f>
        <v/>
      </c>
      <c r="S259" s="38" t="str">
        <f aca="true">IF(OR(M259="",K259="Completed",K259="Cancelled"),"",IF(M259&lt;TODAY(),"OVERDUE",IF(M259-TODAY()&lt;=7,"Due ≤7d","On Schedule")))</f>
        <v/>
      </c>
      <c r="T259" s="21"/>
    </row>
    <row r="260" customFormat="false" ht="15" hidden="false" customHeight="false" outlineLevel="0" collapsed="false">
      <c r="A260" s="6" t="s">
        <v>1441</v>
      </c>
      <c r="B260" s="35"/>
      <c r="C260" s="34"/>
      <c r="D260" s="34"/>
      <c r="E260" s="34"/>
      <c r="F260" s="21"/>
      <c r="G260" s="34"/>
      <c r="H260" s="34"/>
      <c r="I260" s="34"/>
      <c r="J260" s="34"/>
      <c r="K260" s="34"/>
      <c r="L260" s="35"/>
      <c r="M260" s="35"/>
      <c r="N260" s="35"/>
      <c r="O260" s="42"/>
      <c r="P260" s="21"/>
      <c r="Q260" s="21"/>
      <c r="R260" s="33" t="str">
        <f aca="true">IF(B260="","",IF(N260&lt;&gt;"",N260-B260,TODAY()-B260))</f>
        <v/>
      </c>
      <c r="S260" s="38" t="str">
        <f aca="true">IF(OR(M260="",K260="Completed",K260="Cancelled"),"",IF(M260&lt;TODAY(),"OVERDUE",IF(M260-TODAY()&lt;=7,"Due ≤7d","On Schedule")))</f>
        <v/>
      </c>
      <c r="T260" s="21"/>
    </row>
    <row r="261" customFormat="false" ht="15" hidden="false" customHeight="false" outlineLevel="0" collapsed="false">
      <c r="A261" s="6" t="s">
        <v>1442</v>
      </c>
      <c r="B261" s="35"/>
      <c r="C261" s="34"/>
      <c r="D261" s="34"/>
      <c r="E261" s="34"/>
      <c r="F261" s="21"/>
      <c r="G261" s="34"/>
      <c r="H261" s="34"/>
      <c r="I261" s="34"/>
      <c r="J261" s="34"/>
      <c r="K261" s="34"/>
      <c r="L261" s="35"/>
      <c r="M261" s="35"/>
      <c r="N261" s="35"/>
      <c r="O261" s="42"/>
      <c r="P261" s="21"/>
      <c r="Q261" s="21"/>
      <c r="R261" s="33" t="str">
        <f aca="true">IF(B261="","",IF(N261&lt;&gt;"",N261-B261,TODAY()-B261))</f>
        <v/>
      </c>
      <c r="S261" s="38" t="str">
        <f aca="true">IF(OR(M261="",K261="Completed",K261="Cancelled"),"",IF(M261&lt;TODAY(),"OVERDUE",IF(M261-TODAY()&lt;=7,"Due ≤7d","On Schedule")))</f>
        <v/>
      </c>
      <c r="T261" s="21"/>
    </row>
    <row r="262" customFormat="false" ht="15" hidden="false" customHeight="false" outlineLevel="0" collapsed="false">
      <c r="A262" s="6" t="s">
        <v>1443</v>
      </c>
      <c r="B262" s="35"/>
      <c r="C262" s="34"/>
      <c r="D262" s="34"/>
      <c r="E262" s="34"/>
      <c r="F262" s="21"/>
      <c r="G262" s="34"/>
      <c r="H262" s="34"/>
      <c r="I262" s="34"/>
      <c r="J262" s="34"/>
      <c r="K262" s="34"/>
      <c r="L262" s="35"/>
      <c r="M262" s="35"/>
      <c r="N262" s="35"/>
      <c r="O262" s="42"/>
      <c r="P262" s="21"/>
      <c r="Q262" s="21"/>
      <c r="R262" s="33" t="str">
        <f aca="true">IF(B262="","",IF(N262&lt;&gt;"",N262-B262,TODAY()-B262))</f>
        <v/>
      </c>
      <c r="S262" s="38" t="str">
        <f aca="true">IF(OR(M262="",K262="Completed",K262="Cancelled"),"",IF(M262&lt;TODAY(),"OVERDUE",IF(M262-TODAY()&lt;=7,"Due ≤7d","On Schedule")))</f>
        <v/>
      </c>
      <c r="T262" s="21"/>
    </row>
    <row r="263" customFormat="false" ht="15" hidden="false" customHeight="false" outlineLevel="0" collapsed="false">
      <c r="A263" s="6" t="s">
        <v>1444</v>
      </c>
      <c r="B263" s="35"/>
      <c r="C263" s="34"/>
      <c r="D263" s="34"/>
      <c r="E263" s="34"/>
      <c r="F263" s="21"/>
      <c r="G263" s="34"/>
      <c r="H263" s="34"/>
      <c r="I263" s="34"/>
      <c r="J263" s="34"/>
      <c r="K263" s="34"/>
      <c r="L263" s="35"/>
      <c r="M263" s="35"/>
      <c r="N263" s="35"/>
      <c r="O263" s="42"/>
      <c r="P263" s="21"/>
      <c r="Q263" s="21"/>
      <c r="R263" s="33" t="str">
        <f aca="true">IF(B263="","",IF(N263&lt;&gt;"",N263-B263,TODAY()-B263))</f>
        <v/>
      </c>
      <c r="S263" s="38" t="str">
        <f aca="true">IF(OR(M263="",K263="Completed",K263="Cancelled"),"",IF(M263&lt;TODAY(),"OVERDUE",IF(M263-TODAY()&lt;=7,"Due ≤7d","On Schedule")))</f>
        <v/>
      </c>
      <c r="T263" s="21"/>
    </row>
    <row r="264" customFormat="false" ht="15" hidden="false" customHeight="false" outlineLevel="0" collapsed="false">
      <c r="A264" s="6" t="s">
        <v>1445</v>
      </c>
      <c r="B264" s="35"/>
      <c r="C264" s="34"/>
      <c r="D264" s="34"/>
      <c r="E264" s="34"/>
      <c r="F264" s="21"/>
      <c r="G264" s="34"/>
      <c r="H264" s="34"/>
      <c r="I264" s="34"/>
      <c r="J264" s="34"/>
      <c r="K264" s="34"/>
      <c r="L264" s="35"/>
      <c r="M264" s="35"/>
      <c r="N264" s="35"/>
      <c r="O264" s="42"/>
      <c r="P264" s="21"/>
      <c r="Q264" s="21"/>
      <c r="R264" s="33" t="str">
        <f aca="true">IF(B264="","",IF(N264&lt;&gt;"",N264-B264,TODAY()-B264))</f>
        <v/>
      </c>
      <c r="S264" s="38" t="str">
        <f aca="true">IF(OR(M264="",K264="Completed",K264="Cancelled"),"",IF(M264&lt;TODAY(),"OVERDUE",IF(M264-TODAY()&lt;=7,"Due ≤7d","On Schedule")))</f>
        <v/>
      </c>
      <c r="T264" s="21"/>
    </row>
    <row r="265" customFormat="false" ht="15" hidden="false" customHeight="false" outlineLevel="0" collapsed="false">
      <c r="A265" s="6" t="s">
        <v>1446</v>
      </c>
      <c r="B265" s="35"/>
      <c r="C265" s="34"/>
      <c r="D265" s="34"/>
      <c r="E265" s="34"/>
      <c r="F265" s="21"/>
      <c r="G265" s="34"/>
      <c r="H265" s="34"/>
      <c r="I265" s="34"/>
      <c r="J265" s="34"/>
      <c r="K265" s="34"/>
      <c r="L265" s="35"/>
      <c r="M265" s="35"/>
      <c r="N265" s="35"/>
      <c r="O265" s="42"/>
      <c r="P265" s="21"/>
      <c r="Q265" s="21"/>
      <c r="R265" s="33" t="str">
        <f aca="true">IF(B265="","",IF(N265&lt;&gt;"",N265-B265,TODAY()-B265))</f>
        <v/>
      </c>
      <c r="S265" s="38" t="str">
        <f aca="true">IF(OR(M265="",K265="Completed",K265="Cancelled"),"",IF(M265&lt;TODAY(),"OVERDUE",IF(M265-TODAY()&lt;=7,"Due ≤7d","On Schedule")))</f>
        <v/>
      </c>
      <c r="T265" s="21"/>
    </row>
    <row r="266" customFormat="false" ht="15" hidden="false" customHeight="false" outlineLevel="0" collapsed="false">
      <c r="A266" s="6" t="s">
        <v>1447</v>
      </c>
      <c r="B266" s="35"/>
      <c r="C266" s="34"/>
      <c r="D266" s="34"/>
      <c r="E266" s="34"/>
      <c r="F266" s="21"/>
      <c r="G266" s="34"/>
      <c r="H266" s="34"/>
      <c r="I266" s="34"/>
      <c r="J266" s="34"/>
      <c r="K266" s="34"/>
      <c r="L266" s="35"/>
      <c r="M266" s="35"/>
      <c r="N266" s="35"/>
      <c r="O266" s="42"/>
      <c r="P266" s="21"/>
      <c r="Q266" s="21"/>
      <c r="R266" s="33" t="str">
        <f aca="true">IF(B266="","",IF(N266&lt;&gt;"",N266-B266,TODAY()-B266))</f>
        <v/>
      </c>
      <c r="S266" s="38" t="str">
        <f aca="true">IF(OR(M266="",K266="Completed",K266="Cancelled"),"",IF(M266&lt;TODAY(),"OVERDUE",IF(M266-TODAY()&lt;=7,"Due ≤7d","On Schedule")))</f>
        <v/>
      </c>
      <c r="T266" s="21"/>
    </row>
    <row r="267" customFormat="false" ht="15" hidden="false" customHeight="false" outlineLevel="0" collapsed="false">
      <c r="A267" s="6" t="s">
        <v>1448</v>
      </c>
      <c r="B267" s="35"/>
      <c r="C267" s="34"/>
      <c r="D267" s="34"/>
      <c r="E267" s="34"/>
      <c r="F267" s="21"/>
      <c r="G267" s="34"/>
      <c r="H267" s="34"/>
      <c r="I267" s="34"/>
      <c r="J267" s="34"/>
      <c r="K267" s="34"/>
      <c r="L267" s="35"/>
      <c r="M267" s="35"/>
      <c r="N267" s="35"/>
      <c r="O267" s="42"/>
      <c r="P267" s="21"/>
      <c r="Q267" s="21"/>
      <c r="R267" s="33" t="str">
        <f aca="true">IF(B267="","",IF(N267&lt;&gt;"",N267-B267,TODAY()-B267))</f>
        <v/>
      </c>
      <c r="S267" s="38" t="str">
        <f aca="true">IF(OR(M267="",K267="Completed",K267="Cancelled"),"",IF(M267&lt;TODAY(),"OVERDUE",IF(M267-TODAY()&lt;=7,"Due ≤7d","On Schedule")))</f>
        <v/>
      </c>
      <c r="T267" s="21"/>
    </row>
    <row r="268" customFormat="false" ht="15" hidden="false" customHeight="false" outlineLevel="0" collapsed="false">
      <c r="A268" s="6" t="s">
        <v>1449</v>
      </c>
      <c r="B268" s="35"/>
      <c r="C268" s="34"/>
      <c r="D268" s="34"/>
      <c r="E268" s="34"/>
      <c r="F268" s="21"/>
      <c r="G268" s="34"/>
      <c r="H268" s="34"/>
      <c r="I268" s="34"/>
      <c r="J268" s="34"/>
      <c r="K268" s="34"/>
      <c r="L268" s="35"/>
      <c r="M268" s="35"/>
      <c r="N268" s="35"/>
      <c r="O268" s="42"/>
      <c r="P268" s="21"/>
      <c r="Q268" s="21"/>
      <c r="R268" s="33" t="str">
        <f aca="true">IF(B268="","",IF(N268&lt;&gt;"",N268-B268,TODAY()-B268))</f>
        <v/>
      </c>
      <c r="S268" s="38" t="str">
        <f aca="true">IF(OR(M268="",K268="Completed",K268="Cancelled"),"",IF(M268&lt;TODAY(),"OVERDUE",IF(M268-TODAY()&lt;=7,"Due ≤7d","On Schedule")))</f>
        <v/>
      </c>
      <c r="T268" s="21"/>
    </row>
    <row r="269" customFormat="false" ht="15" hidden="false" customHeight="false" outlineLevel="0" collapsed="false">
      <c r="A269" s="6" t="s">
        <v>1450</v>
      </c>
      <c r="B269" s="35"/>
      <c r="C269" s="34"/>
      <c r="D269" s="34"/>
      <c r="E269" s="34"/>
      <c r="F269" s="21"/>
      <c r="G269" s="34"/>
      <c r="H269" s="34"/>
      <c r="I269" s="34"/>
      <c r="J269" s="34"/>
      <c r="K269" s="34"/>
      <c r="L269" s="35"/>
      <c r="M269" s="35"/>
      <c r="N269" s="35"/>
      <c r="O269" s="42"/>
      <c r="P269" s="21"/>
      <c r="Q269" s="21"/>
      <c r="R269" s="33" t="str">
        <f aca="true">IF(B269="","",IF(N269&lt;&gt;"",N269-B269,TODAY()-B269))</f>
        <v/>
      </c>
      <c r="S269" s="38" t="str">
        <f aca="true">IF(OR(M269="",K269="Completed",K269="Cancelled"),"",IF(M269&lt;TODAY(),"OVERDUE",IF(M269-TODAY()&lt;=7,"Due ≤7d","On Schedule")))</f>
        <v/>
      </c>
      <c r="T269" s="21"/>
    </row>
    <row r="270" customFormat="false" ht="15" hidden="false" customHeight="false" outlineLevel="0" collapsed="false">
      <c r="A270" s="6" t="s">
        <v>1451</v>
      </c>
      <c r="B270" s="35"/>
      <c r="C270" s="34"/>
      <c r="D270" s="34"/>
      <c r="E270" s="34"/>
      <c r="F270" s="21"/>
      <c r="G270" s="34"/>
      <c r="H270" s="34"/>
      <c r="I270" s="34"/>
      <c r="J270" s="34"/>
      <c r="K270" s="34"/>
      <c r="L270" s="35"/>
      <c r="M270" s="35"/>
      <c r="N270" s="35"/>
      <c r="O270" s="42"/>
      <c r="P270" s="21"/>
      <c r="Q270" s="21"/>
      <c r="R270" s="33" t="str">
        <f aca="true">IF(B270="","",IF(N270&lt;&gt;"",N270-B270,TODAY()-B270))</f>
        <v/>
      </c>
      <c r="S270" s="38" t="str">
        <f aca="true">IF(OR(M270="",K270="Completed",K270="Cancelled"),"",IF(M270&lt;TODAY(),"OVERDUE",IF(M270-TODAY()&lt;=7,"Due ≤7d","On Schedule")))</f>
        <v/>
      </c>
      <c r="T270" s="21"/>
    </row>
    <row r="271" customFormat="false" ht="15" hidden="false" customHeight="false" outlineLevel="0" collapsed="false">
      <c r="A271" s="6" t="s">
        <v>1452</v>
      </c>
      <c r="B271" s="35"/>
      <c r="C271" s="34"/>
      <c r="D271" s="34"/>
      <c r="E271" s="34"/>
      <c r="F271" s="21"/>
      <c r="G271" s="34"/>
      <c r="H271" s="34"/>
      <c r="I271" s="34"/>
      <c r="J271" s="34"/>
      <c r="K271" s="34"/>
      <c r="L271" s="35"/>
      <c r="M271" s="35"/>
      <c r="N271" s="35"/>
      <c r="O271" s="42"/>
      <c r="P271" s="21"/>
      <c r="Q271" s="21"/>
      <c r="R271" s="33" t="str">
        <f aca="true">IF(B271="","",IF(N271&lt;&gt;"",N271-B271,TODAY()-B271))</f>
        <v/>
      </c>
      <c r="S271" s="38" t="str">
        <f aca="true">IF(OR(M271="",K271="Completed",K271="Cancelled"),"",IF(M271&lt;TODAY(),"OVERDUE",IF(M271-TODAY()&lt;=7,"Due ≤7d","On Schedule")))</f>
        <v/>
      </c>
      <c r="T271" s="21"/>
    </row>
    <row r="272" customFormat="false" ht="15" hidden="false" customHeight="false" outlineLevel="0" collapsed="false">
      <c r="A272" s="6" t="s">
        <v>1453</v>
      </c>
      <c r="B272" s="35"/>
      <c r="C272" s="34"/>
      <c r="D272" s="34"/>
      <c r="E272" s="34"/>
      <c r="F272" s="21"/>
      <c r="G272" s="34"/>
      <c r="H272" s="34"/>
      <c r="I272" s="34"/>
      <c r="J272" s="34"/>
      <c r="K272" s="34"/>
      <c r="L272" s="35"/>
      <c r="M272" s="35"/>
      <c r="N272" s="35"/>
      <c r="O272" s="42"/>
      <c r="P272" s="21"/>
      <c r="Q272" s="21"/>
      <c r="R272" s="33" t="str">
        <f aca="true">IF(B272="","",IF(N272&lt;&gt;"",N272-B272,TODAY()-B272))</f>
        <v/>
      </c>
      <c r="S272" s="38" t="str">
        <f aca="true">IF(OR(M272="",K272="Completed",K272="Cancelled"),"",IF(M272&lt;TODAY(),"OVERDUE",IF(M272-TODAY()&lt;=7,"Due ≤7d","On Schedule")))</f>
        <v/>
      </c>
      <c r="T272" s="21"/>
    </row>
    <row r="273" customFormat="false" ht="15" hidden="false" customHeight="false" outlineLevel="0" collapsed="false">
      <c r="A273" s="6" t="s">
        <v>1454</v>
      </c>
      <c r="B273" s="35"/>
      <c r="C273" s="34"/>
      <c r="D273" s="34"/>
      <c r="E273" s="34"/>
      <c r="F273" s="21"/>
      <c r="G273" s="34"/>
      <c r="H273" s="34"/>
      <c r="I273" s="34"/>
      <c r="J273" s="34"/>
      <c r="K273" s="34"/>
      <c r="L273" s="35"/>
      <c r="M273" s="35"/>
      <c r="N273" s="35"/>
      <c r="O273" s="42"/>
      <c r="P273" s="21"/>
      <c r="Q273" s="21"/>
      <c r="R273" s="33" t="str">
        <f aca="true">IF(B273="","",IF(N273&lt;&gt;"",N273-B273,TODAY()-B273))</f>
        <v/>
      </c>
      <c r="S273" s="38" t="str">
        <f aca="true">IF(OR(M273="",K273="Completed",K273="Cancelled"),"",IF(M273&lt;TODAY(),"OVERDUE",IF(M273-TODAY()&lt;=7,"Due ≤7d","On Schedule")))</f>
        <v/>
      </c>
      <c r="T273" s="21"/>
    </row>
    <row r="274" customFormat="false" ht="15" hidden="false" customHeight="false" outlineLevel="0" collapsed="false">
      <c r="A274" s="6" t="s">
        <v>1455</v>
      </c>
      <c r="B274" s="35"/>
      <c r="C274" s="34"/>
      <c r="D274" s="34"/>
      <c r="E274" s="34"/>
      <c r="F274" s="21"/>
      <c r="G274" s="34"/>
      <c r="H274" s="34"/>
      <c r="I274" s="34"/>
      <c r="J274" s="34"/>
      <c r="K274" s="34"/>
      <c r="L274" s="35"/>
      <c r="M274" s="35"/>
      <c r="N274" s="35"/>
      <c r="O274" s="42"/>
      <c r="P274" s="21"/>
      <c r="Q274" s="21"/>
      <c r="R274" s="33" t="str">
        <f aca="true">IF(B274="","",IF(N274&lt;&gt;"",N274-B274,TODAY()-B274))</f>
        <v/>
      </c>
      <c r="S274" s="38" t="str">
        <f aca="true">IF(OR(M274="",K274="Completed",K274="Cancelled"),"",IF(M274&lt;TODAY(),"OVERDUE",IF(M274-TODAY()&lt;=7,"Due ≤7d","On Schedule")))</f>
        <v/>
      </c>
      <c r="T274" s="21"/>
    </row>
    <row r="275" customFormat="false" ht="15" hidden="false" customHeight="false" outlineLevel="0" collapsed="false">
      <c r="A275" s="6" t="s">
        <v>1456</v>
      </c>
      <c r="B275" s="35"/>
      <c r="C275" s="34"/>
      <c r="D275" s="34"/>
      <c r="E275" s="34"/>
      <c r="F275" s="21"/>
      <c r="G275" s="34"/>
      <c r="H275" s="34"/>
      <c r="I275" s="34"/>
      <c r="J275" s="34"/>
      <c r="K275" s="34"/>
      <c r="L275" s="35"/>
      <c r="M275" s="35"/>
      <c r="N275" s="35"/>
      <c r="O275" s="42"/>
      <c r="P275" s="21"/>
      <c r="Q275" s="21"/>
      <c r="R275" s="33" t="str">
        <f aca="true">IF(B275="","",IF(N275&lt;&gt;"",N275-B275,TODAY()-B275))</f>
        <v/>
      </c>
      <c r="S275" s="38" t="str">
        <f aca="true">IF(OR(M275="",K275="Completed",K275="Cancelled"),"",IF(M275&lt;TODAY(),"OVERDUE",IF(M275-TODAY()&lt;=7,"Due ≤7d","On Schedule")))</f>
        <v/>
      </c>
      <c r="T275" s="21"/>
    </row>
    <row r="276" customFormat="false" ht="15" hidden="false" customHeight="false" outlineLevel="0" collapsed="false">
      <c r="A276" s="6" t="s">
        <v>1457</v>
      </c>
      <c r="B276" s="35"/>
      <c r="C276" s="34"/>
      <c r="D276" s="34"/>
      <c r="E276" s="34"/>
      <c r="F276" s="21"/>
      <c r="G276" s="34"/>
      <c r="H276" s="34"/>
      <c r="I276" s="34"/>
      <c r="J276" s="34"/>
      <c r="K276" s="34"/>
      <c r="L276" s="35"/>
      <c r="M276" s="35"/>
      <c r="N276" s="35"/>
      <c r="O276" s="42"/>
      <c r="P276" s="21"/>
      <c r="Q276" s="21"/>
      <c r="R276" s="33" t="str">
        <f aca="true">IF(B276="","",IF(N276&lt;&gt;"",N276-B276,TODAY()-B276))</f>
        <v/>
      </c>
      <c r="S276" s="38" t="str">
        <f aca="true">IF(OR(M276="",K276="Completed",K276="Cancelled"),"",IF(M276&lt;TODAY(),"OVERDUE",IF(M276-TODAY()&lt;=7,"Due ≤7d","On Schedule")))</f>
        <v/>
      </c>
      <c r="T276" s="21"/>
    </row>
    <row r="277" customFormat="false" ht="15" hidden="false" customHeight="false" outlineLevel="0" collapsed="false">
      <c r="A277" s="6" t="s">
        <v>1458</v>
      </c>
      <c r="B277" s="35"/>
      <c r="C277" s="34"/>
      <c r="D277" s="34"/>
      <c r="E277" s="34"/>
      <c r="F277" s="21"/>
      <c r="G277" s="34"/>
      <c r="H277" s="34"/>
      <c r="I277" s="34"/>
      <c r="J277" s="34"/>
      <c r="K277" s="34"/>
      <c r="L277" s="35"/>
      <c r="M277" s="35"/>
      <c r="N277" s="35"/>
      <c r="O277" s="42"/>
      <c r="P277" s="21"/>
      <c r="Q277" s="21"/>
      <c r="R277" s="33" t="str">
        <f aca="true">IF(B277="","",IF(N277&lt;&gt;"",N277-B277,TODAY()-B277))</f>
        <v/>
      </c>
      <c r="S277" s="38" t="str">
        <f aca="true">IF(OR(M277="",K277="Completed",K277="Cancelled"),"",IF(M277&lt;TODAY(),"OVERDUE",IF(M277-TODAY()&lt;=7,"Due ≤7d","On Schedule")))</f>
        <v/>
      </c>
      <c r="T277" s="21"/>
    </row>
    <row r="278" customFormat="false" ht="15" hidden="false" customHeight="false" outlineLevel="0" collapsed="false">
      <c r="A278" s="6" t="s">
        <v>1459</v>
      </c>
      <c r="B278" s="35"/>
      <c r="C278" s="34"/>
      <c r="D278" s="34"/>
      <c r="E278" s="34"/>
      <c r="F278" s="21"/>
      <c r="G278" s="34"/>
      <c r="H278" s="34"/>
      <c r="I278" s="34"/>
      <c r="J278" s="34"/>
      <c r="K278" s="34"/>
      <c r="L278" s="35"/>
      <c r="M278" s="35"/>
      <c r="N278" s="35"/>
      <c r="O278" s="42"/>
      <c r="P278" s="21"/>
      <c r="Q278" s="21"/>
      <c r="R278" s="33" t="str">
        <f aca="true">IF(B278="","",IF(N278&lt;&gt;"",N278-B278,TODAY()-B278))</f>
        <v/>
      </c>
      <c r="S278" s="38" t="str">
        <f aca="true">IF(OR(M278="",K278="Completed",K278="Cancelled"),"",IF(M278&lt;TODAY(),"OVERDUE",IF(M278-TODAY()&lt;=7,"Due ≤7d","On Schedule")))</f>
        <v/>
      </c>
      <c r="T278" s="21"/>
    </row>
    <row r="279" customFormat="false" ht="15" hidden="false" customHeight="false" outlineLevel="0" collapsed="false">
      <c r="A279" s="6" t="s">
        <v>1460</v>
      </c>
      <c r="B279" s="35"/>
      <c r="C279" s="34"/>
      <c r="D279" s="34"/>
      <c r="E279" s="34"/>
      <c r="F279" s="21"/>
      <c r="G279" s="34"/>
      <c r="H279" s="34"/>
      <c r="I279" s="34"/>
      <c r="J279" s="34"/>
      <c r="K279" s="34"/>
      <c r="L279" s="35"/>
      <c r="M279" s="35"/>
      <c r="N279" s="35"/>
      <c r="O279" s="42"/>
      <c r="P279" s="21"/>
      <c r="Q279" s="21"/>
      <c r="R279" s="33" t="str">
        <f aca="true">IF(B279="","",IF(N279&lt;&gt;"",N279-B279,TODAY()-B279))</f>
        <v/>
      </c>
      <c r="S279" s="38" t="str">
        <f aca="true">IF(OR(M279="",K279="Completed",K279="Cancelled"),"",IF(M279&lt;TODAY(),"OVERDUE",IF(M279-TODAY()&lt;=7,"Due ≤7d","On Schedule")))</f>
        <v/>
      </c>
      <c r="T279" s="21"/>
    </row>
    <row r="280" customFormat="false" ht="15" hidden="false" customHeight="false" outlineLevel="0" collapsed="false">
      <c r="A280" s="6" t="s">
        <v>1461</v>
      </c>
      <c r="B280" s="35"/>
      <c r="C280" s="34"/>
      <c r="D280" s="34"/>
      <c r="E280" s="34"/>
      <c r="F280" s="21"/>
      <c r="G280" s="34"/>
      <c r="H280" s="34"/>
      <c r="I280" s="34"/>
      <c r="J280" s="34"/>
      <c r="K280" s="34"/>
      <c r="L280" s="35"/>
      <c r="M280" s="35"/>
      <c r="N280" s="35"/>
      <c r="O280" s="42"/>
      <c r="P280" s="21"/>
      <c r="Q280" s="21"/>
      <c r="R280" s="33" t="str">
        <f aca="true">IF(B280="","",IF(N280&lt;&gt;"",N280-B280,TODAY()-B280))</f>
        <v/>
      </c>
      <c r="S280" s="38" t="str">
        <f aca="true">IF(OR(M280="",K280="Completed",K280="Cancelled"),"",IF(M280&lt;TODAY(),"OVERDUE",IF(M280-TODAY()&lt;=7,"Due ≤7d","On Schedule")))</f>
        <v/>
      </c>
      <c r="T280" s="21"/>
    </row>
    <row r="281" customFormat="false" ht="15" hidden="false" customHeight="false" outlineLevel="0" collapsed="false">
      <c r="A281" s="6" t="s">
        <v>1462</v>
      </c>
      <c r="B281" s="35"/>
      <c r="C281" s="34"/>
      <c r="D281" s="34"/>
      <c r="E281" s="34"/>
      <c r="F281" s="21"/>
      <c r="G281" s="34"/>
      <c r="H281" s="34"/>
      <c r="I281" s="34"/>
      <c r="J281" s="34"/>
      <c r="K281" s="34"/>
      <c r="L281" s="35"/>
      <c r="M281" s="35"/>
      <c r="N281" s="35"/>
      <c r="O281" s="42"/>
      <c r="P281" s="21"/>
      <c r="Q281" s="21"/>
      <c r="R281" s="33" t="str">
        <f aca="true">IF(B281="","",IF(N281&lt;&gt;"",N281-B281,TODAY()-B281))</f>
        <v/>
      </c>
      <c r="S281" s="38" t="str">
        <f aca="true">IF(OR(M281="",K281="Completed",K281="Cancelled"),"",IF(M281&lt;TODAY(),"OVERDUE",IF(M281-TODAY()&lt;=7,"Due ≤7d","On Schedule")))</f>
        <v/>
      </c>
      <c r="T281" s="21"/>
    </row>
    <row r="282" customFormat="false" ht="15" hidden="false" customHeight="false" outlineLevel="0" collapsed="false">
      <c r="A282" s="6" t="s">
        <v>1463</v>
      </c>
      <c r="B282" s="35"/>
      <c r="C282" s="34"/>
      <c r="D282" s="34"/>
      <c r="E282" s="34"/>
      <c r="F282" s="21"/>
      <c r="G282" s="34"/>
      <c r="H282" s="34"/>
      <c r="I282" s="34"/>
      <c r="J282" s="34"/>
      <c r="K282" s="34"/>
      <c r="L282" s="35"/>
      <c r="M282" s="35"/>
      <c r="N282" s="35"/>
      <c r="O282" s="42"/>
      <c r="P282" s="21"/>
      <c r="Q282" s="21"/>
      <c r="R282" s="33" t="str">
        <f aca="true">IF(B282="","",IF(N282&lt;&gt;"",N282-B282,TODAY()-B282))</f>
        <v/>
      </c>
      <c r="S282" s="38" t="str">
        <f aca="true">IF(OR(M282="",K282="Completed",K282="Cancelled"),"",IF(M282&lt;TODAY(),"OVERDUE",IF(M282-TODAY()&lt;=7,"Due ≤7d","On Schedule")))</f>
        <v/>
      </c>
      <c r="T282" s="21"/>
    </row>
    <row r="283" customFormat="false" ht="15" hidden="false" customHeight="false" outlineLevel="0" collapsed="false">
      <c r="A283" s="6" t="s">
        <v>1464</v>
      </c>
      <c r="B283" s="35"/>
      <c r="C283" s="34"/>
      <c r="D283" s="34"/>
      <c r="E283" s="34"/>
      <c r="F283" s="21"/>
      <c r="G283" s="34"/>
      <c r="H283" s="34"/>
      <c r="I283" s="34"/>
      <c r="J283" s="34"/>
      <c r="K283" s="34"/>
      <c r="L283" s="35"/>
      <c r="M283" s="35"/>
      <c r="N283" s="35"/>
      <c r="O283" s="42"/>
      <c r="P283" s="21"/>
      <c r="Q283" s="21"/>
      <c r="R283" s="33" t="str">
        <f aca="true">IF(B283="","",IF(N283&lt;&gt;"",N283-B283,TODAY()-B283))</f>
        <v/>
      </c>
      <c r="S283" s="38" t="str">
        <f aca="true">IF(OR(M283="",K283="Completed",K283="Cancelled"),"",IF(M283&lt;TODAY(),"OVERDUE",IF(M283-TODAY()&lt;=7,"Due ≤7d","On Schedule")))</f>
        <v/>
      </c>
      <c r="T283" s="21"/>
    </row>
    <row r="284" customFormat="false" ht="15" hidden="false" customHeight="false" outlineLevel="0" collapsed="false">
      <c r="A284" s="6" t="s">
        <v>1465</v>
      </c>
      <c r="B284" s="35"/>
      <c r="C284" s="34"/>
      <c r="D284" s="34"/>
      <c r="E284" s="34"/>
      <c r="F284" s="21"/>
      <c r="G284" s="34"/>
      <c r="H284" s="34"/>
      <c r="I284" s="34"/>
      <c r="J284" s="34"/>
      <c r="K284" s="34"/>
      <c r="L284" s="35"/>
      <c r="M284" s="35"/>
      <c r="N284" s="35"/>
      <c r="O284" s="42"/>
      <c r="P284" s="21"/>
      <c r="Q284" s="21"/>
      <c r="R284" s="33" t="str">
        <f aca="true">IF(B284="","",IF(N284&lt;&gt;"",N284-B284,TODAY()-B284))</f>
        <v/>
      </c>
      <c r="S284" s="38" t="str">
        <f aca="true">IF(OR(M284="",K284="Completed",K284="Cancelled"),"",IF(M284&lt;TODAY(),"OVERDUE",IF(M284-TODAY()&lt;=7,"Due ≤7d","On Schedule")))</f>
        <v/>
      </c>
      <c r="T284" s="21"/>
    </row>
    <row r="285" customFormat="false" ht="15" hidden="false" customHeight="false" outlineLevel="0" collapsed="false">
      <c r="A285" s="6" t="s">
        <v>1466</v>
      </c>
      <c r="B285" s="35"/>
      <c r="C285" s="34"/>
      <c r="D285" s="34"/>
      <c r="E285" s="34"/>
      <c r="F285" s="21"/>
      <c r="G285" s="34"/>
      <c r="H285" s="34"/>
      <c r="I285" s="34"/>
      <c r="J285" s="34"/>
      <c r="K285" s="34"/>
      <c r="L285" s="35"/>
      <c r="M285" s="35"/>
      <c r="N285" s="35"/>
      <c r="O285" s="42"/>
      <c r="P285" s="21"/>
      <c r="Q285" s="21"/>
      <c r="R285" s="33" t="str">
        <f aca="true">IF(B285="","",IF(N285&lt;&gt;"",N285-B285,TODAY()-B285))</f>
        <v/>
      </c>
      <c r="S285" s="38" t="str">
        <f aca="true">IF(OR(M285="",K285="Completed",K285="Cancelled"),"",IF(M285&lt;TODAY(),"OVERDUE",IF(M285-TODAY()&lt;=7,"Due ≤7d","On Schedule")))</f>
        <v/>
      </c>
      <c r="T285" s="21"/>
    </row>
    <row r="286" customFormat="false" ht="15" hidden="false" customHeight="false" outlineLevel="0" collapsed="false">
      <c r="A286" s="6" t="s">
        <v>1467</v>
      </c>
      <c r="B286" s="35"/>
      <c r="C286" s="34"/>
      <c r="D286" s="34"/>
      <c r="E286" s="34"/>
      <c r="F286" s="21"/>
      <c r="G286" s="34"/>
      <c r="H286" s="34"/>
      <c r="I286" s="34"/>
      <c r="J286" s="34"/>
      <c r="K286" s="34"/>
      <c r="L286" s="35"/>
      <c r="M286" s="35"/>
      <c r="N286" s="35"/>
      <c r="O286" s="42"/>
      <c r="P286" s="21"/>
      <c r="Q286" s="21"/>
      <c r="R286" s="33" t="str">
        <f aca="true">IF(B286="","",IF(N286&lt;&gt;"",N286-B286,TODAY()-B286))</f>
        <v/>
      </c>
      <c r="S286" s="38" t="str">
        <f aca="true">IF(OR(M286="",K286="Completed",K286="Cancelled"),"",IF(M286&lt;TODAY(),"OVERDUE",IF(M286-TODAY()&lt;=7,"Due ≤7d","On Schedule")))</f>
        <v/>
      </c>
      <c r="T286" s="21"/>
    </row>
    <row r="287" customFormat="false" ht="15" hidden="false" customHeight="false" outlineLevel="0" collapsed="false">
      <c r="A287" s="6" t="s">
        <v>1468</v>
      </c>
      <c r="B287" s="35"/>
      <c r="C287" s="34"/>
      <c r="D287" s="34"/>
      <c r="E287" s="34"/>
      <c r="F287" s="21"/>
      <c r="G287" s="34"/>
      <c r="H287" s="34"/>
      <c r="I287" s="34"/>
      <c r="J287" s="34"/>
      <c r="K287" s="34"/>
      <c r="L287" s="35"/>
      <c r="M287" s="35"/>
      <c r="N287" s="35"/>
      <c r="O287" s="42"/>
      <c r="P287" s="21"/>
      <c r="Q287" s="21"/>
      <c r="R287" s="33" t="str">
        <f aca="true">IF(B287="","",IF(N287&lt;&gt;"",N287-B287,TODAY()-B287))</f>
        <v/>
      </c>
      <c r="S287" s="38" t="str">
        <f aca="true">IF(OR(M287="",K287="Completed",K287="Cancelled"),"",IF(M287&lt;TODAY(),"OVERDUE",IF(M287-TODAY()&lt;=7,"Due ≤7d","On Schedule")))</f>
        <v/>
      </c>
      <c r="T287" s="21"/>
    </row>
    <row r="288" customFormat="false" ht="15" hidden="false" customHeight="false" outlineLevel="0" collapsed="false">
      <c r="A288" s="6" t="s">
        <v>1469</v>
      </c>
      <c r="B288" s="35"/>
      <c r="C288" s="34"/>
      <c r="D288" s="34"/>
      <c r="E288" s="34"/>
      <c r="F288" s="21"/>
      <c r="G288" s="34"/>
      <c r="H288" s="34"/>
      <c r="I288" s="34"/>
      <c r="J288" s="34"/>
      <c r="K288" s="34"/>
      <c r="L288" s="35"/>
      <c r="M288" s="35"/>
      <c r="N288" s="35"/>
      <c r="O288" s="42"/>
      <c r="P288" s="21"/>
      <c r="Q288" s="21"/>
      <c r="R288" s="33" t="str">
        <f aca="true">IF(B288="","",IF(N288&lt;&gt;"",N288-B288,TODAY()-B288))</f>
        <v/>
      </c>
      <c r="S288" s="38" t="str">
        <f aca="true">IF(OR(M288="",K288="Completed",K288="Cancelled"),"",IF(M288&lt;TODAY(),"OVERDUE",IF(M288-TODAY()&lt;=7,"Due ≤7d","On Schedule")))</f>
        <v/>
      </c>
      <c r="T288" s="21"/>
    </row>
    <row r="289" customFormat="false" ht="15" hidden="false" customHeight="false" outlineLevel="0" collapsed="false">
      <c r="A289" s="6" t="s">
        <v>1470</v>
      </c>
      <c r="B289" s="35"/>
      <c r="C289" s="34"/>
      <c r="D289" s="34"/>
      <c r="E289" s="34"/>
      <c r="F289" s="21"/>
      <c r="G289" s="34"/>
      <c r="H289" s="34"/>
      <c r="I289" s="34"/>
      <c r="J289" s="34"/>
      <c r="K289" s="34"/>
      <c r="L289" s="35"/>
      <c r="M289" s="35"/>
      <c r="N289" s="35"/>
      <c r="O289" s="42"/>
      <c r="P289" s="21"/>
      <c r="Q289" s="21"/>
      <c r="R289" s="33" t="str">
        <f aca="true">IF(B289="","",IF(N289&lt;&gt;"",N289-B289,TODAY()-B289))</f>
        <v/>
      </c>
      <c r="S289" s="38" t="str">
        <f aca="true">IF(OR(M289="",K289="Completed",K289="Cancelled"),"",IF(M289&lt;TODAY(),"OVERDUE",IF(M289-TODAY()&lt;=7,"Due ≤7d","On Schedule")))</f>
        <v/>
      </c>
      <c r="T289" s="21"/>
    </row>
    <row r="290" customFormat="false" ht="15" hidden="false" customHeight="false" outlineLevel="0" collapsed="false">
      <c r="A290" s="6" t="s">
        <v>1471</v>
      </c>
      <c r="B290" s="35"/>
      <c r="C290" s="34"/>
      <c r="D290" s="34"/>
      <c r="E290" s="34"/>
      <c r="F290" s="21"/>
      <c r="G290" s="34"/>
      <c r="H290" s="34"/>
      <c r="I290" s="34"/>
      <c r="J290" s="34"/>
      <c r="K290" s="34"/>
      <c r="L290" s="35"/>
      <c r="M290" s="35"/>
      <c r="N290" s="35"/>
      <c r="O290" s="42"/>
      <c r="P290" s="21"/>
      <c r="Q290" s="21"/>
      <c r="R290" s="33" t="str">
        <f aca="true">IF(B290="","",IF(N290&lt;&gt;"",N290-B290,TODAY()-B290))</f>
        <v/>
      </c>
      <c r="S290" s="38" t="str">
        <f aca="true">IF(OR(M290="",K290="Completed",K290="Cancelled"),"",IF(M290&lt;TODAY(),"OVERDUE",IF(M290-TODAY()&lt;=7,"Due ≤7d","On Schedule")))</f>
        <v/>
      </c>
      <c r="T290" s="21"/>
    </row>
    <row r="291" customFormat="false" ht="15" hidden="false" customHeight="false" outlineLevel="0" collapsed="false">
      <c r="A291" s="6" t="s">
        <v>1472</v>
      </c>
      <c r="B291" s="35"/>
      <c r="C291" s="34"/>
      <c r="D291" s="34"/>
      <c r="E291" s="34"/>
      <c r="F291" s="21"/>
      <c r="G291" s="34"/>
      <c r="H291" s="34"/>
      <c r="I291" s="34"/>
      <c r="J291" s="34"/>
      <c r="K291" s="34"/>
      <c r="L291" s="35"/>
      <c r="M291" s="35"/>
      <c r="N291" s="35"/>
      <c r="O291" s="42"/>
      <c r="P291" s="21"/>
      <c r="Q291" s="21"/>
      <c r="R291" s="33" t="str">
        <f aca="true">IF(B291="","",IF(N291&lt;&gt;"",N291-B291,TODAY()-B291))</f>
        <v/>
      </c>
      <c r="S291" s="38" t="str">
        <f aca="true">IF(OR(M291="",K291="Completed",K291="Cancelled"),"",IF(M291&lt;TODAY(),"OVERDUE",IF(M291-TODAY()&lt;=7,"Due ≤7d","On Schedule")))</f>
        <v/>
      </c>
      <c r="T291" s="21"/>
    </row>
    <row r="292" customFormat="false" ht="15" hidden="false" customHeight="false" outlineLevel="0" collapsed="false">
      <c r="A292" s="6" t="s">
        <v>1473</v>
      </c>
      <c r="B292" s="35"/>
      <c r="C292" s="34"/>
      <c r="D292" s="34"/>
      <c r="E292" s="34"/>
      <c r="F292" s="21"/>
      <c r="G292" s="34"/>
      <c r="H292" s="34"/>
      <c r="I292" s="34"/>
      <c r="J292" s="34"/>
      <c r="K292" s="34"/>
      <c r="L292" s="35"/>
      <c r="M292" s="35"/>
      <c r="N292" s="35"/>
      <c r="O292" s="42"/>
      <c r="P292" s="21"/>
      <c r="Q292" s="21"/>
      <c r="R292" s="33" t="str">
        <f aca="true">IF(B292="","",IF(N292&lt;&gt;"",N292-B292,TODAY()-B292))</f>
        <v/>
      </c>
      <c r="S292" s="38" t="str">
        <f aca="true">IF(OR(M292="",K292="Completed",K292="Cancelled"),"",IF(M292&lt;TODAY(),"OVERDUE",IF(M292-TODAY()&lt;=7,"Due ≤7d","On Schedule")))</f>
        <v/>
      </c>
      <c r="T292" s="21"/>
    </row>
    <row r="293" customFormat="false" ht="15" hidden="false" customHeight="false" outlineLevel="0" collapsed="false">
      <c r="A293" s="6" t="s">
        <v>1474</v>
      </c>
      <c r="B293" s="35"/>
      <c r="C293" s="34"/>
      <c r="D293" s="34"/>
      <c r="E293" s="34"/>
      <c r="F293" s="21"/>
      <c r="G293" s="34"/>
      <c r="H293" s="34"/>
      <c r="I293" s="34"/>
      <c r="J293" s="34"/>
      <c r="K293" s="34"/>
      <c r="L293" s="35"/>
      <c r="M293" s="35"/>
      <c r="N293" s="35"/>
      <c r="O293" s="42"/>
      <c r="P293" s="21"/>
      <c r="Q293" s="21"/>
      <c r="R293" s="33" t="str">
        <f aca="true">IF(B293="","",IF(N293&lt;&gt;"",N293-B293,TODAY()-B293))</f>
        <v/>
      </c>
      <c r="S293" s="38" t="str">
        <f aca="true">IF(OR(M293="",K293="Completed",K293="Cancelled"),"",IF(M293&lt;TODAY(),"OVERDUE",IF(M293-TODAY()&lt;=7,"Due ≤7d","On Schedule")))</f>
        <v/>
      </c>
      <c r="T293" s="21"/>
    </row>
    <row r="294" customFormat="false" ht="15" hidden="false" customHeight="false" outlineLevel="0" collapsed="false">
      <c r="A294" s="6" t="s">
        <v>1475</v>
      </c>
      <c r="B294" s="35"/>
      <c r="C294" s="34"/>
      <c r="D294" s="34"/>
      <c r="E294" s="34"/>
      <c r="F294" s="21"/>
      <c r="G294" s="34"/>
      <c r="H294" s="34"/>
      <c r="I294" s="34"/>
      <c r="J294" s="34"/>
      <c r="K294" s="34"/>
      <c r="L294" s="35"/>
      <c r="M294" s="35"/>
      <c r="N294" s="35"/>
      <c r="O294" s="42"/>
      <c r="P294" s="21"/>
      <c r="Q294" s="21"/>
      <c r="R294" s="33" t="str">
        <f aca="true">IF(B294="","",IF(N294&lt;&gt;"",N294-B294,TODAY()-B294))</f>
        <v/>
      </c>
      <c r="S294" s="38" t="str">
        <f aca="true">IF(OR(M294="",K294="Completed",K294="Cancelled"),"",IF(M294&lt;TODAY(),"OVERDUE",IF(M294-TODAY()&lt;=7,"Due ≤7d","On Schedule")))</f>
        <v/>
      </c>
      <c r="T294" s="21"/>
    </row>
    <row r="295" customFormat="false" ht="15" hidden="false" customHeight="false" outlineLevel="0" collapsed="false">
      <c r="A295" s="6" t="s">
        <v>1476</v>
      </c>
      <c r="B295" s="35"/>
      <c r="C295" s="34"/>
      <c r="D295" s="34"/>
      <c r="E295" s="34"/>
      <c r="F295" s="21"/>
      <c r="G295" s="34"/>
      <c r="H295" s="34"/>
      <c r="I295" s="34"/>
      <c r="J295" s="34"/>
      <c r="K295" s="34"/>
      <c r="L295" s="35"/>
      <c r="M295" s="35"/>
      <c r="N295" s="35"/>
      <c r="O295" s="42"/>
      <c r="P295" s="21"/>
      <c r="Q295" s="21"/>
      <c r="R295" s="33" t="str">
        <f aca="true">IF(B295="","",IF(N295&lt;&gt;"",N295-B295,TODAY()-B295))</f>
        <v/>
      </c>
      <c r="S295" s="38" t="str">
        <f aca="true">IF(OR(M295="",K295="Completed",K295="Cancelled"),"",IF(M295&lt;TODAY(),"OVERDUE",IF(M295-TODAY()&lt;=7,"Due ≤7d","On Schedule")))</f>
        <v/>
      </c>
      <c r="T295" s="21"/>
    </row>
    <row r="296" customFormat="false" ht="15" hidden="false" customHeight="false" outlineLevel="0" collapsed="false">
      <c r="A296" s="6" t="s">
        <v>1477</v>
      </c>
      <c r="B296" s="35"/>
      <c r="C296" s="34"/>
      <c r="D296" s="34"/>
      <c r="E296" s="34"/>
      <c r="F296" s="21"/>
      <c r="G296" s="34"/>
      <c r="H296" s="34"/>
      <c r="I296" s="34"/>
      <c r="J296" s="34"/>
      <c r="K296" s="34"/>
      <c r="L296" s="35"/>
      <c r="M296" s="35"/>
      <c r="N296" s="35"/>
      <c r="O296" s="42"/>
      <c r="P296" s="21"/>
      <c r="Q296" s="21"/>
      <c r="R296" s="33" t="str">
        <f aca="true">IF(B296="","",IF(N296&lt;&gt;"",N296-B296,TODAY()-B296))</f>
        <v/>
      </c>
      <c r="S296" s="38" t="str">
        <f aca="true">IF(OR(M296="",K296="Completed",K296="Cancelled"),"",IF(M296&lt;TODAY(),"OVERDUE",IF(M296-TODAY()&lt;=7,"Due ≤7d","On Schedule")))</f>
        <v/>
      </c>
      <c r="T296" s="21"/>
    </row>
    <row r="297" customFormat="false" ht="15" hidden="false" customHeight="false" outlineLevel="0" collapsed="false">
      <c r="A297" s="6" t="s">
        <v>1478</v>
      </c>
      <c r="B297" s="35"/>
      <c r="C297" s="34"/>
      <c r="D297" s="34"/>
      <c r="E297" s="34"/>
      <c r="F297" s="21"/>
      <c r="G297" s="34"/>
      <c r="H297" s="34"/>
      <c r="I297" s="34"/>
      <c r="J297" s="34"/>
      <c r="K297" s="34"/>
      <c r="L297" s="35"/>
      <c r="M297" s="35"/>
      <c r="N297" s="35"/>
      <c r="O297" s="42"/>
      <c r="P297" s="21"/>
      <c r="Q297" s="21"/>
      <c r="R297" s="33" t="str">
        <f aca="true">IF(B297="","",IF(N297&lt;&gt;"",N297-B297,TODAY()-B297))</f>
        <v/>
      </c>
      <c r="S297" s="38" t="str">
        <f aca="true">IF(OR(M297="",K297="Completed",K297="Cancelled"),"",IF(M297&lt;TODAY(),"OVERDUE",IF(M297-TODAY()&lt;=7,"Due ≤7d","On Schedule")))</f>
        <v/>
      </c>
      <c r="T297" s="21"/>
    </row>
    <row r="298" customFormat="false" ht="15" hidden="false" customHeight="false" outlineLevel="0" collapsed="false">
      <c r="A298" s="6" t="s">
        <v>1479</v>
      </c>
      <c r="B298" s="35"/>
      <c r="C298" s="34"/>
      <c r="D298" s="34"/>
      <c r="E298" s="34"/>
      <c r="F298" s="21"/>
      <c r="G298" s="34"/>
      <c r="H298" s="34"/>
      <c r="I298" s="34"/>
      <c r="J298" s="34"/>
      <c r="K298" s="34"/>
      <c r="L298" s="35"/>
      <c r="M298" s="35"/>
      <c r="N298" s="35"/>
      <c r="O298" s="42"/>
      <c r="P298" s="21"/>
      <c r="Q298" s="21"/>
      <c r="R298" s="33" t="str">
        <f aca="true">IF(B298="","",IF(N298&lt;&gt;"",N298-B298,TODAY()-B298))</f>
        <v/>
      </c>
      <c r="S298" s="38" t="str">
        <f aca="true">IF(OR(M298="",K298="Completed",K298="Cancelled"),"",IF(M298&lt;TODAY(),"OVERDUE",IF(M298-TODAY()&lt;=7,"Due ≤7d","On Schedule")))</f>
        <v/>
      </c>
      <c r="T298" s="21"/>
    </row>
    <row r="299" customFormat="false" ht="15" hidden="false" customHeight="false" outlineLevel="0" collapsed="false">
      <c r="A299" s="6" t="s">
        <v>1480</v>
      </c>
      <c r="B299" s="35"/>
      <c r="C299" s="34"/>
      <c r="D299" s="34"/>
      <c r="E299" s="34"/>
      <c r="F299" s="21"/>
      <c r="G299" s="34"/>
      <c r="H299" s="34"/>
      <c r="I299" s="34"/>
      <c r="J299" s="34"/>
      <c r="K299" s="34"/>
      <c r="L299" s="35"/>
      <c r="M299" s="35"/>
      <c r="N299" s="35"/>
      <c r="O299" s="42"/>
      <c r="P299" s="21"/>
      <c r="Q299" s="21"/>
      <c r="R299" s="33" t="str">
        <f aca="true">IF(B299="","",IF(N299&lt;&gt;"",N299-B299,TODAY()-B299))</f>
        <v/>
      </c>
      <c r="S299" s="38" t="str">
        <f aca="true">IF(OR(M299="",K299="Completed",K299="Cancelled"),"",IF(M299&lt;TODAY(),"OVERDUE",IF(M299-TODAY()&lt;=7,"Due ≤7d","On Schedule")))</f>
        <v/>
      </c>
      <c r="T299" s="21"/>
    </row>
    <row r="300" customFormat="false" ht="15" hidden="false" customHeight="false" outlineLevel="0" collapsed="false">
      <c r="A300" s="6" t="s">
        <v>1481</v>
      </c>
      <c r="B300" s="35"/>
      <c r="C300" s="34"/>
      <c r="D300" s="34"/>
      <c r="E300" s="34"/>
      <c r="F300" s="21"/>
      <c r="G300" s="34"/>
      <c r="H300" s="34"/>
      <c r="I300" s="34"/>
      <c r="J300" s="34"/>
      <c r="K300" s="34"/>
      <c r="L300" s="35"/>
      <c r="M300" s="35"/>
      <c r="N300" s="35"/>
      <c r="O300" s="42"/>
      <c r="P300" s="21"/>
      <c r="Q300" s="21"/>
      <c r="R300" s="33" t="str">
        <f aca="true">IF(B300="","",IF(N300&lt;&gt;"",N300-B300,TODAY()-B300))</f>
        <v/>
      </c>
      <c r="S300" s="38" t="str">
        <f aca="true">IF(OR(M300="",K300="Completed",K300="Cancelled"),"",IF(M300&lt;TODAY(),"OVERDUE",IF(M300-TODAY()&lt;=7,"Due ≤7d","On Schedule")))</f>
        <v/>
      </c>
      <c r="T300" s="21"/>
    </row>
    <row r="301" customFormat="false" ht="15" hidden="false" customHeight="false" outlineLevel="0" collapsed="false">
      <c r="A301" s="6" t="s">
        <v>1482</v>
      </c>
      <c r="B301" s="35"/>
      <c r="C301" s="34"/>
      <c r="D301" s="34"/>
      <c r="E301" s="34"/>
      <c r="F301" s="21"/>
      <c r="G301" s="34"/>
      <c r="H301" s="34"/>
      <c r="I301" s="34"/>
      <c r="J301" s="34"/>
      <c r="K301" s="34"/>
      <c r="L301" s="35"/>
      <c r="M301" s="35"/>
      <c r="N301" s="35"/>
      <c r="O301" s="42"/>
      <c r="P301" s="21"/>
      <c r="Q301" s="21"/>
      <c r="R301" s="33" t="str">
        <f aca="true">IF(B301="","",IF(N301&lt;&gt;"",N301-B301,TODAY()-B301))</f>
        <v/>
      </c>
      <c r="S301" s="38" t="str">
        <f aca="true">IF(OR(M301="",K301="Completed",K301="Cancelled"),"",IF(M301&lt;TODAY(),"OVERDUE",IF(M301-TODAY()&lt;=7,"Due ≤7d","On Schedule")))</f>
        <v/>
      </c>
      <c r="T301" s="21"/>
    </row>
    <row r="302" customFormat="false" ht="15" hidden="false" customHeight="false" outlineLevel="0" collapsed="false">
      <c r="A302" s="6" t="s">
        <v>1483</v>
      </c>
      <c r="B302" s="35"/>
      <c r="C302" s="34"/>
      <c r="D302" s="34"/>
      <c r="E302" s="34"/>
      <c r="F302" s="21"/>
      <c r="G302" s="34"/>
      <c r="H302" s="34"/>
      <c r="I302" s="34"/>
      <c r="J302" s="34"/>
      <c r="K302" s="34"/>
      <c r="L302" s="35"/>
      <c r="M302" s="35"/>
      <c r="N302" s="35"/>
      <c r="O302" s="42"/>
      <c r="P302" s="21"/>
      <c r="Q302" s="21"/>
      <c r="R302" s="33" t="str">
        <f aca="true">IF(B302="","",IF(N302&lt;&gt;"",N302-B302,TODAY()-B302))</f>
        <v/>
      </c>
      <c r="S302" s="38" t="str">
        <f aca="true">IF(OR(M302="",K302="Completed",K302="Cancelled"),"",IF(M302&lt;TODAY(),"OVERDUE",IF(M302-TODAY()&lt;=7,"Due ≤7d","On Schedule")))</f>
        <v/>
      </c>
      <c r="T302" s="21"/>
    </row>
    <row r="303" customFormat="false" ht="15" hidden="false" customHeight="false" outlineLevel="0" collapsed="false">
      <c r="A303" s="6" t="s">
        <v>1484</v>
      </c>
      <c r="B303" s="35"/>
      <c r="C303" s="34"/>
      <c r="D303" s="34"/>
      <c r="E303" s="34"/>
      <c r="F303" s="21"/>
      <c r="G303" s="34"/>
      <c r="H303" s="34"/>
      <c r="I303" s="34"/>
      <c r="J303" s="34"/>
      <c r="K303" s="34"/>
      <c r="L303" s="35"/>
      <c r="M303" s="35"/>
      <c r="N303" s="35"/>
      <c r="O303" s="42"/>
      <c r="P303" s="21"/>
      <c r="Q303" s="21"/>
      <c r="R303" s="33" t="str">
        <f aca="true">IF(B303="","",IF(N303&lt;&gt;"",N303-B303,TODAY()-B303))</f>
        <v/>
      </c>
      <c r="S303" s="38" t="str">
        <f aca="true">IF(OR(M303="",K303="Completed",K303="Cancelled"),"",IF(M303&lt;TODAY(),"OVERDUE",IF(M303-TODAY()&lt;=7,"Due ≤7d","On Schedule")))</f>
        <v/>
      </c>
      <c r="T303" s="21"/>
    </row>
    <row r="304" customFormat="false" ht="15" hidden="false" customHeight="false" outlineLevel="0" collapsed="false">
      <c r="A304" s="6" t="s">
        <v>1485</v>
      </c>
      <c r="B304" s="35"/>
      <c r="C304" s="34"/>
      <c r="D304" s="34"/>
      <c r="E304" s="34"/>
      <c r="F304" s="21"/>
      <c r="G304" s="34"/>
      <c r="H304" s="34"/>
      <c r="I304" s="34"/>
      <c r="J304" s="34"/>
      <c r="K304" s="34"/>
      <c r="L304" s="35"/>
      <c r="M304" s="35"/>
      <c r="N304" s="35"/>
      <c r="O304" s="42"/>
      <c r="P304" s="21"/>
      <c r="Q304" s="21"/>
      <c r="R304" s="33" t="str">
        <f aca="true">IF(B304="","",IF(N304&lt;&gt;"",N304-B304,TODAY()-B304))</f>
        <v/>
      </c>
      <c r="S304" s="38" t="str">
        <f aca="true">IF(OR(M304="",K304="Completed",K304="Cancelled"),"",IF(M304&lt;TODAY(),"OVERDUE",IF(M304-TODAY()&lt;=7,"Due ≤7d","On Schedule")))</f>
        <v/>
      </c>
      <c r="T304" s="21"/>
    </row>
  </sheetData>
  <autoFilter ref="A4:T304"/>
  <conditionalFormatting sqref="S5:S304">
    <cfRule type="cellIs" priority="2" operator="equal" aboveAverage="0" equalAverage="0" bottom="0" percent="0" rank="0" text="" dxfId="0">
      <formula>"OVERDUE"</formula>
    </cfRule>
    <cfRule type="cellIs" priority="3" operator="equal" aboveAverage="0" equalAverage="0" bottom="0" percent="0" rank="0" text="" dxfId="0">
      <formula>"SLA BREACH"</formula>
    </cfRule>
    <cfRule type="expression" priority="4" aboveAverage="0" equalAverage="0" bottom="0" percent="0" rank="0" text="" dxfId="13">
      <formula>LEFT(S5,3)="Due"</formula>
    </cfRule>
    <cfRule type="cellIs" priority="5" operator="equal" aboveAverage="0" equalAverage="0" bottom="0" percent="0" rank="0" text="" dxfId="3">
      <formula>"Closed Late"</formula>
    </cfRule>
    <cfRule type="cellIs" priority="6" operator="equal" aboveAverage="0" equalAverage="0" bottom="0" percent="0" rank="0" text="" dxfId="3">
      <formula>"Date missing"</formula>
    </cfRule>
    <cfRule type="cellIs" priority="7" operator="equal" aboveAverage="0" equalAverage="0" bottom="0" percent="0" rank="0" text="" dxfId="3">
      <formula>"Due date missing"</formula>
    </cfRule>
    <cfRule type="cellIs" priority="8" operator="equal" aboveAverage="0" equalAverage="0" bottom="0" percent="0" rank="0" text="" dxfId="1">
      <formula>"Met"</formula>
    </cfRule>
    <cfRule type="cellIs" priority="9" operator="equal" aboveAverage="0" equalAverage="0" bottom="0" percent="0" rank="0" text="" dxfId="1">
      <formula>"Done"</formula>
    </cfRule>
    <cfRule type="cellIs" priority="10" operator="equal" aboveAverage="0" equalAverage="0" bottom="0" percent="0" rank="0" text="" dxfId="1">
      <formula>"Within SLA"</formula>
    </cfRule>
    <cfRule type="cellIs" priority="11" operator="equal" aboveAverage="0" equalAverage="0" bottom="0" percent="0" rank="0" text="" dxfId="1">
      <formula>"On Schedule"</formula>
    </cfRule>
    <cfRule type="cellIs" priority="12" operator="equal" aboveAverage="0" equalAverage="0" bottom="0" percent="0" rank="0" text="" dxfId="1">
      <formula>"Scheduled"</formula>
    </cfRule>
  </conditionalFormatting>
  <conditionalFormatting sqref="K5:K304">
    <cfRule type="cellIs" priority="13" operator="equal" aboveAverage="0" equalAverage="0" bottom="0" percent="0" rank="0" text="" dxfId="1">
      <formula>"Completed"</formula>
    </cfRule>
    <cfRule type="cellIs" priority="14" operator="equal" aboveAverage="0" equalAverage="0" bottom="0" percent="0" rank="0" text="" dxfId="1">
      <formula>"Achieved"</formula>
    </cfRule>
    <cfRule type="cellIs" priority="15" operator="equal" aboveAverage="0" equalAverage="0" bottom="0" percent="0" rank="0" text="" dxfId="1">
      <formula>"Remediated"</formula>
    </cfRule>
    <cfRule type="cellIs" priority="16" operator="equal" aboveAverage="0" equalAverage="0" bottom="0" percent="0" rank="0" text="" dxfId="1">
      <formula>"Responded"</formula>
    </cfRule>
    <cfRule type="cellIs" priority="17" operator="equal" aboveAverage="0" equalAverage="0" bottom="0" percent="0" rank="0" text="" dxfId="1">
      <formula>"Closed"</formula>
    </cfRule>
    <cfRule type="cellIs" priority="18" operator="equal" aboveAverage="0" equalAverage="0" bottom="0" percent="0" rank="0" text="" dxfId="2">
      <formula>"In Progress"</formula>
    </cfRule>
    <cfRule type="cellIs" priority="19" operator="equal" aboveAverage="0" equalAverage="0" bottom="0" percent="0" rank="0" text="" dxfId="2">
      <formula>"Remediation In Progress"</formula>
    </cfRule>
    <cfRule type="cellIs" priority="20" operator="equal" aboveAverage="0" equalAverage="0" bottom="0" percent="0" rank="0" text="" dxfId="2">
      <formula>"At Risk"</formula>
    </cfRule>
    <cfRule type="cellIs" priority="21" operator="equal" aboveAverage="0" equalAverage="0" bottom="0" percent="0" rank="0" text="" dxfId="2">
      <formula>"Validating"</formula>
    </cfRule>
    <cfRule type="cellIs" priority="22" operator="equal" aboveAverage="0" equalAverage="0" bottom="0" percent="0" rank="0" text="" dxfId="2">
      <formula>"Awaiting Response"</formula>
    </cfRule>
    <cfRule type="cellIs" priority="23" operator="equal" aboveAverage="0" equalAverage="0" bottom="0" percent="0" rank="0" text="" dxfId="3">
      <formula>"Blocked"</formula>
    </cfRule>
    <cfRule type="cellIs" priority="24" operator="equal" aboveAverage="0" equalAverage="0" bottom="0" percent="0" rank="0" text="" dxfId="3">
      <formula>"Off Track"</formula>
    </cfRule>
    <cfRule type="cellIs" priority="25" operator="equal" aboveAverage="0" equalAverage="0" bottom="0" percent="0" rank="0" text="" dxfId="3">
      <formula>"Escalated"</formula>
    </cfRule>
    <cfRule type="cellIs" priority="26" operator="equal" aboveAverage="0" equalAverage="0" bottom="0" percent="0" rank="0" text="" dxfId="3">
      <formula>"Confirmed"</formula>
    </cfRule>
    <cfRule type="cellIs" priority="27" operator="equal" aboveAverage="0" equalAverage="0" bottom="0" percent="0" rank="0" text="" dxfId="3">
      <formula>"Delayed"</formula>
    </cfRule>
    <cfRule type="cellIs" priority="28" operator="equal" aboveAverage="0" equalAverage="0" bottom="0" percent="0" rank="0" text="" dxfId="4">
      <formula>"Cancelled"</formula>
    </cfRule>
    <cfRule type="cellIs" priority="29" operator="equal" aboveAverage="0" equalAverage="0" bottom="0" percent="0" rank="0" text="" dxfId="4">
      <formula>"False Positive"</formula>
    </cfRule>
    <cfRule type="cellIs" priority="30" operator="equal" aboveAverage="0" equalAverage="0" bottom="0" percent="0" rank="0" text="" dxfId="4">
      <formula>"Deferred"</formula>
    </cfRule>
    <cfRule type="cellIs" priority="31" operator="equal" aboveAverage="0" equalAverage="0" bottom="0" percent="0" rank="0" text="" dxfId="4">
      <formula>"On Hold"</formula>
    </cfRule>
  </conditionalFormatting>
  <conditionalFormatting sqref="J5:J304">
    <cfRule type="cellIs" priority="32" operator="equal" aboveAverage="0" equalAverage="0" bottom="0" percent="0" rank="0" text="" dxfId="0">
      <formula>"Critical"</formula>
    </cfRule>
    <cfRule type="cellIs" priority="33" operator="equal" aboveAverage="0" equalAverage="0" bottom="0" percent="0" rank="0" text="" dxfId="16">
      <formula>"High"</formula>
    </cfRule>
    <cfRule type="cellIs" priority="34" operator="equal" aboveAverage="0" equalAverage="0" bottom="0" percent="0" rank="0" text="" dxfId="2">
      <formula>"Medium"</formula>
    </cfRule>
  </conditionalFormatting>
  <conditionalFormatting sqref="O5:O304">
    <cfRule type="dataBar" priority="35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{BACED24B-7E50-407F-A9E3-3B9212C0F3E7}</x14:id>
        </ext>
      </extLst>
    </cfRule>
  </conditionalFormatting>
  <dataValidations count="10">
    <dataValidation allowBlank="true" error="Enter a valid date (e.g. 19-Oct-2026)." errorStyle="stop" operator="greaterThan" showDropDown="false" showErrorMessage="true" showInputMessage="false" sqref="B5:B304" type="date">
      <formula1>DATE(2000,1,1)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C5:C304" type="list">
      <formula1>Lists!$K$4:$K$9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E5:E304" type="list">
      <formula1>Lists!$F$4:$F$14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I5:I304" type="list">
      <formula1>Lists!$G$4:$G$8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J5:J304" type="list">
      <formula1>Lists!$D$4:$D$7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K5:K304" type="list">
      <formula1>Lists!$C$4:$C$9</formula1>
      <formula2>0</formula2>
    </dataValidation>
    <dataValidation allowBlank="true" error="Enter a valid date (e.g. 19-Oct-2026)." errorStyle="stop" operator="greaterThan" showDropDown="false" showErrorMessage="true" showInputMessage="false" sqref="L5:L304" type="date">
      <formula1>DATE(2000,1,1)</formula1>
      <formula2>0</formula2>
    </dataValidation>
    <dataValidation allowBlank="true" error="Enter a valid date (e.g. 19-Oct-2026)." errorStyle="stop" operator="greaterThan" showDropDown="false" showErrorMessage="true" showInputMessage="false" sqref="M5:M304" type="date">
      <formula1>DATE(2000,1,1)</formula1>
      <formula2>0</formula2>
    </dataValidation>
    <dataValidation allowBlank="true" error="Enter a valid date (e.g. 19-Oct-2026)." errorStyle="stop" operator="greaterThan" showDropDown="false" showErrorMessage="true" showInputMessage="false" sqref="N5:N304" type="date">
      <formula1>DATE(2000,1,1)</formula1>
      <formula2>0</formula2>
    </dataValidation>
    <dataValidation allowBlank="true" error="Enter a percentage between 0% and 100%." errorStyle="stop" operator="between" showDropDown="false" showErrorMessage="true" showInputMessage="false" sqref="O5:O304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CED24B-7E50-407F-A9E3-3B9212C0F3E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O5:O304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R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32"/>
    <col collapsed="false" customWidth="true" hidden="false" outlineLevel="0" max="6" min="6" style="0" width="40"/>
    <col collapsed="false" customWidth="true" hidden="false" outlineLevel="0" max="7" min="7" style="0" width="36"/>
    <col collapsed="false" customWidth="true" hidden="false" outlineLevel="0" max="8" min="8" style="0" width="28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20"/>
    <col collapsed="false" customWidth="true" hidden="false" outlineLevel="0" max="12" min="12" style="0" width="17"/>
    <col collapsed="false" customWidth="true" hidden="false" outlineLevel="0" max="13" min="13" style="0" width="20"/>
    <col collapsed="false" customWidth="true" hidden="false" outlineLevel="0" max="15" min="14" style="0" width="18"/>
    <col collapsed="false" customWidth="true" hidden="false" outlineLevel="0" max="16" min="16" style="0" width="11"/>
    <col collapsed="false" customWidth="true" hidden="false" outlineLevel="0" max="17" min="17" style="0" width="22"/>
    <col collapsed="false" customWidth="true" hidden="false" outlineLevel="0" max="18" min="18" style="0" width="28"/>
  </cols>
  <sheetData>
    <row r="1" customFormat="false" ht="19.7" hidden="false" customHeight="false" outlineLevel="0" collapsed="false">
      <c r="A1" s="9" t="s">
        <v>1486</v>
      </c>
    </row>
    <row r="2" customFormat="false" ht="15" hidden="false" customHeight="false" outlineLevel="0" collapsed="false">
      <c r="A2" s="2" t="s">
        <v>1487</v>
      </c>
    </row>
    <row r="3" customFormat="false" ht="15" hidden="false" customHeight="false" outlineLevel="0" collapsed="false">
      <c r="A3" s="27" t="s">
        <v>170</v>
      </c>
    </row>
    <row r="4" customFormat="false" ht="42" hidden="false" customHeight="true" outlineLevel="0" collapsed="false">
      <c r="A4" s="28" t="s">
        <v>1488</v>
      </c>
      <c r="B4" s="28" t="s">
        <v>498</v>
      </c>
      <c r="C4" s="28" t="s">
        <v>1489</v>
      </c>
      <c r="D4" s="28" t="s">
        <v>173</v>
      </c>
      <c r="E4" s="28" t="s">
        <v>1490</v>
      </c>
      <c r="F4" s="28" t="s">
        <v>1491</v>
      </c>
      <c r="G4" s="28" t="s">
        <v>1492</v>
      </c>
      <c r="H4" s="28" t="s">
        <v>1493</v>
      </c>
      <c r="I4" s="28" t="s">
        <v>1494</v>
      </c>
      <c r="J4" s="28" t="s">
        <v>1495</v>
      </c>
      <c r="K4" s="28" t="s">
        <v>1496</v>
      </c>
      <c r="L4" s="28" t="s">
        <v>1497</v>
      </c>
      <c r="M4" s="28" t="s">
        <v>1498</v>
      </c>
      <c r="N4" s="28" t="s">
        <v>1499</v>
      </c>
      <c r="O4" s="28" t="s">
        <v>1500</v>
      </c>
      <c r="P4" s="28" t="s">
        <v>1501</v>
      </c>
      <c r="Q4" s="28" t="s">
        <v>1502</v>
      </c>
      <c r="R4" s="28" t="s">
        <v>518</v>
      </c>
    </row>
    <row r="5" customFormat="false" ht="46.25" hidden="false" customHeight="false" outlineLevel="0" collapsed="false">
      <c r="A5" s="6" t="s">
        <v>1503</v>
      </c>
      <c r="B5" s="32" t="n">
        <v>46307</v>
      </c>
      <c r="C5" s="30" t="s">
        <v>1504</v>
      </c>
      <c r="D5" s="30" t="s">
        <v>1505</v>
      </c>
      <c r="E5" s="29" t="s">
        <v>1506</v>
      </c>
      <c r="F5" s="29" t="s">
        <v>1507</v>
      </c>
      <c r="G5" s="29" t="s">
        <v>1508</v>
      </c>
      <c r="H5" s="29" t="s">
        <v>1509</v>
      </c>
      <c r="I5" s="30" t="s">
        <v>519</v>
      </c>
      <c r="J5" s="30" t="s">
        <v>68</v>
      </c>
      <c r="K5" s="30" t="s">
        <v>1510</v>
      </c>
      <c r="L5" s="30" t="s">
        <v>1511</v>
      </c>
      <c r="M5" s="30" t="s">
        <v>1512</v>
      </c>
      <c r="N5" s="30" t="s">
        <v>1513</v>
      </c>
      <c r="O5" s="30" t="s">
        <v>864</v>
      </c>
      <c r="P5" s="30" t="s">
        <v>530</v>
      </c>
      <c r="Q5" s="30" t="s">
        <v>1514</v>
      </c>
      <c r="R5" s="21"/>
    </row>
    <row r="6" customFormat="false" ht="15" hidden="false" customHeight="false" outlineLevel="0" collapsed="false">
      <c r="A6" s="6" t="s">
        <v>1515</v>
      </c>
      <c r="B6" s="35"/>
      <c r="C6" s="34"/>
      <c r="D6" s="34"/>
      <c r="E6" s="21"/>
      <c r="F6" s="21"/>
      <c r="G6" s="21"/>
      <c r="H6" s="21"/>
      <c r="I6" s="34"/>
      <c r="J6" s="34"/>
      <c r="K6" s="34"/>
      <c r="L6" s="34"/>
      <c r="M6" s="34"/>
      <c r="N6" s="34"/>
      <c r="O6" s="34"/>
      <c r="P6" s="34"/>
      <c r="Q6" s="34"/>
      <c r="R6" s="21"/>
    </row>
    <row r="7" customFormat="false" ht="15" hidden="false" customHeight="false" outlineLevel="0" collapsed="false">
      <c r="A7" s="6" t="s">
        <v>1516</v>
      </c>
      <c r="B7" s="35"/>
      <c r="C7" s="34"/>
      <c r="D7" s="34"/>
      <c r="E7" s="21"/>
      <c r="F7" s="21"/>
      <c r="G7" s="21"/>
      <c r="H7" s="21"/>
      <c r="I7" s="34"/>
      <c r="J7" s="34"/>
      <c r="K7" s="34"/>
      <c r="L7" s="34"/>
      <c r="M7" s="34"/>
      <c r="N7" s="34"/>
      <c r="O7" s="34"/>
      <c r="P7" s="34"/>
      <c r="Q7" s="34"/>
      <c r="R7" s="21"/>
    </row>
    <row r="8" customFormat="false" ht="15" hidden="false" customHeight="false" outlineLevel="0" collapsed="false">
      <c r="A8" s="6" t="s">
        <v>1517</v>
      </c>
      <c r="B8" s="35"/>
      <c r="C8" s="34"/>
      <c r="D8" s="34"/>
      <c r="E8" s="21"/>
      <c r="F8" s="21"/>
      <c r="G8" s="21"/>
      <c r="H8" s="21"/>
      <c r="I8" s="34"/>
      <c r="J8" s="34"/>
      <c r="K8" s="34"/>
      <c r="L8" s="34"/>
      <c r="M8" s="34"/>
      <c r="N8" s="34"/>
      <c r="O8" s="34"/>
      <c r="P8" s="34"/>
      <c r="Q8" s="34"/>
      <c r="R8" s="21"/>
    </row>
    <row r="9" customFormat="false" ht="15" hidden="false" customHeight="false" outlineLevel="0" collapsed="false">
      <c r="A9" s="6" t="s">
        <v>1518</v>
      </c>
      <c r="B9" s="35"/>
      <c r="C9" s="34"/>
      <c r="D9" s="34"/>
      <c r="E9" s="21"/>
      <c r="F9" s="21"/>
      <c r="G9" s="21"/>
      <c r="H9" s="21"/>
      <c r="I9" s="34"/>
      <c r="J9" s="34"/>
      <c r="K9" s="34"/>
      <c r="L9" s="34"/>
      <c r="M9" s="34"/>
      <c r="N9" s="34"/>
      <c r="O9" s="34"/>
      <c r="P9" s="34"/>
      <c r="Q9" s="34"/>
      <c r="R9" s="21"/>
    </row>
    <row r="10" customFormat="false" ht="15" hidden="false" customHeight="false" outlineLevel="0" collapsed="false">
      <c r="A10" s="6" t="s">
        <v>1519</v>
      </c>
      <c r="B10" s="35"/>
      <c r="C10" s="34"/>
      <c r="D10" s="34"/>
      <c r="E10" s="21"/>
      <c r="F10" s="21"/>
      <c r="G10" s="21"/>
      <c r="H10" s="21"/>
      <c r="I10" s="34"/>
      <c r="J10" s="34"/>
      <c r="K10" s="34"/>
      <c r="L10" s="34"/>
      <c r="M10" s="34"/>
      <c r="N10" s="34"/>
      <c r="O10" s="34"/>
      <c r="P10" s="34"/>
      <c r="Q10" s="34"/>
      <c r="R10" s="21"/>
    </row>
    <row r="11" customFormat="false" ht="15" hidden="false" customHeight="false" outlineLevel="0" collapsed="false">
      <c r="A11" s="6" t="s">
        <v>1520</v>
      </c>
      <c r="B11" s="35"/>
      <c r="C11" s="34"/>
      <c r="D11" s="34"/>
      <c r="E11" s="21"/>
      <c r="F11" s="21"/>
      <c r="G11" s="21"/>
      <c r="H11" s="21"/>
      <c r="I11" s="34"/>
      <c r="J11" s="34"/>
      <c r="K11" s="34"/>
      <c r="L11" s="34"/>
      <c r="M11" s="34"/>
      <c r="N11" s="34"/>
      <c r="O11" s="34"/>
      <c r="P11" s="34"/>
      <c r="Q11" s="34"/>
      <c r="R11" s="21"/>
    </row>
    <row r="12" customFormat="false" ht="15" hidden="false" customHeight="false" outlineLevel="0" collapsed="false">
      <c r="A12" s="6" t="s">
        <v>1521</v>
      </c>
      <c r="B12" s="35"/>
      <c r="C12" s="34"/>
      <c r="D12" s="34"/>
      <c r="E12" s="21"/>
      <c r="F12" s="21"/>
      <c r="G12" s="21"/>
      <c r="H12" s="21"/>
      <c r="I12" s="34"/>
      <c r="J12" s="34"/>
      <c r="K12" s="34"/>
      <c r="L12" s="34"/>
      <c r="M12" s="34"/>
      <c r="N12" s="34"/>
      <c r="O12" s="34"/>
      <c r="P12" s="34"/>
      <c r="Q12" s="34"/>
      <c r="R12" s="21"/>
    </row>
    <row r="13" customFormat="false" ht="15" hidden="false" customHeight="false" outlineLevel="0" collapsed="false">
      <c r="A13" s="6" t="s">
        <v>1522</v>
      </c>
      <c r="B13" s="35"/>
      <c r="C13" s="34"/>
      <c r="D13" s="34"/>
      <c r="E13" s="21"/>
      <c r="F13" s="21"/>
      <c r="G13" s="21"/>
      <c r="H13" s="21"/>
      <c r="I13" s="34"/>
      <c r="J13" s="34"/>
      <c r="K13" s="34"/>
      <c r="L13" s="34"/>
      <c r="M13" s="34"/>
      <c r="N13" s="34"/>
      <c r="O13" s="34"/>
      <c r="P13" s="34"/>
      <c r="Q13" s="34"/>
      <c r="R13" s="21"/>
    </row>
    <row r="14" customFormat="false" ht="15" hidden="false" customHeight="false" outlineLevel="0" collapsed="false">
      <c r="A14" s="6" t="s">
        <v>1523</v>
      </c>
      <c r="B14" s="35"/>
      <c r="C14" s="34"/>
      <c r="D14" s="34"/>
      <c r="E14" s="21"/>
      <c r="F14" s="21"/>
      <c r="G14" s="21"/>
      <c r="H14" s="21"/>
      <c r="I14" s="34"/>
      <c r="J14" s="34"/>
      <c r="K14" s="34"/>
      <c r="L14" s="34"/>
      <c r="M14" s="34"/>
      <c r="N14" s="34"/>
      <c r="O14" s="34"/>
      <c r="P14" s="34"/>
      <c r="Q14" s="34"/>
      <c r="R14" s="21"/>
    </row>
    <row r="15" customFormat="false" ht="15" hidden="false" customHeight="false" outlineLevel="0" collapsed="false">
      <c r="A15" s="6" t="s">
        <v>1524</v>
      </c>
      <c r="B15" s="35"/>
      <c r="C15" s="34"/>
      <c r="D15" s="34"/>
      <c r="E15" s="21"/>
      <c r="F15" s="21"/>
      <c r="G15" s="21"/>
      <c r="H15" s="21"/>
      <c r="I15" s="34"/>
      <c r="J15" s="34"/>
      <c r="K15" s="34"/>
      <c r="L15" s="34"/>
      <c r="M15" s="34"/>
      <c r="N15" s="34"/>
      <c r="O15" s="34"/>
      <c r="P15" s="34"/>
      <c r="Q15" s="34"/>
      <c r="R15" s="21"/>
    </row>
    <row r="16" customFormat="false" ht="15" hidden="false" customHeight="false" outlineLevel="0" collapsed="false">
      <c r="A16" s="6" t="s">
        <v>1525</v>
      </c>
      <c r="B16" s="35"/>
      <c r="C16" s="34"/>
      <c r="D16" s="34"/>
      <c r="E16" s="21"/>
      <c r="F16" s="21"/>
      <c r="G16" s="21"/>
      <c r="H16" s="21"/>
      <c r="I16" s="34"/>
      <c r="J16" s="34"/>
      <c r="K16" s="34"/>
      <c r="L16" s="34"/>
      <c r="M16" s="34"/>
      <c r="N16" s="34"/>
      <c r="O16" s="34"/>
      <c r="P16" s="34"/>
      <c r="Q16" s="34"/>
      <c r="R16" s="21"/>
    </row>
    <row r="17" customFormat="false" ht="15" hidden="false" customHeight="false" outlineLevel="0" collapsed="false">
      <c r="A17" s="6" t="s">
        <v>1526</v>
      </c>
      <c r="B17" s="35"/>
      <c r="C17" s="34"/>
      <c r="D17" s="34"/>
      <c r="E17" s="21"/>
      <c r="F17" s="21"/>
      <c r="G17" s="21"/>
      <c r="H17" s="21"/>
      <c r="I17" s="34"/>
      <c r="J17" s="34"/>
      <c r="K17" s="34"/>
      <c r="L17" s="34"/>
      <c r="M17" s="34"/>
      <c r="N17" s="34"/>
      <c r="O17" s="34"/>
      <c r="P17" s="34"/>
      <c r="Q17" s="34"/>
      <c r="R17" s="21"/>
    </row>
    <row r="18" customFormat="false" ht="15" hidden="false" customHeight="false" outlineLevel="0" collapsed="false">
      <c r="A18" s="6" t="s">
        <v>1527</v>
      </c>
      <c r="B18" s="35"/>
      <c r="C18" s="34"/>
      <c r="D18" s="34"/>
      <c r="E18" s="21"/>
      <c r="F18" s="21"/>
      <c r="G18" s="21"/>
      <c r="H18" s="21"/>
      <c r="I18" s="34"/>
      <c r="J18" s="34"/>
      <c r="K18" s="34"/>
      <c r="L18" s="34"/>
      <c r="M18" s="34"/>
      <c r="N18" s="34"/>
      <c r="O18" s="34"/>
      <c r="P18" s="34"/>
      <c r="Q18" s="34"/>
      <c r="R18" s="21"/>
    </row>
    <row r="19" customFormat="false" ht="15" hidden="false" customHeight="false" outlineLevel="0" collapsed="false">
      <c r="A19" s="6" t="s">
        <v>1528</v>
      </c>
      <c r="B19" s="35"/>
      <c r="C19" s="34"/>
      <c r="D19" s="34"/>
      <c r="E19" s="21"/>
      <c r="F19" s="21"/>
      <c r="G19" s="21"/>
      <c r="H19" s="21"/>
      <c r="I19" s="34"/>
      <c r="J19" s="34"/>
      <c r="K19" s="34"/>
      <c r="L19" s="34"/>
      <c r="M19" s="34"/>
      <c r="N19" s="34"/>
      <c r="O19" s="34"/>
      <c r="P19" s="34"/>
      <c r="Q19" s="34"/>
      <c r="R19" s="21"/>
    </row>
    <row r="20" customFormat="false" ht="15" hidden="false" customHeight="false" outlineLevel="0" collapsed="false">
      <c r="A20" s="6" t="s">
        <v>1529</v>
      </c>
      <c r="B20" s="35"/>
      <c r="C20" s="34"/>
      <c r="D20" s="34"/>
      <c r="E20" s="21"/>
      <c r="F20" s="21"/>
      <c r="G20" s="21"/>
      <c r="H20" s="21"/>
      <c r="I20" s="34"/>
      <c r="J20" s="34"/>
      <c r="K20" s="34"/>
      <c r="L20" s="34"/>
      <c r="M20" s="34"/>
      <c r="N20" s="34"/>
      <c r="O20" s="34"/>
      <c r="P20" s="34"/>
      <c r="Q20" s="34"/>
      <c r="R20" s="21"/>
    </row>
    <row r="21" customFormat="false" ht="15" hidden="false" customHeight="false" outlineLevel="0" collapsed="false">
      <c r="A21" s="6" t="s">
        <v>1530</v>
      </c>
      <c r="B21" s="35"/>
      <c r="C21" s="34"/>
      <c r="D21" s="34"/>
      <c r="E21" s="21"/>
      <c r="F21" s="21"/>
      <c r="G21" s="21"/>
      <c r="H21" s="21"/>
      <c r="I21" s="34"/>
      <c r="J21" s="34"/>
      <c r="K21" s="34"/>
      <c r="L21" s="34"/>
      <c r="M21" s="34"/>
      <c r="N21" s="34"/>
      <c r="O21" s="34"/>
      <c r="P21" s="34"/>
      <c r="Q21" s="34"/>
      <c r="R21" s="21"/>
    </row>
    <row r="22" customFormat="false" ht="15" hidden="false" customHeight="false" outlineLevel="0" collapsed="false">
      <c r="A22" s="6" t="s">
        <v>1531</v>
      </c>
      <c r="B22" s="35"/>
      <c r="C22" s="34"/>
      <c r="D22" s="34"/>
      <c r="E22" s="21"/>
      <c r="F22" s="21"/>
      <c r="G22" s="21"/>
      <c r="H22" s="21"/>
      <c r="I22" s="34"/>
      <c r="J22" s="34"/>
      <c r="K22" s="34"/>
      <c r="L22" s="34"/>
      <c r="M22" s="34"/>
      <c r="N22" s="34"/>
      <c r="O22" s="34"/>
      <c r="P22" s="34"/>
      <c r="Q22" s="34"/>
      <c r="R22" s="21"/>
    </row>
    <row r="23" customFormat="false" ht="15" hidden="false" customHeight="false" outlineLevel="0" collapsed="false">
      <c r="A23" s="6" t="s">
        <v>1532</v>
      </c>
      <c r="B23" s="35"/>
      <c r="C23" s="34"/>
      <c r="D23" s="34"/>
      <c r="E23" s="21"/>
      <c r="F23" s="21"/>
      <c r="G23" s="21"/>
      <c r="H23" s="21"/>
      <c r="I23" s="34"/>
      <c r="J23" s="34"/>
      <c r="K23" s="34"/>
      <c r="L23" s="34"/>
      <c r="M23" s="34"/>
      <c r="N23" s="34"/>
      <c r="O23" s="34"/>
      <c r="P23" s="34"/>
      <c r="Q23" s="34"/>
      <c r="R23" s="21"/>
    </row>
    <row r="24" customFormat="false" ht="15" hidden="false" customHeight="false" outlineLevel="0" collapsed="false">
      <c r="A24" s="6" t="s">
        <v>1533</v>
      </c>
      <c r="B24" s="35"/>
      <c r="C24" s="34"/>
      <c r="D24" s="34"/>
      <c r="E24" s="21"/>
      <c r="F24" s="21"/>
      <c r="G24" s="21"/>
      <c r="H24" s="21"/>
      <c r="I24" s="34"/>
      <c r="J24" s="34"/>
      <c r="K24" s="34"/>
      <c r="L24" s="34"/>
      <c r="M24" s="34"/>
      <c r="N24" s="34"/>
      <c r="O24" s="34"/>
      <c r="P24" s="34"/>
      <c r="Q24" s="34"/>
      <c r="R24" s="21"/>
    </row>
    <row r="25" customFormat="false" ht="15" hidden="false" customHeight="false" outlineLevel="0" collapsed="false">
      <c r="A25" s="6" t="s">
        <v>1534</v>
      </c>
      <c r="B25" s="35"/>
      <c r="C25" s="34"/>
      <c r="D25" s="34"/>
      <c r="E25" s="21"/>
      <c r="F25" s="21"/>
      <c r="G25" s="21"/>
      <c r="H25" s="21"/>
      <c r="I25" s="34"/>
      <c r="J25" s="34"/>
      <c r="K25" s="34"/>
      <c r="L25" s="34"/>
      <c r="M25" s="34"/>
      <c r="N25" s="34"/>
      <c r="O25" s="34"/>
      <c r="P25" s="34"/>
      <c r="Q25" s="34"/>
      <c r="R25" s="21"/>
    </row>
    <row r="26" customFormat="false" ht="15" hidden="false" customHeight="false" outlineLevel="0" collapsed="false">
      <c r="A26" s="6" t="s">
        <v>1535</v>
      </c>
      <c r="B26" s="35"/>
      <c r="C26" s="34"/>
      <c r="D26" s="34"/>
      <c r="E26" s="21"/>
      <c r="F26" s="21"/>
      <c r="G26" s="21"/>
      <c r="H26" s="21"/>
      <c r="I26" s="34"/>
      <c r="J26" s="34"/>
      <c r="K26" s="34"/>
      <c r="L26" s="34"/>
      <c r="M26" s="34"/>
      <c r="N26" s="34"/>
      <c r="O26" s="34"/>
      <c r="P26" s="34"/>
      <c r="Q26" s="34"/>
      <c r="R26" s="21"/>
    </row>
    <row r="27" customFormat="false" ht="15" hidden="false" customHeight="false" outlineLevel="0" collapsed="false">
      <c r="A27" s="6" t="s">
        <v>1536</v>
      </c>
      <c r="B27" s="35"/>
      <c r="C27" s="34"/>
      <c r="D27" s="34"/>
      <c r="E27" s="21"/>
      <c r="F27" s="21"/>
      <c r="G27" s="21"/>
      <c r="H27" s="21"/>
      <c r="I27" s="34"/>
      <c r="J27" s="34"/>
      <c r="K27" s="34"/>
      <c r="L27" s="34"/>
      <c r="M27" s="34"/>
      <c r="N27" s="34"/>
      <c r="O27" s="34"/>
      <c r="P27" s="34"/>
      <c r="Q27" s="34"/>
      <c r="R27" s="21"/>
    </row>
    <row r="28" customFormat="false" ht="15" hidden="false" customHeight="false" outlineLevel="0" collapsed="false">
      <c r="A28" s="6" t="s">
        <v>1537</v>
      </c>
      <c r="B28" s="35"/>
      <c r="C28" s="34"/>
      <c r="D28" s="34"/>
      <c r="E28" s="21"/>
      <c r="F28" s="21"/>
      <c r="G28" s="21"/>
      <c r="H28" s="21"/>
      <c r="I28" s="34"/>
      <c r="J28" s="34"/>
      <c r="K28" s="34"/>
      <c r="L28" s="34"/>
      <c r="M28" s="34"/>
      <c r="N28" s="34"/>
      <c r="O28" s="34"/>
      <c r="P28" s="34"/>
      <c r="Q28" s="34"/>
      <c r="R28" s="21"/>
    </row>
    <row r="29" customFormat="false" ht="15" hidden="false" customHeight="false" outlineLevel="0" collapsed="false">
      <c r="A29" s="6" t="s">
        <v>1538</v>
      </c>
      <c r="B29" s="35"/>
      <c r="C29" s="34"/>
      <c r="D29" s="34"/>
      <c r="E29" s="21"/>
      <c r="F29" s="21"/>
      <c r="G29" s="21"/>
      <c r="H29" s="21"/>
      <c r="I29" s="34"/>
      <c r="J29" s="34"/>
      <c r="K29" s="34"/>
      <c r="L29" s="34"/>
      <c r="M29" s="34"/>
      <c r="N29" s="34"/>
      <c r="O29" s="34"/>
      <c r="P29" s="34"/>
      <c r="Q29" s="34"/>
      <c r="R29" s="21"/>
    </row>
    <row r="30" customFormat="false" ht="15" hidden="false" customHeight="false" outlineLevel="0" collapsed="false">
      <c r="A30" s="6" t="s">
        <v>1539</v>
      </c>
      <c r="B30" s="35"/>
      <c r="C30" s="34"/>
      <c r="D30" s="34"/>
      <c r="E30" s="21"/>
      <c r="F30" s="21"/>
      <c r="G30" s="21"/>
      <c r="H30" s="21"/>
      <c r="I30" s="34"/>
      <c r="J30" s="34"/>
      <c r="K30" s="34"/>
      <c r="L30" s="34"/>
      <c r="M30" s="34"/>
      <c r="N30" s="34"/>
      <c r="O30" s="34"/>
      <c r="P30" s="34"/>
      <c r="Q30" s="34"/>
      <c r="R30" s="21"/>
    </row>
    <row r="31" customFormat="false" ht="15" hidden="false" customHeight="false" outlineLevel="0" collapsed="false">
      <c r="A31" s="6" t="s">
        <v>1540</v>
      </c>
      <c r="B31" s="35"/>
      <c r="C31" s="34"/>
      <c r="D31" s="34"/>
      <c r="E31" s="21"/>
      <c r="F31" s="21"/>
      <c r="G31" s="21"/>
      <c r="H31" s="21"/>
      <c r="I31" s="34"/>
      <c r="J31" s="34"/>
      <c r="K31" s="34"/>
      <c r="L31" s="34"/>
      <c r="M31" s="34"/>
      <c r="N31" s="34"/>
      <c r="O31" s="34"/>
      <c r="P31" s="34"/>
      <c r="Q31" s="34"/>
      <c r="R31" s="21"/>
    </row>
    <row r="32" customFormat="false" ht="15" hidden="false" customHeight="false" outlineLevel="0" collapsed="false">
      <c r="A32" s="6" t="s">
        <v>1541</v>
      </c>
      <c r="B32" s="35"/>
      <c r="C32" s="34"/>
      <c r="D32" s="34"/>
      <c r="E32" s="21"/>
      <c r="F32" s="21"/>
      <c r="G32" s="21"/>
      <c r="H32" s="21"/>
      <c r="I32" s="34"/>
      <c r="J32" s="34"/>
      <c r="K32" s="34"/>
      <c r="L32" s="34"/>
      <c r="M32" s="34"/>
      <c r="N32" s="34"/>
      <c r="O32" s="34"/>
      <c r="P32" s="34"/>
      <c r="Q32" s="34"/>
      <c r="R32" s="21"/>
    </row>
    <row r="33" customFormat="false" ht="15" hidden="false" customHeight="false" outlineLevel="0" collapsed="false">
      <c r="A33" s="6" t="s">
        <v>1542</v>
      </c>
      <c r="B33" s="35"/>
      <c r="C33" s="34"/>
      <c r="D33" s="34"/>
      <c r="E33" s="21"/>
      <c r="F33" s="21"/>
      <c r="G33" s="21"/>
      <c r="H33" s="21"/>
      <c r="I33" s="34"/>
      <c r="J33" s="34"/>
      <c r="K33" s="34"/>
      <c r="L33" s="34"/>
      <c r="M33" s="34"/>
      <c r="N33" s="34"/>
      <c r="O33" s="34"/>
      <c r="P33" s="34"/>
      <c r="Q33" s="34"/>
      <c r="R33" s="21"/>
    </row>
    <row r="34" customFormat="false" ht="15" hidden="false" customHeight="false" outlineLevel="0" collapsed="false">
      <c r="A34" s="6" t="s">
        <v>1543</v>
      </c>
      <c r="B34" s="35"/>
      <c r="C34" s="34"/>
      <c r="D34" s="34"/>
      <c r="E34" s="21"/>
      <c r="F34" s="21"/>
      <c r="G34" s="21"/>
      <c r="H34" s="21"/>
      <c r="I34" s="34"/>
      <c r="J34" s="34"/>
      <c r="K34" s="34"/>
      <c r="L34" s="34"/>
      <c r="M34" s="34"/>
      <c r="N34" s="34"/>
      <c r="O34" s="34"/>
      <c r="P34" s="34"/>
      <c r="Q34" s="34"/>
      <c r="R34" s="21"/>
    </row>
    <row r="35" customFormat="false" ht="15" hidden="false" customHeight="false" outlineLevel="0" collapsed="false">
      <c r="A35" s="6" t="s">
        <v>1544</v>
      </c>
      <c r="B35" s="35"/>
      <c r="C35" s="34"/>
      <c r="D35" s="34"/>
      <c r="E35" s="21"/>
      <c r="F35" s="21"/>
      <c r="G35" s="21"/>
      <c r="H35" s="21"/>
      <c r="I35" s="34"/>
      <c r="J35" s="34"/>
      <c r="K35" s="34"/>
      <c r="L35" s="34"/>
      <c r="M35" s="34"/>
      <c r="N35" s="34"/>
      <c r="O35" s="34"/>
      <c r="P35" s="34"/>
      <c r="Q35" s="34"/>
      <c r="R35" s="21"/>
    </row>
    <row r="36" customFormat="false" ht="15" hidden="false" customHeight="false" outlineLevel="0" collapsed="false">
      <c r="A36" s="6" t="s">
        <v>1545</v>
      </c>
      <c r="B36" s="35"/>
      <c r="C36" s="34"/>
      <c r="D36" s="34"/>
      <c r="E36" s="21"/>
      <c r="F36" s="21"/>
      <c r="G36" s="21"/>
      <c r="H36" s="21"/>
      <c r="I36" s="34"/>
      <c r="J36" s="34"/>
      <c r="K36" s="34"/>
      <c r="L36" s="34"/>
      <c r="M36" s="34"/>
      <c r="N36" s="34"/>
      <c r="O36" s="34"/>
      <c r="P36" s="34"/>
      <c r="Q36" s="34"/>
      <c r="R36" s="21"/>
    </row>
    <row r="37" customFormat="false" ht="15" hidden="false" customHeight="false" outlineLevel="0" collapsed="false">
      <c r="A37" s="6" t="s">
        <v>1546</v>
      </c>
      <c r="B37" s="35"/>
      <c r="C37" s="34"/>
      <c r="D37" s="34"/>
      <c r="E37" s="21"/>
      <c r="F37" s="21"/>
      <c r="G37" s="21"/>
      <c r="H37" s="21"/>
      <c r="I37" s="34"/>
      <c r="J37" s="34"/>
      <c r="K37" s="34"/>
      <c r="L37" s="34"/>
      <c r="M37" s="34"/>
      <c r="N37" s="34"/>
      <c r="O37" s="34"/>
      <c r="P37" s="34"/>
      <c r="Q37" s="34"/>
      <c r="R37" s="21"/>
    </row>
    <row r="38" customFormat="false" ht="15" hidden="false" customHeight="false" outlineLevel="0" collapsed="false">
      <c r="A38" s="6" t="s">
        <v>1547</v>
      </c>
      <c r="B38" s="35"/>
      <c r="C38" s="34"/>
      <c r="D38" s="34"/>
      <c r="E38" s="21"/>
      <c r="F38" s="21"/>
      <c r="G38" s="21"/>
      <c r="H38" s="21"/>
      <c r="I38" s="34"/>
      <c r="J38" s="34"/>
      <c r="K38" s="34"/>
      <c r="L38" s="34"/>
      <c r="M38" s="34"/>
      <c r="N38" s="34"/>
      <c r="O38" s="34"/>
      <c r="P38" s="34"/>
      <c r="Q38" s="34"/>
      <c r="R38" s="21"/>
    </row>
    <row r="39" customFormat="false" ht="15" hidden="false" customHeight="false" outlineLevel="0" collapsed="false">
      <c r="A39" s="6" t="s">
        <v>1548</v>
      </c>
      <c r="B39" s="35"/>
      <c r="C39" s="34"/>
      <c r="D39" s="34"/>
      <c r="E39" s="21"/>
      <c r="F39" s="21"/>
      <c r="G39" s="21"/>
      <c r="H39" s="21"/>
      <c r="I39" s="34"/>
      <c r="J39" s="34"/>
      <c r="K39" s="34"/>
      <c r="L39" s="34"/>
      <c r="M39" s="34"/>
      <c r="N39" s="34"/>
      <c r="O39" s="34"/>
      <c r="P39" s="34"/>
      <c r="Q39" s="34"/>
      <c r="R39" s="21"/>
    </row>
    <row r="40" customFormat="false" ht="15" hidden="false" customHeight="false" outlineLevel="0" collapsed="false">
      <c r="A40" s="6" t="s">
        <v>1549</v>
      </c>
      <c r="B40" s="35"/>
      <c r="C40" s="34"/>
      <c r="D40" s="34"/>
      <c r="E40" s="21"/>
      <c r="F40" s="21"/>
      <c r="G40" s="21"/>
      <c r="H40" s="21"/>
      <c r="I40" s="34"/>
      <c r="J40" s="34"/>
      <c r="K40" s="34"/>
      <c r="L40" s="34"/>
      <c r="M40" s="34"/>
      <c r="N40" s="34"/>
      <c r="O40" s="34"/>
      <c r="P40" s="34"/>
      <c r="Q40" s="34"/>
      <c r="R40" s="21"/>
    </row>
    <row r="41" customFormat="false" ht="15" hidden="false" customHeight="false" outlineLevel="0" collapsed="false">
      <c r="A41" s="6" t="s">
        <v>1550</v>
      </c>
      <c r="B41" s="35"/>
      <c r="C41" s="34"/>
      <c r="D41" s="34"/>
      <c r="E41" s="21"/>
      <c r="F41" s="21"/>
      <c r="G41" s="21"/>
      <c r="H41" s="21"/>
      <c r="I41" s="34"/>
      <c r="J41" s="34"/>
      <c r="K41" s="34"/>
      <c r="L41" s="34"/>
      <c r="M41" s="34"/>
      <c r="N41" s="34"/>
      <c r="O41" s="34"/>
      <c r="P41" s="34"/>
      <c r="Q41" s="34"/>
      <c r="R41" s="21"/>
    </row>
    <row r="42" customFormat="false" ht="15" hidden="false" customHeight="false" outlineLevel="0" collapsed="false">
      <c r="A42" s="6" t="s">
        <v>1551</v>
      </c>
      <c r="B42" s="35"/>
      <c r="C42" s="34"/>
      <c r="D42" s="34"/>
      <c r="E42" s="21"/>
      <c r="F42" s="21"/>
      <c r="G42" s="21"/>
      <c r="H42" s="21"/>
      <c r="I42" s="34"/>
      <c r="J42" s="34"/>
      <c r="K42" s="34"/>
      <c r="L42" s="34"/>
      <c r="M42" s="34"/>
      <c r="N42" s="34"/>
      <c r="O42" s="34"/>
      <c r="P42" s="34"/>
      <c r="Q42" s="34"/>
      <c r="R42" s="21"/>
    </row>
    <row r="43" customFormat="false" ht="15" hidden="false" customHeight="false" outlineLevel="0" collapsed="false">
      <c r="A43" s="6" t="s">
        <v>1552</v>
      </c>
      <c r="B43" s="35"/>
      <c r="C43" s="34"/>
      <c r="D43" s="34"/>
      <c r="E43" s="21"/>
      <c r="F43" s="21"/>
      <c r="G43" s="21"/>
      <c r="H43" s="21"/>
      <c r="I43" s="34"/>
      <c r="J43" s="34"/>
      <c r="K43" s="34"/>
      <c r="L43" s="34"/>
      <c r="M43" s="34"/>
      <c r="N43" s="34"/>
      <c r="O43" s="34"/>
      <c r="P43" s="34"/>
      <c r="Q43" s="34"/>
      <c r="R43" s="21"/>
    </row>
    <row r="44" customFormat="false" ht="15" hidden="false" customHeight="false" outlineLevel="0" collapsed="false">
      <c r="A44" s="6" t="s">
        <v>1553</v>
      </c>
      <c r="B44" s="35"/>
      <c r="C44" s="34"/>
      <c r="D44" s="34"/>
      <c r="E44" s="21"/>
      <c r="F44" s="21"/>
      <c r="G44" s="21"/>
      <c r="H44" s="21"/>
      <c r="I44" s="34"/>
      <c r="J44" s="34"/>
      <c r="K44" s="34"/>
      <c r="L44" s="34"/>
      <c r="M44" s="34"/>
      <c r="N44" s="34"/>
      <c r="O44" s="34"/>
      <c r="P44" s="34"/>
      <c r="Q44" s="34"/>
      <c r="R44" s="21"/>
    </row>
    <row r="45" customFormat="false" ht="15" hidden="false" customHeight="false" outlineLevel="0" collapsed="false">
      <c r="A45" s="6" t="s">
        <v>1554</v>
      </c>
      <c r="B45" s="35"/>
      <c r="C45" s="34"/>
      <c r="D45" s="34"/>
      <c r="E45" s="21"/>
      <c r="F45" s="21"/>
      <c r="G45" s="21"/>
      <c r="H45" s="21"/>
      <c r="I45" s="34"/>
      <c r="J45" s="34"/>
      <c r="K45" s="34"/>
      <c r="L45" s="34"/>
      <c r="M45" s="34"/>
      <c r="N45" s="34"/>
      <c r="O45" s="34"/>
      <c r="P45" s="34"/>
      <c r="Q45" s="34"/>
      <c r="R45" s="21"/>
    </row>
    <row r="46" customFormat="false" ht="15" hidden="false" customHeight="false" outlineLevel="0" collapsed="false">
      <c r="A46" s="6" t="s">
        <v>1555</v>
      </c>
      <c r="B46" s="35"/>
      <c r="C46" s="34"/>
      <c r="D46" s="34"/>
      <c r="E46" s="21"/>
      <c r="F46" s="21"/>
      <c r="G46" s="21"/>
      <c r="H46" s="21"/>
      <c r="I46" s="34"/>
      <c r="J46" s="34"/>
      <c r="K46" s="34"/>
      <c r="L46" s="34"/>
      <c r="M46" s="34"/>
      <c r="N46" s="34"/>
      <c r="O46" s="34"/>
      <c r="P46" s="34"/>
      <c r="Q46" s="34"/>
      <c r="R46" s="21"/>
    </row>
    <row r="47" customFormat="false" ht="15" hidden="false" customHeight="false" outlineLevel="0" collapsed="false">
      <c r="A47" s="6" t="s">
        <v>1556</v>
      </c>
      <c r="B47" s="35"/>
      <c r="C47" s="34"/>
      <c r="D47" s="34"/>
      <c r="E47" s="21"/>
      <c r="F47" s="21"/>
      <c r="G47" s="21"/>
      <c r="H47" s="21"/>
      <c r="I47" s="34"/>
      <c r="J47" s="34"/>
      <c r="K47" s="34"/>
      <c r="L47" s="34"/>
      <c r="M47" s="34"/>
      <c r="N47" s="34"/>
      <c r="O47" s="34"/>
      <c r="P47" s="34"/>
      <c r="Q47" s="34"/>
      <c r="R47" s="21"/>
    </row>
    <row r="48" customFormat="false" ht="15" hidden="false" customHeight="false" outlineLevel="0" collapsed="false">
      <c r="A48" s="6" t="s">
        <v>1557</v>
      </c>
      <c r="B48" s="35"/>
      <c r="C48" s="34"/>
      <c r="D48" s="34"/>
      <c r="E48" s="21"/>
      <c r="F48" s="21"/>
      <c r="G48" s="21"/>
      <c r="H48" s="21"/>
      <c r="I48" s="34"/>
      <c r="J48" s="34"/>
      <c r="K48" s="34"/>
      <c r="L48" s="34"/>
      <c r="M48" s="34"/>
      <c r="N48" s="34"/>
      <c r="O48" s="34"/>
      <c r="P48" s="34"/>
      <c r="Q48" s="34"/>
      <c r="R48" s="21"/>
    </row>
    <row r="49" customFormat="false" ht="15" hidden="false" customHeight="false" outlineLevel="0" collapsed="false">
      <c r="A49" s="6" t="s">
        <v>1558</v>
      </c>
      <c r="B49" s="35"/>
      <c r="C49" s="34"/>
      <c r="D49" s="34"/>
      <c r="E49" s="21"/>
      <c r="F49" s="21"/>
      <c r="G49" s="21"/>
      <c r="H49" s="21"/>
      <c r="I49" s="34"/>
      <c r="J49" s="34"/>
      <c r="K49" s="34"/>
      <c r="L49" s="34"/>
      <c r="M49" s="34"/>
      <c r="N49" s="34"/>
      <c r="O49" s="34"/>
      <c r="P49" s="34"/>
      <c r="Q49" s="34"/>
      <c r="R49" s="21"/>
    </row>
    <row r="50" customFormat="false" ht="15" hidden="false" customHeight="false" outlineLevel="0" collapsed="false">
      <c r="A50" s="6" t="s">
        <v>1559</v>
      </c>
      <c r="B50" s="35"/>
      <c r="C50" s="34"/>
      <c r="D50" s="34"/>
      <c r="E50" s="21"/>
      <c r="F50" s="21"/>
      <c r="G50" s="21"/>
      <c r="H50" s="21"/>
      <c r="I50" s="34"/>
      <c r="J50" s="34"/>
      <c r="K50" s="34"/>
      <c r="L50" s="34"/>
      <c r="M50" s="34"/>
      <c r="N50" s="34"/>
      <c r="O50" s="34"/>
      <c r="P50" s="34"/>
      <c r="Q50" s="34"/>
      <c r="R50" s="21"/>
    </row>
    <row r="51" customFormat="false" ht="15" hidden="false" customHeight="false" outlineLevel="0" collapsed="false">
      <c r="A51" s="6" t="s">
        <v>1560</v>
      </c>
      <c r="B51" s="35"/>
      <c r="C51" s="34"/>
      <c r="D51" s="34"/>
      <c r="E51" s="21"/>
      <c r="F51" s="21"/>
      <c r="G51" s="21"/>
      <c r="H51" s="21"/>
      <c r="I51" s="34"/>
      <c r="J51" s="34"/>
      <c r="K51" s="34"/>
      <c r="L51" s="34"/>
      <c r="M51" s="34"/>
      <c r="N51" s="34"/>
      <c r="O51" s="34"/>
      <c r="P51" s="34"/>
      <c r="Q51" s="34"/>
      <c r="R51" s="21"/>
    </row>
    <row r="52" customFormat="false" ht="15" hidden="false" customHeight="false" outlineLevel="0" collapsed="false">
      <c r="A52" s="6" t="s">
        <v>1561</v>
      </c>
      <c r="B52" s="35"/>
      <c r="C52" s="34"/>
      <c r="D52" s="34"/>
      <c r="E52" s="21"/>
      <c r="F52" s="21"/>
      <c r="G52" s="21"/>
      <c r="H52" s="21"/>
      <c r="I52" s="34"/>
      <c r="J52" s="34"/>
      <c r="K52" s="34"/>
      <c r="L52" s="34"/>
      <c r="M52" s="34"/>
      <c r="N52" s="34"/>
      <c r="O52" s="34"/>
      <c r="P52" s="34"/>
      <c r="Q52" s="34"/>
      <c r="R52" s="21"/>
    </row>
    <row r="53" customFormat="false" ht="15" hidden="false" customHeight="false" outlineLevel="0" collapsed="false">
      <c r="A53" s="6" t="s">
        <v>1562</v>
      </c>
      <c r="B53" s="35"/>
      <c r="C53" s="34"/>
      <c r="D53" s="34"/>
      <c r="E53" s="21"/>
      <c r="F53" s="21"/>
      <c r="G53" s="21"/>
      <c r="H53" s="21"/>
      <c r="I53" s="34"/>
      <c r="J53" s="34"/>
      <c r="K53" s="34"/>
      <c r="L53" s="34"/>
      <c r="M53" s="34"/>
      <c r="N53" s="34"/>
      <c r="O53" s="34"/>
      <c r="P53" s="34"/>
      <c r="Q53" s="34"/>
      <c r="R53" s="21"/>
    </row>
    <row r="54" customFormat="false" ht="15" hidden="false" customHeight="false" outlineLevel="0" collapsed="false">
      <c r="A54" s="6" t="s">
        <v>1563</v>
      </c>
      <c r="B54" s="35"/>
      <c r="C54" s="34"/>
      <c r="D54" s="34"/>
      <c r="E54" s="21"/>
      <c r="F54" s="21"/>
      <c r="G54" s="21"/>
      <c r="H54" s="21"/>
      <c r="I54" s="34"/>
      <c r="J54" s="34"/>
      <c r="K54" s="34"/>
      <c r="L54" s="34"/>
      <c r="M54" s="34"/>
      <c r="N54" s="34"/>
      <c r="O54" s="34"/>
      <c r="P54" s="34"/>
      <c r="Q54" s="34"/>
      <c r="R54" s="21"/>
    </row>
    <row r="55" customFormat="false" ht="15" hidden="false" customHeight="false" outlineLevel="0" collapsed="false">
      <c r="A55" s="6" t="s">
        <v>1564</v>
      </c>
      <c r="B55" s="35"/>
      <c r="C55" s="34"/>
      <c r="D55" s="34"/>
      <c r="E55" s="21"/>
      <c r="F55" s="21"/>
      <c r="G55" s="21"/>
      <c r="H55" s="21"/>
      <c r="I55" s="34"/>
      <c r="J55" s="34"/>
      <c r="K55" s="34"/>
      <c r="L55" s="34"/>
      <c r="M55" s="34"/>
      <c r="N55" s="34"/>
      <c r="O55" s="34"/>
      <c r="P55" s="34"/>
      <c r="Q55" s="34"/>
      <c r="R55" s="21"/>
    </row>
    <row r="56" customFormat="false" ht="15" hidden="false" customHeight="false" outlineLevel="0" collapsed="false">
      <c r="A56" s="6" t="s">
        <v>1565</v>
      </c>
      <c r="B56" s="35"/>
      <c r="C56" s="34"/>
      <c r="D56" s="34"/>
      <c r="E56" s="21"/>
      <c r="F56" s="21"/>
      <c r="G56" s="21"/>
      <c r="H56" s="21"/>
      <c r="I56" s="34"/>
      <c r="J56" s="34"/>
      <c r="K56" s="34"/>
      <c r="L56" s="34"/>
      <c r="M56" s="34"/>
      <c r="N56" s="34"/>
      <c r="O56" s="34"/>
      <c r="P56" s="34"/>
      <c r="Q56" s="34"/>
      <c r="R56" s="21"/>
    </row>
    <row r="57" customFormat="false" ht="15" hidden="false" customHeight="false" outlineLevel="0" collapsed="false">
      <c r="A57" s="6" t="s">
        <v>1566</v>
      </c>
      <c r="B57" s="35"/>
      <c r="C57" s="34"/>
      <c r="D57" s="34"/>
      <c r="E57" s="21"/>
      <c r="F57" s="21"/>
      <c r="G57" s="21"/>
      <c r="H57" s="21"/>
      <c r="I57" s="34"/>
      <c r="J57" s="34"/>
      <c r="K57" s="34"/>
      <c r="L57" s="34"/>
      <c r="M57" s="34"/>
      <c r="N57" s="34"/>
      <c r="O57" s="34"/>
      <c r="P57" s="34"/>
      <c r="Q57" s="34"/>
      <c r="R57" s="21"/>
    </row>
    <row r="58" customFormat="false" ht="15" hidden="false" customHeight="false" outlineLevel="0" collapsed="false">
      <c r="A58" s="6" t="s">
        <v>1567</v>
      </c>
      <c r="B58" s="35"/>
      <c r="C58" s="34"/>
      <c r="D58" s="34"/>
      <c r="E58" s="21"/>
      <c r="F58" s="21"/>
      <c r="G58" s="21"/>
      <c r="H58" s="21"/>
      <c r="I58" s="34"/>
      <c r="J58" s="34"/>
      <c r="K58" s="34"/>
      <c r="L58" s="34"/>
      <c r="M58" s="34"/>
      <c r="N58" s="34"/>
      <c r="O58" s="34"/>
      <c r="P58" s="34"/>
      <c r="Q58" s="34"/>
      <c r="R58" s="21"/>
    </row>
    <row r="59" customFormat="false" ht="15" hidden="false" customHeight="false" outlineLevel="0" collapsed="false">
      <c r="A59" s="6" t="s">
        <v>1568</v>
      </c>
      <c r="B59" s="35"/>
      <c r="C59" s="34"/>
      <c r="D59" s="34"/>
      <c r="E59" s="21"/>
      <c r="F59" s="21"/>
      <c r="G59" s="21"/>
      <c r="H59" s="21"/>
      <c r="I59" s="34"/>
      <c r="J59" s="34"/>
      <c r="K59" s="34"/>
      <c r="L59" s="34"/>
      <c r="M59" s="34"/>
      <c r="N59" s="34"/>
      <c r="O59" s="34"/>
      <c r="P59" s="34"/>
      <c r="Q59" s="34"/>
      <c r="R59" s="21"/>
    </row>
    <row r="60" customFormat="false" ht="15" hidden="false" customHeight="false" outlineLevel="0" collapsed="false">
      <c r="A60" s="6" t="s">
        <v>1569</v>
      </c>
      <c r="B60" s="35"/>
      <c r="C60" s="34"/>
      <c r="D60" s="34"/>
      <c r="E60" s="21"/>
      <c r="F60" s="21"/>
      <c r="G60" s="21"/>
      <c r="H60" s="21"/>
      <c r="I60" s="34"/>
      <c r="J60" s="34"/>
      <c r="K60" s="34"/>
      <c r="L60" s="34"/>
      <c r="M60" s="34"/>
      <c r="N60" s="34"/>
      <c r="O60" s="34"/>
      <c r="P60" s="34"/>
      <c r="Q60" s="34"/>
      <c r="R60" s="21"/>
    </row>
    <row r="61" customFormat="false" ht="15" hidden="false" customHeight="false" outlineLevel="0" collapsed="false">
      <c r="A61" s="6" t="s">
        <v>1570</v>
      </c>
      <c r="B61" s="35"/>
      <c r="C61" s="34"/>
      <c r="D61" s="34"/>
      <c r="E61" s="21"/>
      <c r="F61" s="21"/>
      <c r="G61" s="21"/>
      <c r="H61" s="21"/>
      <c r="I61" s="34"/>
      <c r="J61" s="34"/>
      <c r="K61" s="34"/>
      <c r="L61" s="34"/>
      <c r="M61" s="34"/>
      <c r="N61" s="34"/>
      <c r="O61" s="34"/>
      <c r="P61" s="34"/>
      <c r="Q61" s="34"/>
      <c r="R61" s="21"/>
    </row>
    <row r="62" customFormat="false" ht="15" hidden="false" customHeight="false" outlineLevel="0" collapsed="false">
      <c r="A62" s="6" t="s">
        <v>1571</v>
      </c>
      <c r="B62" s="35"/>
      <c r="C62" s="34"/>
      <c r="D62" s="34"/>
      <c r="E62" s="21"/>
      <c r="F62" s="21"/>
      <c r="G62" s="21"/>
      <c r="H62" s="21"/>
      <c r="I62" s="34"/>
      <c r="J62" s="34"/>
      <c r="K62" s="34"/>
      <c r="L62" s="34"/>
      <c r="M62" s="34"/>
      <c r="N62" s="34"/>
      <c r="O62" s="34"/>
      <c r="P62" s="34"/>
      <c r="Q62" s="34"/>
      <c r="R62" s="21"/>
    </row>
    <row r="63" customFormat="false" ht="15" hidden="false" customHeight="false" outlineLevel="0" collapsed="false">
      <c r="A63" s="6" t="s">
        <v>1572</v>
      </c>
      <c r="B63" s="35"/>
      <c r="C63" s="34"/>
      <c r="D63" s="34"/>
      <c r="E63" s="21"/>
      <c r="F63" s="21"/>
      <c r="G63" s="21"/>
      <c r="H63" s="21"/>
      <c r="I63" s="34"/>
      <c r="J63" s="34"/>
      <c r="K63" s="34"/>
      <c r="L63" s="34"/>
      <c r="M63" s="34"/>
      <c r="N63" s="34"/>
      <c r="O63" s="34"/>
      <c r="P63" s="34"/>
      <c r="Q63" s="34"/>
      <c r="R63" s="21"/>
    </row>
    <row r="64" customFormat="false" ht="15" hidden="false" customHeight="false" outlineLevel="0" collapsed="false">
      <c r="A64" s="6" t="s">
        <v>1573</v>
      </c>
      <c r="B64" s="35"/>
      <c r="C64" s="34"/>
      <c r="D64" s="34"/>
      <c r="E64" s="21"/>
      <c r="F64" s="21"/>
      <c r="G64" s="21"/>
      <c r="H64" s="21"/>
      <c r="I64" s="34"/>
      <c r="J64" s="34"/>
      <c r="K64" s="34"/>
      <c r="L64" s="34"/>
      <c r="M64" s="34"/>
      <c r="N64" s="34"/>
      <c r="O64" s="34"/>
      <c r="P64" s="34"/>
      <c r="Q64" s="34"/>
      <c r="R64" s="21"/>
    </row>
    <row r="65" customFormat="false" ht="15" hidden="false" customHeight="false" outlineLevel="0" collapsed="false">
      <c r="A65" s="6" t="s">
        <v>1574</v>
      </c>
      <c r="B65" s="35"/>
      <c r="C65" s="34"/>
      <c r="D65" s="34"/>
      <c r="E65" s="21"/>
      <c r="F65" s="21"/>
      <c r="G65" s="21"/>
      <c r="H65" s="21"/>
      <c r="I65" s="34"/>
      <c r="J65" s="34"/>
      <c r="K65" s="34"/>
      <c r="L65" s="34"/>
      <c r="M65" s="34"/>
      <c r="N65" s="34"/>
      <c r="O65" s="34"/>
      <c r="P65" s="34"/>
      <c r="Q65" s="34"/>
      <c r="R65" s="21"/>
    </row>
    <row r="66" customFormat="false" ht="15" hidden="false" customHeight="false" outlineLevel="0" collapsed="false">
      <c r="A66" s="6" t="s">
        <v>1575</v>
      </c>
      <c r="B66" s="35"/>
      <c r="C66" s="34"/>
      <c r="D66" s="34"/>
      <c r="E66" s="21"/>
      <c r="F66" s="21"/>
      <c r="G66" s="21"/>
      <c r="H66" s="21"/>
      <c r="I66" s="34"/>
      <c r="J66" s="34"/>
      <c r="K66" s="34"/>
      <c r="L66" s="34"/>
      <c r="M66" s="34"/>
      <c r="N66" s="34"/>
      <c r="O66" s="34"/>
      <c r="P66" s="34"/>
      <c r="Q66" s="34"/>
      <c r="R66" s="21"/>
    </row>
    <row r="67" customFormat="false" ht="15" hidden="false" customHeight="false" outlineLevel="0" collapsed="false">
      <c r="A67" s="6" t="s">
        <v>1576</v>
      </c>
      <c r="B67" s="35"/>
      <c r="C67" s="34"/>
      <c r="D67" s="34"/>
      <c r="E67" s="21"/>
      <c r="F67" s="21"/>
      <c r="G67" s="21"/>
      <c r="H67" s="21"/>
      <c r="I67" s="34"/>
      <c r="J67" s="34"/>
      <c r="K67" s="34"/>
      <c r="L67" s="34"/>
      <c r="M67" s="34"/>
      <c r="N67" s="34"/>
      <c r="O67" s="34"/>
      <c r="P67" s="34"/>
      <c r="Q67" s="34"/>
      <c r="R67" s="21"/>
    </row>
    <row r="68" customFormat="false" ht="15" hidden="false" customHeight="false" outlineLevel="0" collapsed="false">
      <c r="A68" s="6" t="s">
        <v>1577</v>
      </c>
      <c r="B68" s="35"/>
      <c r="C68" s="34"/>
      <c r="D68" s="34"/>
      <c r="E68" s="21"/>
      <c r="F68" s="21"/>
      <c r="G68" s="21"/>
      <c r="H68" s="21"/>
      <c r="I68" s="34"/>
      <c r="J68" s="34"/>
      <c r="K68" s="34"/>
      <c r="L68" s="34"/>
      <c r="M68" s="34"/>
      <c r="N68" s="34"/>
      <c r="O68" s="34"/>
      <c r="P68" s="34"/>
      <c r="Q68" s="34"/>
      <c r="R68" s="21"/>
    </row>
    <row r="69" customFormat="false" ht="15" hidden="false" customHeight="false" outlineLevel="0" collapsed="false">
      <c r="A69" s="6" t="s">
        <v>1578</v>
      </c>
      <c r="B69" s="35"/>
      <c r="C69" s="34"/>
      <c r="D69" s="34"/>
      <c r="E69" s="21"/>
      <c r="F69" s="21"/>
      <c r="G69" s="21"/>
      <c r="H69" s="21"/>
      <c r="I69" s="34"/>
      <c r="J69" s="34"/>
      <c r="K69" s="34"/>
      <c r="L69" s="34"/>
      <c r="M69" s="34"/>
      <c r="N69" s="34"/>
      <c r="O69" s="34"/>
      <c r="P69" s="34"/>
      <c r="Q69" s="34"/>
      <c r="R69" s="21"/>
    </row>
    <row r="70" customFormat="false" ht="15" hidden="false" customHeight="false" outlineLevel="0" collapsed="false">
      <c r="A70" s="6" t="s">
        <v>1579</v>
      </c>
      <c r="B70" s="35"/>
      <c r="C70" s="34"/>
      <c r="D70" s="34"/>
      <c r="E70" s="21"/>
      <c r="F70" s="21"/>
      <c r="G70" s="21"/>
      <c r="H70" s="21"/>
      <c r="I70" s="34"/>
      <c r="J70" s="34"/>
      <c r="K70" s="34"/>
      <c r="L70" s="34"/>
      <c r="M70" s="34"/>
      <c r="N70" s="34"/>
      <c r="O70" s="34"/>
      <c r="P70" s="34"/>
      <c r="Q70" s="34"/>
      <c r="R70" s="21"/>
    </row>
    <row r="71" customFormat="false" ht="15" hidden="false" customHeight="false" outlineLevel="0" collapsed="false">
      <c r="A71" s="6" t="s">
        <v>1580</v>
      </c>
      <c r="B71" s="35"/>
      <c r="C71" s="34"/>
      <c r="D71" s="34"/>
      <c r="E71" s="21"/>
      <c r="F71" s="21"/>
      <c r="G71" s="21"/>
      <c r="H71" s="21"/>
      <c r="I71" s="34"/>
      <c r="J71" s="34"/>
      <c r="K71" s="34"/>
      <c r="L71" s="34"/>
      <c r="M71" s="34"/>
      <c r="N71" s="34"/>
      <c r="O71" s="34"/>
      <c r="P71" s="34"/>
      <c r="Q71" s="34"/>
      <c r="R71" s="21"/>
    </row>
    <row r="72" customFormat="false" ht="15" hidden="false" customHeight="false" outlineLevel="0" collapsed="false">
      <c r="A72" s="6" t="s">
        <v>1581</v>
      </c>
      <c r="B72" s="35"/>
      <c r="C72" s="34"/>
      <c r="D72" s="34"/>
      <c r="E72" s="21"/>
      <c r="F72" s="21"/>
      <c r="G72" s="21"/>
      <c r="H72" s="21"/>
      <c r="I72" s="34"/>
      <c r="J72" s="34"/>
      <c r="K72" s="34"/>
      <c r="L72" s="34"/>
      <c r="M72" s="34"/>
      <c r="N72" s="34"/>
      <c r="O72" s="34"/>
      <c r="P72" s="34"/>
      <c r="Q72" s="34"/>
      <c r="R72" s="21"/>
    </row>
    <row r="73" customFormat="false" ht="15" hidden="false" customHeight="false" outlineLevel="0" collapsed="false">
      <c r="A73" s="6" t="s">
        <v>1582</v>
      </c>
      <c r="B73" s="35"/>
      <c r="C73" s="34"/>
      <c r="D73" s="34"/>
      <c r="E73" s="21"/>
      <c r="F73" s="21"/>
      <c r="G73" s="21"/>
      <c r="H73" s="21"/>
      <c r="I73" s="34"/>
      <c r="J73" s="34"/>
      <c r="K73" s="34"/>
      <c r="L73" s="34"/>
      <c r="M73" s="34"/>
      <c r="N73" s="34"/>
      <c r="O73" s="34"/>
      <c r="P73" s="34"/>
      <c r="Q73" s="34"/>
      <c r="R73" s="21"/>
    </row>
    <row r="74" customFormat="false" ht="15" hidden="false" customHeight="false" outlineLevel="0" collapsed="false">
      <c r="A74" s="6" t="s">
        <v>1583</v>
      </c>
      <c r="B74" s="35"/>
      <c r="C74" s="34"/>
      <c r="D74" s="34"/>
      <c r="E74" s="21"/>
      <c r="F74" s="21"/>
      <c r="G74" s="21"/>
      <c r="H74" s="21"/>
      <c r="I74" s="34"/>
      <c r="J74" s="34"/>
      <c r="K74" s="34"/>
      <c r="L74" s="34"/>
      <c r="M74" s="34"/>
      <c r="N74" s="34"/>
      <c r="O74" s="34"/>
      <c r="P74" s="34"/>
      <c r="Q74" s="34"/>
      <c r="R74" s="21"/>
    </row>
    <row r="75" customFormat="false" ht="15" hidden="false" customHeight="false" outlineLevel="0" collapsed="false">
      <c r="A75" s="6" t="s">
        <v>1584</v>
      </c>
      <c r="B75" s="35"/>
      <c r="C75" s="34"/>
      <c r="D75" s="34"/>
      <c r="E75" s="21"/>
      <c r="F75" s="21"/>
      <c r="G75" s="21"/>
      <c r="H75" s="21"/>
      <c r="I75" s="34"/>
      <c r="J75" s="34"/>
      <c r="K75" s="34"/>
      <c r="L75" s="34"/>
      <c r="M75" s="34"/>
      <c r="N75" s="34"/>
      <c r="O75" s="34"/>
      <c r="P75" s="34"/>
      <c r="Q75" s="34"/>
      <c r="R75" s="21"/>
    </row>
    <row r="76" customFormat="false" ht="15" hidden="false" customHeight="false" outlineLevel="0" collapsed="false">
      <c r="A76" s="6" t="s">
        <v>1585</v>
      </c>
      <c r="B76" s="35"/>
      <c r="C76" s="34"/>
      <c r="D76" s="34"/>
      <c r="E76" s="21"/>
      <c r="F76" s="21"/>
      <c r="G76" s="21"/>
      <c r="H76" s="21"/>
      <c r="I76" s="34"/>
      <c r="J76" s="34"/>
      <c r="K76" s="34"/>
      <c r="L76" s="34"/>
      <c r="M76" s="34"/>
      <c r="N76" s="34"/>
      <c r="O76" s="34"/>
      <c r="P76" s="34"/>
      <c r="Q76" s="34"/>
      <c r="R76" s="21"/>
    </row>
    <row r="77" customFormat="false" ht="15" hidden="false" customHeight="false" outlineLevel="0" collapsed="false">
      <c r="A77" s="6" t="s">
        <v>1586</v>
      </c>
      <c r="B77" s="35"/>
      <c r="C77" s="34"/>
      <c r="D77" s="34"/>
      <c r="E77" s="21"/>
      <c r="F77" s="21"/>
      <c r="G77" s="21"/>
      <c r="H77" s="21"/>
      <c r="I77" s="34"/>
      <c r="J77" s="34"/>
      <c r="K77" s="34"/>
      <c r="L77" s="34"/>
      <c r="M77" s="34"/>
      <c r="N77" s="34"/>
      <c r="O77" s="34"/>
      <c r="P77" s="34"/>
      <c r="Q77" s="34"/>
      <c r="R77" s="21"/>
    </row>
    <row r="78" customFormat="false" ht="15" hidden="false" customHeight="false" outlineLevel="0" collapsed="false">
      <c r="A78" s="6" t="s">
        <v>1587</v>
      </c>
      <c r="B78" s="35"/>
      <c r="C78" s="34"/>
      <c r="D78" s="34"/>
      <c r="E78" s="21"/>
      <c r="F78" s="21"/>
      <c r="G78" s="21"/>
      <c r="H78" s="21"/>
      <c r="I78" s="34"/>
      <c r="J78" s="34"/>
      <c r="K78" s="34"/>
      <c r="L78" s="34"/>
      <c r="M78" s="34"/>
      <c r="N78" s="34"/>
      <c r="O78" s="34"/>
      <c r="P78" s="34"/>
      <c r="Q78" s="34"/>
      <c r="R78" s="21"/>
    </row>
    <row r="79" customFormat="false" ht="15" hidden="false" customHeight="false" outlineLevel="0" collapsed="false">
      <c r="A79" s="6" t="s">
        <v>1588</v>
      </c>
      <c r="B79" s="35"/>
      <c r="C79" s="34"/>
      <c r="D79" s="34"/>
      <c r="E79" s="21"/>
      <c r="F79" s="21"/>
      <c r="G79" s="21"/>
      <c r="H79" s="21"/>
      <c r="I79" s="34"/>
      <c r="J79" s="34"/>
      <c r="K79" s="34"/>
      <c r="L79" s="34"/>
      <c r="M79" s="34"/>
      <c r="N79" s="34"/>
      <c r="O79" s="34"/>
      <c r="P79" s="34"/>
      <c r="Q79" s="34"/>
      <c r="R79" s="21"/>
    </row>
    <row r="80" customFormat="false" ht="15" hidden="false" customHeight="false" outlineLevel="0" collapsed="false">
      <c r="A80" s="6" t="s">
        <v>1589</v>
      </c>
      <c r="B80" s="35"/>
      <c r="C80" s="34"/>
      <c r="D80" s="34"/>
      <c r="E80" s="21"/>
      <c r="F80" s="21"/>
      <c r="G80" s="21"/>
      <c r="H80" s="21"/>
      <c r="I80" s="34"/>
      <c r="J80" s="34"/>
      <c r="K80" s="34"/>
      <c r="L80" s="34"/>
      <c r="M80" s="34"/>
      <c r="N80" s="34"/>
      <c r="O80" s="34"/>
      <c r="P80" s="34"/>
      <c r="Q80" s="34"/>
      <c r="R80" s="21"/>
    </row>
    <row r="81" customFormat="false" ht="15" hidden="false" customHeight="false" outlineLevel="0" collapsed="false">
      <c r="A81" s="6" t="s">
        <v>1590</v>
      </c>
      <c r="B81" s="35"/>
      <c r="C81" s="34"/>
      <c r="D81" s="34"/>
      <c r="E81" s="21"/>
      <c r="F81" s="21"/>
      <c r="G81" s="21"/>
      <c r="H81" s="21"/>
      <c r="I81" s="34"/>
      <c r="J81" s="34"/>
      <c r="K81" s="34"/>
      <c r="L81" s="34"/>
      <c r="M81" s="34"/>
      <c r="N81" s="34"/>
      <c r="O81" s="34"/>
      <c r="P81" s="34"/>
      <c r="Q81" s="34"/>
      <c r="R81" s="21"/>
    </row>
    <row r="82" customFormat="false" ht="15" hidden="false" customHeight="false" outlineLevel="0" collapsed="false">
      <c r="A82" s="6" t="s">
        <v>1591</v>
      </c>
      <c r="B82" s="35"/>
      <c r="C82" s="34"/>
      <c r="D82" s="34"/>
      <c r="E82" s="21"/>
      <c r="F82" s="21"/>
      <c r="G82" s="21"/>
      <c r="H82" s="21"/>
      <c r="I82" s="34"/>
      <c r="J82" s="34"/>
      <c r="K82" s="34"/>
      <c r="L82" s="34"/>
      <c r="M82" s="34"/>
      <c r="N82" s="34"/>
      <c r="O82" s="34"/>
      <c r="P82" s="34"/>
      <c r="Q82" s="34"/>
      <c r="R82" s="21"/>
    </row>
    <row r="83" customFormat="false" ht="15" hidden="false" customHeight="false" outlineLevel="0" collapsed="false">
      <c r="A83" s="6" t="s">
        <v>1592</v>
      </c>
      <c r="B83" s="35"/>
      <c r="C83" s="34"/>
      <c r="D83" s="34"/>
      <c r="E83" s="21"/>
      <c r="F83" s="21"/>
      <c r="G83" s="21"/>
      <c r="H83" s="21"/>
      <c r="I83" s="34"/>
      <c r="J83" s="34"/>
      <c r="K83" s="34"/>
      <c r="L83" s="34"/>
      <c r="M83" s="34"/>
      <c r="N83" s="34"/>
      <c r="O83" s="34"/>
      <c r="P83" s="34"/>
      <c r="Q83" s="34"/>
      <c r="R83" s="21"/>
    </row>
    <row r="84" customFormat="false" ht="15" hidden="false" customHeight="false" outlineLevel="0" collapsed="false">
      <c r="A84" s="6" t="s">
        <v>1593</v>
      </c>
      <c r="B84" s="35"/>
      <c r="C84" s="34"/>
      <c r="D84" s="34"/>
      <c r="E84" s="21"/>
      <c r="F84" s="21"/>
      <c r="G84" s="21"/>
      <c r="H84" s="21"/>
      <c r="I84" s="34"/>
      <c r="J84" s="34"/>
      <c r="K84" s="34"/>
      <c r="L84" s="34"/>
      <c r="M84" s="34"/>
      <c r="N84" s="34"/>
      <c r="O84" s="34"/>
      <c r="P84" s="34"/>
      <c r="Q84" s="34"/>
      <c r="R84" s="21"/>
    </row>
    <row r="85" customFormat="false" ht="15" hidden="false" customHeight="false" outlineLevel="0" collapsed="false">
      <c r="A85" s="6" t="s">
        <v>1594</v>
      </c>
      <c r="B85" s="35"/>
      <c r="C85" s="34"/>
      <c r="D85" s="34"/>
      <c r="E85" s="21"/>
      <c r="F85" s="21"/>
      <c r="G85" s="21"/>
      <c r="H85" s="21"/>
      <c r="I85" s="34"/>
      <c r="J85" s="34"/>
      <c r="K85" s="34"/>
      <c r="L85" s="34"/>
      <c r="M85" s="34"/>
      <c r="N85" s="34"/>
      <c r="O85" s="34"/>
      <c r="P85" s="34"/>
      <c r="Q85" s="34"/>
      <c r="R85" s="21"/>
    </row>
    <row r="86" customFormat="false" ht="15" hidden="false" customHeight="false" outlineLevel="0" collapsed="false">
      <c r="A86" s="6" t="s">
        <v>1595</v>
      </c>
      <c r="B86" s="35"/>
      <c r="C86" s="34"/>
      <c r="D86" s="34"/>
      <c r="E86" s="21"/>
      <c r="F86" s="21"/>
      <c r="G86" s="21"/>
      <c r="H86" s="21"/>
      <c r="I86" s="34"/>
      <c r="J86" s="34"/>
      <c r="K86" s="34"/>
      <c r="L86" s="34"/>
      <c r="M86" s="34"/>
      <c r="N86" s="34"/>
      <c r="O86" s="34"/>
      <c r="P86" s="34"/>
      <c r="Q86" s="34"/>
      <c r="R86" s="21"/>
    </row>
    <row r="87" customFormat="false" ht="15" hidden="false" customHeight="false" outlineLevel="0" collapsed="false">
      <c r="A87" s="6" t="s">
        <v>1596</v>
      </c>
      <c r="B87" s="35"/>
      <c r="C87" s="34"/>
      <c r="D87" s="34"/>
      <c r="E87" s="21"/>
      <c r="F87" s="21"/>
      <c r="G87" s="21"/>
      <c r="H87" s="21"/>
      <c r="I87" s="34"/>
      <c r="J87" s="34"/>
      <c r="K87" s="34"/>
      <c r="L87" s="34"/>
      <c r="M87" s="34"/>
      <c r="N87" s="34"/>
      <c r="O87" s="34"/>
      <c r="P87" s="34"/>
      <c r="Q87" s="34"/>
      <c r="R87" s="21"/>
    </row>
    <row r="88" customFormat="false" ht="15" hidden="false" customHeight="false" outlineLevel="0" collapsed="false">
      <c r="A88" s="6" t="s">
        <v>1597</v>
      </c>
      <c r="B88" s="35"/>
      <c r="C88" s="34"/>
      <c r="D88" s="34"/>
      <c r="E88" s="21"/>
      <c r="F88" s="21"/>
      <c r="G88" s="21"/>
      <c r="H88" s="21"/>
      <c r="I88" s="34"/>
      <c r="J88" s="34"/>
      <c r="K88" s="34"/>
      <c r="L88" s="34"/>
      <c r="M88" s="34"/>
      <c r="N88" s="34"/>
      <c r="O88" s="34"/>
      <c r="P88" s="34"/>
      <c r="Q88" s="34"/>
      <c r="R88" s="21"/>
    </row>
    <row r="89" customFormat="false" ht="15" hidden="false" customHeight="false" outlineLevel="0" collapsed="false">
      <c r="A89" s="6" t="s">
        <v>1598</v>
      </c>
      <c r="B89" s="35"/>
      <c r="C89" s="34"/>
      <c r="D89" s="34"/>
      <c r="E89" s="21"/>
      <c r="F89" s="21"/>
      <c r="G89" s="21"/>
      <c r="H89" s="21"/>
      <c r="I89" s="34"/>
      <c r="J89" s="34"/>
      <c r="K89" s="34"/>
      <c r="L89" s="34"/>
      <c r="M89" s="34"/>
      <c r="N89" s="34"/>
      <c r="O89" s="34"/>
      <c r="P89" s="34"/>
      <c r="Q89" s="34"/>
      <c r="R89" s="21"/>
    </row>
    <row r="90" customFormat="false" ht="15" hidden="false" customHeight="false" outlineLevel="0" collapsed="false">
      <c r="A90" s="6" t="s">
        <v>1599</v>
      </c>
      <c r="B90" s="35"/>
      <c r="C90" s="34"/>
      <c r="D90" s="34"/>
      <c r="E90" s="21"/>
      <c r="F90" s="21"/>
      <c r="G90" s="21"/>
      <c r="H90" s="21"/>
      <c r="I90" s="34"/>
      <c r="J90" s="34"/>
      <c r="K90" s="34"/>
      <c r="L90" s="34"/>
      <c r="M90" s="34"/>
      <c r="N90" s="34"/>
      <c r="O90" s="34"/>
      <c r="P90" s="34"/>
      <c r="Q90" s="34"/>
      <c r="R90" s="21"/>
    </row>
    <row r="91" customFormat="false" ht="15" hidden="false" customHeight="false" outlineLevel="0" collapsed="false">
      <c r="A91" s="6" t="s">
        <v>1600</v>
      </c>
      <c r="B91" s="35"/>
      <c r="C91" s="34"/>
      <c r="D91" s="34"/>
      <c r="E91" s="21"/>
      <c r="F91" s="21"/>
      <c r="G91" s="21"/>
      <c r="H91" s="21"/>
      <c r="I91" s="34"/>
      <c r="J91" s="34"/>
      <c r="K91" s="34"/>
      <c r="L91" s="34"/>
      <c r="M91" s="34"/>
      <c r="N91" s="34"/>
      <c r="O91" s="34"/>
      <c r="P91" s="34"/>
      <c r="Q91" s="34"/>
      <c r="R91" s="21"/>
    </row>
    <row r="92" customFormat="false" ht="15" hidden="false" customHeight="false" outlineLevel="0" collapsed="false">
      <c r="A92" s="6" t="s">
        <v>1601</v>
      </c>
      <c r="B92" s="35"/>
      <c r="C92" s="34"/>
      <c r="D92" s="34"/>
      <c r="E92" s="21"/>
      <c r="F92" s="21"/>
      <c r="G92" s="21"/>
      <c r="H92" s="21"/>
      <c r="I92" s="34"/>
      <c r="J92" s="34"/>
      <c r="K92" s="34"/>
      <c r="L92" s="34"/>
      <c r="M92" s="34"/>
      <c r="N92" s="34"/>
      <c r="O92" s="34"/>
      <c r="P92" s="34"/>
      <c r="Q92" s="34"/>
      <c r="R92" s="21"/>
    </row>
    <row r="93" customFormat="false" ht="15" hidden="false" customHeight="false" outlineLevel="0" collapsed="false">
      <c r="A93" s="6" t="s">
        <v>1602</v>
      </c>
      <c r="B93" s="35"/>
      <c r="C93" s="34"/>
      <c r="D93" s="34"/>
      <c r="E93" s="21"/>
      <c r="F93" s="21"/>
      <c r="G93" s="21"/>
      <c r="H93" s="21"/>
      <c r="I93" s="34"/>
      <c r="J93" s="34"/>
      <c r="K93" s="34"/>
      <c r="L93" s="34"/>
      <c r="M93" s="34"/>
      <c r="N93" s="34"/>
      <c r="O93" s="34"/>
      <c r="P93" s="34"/>
      <c r="Q93" s="34"/>
      <c r="R93" s="21"/>
    </row>
    <row r="94" customFormat="false" ht="15" hidden="false" customHeight="false" outlineLevel="0" collapsed="false">
      <c r="A94" s="6" t="s">
        <v>1603</v>
      </c>
      <c r="B94" s="35"/>
      <c r="C94" s="34"/>
      <c r="D94" s="34"/>
      <c r="E94" s="21"/>
      <c r="F94" s="21"/>
      <c r="G94" s="21"/>
      <c r="H94" s="21"/>
      <c r="I94" s="34"/>
      <c r="J94" s="34"/>
      <c r="K94" s="34"/>
      <c r="L94" s="34"/>
      <c r="M94" s="34"/>
      <c r="N94" s="34"/>
      <c r="O94" s="34"/>
      <c r="P94" s="34"/>
      <c r="Q94" s="34"/>
      <c r="R94" s="21"/>
    </row>
    <row r="95" customFormat="false" ht="15" hidden="false" customHeight="false" outlineLevel="0" collapsed="false">
      <c r="A95" s="6" t="s">
        <v>1604</v>
      </c>
      <c r="B95" s="35"/>
      <c r="C95" s="34"/>
      <c r="D95" s="34"/>
      <c r="E95" s="21"/>
      <c r="F95" s="21"/>
      <c r="G95" s="21"/>
      <c r="H95" s="21"/>
      <c r="I95" s="34"/>
      <c r="J95" s="34"/>
      <c r="K95" s="34"/>
      <c r="L95" s="34"/>
      <c r="M95" s="34"/>
      <c r="N95" s="34"/>
      <c r="O95" s="34"/>
      <c r="P95" s="34"/>
      <c r="Q95" s="34"/>
      <c r="R95" s="21"/>
    </row>
    <row r="96" customFormat="false" ht="15" hidden="false" customHeight="false" outlineLevel="0" collapsed="false">
      <c r="A96" s="6" t="s">
        <v>1605</v>
      </c>
      <c r="B96" s="35"/>
      <c r="C96" s="34"/>
      <c r="D96" s="34"/>
      <c r="E96" s="21"/>
      <c r="F96" s="21"/>
      <c r="G96" s="21"/>
      <c r="H96" s="21"/>
      <c r="I96" s="34"/>
      <c r="J96" s="34"/>
      <c r="K96" s="34"/>
      <c r="L96" s="34"/>
      <c r="M96" s="34"/>
      <c r="N96" s="34"/>
      <c r="O96" s="34"/>
      <c r="P96" s="34"/>
      <c r="Q96" s="34"/>
      <c r="R96" s="21"/>
    </row>
    <row r="97" customFormat="false" ht="15" hidden="false" customHeight="false" outlineLevel="0" collapsed="false">
      <c r="A97" s="6" t="s">
        <v>1606</v>
      </c>
      <c r="B97" s="35"/>
      <c r="C97" s="34"/>
      <c r="D97" s="34"/>
      <c r="E97" s="21"/>
      <c r="F97" s="21"/>
      <c r="G97" s="21"/>
      <c r="H97" s="21"/>
      <c r="I97" s="34"/>
      <c r="J97" s="34"/>
      <c r="K97" s="34"/>
      <c r="L97" s="34"/>
      <c r="M97" s="34"/>
      <c r="N97" s="34"/>
      <c r="O97" s="34"/>
      <c r="P97" s="34"/>
      <c r="Q97" s="34"/>
      <c r="R97" s="21"/>
    </row>
    <row r="98" customFormat="false" ht="15" hidden="false" customHeight="false" outlineLevel="0" collapsed="false">
      <c r="A98" s="6" t="s">
        <v>1607</v>
      </c>
      <c r="B98" s="35"/>
      <c r="C98" s="34"/>
      <c r="D98" s="34"/>
      <c r="E98" s="21"/>
      <c r="F98" s="21"/>
      <c r="G98" s="21"/>
      <c r="H98" s="21"/>
      <c r="I98" s="34"/>
      <c r="J98" s="34"/>
      <c r="K98" s="34"/>
      <c r="L98" s="34"/>
      <c r="M98" s="34"/>
      <c r="N98" s="34"/>
      <c r="O98" s="34"/>
      <c r="P98" s="34"/>
      <c r="Q98" s="34"/>
      <c r="R98" s="21"/>
    </row>
    <row r="99" customFormat="false" ht="15" hidden="false" customHeight="false" outlineLevel="0" collapsed="false">
      <c r="A99" s="6" t="s">
        <v>1608</v>
      </c>
      <c r="B99" s="35"/>
      <c r="C99" s="34"/>
      <c r="D99" s="34"/>
      <c r="E99" s="21"/>
      <c r="F99" s="21"/>
      <c r="G99" s="21"/>
      <c r="H99" s="21"/>
      <c r="I99" s="34"/>
      <c r="J99" s="34"/>
      <c r="K99" s="34"/>
      <c r="L99" s="34"/>
      <c r="M99" s="34"/>
      <c r="N99" s="34"/>
      <c r="O99" s="34"/>
      <c r="P99" s="34"/>
      <c r="Q99" s="34"/>
      <c r="R99" s="21"/>
    </row>
    <row r="100" customFormat="false" ht="15" hidden="false" customHeight="false" outlineLevel="0" collapsed="false">
      <c r="A100" s="6" t="s">
        <v>1609</v>
      </c>
      <c r="B100" s="35"/>
      <c r="C100" s="34"/>
      <c r="D100" s="34"/>
      <c r="E100" s="21"/>
      <c r="F100" s="21"/>
      <c r="G100" s="21"/>
      <c r="H100" s="21"/>
      <c r="I100" s="34"/>
      <c r="J100" s="34"/>
      <c r="K100" s="34"/>
      <c r="L100" s="34"/>
      <c r="M100" s="34"/>
      <c r="N100" s="34"/>
      <c r="O100" s="34"/>
      <c r="P100" s="34"/>
      <c r="Q100" s="34"/>
      <c r="R100" s="21"/>
    </row>
    <row r="101" customFormat="false" ht="15" hidden="false" customHeight="false" outlineLevel="0" collapsed="false">
      <c r="A101" s="6" t="s">
        <v>1610</v>
      </c>
      <c r="B101" s="35"/>
      <c r="C101" s="34"/>
      <c r="D101" s="34"/>
      <c r="E101" s="21"/>
      <c r="F101" s="21"/>
      <c r="G101" s="21"/>
      <c r="H101" s="21"/>
      <c r="I101" s="34"/>
      <c r="J101" s="34"/>
      <c r="K101" s="34"/>
      <c r="L101" s="34"/>
      <c r="M101" s="34"/>
      <c r="N101" s="34"/>
      <c r="O101" s="34"/>
      <c r="P101" s="34"/>
      <c r="Q101" s="34"/>
      <c r="R101" s="21"/>
    </row>
    <row r="102" customFormat="false" ht="15" hidden="false" customHeight="false" outlineLevel="0" collapsed="false">
      <c r="A102" s="6" t="s">
        <v>1611</v>
      </c>
      <c r="B102" s="35"/>
      <c r="C102" s="34"/>
      <c r="D102" s="34"/>
      <c r="E102" s="21"/>
      <c r="F102" s="21"/>
      <c r="G102" s="21"/>
      <c r="H102" s="21"/>
      <c r="I102" s="34"/>
      <c r="J102" s="34"/>
      <c r="K102" s="34"/>
      <c r="L102" s="34"/>
      <c r="M102" s="34"/>
      <c r="N102" s="34"/>
      <c r="O102" s="34"/>
      <c r="P102" s="34"/>
      <c r="Q102" s="34"/>
      <c r="R102" s="21"/>
    </row>
    <row r="103" customFormat="false" ht="15" hidden="false" customHeight="false" outlineLevel="0" collapsed="false">
      <c r="A103" s="6" t="s">
        <v>1612</v>
      </c>
      <c r="B103" s="35"/>
      <c r="C103" s="34"/>
      <c r="D103" s="34"/>
      <c r="E103" s="21"/>
      <c r="F103" s="21"/>
      <c r="G103" s="21"/>
      <c r="H103" s="21"/>
      <c r="I103" s="34"/>
      <c r="J103" s="34"/>
      <c r="K103" s="34"/>
      <c r="L103" s="34"/>
      <c r="M103" s="34"/>
      <c r="N103" s="34"/>
      <c r="O103" s="34"/>
      <c r="P103" s="34"/>
      <c r="Q103" s="34"/>
      <c r="R103" s="21"/>
    </row>
    <row r="104" customFormat="false" ht="15" hidden="false" customHeight="false" outlineLevel="0" collapsed="false">
      <c r="A104" s="6" t="s">
        <v>1613</v>
      </c>
      <c r="B104" s="35"/>
      <c r="C104" s="34"/>
      <c r="D104" s="34"/>
      <c r="E104" s="21"/>
      <c r="F104" s="21"/>
      <c r="G104" s="21"/>
      <c r="H104" s="21"/>
      <c r="I104" s="34"/>
      <c r="J104" s="34"/>
      <c r="K104" s="34"/>
      <c r="L104" s="34"/>
      <c r="M104" s="34"/>
      <c r="N104" s="34"/>
      <c r="O104" s="34"/>
      <c r="P104" s="34"/>
      <c r="Q104" s="34"/>
      <c r="R104" s="21"/>
    </row>
    <row r="105" customFormat="false" ht="15" hidden="false" customHeight="false" outlineLevel="0" collapsed="false">
      <c r="A105" s="6" t="s">
        <v>1614</v>
      </c>
      <c r="B105" s="35"/>
      <c r="C105" s="34"/>
      <c r="D105" s="34"/>
      <c r="E105" s="21"/>
      <c r="F105" s="21"/>
      <c r="G105" s="21"/>
      <c r="H105" s="21"/>
      <c r="I105" s="34"/>
      <c r="J105" s="34"/>
      <c r="K105" s="34"/>
      <c r="L105" s="34"/>
      <c r="M105" s="34"/>
      <c r="N105" s="34"/>
      <c r="O105" s="34"/>
      <c r="P105" s="34"/>
      <c r="Q105" s="34"/>
      <c r="R105" s="21"/>
    </row>
    <row r="106" customFormat="false" ht="15" hidden="false" customHeight="false" outlineLevel="0" collapsed="false">
      <c r="A106" s="6" t="s">
        <v>1615</v>
      </c>
      <c r="B106" s="35"/>
      <c r="C106" s="34"/>
      <c r="D106" s="34"/>
      <c r="E106" s="21"/>
      <c r="F106" s="21"/>
      <c r="G106" s="21"/>
      <c r="H106" s="21"/>
      <c r="I106" s="34"/>
      <c r="J106" s="34"/>
      <c r="K106" s="34"/>
      <c r="L106" s="34"/>
      <c r="M106" s="34"/>
      <c r="N106" s="34"/>
      <c r="O106" s="34"/>
      <c r="P106" s="34"/>
      <c r="Q106" s="34"/>
      <c r="R106" s="21"/>
    </row>
    <row r="107" customFormat="false" ht="15" hidden="false" customHeight="false" outlineLevel="0" collapsed="false">
      <c r="A107" s="6" t="s">
        <v>1616</v>
      </c>
      <c r="B107" s="35"/>
      <c r="C107" s="34"/>
      <c r="D107" s="34"/>
      <c r="E107" s="21"/>
      <c r="F107" s="21"/>
      <c r="G107" s="21"/>
      <c r="H107" s="21"/>
      <c r="I107" s="34"/>
      <c r="J107" s="34"/>
      <c r="K107" s="34"/>
      <c r="L107" s="34"/>
      <c r="M107" s="34"/>
      <c r="N107" s="34"/>
      <c r="O107" s="34"/>
      <c r="P107" s="34"/>
      <c r="Q107" s="34"/>
      <c r="R107" s="21"/>
    </row>
    <row r="108" customFormat="false" ht="15" hidden="false" customHeight="false" outlineLevel="0" collapsed="false">
      <c r="A108" s="6" t="s">
        <v>1617</v>
      </c>
      <c r="B108" s="35"/>
      <c r="C108" s="34"/>
      <c r="D108" s="34"/>
      <c r="E108" s="21"/>
      <c r="F108" s="21"/>
      <c r="G108" s="21"/>
      <c r="H108" s="21"/>
      <c r="I108" s="34"/>
      <c r="J108" s="34"/>
      <c r="K108" s="34"/>
      <c r="L108" s="34"/>
      <c r="M108" s="34"/>
      <c r="N108" s="34"/>
      <c r="O108" s="34"/>
      <c r="P108" s="34"/>
      <c r="Q108" s="34"/>
      <c r="R108" s="21"/>
    </row>
    <row r="109" customFormat="false" ht="15" hidden="false" customHeight="false" outlineLevel="0" collapsed="false">
      <c r="A109" s="6" t="s">
        <v>1618</v>
      </c>
      <c r="B109" s="35"/>
      <c r="C109" s="34"/>
      <c r="D109" s="34"/>
      <c r="E109" s="21"/>
      <c r="F109" s="21"/>
      <c r="G109" s="21"/>
      <c r="H109" s="21"/>
      <c r="I109" s="34"/>
      <c r="J109" s="34"/>
      <c r="K109" s="34"/>
      <c r="L109" s="34"/>
      <c r="M109" s="34"/>
      <c r="N109" s="34"/>
      <c r="O109" s="34"/>
      <c r="P109" s="34"/>
      <c r="Q109" s="34"/>
      <c r="R109" s="21"/>
    </row>
    <row r="110" customFormat="false" ht="15" hidden="false" customHeight="false" outlineLevel="0" collapsed="false">
      <c r="A110" s="6" t="s">
        <v>1619</v>
      </c>
      <c r="B110" s="35"/>
      <c r="C110" s="34"/>
      <c r="D110" s="34"/>
      <c r="E110" s="21"/>
      <c r="F110" s="21"/>
      <c r="G110" s="21"/>
      <c r="H110" s="21"/>
      <c r="I110" s="34"/>
      <c r="J110" s="34"/>
      <c r="K110" s="34"/>
      <c r="L110" s="34"/>
      <c r="M110" s="34"/>
      <c r="N110" s="34"/>
      <c r="O110" s="34"/>
      <c r="P110" s="34"/>
      <c r="Q110" s="34"/>
      <c r="R110" s="21"/>
    </row>
    <row r="111" customFormat="false" ht="15" hidden="false" customHeight="false" outlineLevel="0" collapsed="false">
      <c r="A111" s="6" t="s">
        <v>1620</v>
      </c>
      <c r="B111" s="35"/>
      <c r="C111" s="34"/>
      <c r="D111" s="34"/>
      <c r="E111" s="21"/>
      <c r="F111" s="21"/>
      <c r="G111" s="21"/>
      <c r="H111" s="21"/>
      <c r="I111" s="34"/>
      <c r="J111" s="34"/>
      <c r="K111" s="34"/>
      <c r="L111" s="34"/>
      <c r="M111" s="34"/>
      <c r="N111" s="34"/>
      <c r="O111" s="34"/>
      <c r="P111" s="34"/>
      <c r="Q111" s="34"/>
      <c r="R111" s="21"/>
    </row>
    <row r="112" customFormat="false" ht="15" hidden="false" customHeight="false" outlineLevel="0" collapsed="false">
      <c r="A112" s="6" t="s">
        <v>1621</v>
      </c>
      <c r="B112" s="35"/>
      <c r="C112" s="34"/>
      <c r="D112" s="34"/>
      <c r="E112" s="21"/>
      <c r="F112" s="21"/>
      <c r="G112" s="21"/>
      <c r="H112" s="21"/>
      <c r="I112" s="34"/>
      <c r="J112" s="34"/>
      <c r="K112" s="34"/>
      <c r="L112" s="34"/>
      <c r="M112" s="34"/>
      <c r="N112" s="34"/>
      <c r="O112" s="34"/>
      <c r="P112" s="34"/>
      <c r="Q112" s="34"/>
      <c r="R112" s="21"/>
    </row>
    <row r="113" customFormat="false" ht="15" hidden="false" customHeight="false" outlineLevel="0" collapsed="false">
      <c r="A113" s="6" t="s">
        <v>1622</v>
      </c>
      <c r="B113" s="35"/>
      <c r="C113" s="34"/>
      <c r="D113" s="34"/>
      <c r="E113" s="21"/>
      <c r="F113" s="21"/>
      <c r="G113" s="21"/>
      <c r="H113" s="21"/>
      <c r="I113" s="34"/>
      <c r="J113" s="34"/>
      <c r="K113" s="34"/>
      <c r="L113" s="34"/>
      <c r="M113" s="34"/>
      <c r="N113" s="34"/>
      <c r="O113" s="34"/>
      <c r="P113" s="34"/>
      <c r="Q113" s="34"/>
      <c r="R113" s="21"/>
    </row>
    <row r="114" customFormat="false" ht="15" hidden="false" customHeight="false" outlineLevel="0" collapsed="false">
      <c r="A114" s="6" t="s">
        <v>1623</v>
      </c>
      <c r="B114" s="35"/>
      <c r="C114" s="34"/>
      <c r="D114" s="34"/>
      <c r="E114" s="21"/>
      <c r="F114" s="21"/>
      <c r="G114" s="21"/>
      <c r="H114" s="21"/>
      <c r="I114" s="34"/>
      <c r="J114" s="34"/>
      <c r="K114" s="34"/>
      <c r="L114" s="34"/>
      <c r="M114" s="34"/>
      <c r="N114" s="34"/>
      <c r="O114" s="34"/>
      <c r="P114" s="34"/>
      <c r="Q114" s="34"/>
      <c r="R114" s="21"/>
    </row>
    <row r="115" customFormat="false" ht="15" hidden="false" customHeight="false" outlineLevel="0" collapsed="false">
      <c r="A115" s="6" t="s">
        <v>1624</v>
      </c>
      <c r="B115" s="35"/>
      <c r="C115" s="34"/>
      <c r="D115" s="34"/>
      <c r="E115" s="21"/>
      <c r="F115" s="21"/>
      <c r="G115" s="21"/>
      <c r="H115" s="21"/>
      <c r="I115" s="34"/>
      <c r="J115" s="34"/>
      <c r="K115" s="34"/>
      <c r="L115" s="34"/>
      <c r="M115" s="34"/>
      <c r="N115" s="34"/>
      <c r="O115" s="34"/>
      <c r="P115" s="34"/>
      <c r="Q115" s="34"/>
      <c r="R115" s="21"/>
    </row>
    <row r="116" customFormat="false" ht="15" hidden="false" customHeight="false" outlineLevel="0" collapsed="false">
      <c r="A116" s="6" t="s">
        <v>1625</v>
      </c>
      <c r="B116" s="35"/>
      <c r="C116" s="34"/>
      <c r="D116" s="34"/>
      <c r="E116" s="21"/>
      <c r="F116" s="21"/>
      <c r="G116" s="21"/>
      <c r="H116" s="21"/>
      <c r="I116" s="34"/>
      <c r="J116" s="34"/>
      <c r="K116" s="34"/>
      <c r="L116" s="34"/>
      <c r="M116" s="34"/>
      <c r="N116" s="34"/>
      <c r="O116" s="34"/>
      <c r="P116" s="34"/>
      <c r="Q116" s="34"/>
      <c r="R116" s="21"/>
    </row>
    <row r="117" customFormat="false" ht="15" hidden="false" customHeight="false" outlineLevel="0" collapsed="false">
      <c r="A117" s="6" t="s">
        <v>1626</v>
      </c>
      <c r="B117" s="35"/>
      <c r="C117" s="34"/>
      <c r="D117" s="34"/>
      <c r="E117" s="21"/>
      <c r="F117" s="21"/>
      <c r="G117" s="21"/>
      <c r="H117" s="21"/>
      <c r="I117" s="34"/>
      <c r="J117" s="34"/>
      <c r="K117" s="34"/>
      <c r="L117" s="34"/>
      <c r="M117" s="34"/>
      <c r="N117" s="34"/>
      <c r="O117" s="34"/>
      <c r="P117" s="34"/>
      <c r="Q117" s="34"/>
      <c r="R117" s="21"/>
    </row>
    <row r="118" customFormat="false" ht="15" hidden="false" customHeight="false" outlineLevel="0" collapsed="false">
      <c r="A118" s="6" t="s">
        <v>1627</v>
      </c>
      <c r="B118" s="35"/>
      <c r="C118" s="34"/>
      <c r="D118" s="34"/>
      <c r="E118" s="21"/>
      <c r="F118" s="21"/>
      <c r="G118" s="21"/>
      <c r="H118" s="21"/>
      <c r="I118" s="34"/>
      <c r="J118" s="34"/>
      <c r="K118" s="34"/>
      <c r="L118" s="34"/>
      <c r="M118" s="34"/>
      <c r="N118" s="34"/>
      <c r="O118" s="34"/>
      <c r="P118" s="34"/>
      <c r="Q118" s="34"/>
      <c r="R118" s="21"/>
    </row>
    <row r="119" customFormat="false" ht="15" hidden="false" customHeight="false" outlineLevel="0" collapsed="false">
      <c r="A119" s="6" t="s">
        <v>1628</v>
      </c>
      <c r="B119" s="35"/>
      <c r="C119" s="34"/>
      <c r="D119" s="34"/>
      <c r="E119" s="21"/>
      <c r="F119" s="21"/>
      <c r="G119" s="21"/>
      <c r="H119" s="21"/>
      <c r="I119" s="34"/>
      <c r="J119" s="34"/>
      <c r="K119" s="34"/>
      <c r="L119" s="34"/>
      <c r="M119" s="34"/>
      <c r="N119" s="34"/>
      <c r="O119" s="34"/>
      <c r="P119" s="34"/>
      <c r="Q119" s="34"/>
      <c r="R119" s="21"/>
    </row>
    <row r="120" customFormat="false" ht="15" hidden="false" customHeight="false" outlineLevel="0" collapsed="false">
      <c r="A120" s="6" t="s">
        <v>1629</v>
      </c>
      <c r="B120" s="35"/>
      <c r="C120" s="34"/>
      <c r="D120" s="34"/>
      <c r="E120" s="21"/>
      <c r="F120" s="21"/>
      <c r="G120" s="21"/>
      <c r="H120" s="21"/>
      <c r="I120" s="34"/>
      <c r="J120" s="34"/>
      <c r="K120" s="34"/>
      <c r="L120" s="34"/>
      <c r="M120" s="34"/>
      <c r="N120" s="34"/>
      <c r="O120" s="34"/>
      <c r="P120" s="34"/>
      <c r="Q120" s="34"/>
      <c r="R120" s="21"/>
    </row>
    <row r="121" customFormat="false" ht="15" hidden="false" customHeight="false" outlineLevel="0" collapsed="false">
      <c r="A121" s="6" t="s">
        <v>1630</v>
      </c>
      <c r="B121" s="35"/>
      <c r="C121" s="34"/>
      <c r="D121" s="34"/>
      <c r="E121" s="21"/>
      <c r="F121" s="21"/>
      <c r="G121" s="21"/>
      <c r="H121" s="21"/>
      <c r="I121" s="34"/>
      <c r="J121" s="34"/>
      <c r="K121" s="34"/>
      <c r="L121" s="34"/>
      <c r="M121" s="34"/>
      <c r="N121" s="34"/>
      <c r="O121" s="34"/>
      <c r="P121" s="34"/>
      <c r="Q121" s="34"/>
      <c r="R121" s="21"/>
    </row>
    <row r="122" customFormat="false" ht="15" hidden="false" customHeight="false" outlineLevel="0" collapsed="false">
      <c r="A122" s="6" t="s">
        <v>1631</v>
      </c>
      <c r="B122" s="35"/>
      <c r="C122" s="34"/>
      <c r="D122" s="34"/>
      <c r="E122" s="21"/>
      <c r="F122" s="21"/>
      <c r="G122" s="21"/>
      <c r="H122" s="21"/>
      <c r="I122" s="34"/>
      <c r="J122" s="34"/>
      <c r="K122" s="34"/>
      <c r="L122" s="34"/>
      <c r="M122" s="34"/>
      <c r="N122" s="34"/>
      <c r="O122" s="34"/>
      <c r="P122" s="34"/>
      <c r="Q122" s="34"/>
      <c r="R122" s="21"/>
    </row>
    <row r="123" customFormat="false" ht="15" hidden="false" customHeight="false" outlineLevel="0" collapsed="false">
      <c r="A123" s="6" t="s">
        <v>1632</v>
      </c>
      <c r="B123" s="35"/>
      <c r="C123" s="34"/>
      <c r="D123" s="34"/>
      <c r="E123" s="21"/>
      <c r="F123" s="21"/>
      <c r="G123" s="21"/>
      <c r="H123" s="21"/>
      <c r="I123" s="34"/>
      <c r="J123" s="34"/>
      <c r="K123" s="34"/>
      <c r="L123" s="34"/>
      <c r="M123" s="34"/>
      <c r="N123" s="34"/>
      <c r="O123" s="34"/>
      <c r="P123" s="34"/>
      <c r="Q123" s="34"/>
      <c r="R123" s="21"/>
    </row>
    <row r="124" customFormat="false" ht="15" hidden="false" customHeight="false" outlineLevel="0" collapsed="false">
      <c r="A124" s="6" t="s">
        <v>1633</v>
      </c>
      <c r="B124" s="35"/>
      <c r="C124" s="34"/>
      <c r="D124" s="34"/>
      <c r="E124" s="21"/>
      <c r="F124" s="21"/>
      <c r="G124" s="21"/>
      <c r="H124" s="21"/>
      <c r="I124" s="34"/>
      <c r="J124" s="34"/>
      <c r="K124" s="34"/>
      <c r="L124" s="34"/>
      <c r="M124" s="34"/>
      <c r="N124" s="34"/>
      <c r="O124" s="34"/>
      <c r="P124" s="34"/>
      <c r="Q124" s="34"/>
      <c r="R124" s="21"/>
    </row>
    <row r="125" customFormat="false" ht="15" hidden="false" customHeight="false" outlineLevel="0" collapsed="false">
      <c r="A125" s="6" t="s">
        <v>1634</v>
      </c>
      <c r="B125" s="35"/>
      <c r="C125" s="34"/>
      <c r="D125" s="34"/>
      <c r="E125" s="21"/>
      <c r="F125" s="21"/>
      <c r="G125" s="21"/>
      <c r="H125" s="21"/>
      <c r="I125" s="34"/>
      <c r="J125" s="34"/>
      <c r="K125" s="34"/>
      <c r="L125" s="34"/>
      <c r="M125" s="34"/>
      <c r="N125" s="34"/>
      <c r="O125" s="34"/>
      <c r="P125" s="34"/>
      <c r="Q125" s="34"/>
      <c r="R125" s="21"/>
    </row>
    <row r="126" customFormat="false" ht="15" hidden="false" customHeight="false" outlineLevel="0" collapsed="false">
      <c r="A126" s="6" t="s">
        <v>1635</v>
      </c>
      <c r="B126" s="35"/>
      <c r="C126" s="34"/>
      <c r="D126" s="34"/>
      <c r="E126" s="21"/>
      <c r="F126" s="21"/>
      <c r="G126" s="21"/>
      <c r="H126" s="21"/>
      <c r="I126" s="34"/>
      <c r="J126" s="34"/>
      <c r="K126" s="34"/>
      <c r="L126" s="34"/>
      <c r="M126" s="34"/>
      <c r="N126" s="34"/>
      <c r="O126" s="34"/>
      <c r="P126" s="34"/>
      <c r="Q126" s="34"/>
      <c r="R126" s="21"/>
    </row>
    <row r="127" customFormat="false" ht="15" hidden="false" customHeight="false" outlineLevel="0" collapsed="false">
      <c r="A127" s="6" t="s">
        <v>1636</v>
      </c>
      <c r="B127" s="35"/>
      <c r="C127" s="34"/>
      <c r="D127" s="34"/>
      <c r="E127" s="21"/>
      <c r="F127" s="21"/>
      <c r="G127" s="21"/>
      <c r="H127" s="21"/>
      <c r="I127" s="34"/>
      <c r="J127" s="34"/>
      <c r="K127" s="34"/>
      <c r="L127" s="34"/>
      <c r="M127" s="34"/>
      <c r="N127" s="34"/>
      <c r="O127" s="34"/>
      <c r="P127" s="34"/>
      <c r="Q127" s="34"/>
      <c r="R127" s="21"/>
    </row>
    <row r="128" customFormat="false" ht="15" hidden="false" customHeight="false" outlineLevel="0" collapsed="false">
      <c r="A128" s="6" t="s">
        <v>1637</v>
      </c>
      <c r="B128" s="35"/>
      <c r="C128" s="34"/>
      <c r="D128" s="34"/>
      <c r="E128" s="21"/>
      <c r="F128" s="21"/>
      <c r="G128" s="21"/>
      <c r="H128" s="21"/>
      <c r="I128" s="34"/>
      <c r="J128" s="34"/>
      <c r="K128" s="34"/>
      <c r="L128" s="34"/>
      <c r="M128" s="34"/>
      <c r="N128" s="34"/>
      <c r="O128" s="34"/>
      <c r="P128" s="34"/>
      <c r="Q128" s="34"/>
      <c r="R128" s="21"/>
    </row>
    <row r="129" customFormat="false" ht="15" hidden="false" customHeight="false" outlineLevel="0" collapsed="false">
      <c r="A129" s="6" t="s">
        <v>1638</v>
      </c>
      <c r="B129" s="35"/>
      <c r="C129" s="34"/>
      <c r="D129" s="34"/>
      <c r="E129" s="21"/>
      <c r="F129" s="21"/>
      <c r="G129" s="21"/>
      <c r="H129" s="21"/>
      <c r="I129" s="34"/>
      <c r="J129" s="34"/>
      <c r="K129" s="34"/>
      <c r="L129" s="34"/>
      <c r="M129" s="34"/>
      <c r="N129" s="34"/>
      <c r="O129" s="34"/>
      <c r="P129" s="34"/>
      <c r="Q129" s="34"/>
      <c r="R129" s="21"/>
    </row>
    <row r="130" customFormat="false" ht="15" hidden="false" customHeight="false" outlineLevel="0" collapsed="false">
      <c r="A130" s="6" t="s">
        <v>1639</v>
      </c>
      <c r="B130" s="35"/>
      <c r="C130" s="34"/>
      <c r="D130" s="34"/>
      <c r="E130" s="21"/>
      <c r="F130" s="21"/>
      <c r="G130" s="21"/>
      <c r="H130" s="21"/>
      <c r="I130" s="34"/>
      <c r="J130" s="34"/>
      <c r="K130" s="34"/>
      <c r="L130" s="34"/>
      <c r="M130" s="34"/>
      <c r="N130" s="34"/>
      <c r="O130" s="34"/>
      <c r="P130" s="34"/>
      <c r="Q130" s="34"/>
      <c r="R130" s="21"/>
    </row>
    <row r="131" customFormat="false" ht="15" hidden="false" customHeight="false" outlineLevel="0" collapsed="false">
      <c r="A131" s="6" t="s">
        <v>1640</v>
      </c>
      <c r="B131" s="35"/>
      <c r="C131" s="34"/>
      <c r="D131" s="34"/>
      <c r="E131" s="21"/>
      <c r="F131" s="21"/>
      <c r="G131" s="21"/>
      <c r="H131" s="21"/>
      <c r="I131" s="34"/>
      <c r="J131" s="34"/>
      <c r="K131" s="34"/>
      <c r="L131" s="34"/>
      <c r="M131" s="34"/>
      <c r="N131" s="34"/>
      <c r="O131" s="34"/>
      <c r="P131" s="34"/>
      <c r="Q131" s="34"/>
      <c r="R131" s="21"/>
    </row>
    <row r="132" customFormat="false" ht="15" hidden="false" customHeight="false" outlineLevel="0" collapsed="false">
      <c r="A132" s="6" t="s">
        <v>1641</v>
      </c>
      <c r="B132" s="35"/>
      <c r="C132" s="34"/>
      <c r="D132" s="34"/>
      <c r="E132" s="21"/>
      <c r="F132" s="21"/>
      <c r="G132" s="21"/>
      <c r="H132" s="21"/>
      <c r="I132" s="34"/>
      <c r="J132" s="34"/>
      <c r="K132" s="34"/>
      <c r="L132" s="34"/>
      <c r="M132" s="34"/>
      <c r="N132" s="34"/>
      <c r="O132" s="34"/>
      <c r="P132" s="34"/>
      <c r="Q132" s="34"/>
      <c r="R132" s="21"/>
    </row>
    <row r="133" customFormat="false" ht="15" hidden="false" customHeight="false" outlineLevel="0" collapsed="false">
      <c r="A133" s="6" t="s">
        <v>1642</v>
      </c>
      <c r="B133" s="35"/>
      <c r="C133" s="34"/>
      <c r="D133" s="34"/>
      <c r="E133" s="21"/>
      <c r="F133" s="21"/>
      <c r="G133" s="21"/>
      <c r="H133" s="21"/>
      <c r="I133" s="34"/>
      <c r="J133" s="34"/>
      <c r="K133" s="34"/>
      <c r="L133" s="34"/>
      <c r="M133" s="34"/>
      <c r="N133" s="34"/>
      <c r="O133" s="34"/>
      <c r="P133" s="34"/>
      <c r="Q133" s="34"/>
      <c r="R133" s="21"/>
    </row>
    <row r="134" customFormat="false" ht="15" hidden="false" customHeight="false" outlineLevel="0" collapsed="false">
      <c r="A134" s="6" t="s">
        <v>1643</v>
      </c>
      <c r="B134" s="35"/>
      <c r="C134" s="34"/>
      <c r="D134" s="34"/>
      <c r="E134" s="21"/>
      <c r="F134" s="21"/>
      <c r="G134" s="21"/>
      <c r="H134" s="21"/>
      <c r="I134" s="34"/>
      <c r="J134" s="34"/>
      <c r="K134" s="34"/>
      <c r="L134" s="34"/>
      <c r="M134" s="34"/>
      <c r="N134" s="34"/>
      <c r="O134" s="34"/>
      <c r="P134" s="34"/>
      <c r="Q134" s="34"/>
      <c r="R134" s="21"/>
    </row>
    <row r="135" customFormat="false" ht="15" hidden="false" customHeight="false" outlineLevel="0" collapsed="false">
      <c r="A135" s="6" t="s">
        <v>1644</v>
      </c>
      <c r="B135" s="35"/>
      <c r="C135" s="34"/>
      <c r="D135" s="34"/>
      <c r="E135" s="21"/>
      <c r="F135" s="21"/>
      <c r="G135" s="21"/>
      <c r="H135" s="21"/>
      <c r="I135" s="34"/>
      <c r="J135" s="34"/>
      <c r="K135" s="34"/>
      <c r="L135" s="34"/>
      <c r="M135" s="34"/>
      <c r="N135" s="34"/>
      <c r="O135" s="34"/>
      <c r="P135" s="34"/>
      <c r="Q135" s="34"/>
      <c r="R135" s="21"/>
    </row>
    <row r="136" customFormat="false" ht="15" hidden="false" customHeight="false" outlineLevel="0" collapsed="false">
      <c r="A136" s="6" t="s">
        <v>1645</v>
      </c>
      <c r="B136" s="35"/>
      <c r="C136" s="34"/>
      <c r="D136" s="34"/>
      <c r="E136" s="21"/>
      <c r="F136" s="21"/>
      <c r="G136" s="21"/>
      <c r="H136" s="21"/>
      <c r="I136" s="34"/>
      <c r="J136" s="34"/>
      <c r="K136" s="34"/>
      <c r="L136" s="34"/>
      <c r="M136" s="34"/>
      <c r="N136" s="34"/>
      <c r="O136" s="34"/>
      <c r="P136" s="34"/>
      <c r="Q136" s="34"/>
      <c r="R136" s="21"/>
    </row>
    <row r="137" customFormat="false" ht="15" hidden="false" customHeight="false" outlineLevel="0" collapsed="false">
      <c r="A137" s="6" t="s">
        <v>1646</v>
      </c>
      <c r="B137" s="35"/>
      <c r="C137" s="34"/>
      <c r="D137" s="34"/>
      <c r="E137" s="21"/>
      <c r="F137" s="21"/>
      <c r="G137" s="21"/>
      <c r="H137" s="21"/>
      <c r="I137" s="34"/>
      <c r="J137" s="34"/>
      <c r="K137" s="34"/>
      <c r="L137" s="34"/>
      <c r="M137" s="34"/>
      <c r="N137" s="34"/>
      <c r="O137" s="34"/>
      <c r="P137" s="34"/>
      <c r="Q137" s="34"/>
      <c r="R137" s="21"/>
    </row>
    <row r="138" customFormat="false" ht="15" hidden="false" customHeight="false" outlineLevel="0" collapsed="false">
      <c r="A138" s="6" t="s">
        <v>1647</v>
      </c>
      <c r="B138" s="35"/>
      <c r="C138" s="34"/>
      <c r="D138" s="34"/>
      <c r="E138" s="21"/>
      <c r="F138" s="21"/>
      <c r="G138" s="21"/>
      <c r="H138" s="21"/>
      <c r="I138" s="34"/>
      <c r="J138" s="34"/>
      <c r="K138" s="34"/>
      <c r="L138" s="34"/>
      <c r="M138" s="34"/>
      <c r="N138" s="34"/>
      <c r="O138" s="34"/>
      <c r="P138" s="34"/>
      <c r="Q138" s="34"/>
      <c r="R138" s="21"/>
    </row>
    <row r="139" customFormat="false" ht="15" hidden="false" customHeight="false" outlineLevel="0" collapsed="false">
      <c r="A139" s="6" t="s">
        <v>1648</v>
      </c>
      <c r="B139" s="35"/>
      <c r="C139" s="34"/>
      <c r="D139" s="34"/>
      <c r="E139" s="21"/>
      <c r="F139" s="21"/>
      <c r="G139" s="21"/>
      <c r="H139" s="21"/>
      <c r="I139" s="34"/>
      <c r="J139" s="34"/>
      <c r="K139" s="34"/>
      <c r="L139" s="34"/>
      <c r="M139" s="34"/>
      <c r="N139" s="34"/>
      <c r="O139" s="34"/>
      <c r="P139" s="34"/>
      <c r="Q139" s="34"/>
      <c r="R139" s="21"/>
    </row>
    <row r="140" customFormat="false" ht="15" hidden="false" customHeight="false" outlineLevel="0" collapsed="false">
      <c r="A140" s="6" t="s">
        <v>1649</v>
      </c>
      <c r="B140" s="35"/>
      <c r="C140" s="34"/>
      <c r="D140" s="34"/>
      <c r="E140" s="21"/>
      <c r="F140" s="21"/>
      <c r="G140" s="21"/>
      <c r="H140" s="21"/>
      <c r="I140" s="34"/>
      <c r="J140" s="34"/>
      <c r="K140" s="34"/>
      <c r="L140" s="34"/>
      <c r="M140" s="34"/>
      <c r="N140" s="34"/>
      <c r="O140" s="34"/>
      <c r="P140" s="34"/>
      <c r="Q140" s="34"/>
      <c r="R140" s="21"/>
    </row>
    <row r="141" customFormat="false" ht="15" hidden="false" customHeight="false" outlineLevel="0" collapsed="false">
      <c r="A141" s="6" t="s">
        <v>1650</v>
      </c>
      <c r="B141" s="35"/>
      <c r="C141" s="34"/>
      <c r="D141" s="34"/>
      <c r="E141" s="21"/>
      <c r="F141" s="21"/>
      <c r="G141" s="21"/>
      <c r="H141" s="21"/>
      <c r="I141" s="34"/>
      <c r="J141" s="34"/>
      <c r="K141" s="34"/>
      <c r="L141" s="34"/>
      <c r="M141" s="34"/>
      <c r="N141" s="34"/>
      <c r="O141" s="34"/>
      <c r="P141" s="34"/>
      <c r="Q141" s="34"/>
      <c r="R141" s="21"/>
    </row>
    <row r="142" customFormat="false" ht="15" hidden="false" customHeight="false" outlineLevel="0" collapsed="false">
      <c r="A142" s="6" t="s">
        <v>1651</v>
      </c>
      <c r="B142" s="35"/>
      <c r="C142" s="34"/>
      <c r="D142" s="34"/>
      <c r="E142" s="21"/>
      <c r="F142" s="21"/>
      <c r="G142" s="21"/>
      <c r="H142" s="21"/>
      <c r="I142" s="34"/>
      <c r="J142" s="34"/>
      <c r="K142" s="34"/>
      <c r="L142" s="34"/>
      <c r="M142" s="34"/>
      <c r="N142" s="34"/>
      <c r="O142" s="34"/>
      <c r="P142" s="34"/>
      <c r="Q142" s="34"/>
      <c r="R142" s="21"/>
    </row>
    <row r="143" customFormat="false" ht="15" hidden="false" customHeight="false" outlineLevel="0" collapsed="false">
      <c r="A143" s="6" t="s">
        <v>1652</v>
      </c>
      <c r="B143" s="35"/>
      <c r="C143" s="34"/>
      <c r="D143" s="34"/>
      <c r="E143" s="21"/>
      <c r="F143" s="21"/>
      <c r="G143" s="21"/>
      <c r="H143" s="21"/>
      <c r="I143" s="34"/>
      <c r="J143" s="34"/>
      <c r="K143" s="34"/>
      <c r="L143" s="34"/>
      <c r="M143" s="34"/>
      <c r="N143" s="34"/>
      <c r="O143" s="34"/>
      <c r="P143" s="34"/>
      <c r="Q143" s="34"/>
      <c r="R143" s="21"/>
    </row>
    <row r="144" customFormat="false" ht="15" hidden="false" customHeight="false" outlineLevel="0" collapsed="false">
      <c r="A144" s="6" t="s">
        <v>1653</v>
      </c>
      <c r="B144" s="35"/>
      <c r="C144" s="34"/>
      <c r="D144" s="34"/>
      <c r="E144" s="21"/>
      <c r="F144" s="21"/>
      <c r="G144" s="21"/>
      <c r="H144" s="21"/>
      <c r="I144" s="34"/>
      <c r="J144" s="34"/>
      <c r="K144" s="34"/>
      <c r="L144" s="34"/>
      <c r="M144" s="34"/>
      <c r="N144" s="34"/>
      <c r="O144" s="34"/>
      <c r="P144" s="34"/>
      <c r="Q144" s="34"/>
      <c r="R144" s="21"/>
    </row>
    <row r="145" customFormat="false" ht="15" hidden="false" customHeight="false" outlineLevel="0" collapsed="false">
      <c r="A145" s="6" t="s">
        <v>1654</v>
      </c>
      <c r="B145" s="35"/>
      <c r="C145" s="34"/>
      <c r="D145" s="34"/>
      <c r="E145" s="21"/>
      <c r="F145" s="21"/>
      <c r="G145" s="21"/>
      <c r="H145" s="21"/>
      <c r="I145" s="34"/>
      <c r="J145" s="34"/>
      <c r="K145" s="34"/>
      <c r="L145" s="34"/>
      <c r="M145" s="34"/>
      <c r="N145" s="34"/>
      <c r="O145" s="34"/>
      <c r="P145" s="34"/>
      <c r="Q145" s="34"/>
      <c r="R145" s="21"/>
    </row>
    <row r="146" customFormat="false" ht="15" hidden="false" customHeight="false" outlineLevel="0" collapsed="false">
      <c r="A146" s="6" t="s">
        <v>1655</v>
      </c>
      <c r="B146" s="35"/>
      <c r="C146" s="34"/>
      <c r="D146" s="34"/>
      <c r="E146" s="21"/>
      <c r="F146" s="21"/>
      <c r="G146" s="21"/>
      <c r="H146" s="21"/>
      <c r="I146" s="34"/>
      <c r="J146" s="34"/>
      <c r="K146" s="34"/>
      <c r="L146" s="34"/>
      <c r="M146" s="34"/>
      <c r="N146" s="34"/>
      <c r="O146" s="34"/>
      <c r="P146" s="34"/>
      <c r="Q146" s="34"/>
      <c r="R146" s="21"/>
    </row>
    <row r="147" customFormat="false" ht="15" hidden="false" customHeight="false" outlineLevel="0" collapsed="false">
      <c r="A147" s="6" t="s">
        <v>1656</v>
      </c>
      <c r="B147" s="35"/>
      <c r="C147" s="34"/>
      <c r="D147" s="34"/>
      <c r="E147" s="21"/>
      <c r="F147" s="21"/>
      <c r="G147" s="21"/>
      <c r="H147" s="21"/>
      <c r="I147" s="34"/>
      <c r="J147" s="34"/>
      <c r="K147" s="34"/>
      <c r="L147" s="34"/>
      <c r="M147" s="34"/>
      <c r="N147" s="34"/>
      <c r="O147" s="34"/>
      <c r="P147" s="34"/>
      <c r="Q147" s="34"/>
      <c r="R147" s="21"/>
    </row>
    <row r="148" customFormat="false" ht="15" hidden="false" customHeight="false" outlineLevel="0" collapsed="false">
      <c r="A148" s="6" t="s">
        <v>1657</v>
      </c>
      <c r="B148" s="35"/>
      <c r="C148" s="34"/>
      <c r="D148" s="34"/>
      <c r="E148" s="21"/>
      <c r="F148" s="21"/>
      <c r="G148" s="21"/>
      <c r="H148" s="21"/>
      <c r="I148" s="34"/>
      <c r="J148" s="34"/>
      <c r="K148" s="34"/>
      <c r="L148" s="34"/>
      <c r="M148" s="34"/>
      <c r="N148" s="34"/>
      <c r="O148" s="34"/>
      <c r="P148" s="34"/>
      <c r="Q148" s="34"/>
      <c r="R148" s="21"/>
    </row>
    <row r="149" customFormat="false" ht="15" hidden="false" customHeight="false" outlineLevel="0" collapsed="false">
      <c r="A149" s="6" t="s">
        <v>1658</v>
      </c>
      <c r="B149" s="35"/>
      <c r="C149" s="34"/>
      <c r="D149" s="34"/>
      <c r="E149" s="21"/>
      <c r="F149" s="21"/>
      <c r="G149" s="21"/>
      <c r="H149" s="21"/>
      <c r="I149" s="34"/>
      <c r="J149" s="34"/>
      <c r="K149" s="34"/>
      <c r="L149" s="34"/>
      <c r="M149" s="34"/>
      <c r="N149" s="34"/>
      <c r="O149" s="34"/>
      <c r="P149" s="34"/>
      <c r="Q149" s="34"/>
      <c r="R149" s="21"/>
    </row>
    <row r="150" customFormat="false" ht="15" hidden="false" customHeight="false" outlineLevel="0" collapsed="false">
      <c r="A150" s="6" t="s">
        <v>1659</v>
      </c>
      <c r="B150" s="35"/>
      <c r="C150" s="34"/>
      <c r="D150" s="34"/>
      <c r="E150" s="21"/>
      <c r="F150" s="21"/>
      <c r="G150" s="21"/>
      <c r="H150" s="21"/>
      <c r="I150" s="34"/>
      <c r="J150" s="34"/>
      <c r="K150" s="34"/>
      <c r="L150" s="34"/>
      <c r="M150" s="34"/>
      <c r="N150" s="34"/>
      <c r="O150" s="34"/>
      <c r="P150" s="34"/>
      <c r="Q150" s="34"/>
      <c r="R150" s="21"/>
    </row>
    <row r="151" customFormat="false" ht="15" hidden="false" customHeight="false" outlineLevel="0" collapsed="false">
      <c r="A151" s="6" t="s">
        <v>1660</v>
      </c>
      <c r="B151" s="35"/>
      <c r="C151" s="34"/>
      <c r="D151" s="34"/>
      <c r="E151" s="21"/>
      <c r="F151" s="21"/>
      <c r="G151" s="21"/>
      <c r="H151" s="21"/>
      <c r="I151" s="34"/>
      <c r="J151" s="34"/>
      <c r="K151" s="34"/>
      <c r="L151" s="34"/>
      <c r="M151" s="34"/>
      <c r="N151" s="34"/>
      <c r="O151" s="34"/>
      <c r="P151" s="34"/>
      <c r="Q151" s="34"/>
      <c r="R151" s="21"/>
    </row>
    <row r="152" customFormat="false" ht="15" hidden="false" customHeight="false" outlineLevel="0" collapsed="false">
      <c r="A152" s="6" t="s">
        <v>1661</v>
      </c>
      <c r="B152" s="35"/>
      <c r="C152" s="34"/>
      <c r="D152" s="34"/>
      <c r="E152" s="21"/>
      <c r="F152" s="21"/>
      <c r="G152" s="21"/>
      <c r="H152" s="21"/>
      <c r="I152" s="34"/>
      <c r="J152" s="34"/>
      <c r="K152" s="34"/>
      <c r="L152" s="34"/>
      <c r="M152" s="34"/>
      <c r="N152" s="34"/>
      <c r="O152" s="34"/>
      <c r="P152" s="34"/>
      <c r="Q152" s="34"/>
      <c r="R152" s="21"/>
    </row>
    <row r="153" customFormat="false" ht="15" hidden="false" customHeight="false" outlineLevel="0" collapsed="false">
      <c r="A153" s="6" t="s">
        <v>1662</v>
      </c>
      <c r="B153" s="35"/>
      <c r="C153" s="34"/>
      <c r="D153" s="34"/>
      <c r="E153" s="21"/>
      <c r="F153" s="21"/>
      <c r="G153" s="21"/>
      <c r="H153" s="21"/>
      <c r="I153" s="34"/>
      <c r="J153" s="34"/>
      <c r="K153" s="34"/>
      <c r="L153" s="34"/>
      <c r="M153" s="34"/>
      <c r="N153" s="34"/>
      <c r="O153" s="34"/>
      <c r="P153" s="34"/>
      <c r="Q153" s="34"/>
      <c r="R153" s="21"/>
    </row>
    <row r="154" customFormat="false" ht="15" hidden="false" customHeight="false" outlineLevel="0" collapsed="false">
      <c r="A154" s="6" t="s">
        <v>1663</v>
      </c>
      <c r="B154" s="35"/>
      <c r="C154" s="34"/>
      <c r="D154" s="34"/>
      <c r="E154" s="21"/>
      <c r="F154" s="21"/>
      <c r="G154" s="21"/>
      <c r="H154" s="21"/>
      <c r="I154" s="34"/>
      <c r="J154" s="34"/>
      <c r="K154" s="34"/>
      <c r="L154" s="34"/>
      <c r="M154" s="34"/>
      <c r="N154" s="34"/>
      <c r="O154" s="34"/>
      <c r="P154" s="34"/>
      <c r="Q154" s="34"/>
      <c r="R154" s="21"/>
    </row>
    <row r="155" customFormat="false" ht="15" hidden="false" customHeight="false" outlineLevel="0" collapsed="false">
      <c r="A155" s="6" t="s">
        <v>1664</v>
      </c>
      <c r="B155" s="35"/>
      <c r="C155" s="34"/>
      <c r="D155" s="34"/>
      <c r="E155" s="21"/>
      <c r="F155" s="21"/>
      <c r="G155" s="21"/>
      <c r="H155" s="21"/>
      <c r="I155" s="34"/>
      <c r="J155" s="34"/>
      <c r="K155" s="34"/>
      <c r="L155" s="34"/>
      <c r="M155" s="34"/>
      <c r="N155" s="34"/>
      <c r="O155" s="34"/>
      <c r="P155" s="34"/>
      <c r="Q155" s="34"/>
      <c r="R155" s="21"/>
    </row>
    <row r="156" customFormat="false" ht="15" hidden="false" customHeight="false" outlineLevel="0" collapsed="false">
      <c r="A156" s="6" t="s">
        <v>1665</v>
      </c>
      <c r="B156" s="35"/>
      <c r="C156" s="34"/>
      <c r="D156" s="34"/>
      <c r="E156" s="21"/>
      <c r="F156" s="21"/>
      <c r="G156" s="21"/>
      <c r="H156" s="21"/>
      <c r="I156" s="34"/>
      <c r="J156" s="34"/>
      <c r="K156" s="34"/>
      <c r="L156" s="34"/>
      <c r="M156" s="34"/>
      <c r="N156" s="34"/>
      <c r="O156" s="34"/>
      <c r="P156" s="34"/>
      <c r="Q156" s="34"/>
      <c r="R156" s="21"/>
    </row>
    <row r="157" customFormat="false" ht="15" hidden="false" customHeight="false" outlineLevel="0" collapsed="false">
      <c r="A157" s="6" t="s">
        <v>1666</v>
      </c>
      <c r="B157" s="35"/>
      <c r="C157" s="34"/>
      <c r="D157" s="34"/>
      <c r="E157" s="21"/>
      <c r="F157" s="21"/>
      <c r="G157" s="21"/>
      <c r="H157" s="21"/>
      <c r="I157" s="34"/>
      <c r="J157" s="34"/>
      <c r="K157" s="34"/>
      <c r="L157" s="34"/>
      <c r="M157" s="34"/>
      <c r="N157" s="34"/>
      <c r="O157" s="34"/>
      <c r="P157" s="34"/>
      <c r="Q157" s="34"/>
      <c r="R157" s="21"/>
    </row>
    <row r="158" customFormat="false" ht="15" hidden="false" customHeight="false" outlineLevel="0" collapsed="false">
      <c r="A158" s="6" t="s">
        <v>1667</v>
      </c>
      <c r="B158" s="35"/>
      <c r="C158" s="34"/>
      <c r="D158" s="34"/>
      <c r="E158" s="21"/>
      <c r="F158" s="21"/>
      <c r="G158" s="21"/>
      <c r="H158" s="21"/>
      <c r="I158" s="34"/>
      <c r="J158" s="34"/>
      <c r="K158" s="34"/>
      <c r="L158" s="34"/>
      <c r="M158" s="34"/>
      <c r="N158" s="34"/>
      <c r="O158" s="34"/>
      <c r="P158" s="34"/>
      <c r="Q158" s="34"/>
      <c r="R158" s="21"/>
    </row>
    <row r="159" customFormat="false" ht="15" hidden="false" customHeight="false" outlineLevel="0" collapsed="false">
      <c r="A159" s="6" t="s">
        <v>1668</v>
      </c>
      <c r="B159" s="35"/>
      <c r="C159" s="34"/>
      <c r="D159" s="34"/>
      <c r="E159" s="21"/>
      <c r="F159" s="21"/>
      <c r="G159" s="21"/>
      <c r="H159" s="21"/>
      <c r="I159" s="34"/>
      <c r="J159" s="34"/>
      <c r="K159" s="34"/>
      <c r="L159" s="34"/>
      <c r="M159" s="34"/>
      <c r="N159" s="34"/>
      <c r="O159" s="34"/>
      <c r="P159" s="34"/>
      <c r="Q159" s="34"/>
      <c r="R159" s="21"/>
    </row>
    <row r="160" customFormat="false" ht="15" hidden="false" customHeight="false" outlineLevel="0" collapsed="false">
      <c r="A160" s="6" t="s">
        <v>1669</v>
      </c>
      <c r="B160" s="35"/>
      <c r="C160" s="34"/>
      <c r="D160" s="34"/>
      <c r="E160" s="21"/>
      <c r="F160" s="21"/>
      <c r="G160" s="21"/>
      <c r="H160" s="21"/>
      <c r="I160" s="34"/>
      <c r="J160" s="34"/>
      <c r="K160" s="34"/>
      <c r="L160" s="34"/>
      <c r="M160" s="34"/>
      <c r="N160" s="34"/>
      <c r="O160" s="34"/>
      <c r="P160" s="34"/>
      <c r="Q160" s="34"/>
      <c r="R160" s="21"/>
    </row>
    <row r="161" customFormat="false" ht="15" hidden="false" customHeight="false" outlineLevel="0" collapsed="false">
      <c r="A161" s="6" t="s">
        <v>1670</v>
      </c>
      <c r="B161" s="35"/>
      <c r="C161" s="34"/>
      <c r="D161" s="34"/>
      <c r="E161" s="21"/>
      <c r="F161" s="21"/>
      <c r="G161" s="21"/>
      <c r="H161" s="21"/>
      <c r="I161" s="34"/>
      <c r="J161" s="34"/>
      <c r="K161" s="34"/>
      <c r="L161" s="34"/>
      <c r="M161" s="34"/>
      <c r="N161" s="34"/>
      <c r="O161" s="34"/>
      <c r="P161" s="34"/>
      <c r="Q161" s="34"/>
      <c r="R161" s="21"/>
    </row>
    <row r="162" customFormat="false" ht="15" hidden="false" customHeight="false" outlineLevel="0" collapsed="false">
      <c r="A162" s="6" t="s">
        <v>1671</v>
      </c>
      <c r="B162" s="35"/>
      <c r="C162" s="34"/>
      <c r="D162" s="34"/>
      <c r="E162" s="21"/>
      <c r="F162" s="21"/>
      <c r="G162" s="21"/>
      <c r="H162" s="21"/>
      <c r="I162" s="34"/>
      <c r="J162" s="34"/>
      <c r="K162" s="34"/>
      <c r="L162" s="34"/>
      <c r="M162" s="34"/>
      <c r="N162" s="34"/>
      <c r="O162" s="34"/>
      <c r="P162" s="34"/>
      <c r="Q162" s="34"/>
      <c r="R162" s="21"/>
    </row>
    <row r="163" customFormat="false" ht="15" hidden="false" customHeight="false" outlineLevel="0" collapsed="false">
      <c r="A163" s="6" t="s">
        <v>1672</v>
      </c>
      <c r="B163" s="35"/>
      <c r="C163" s="34"/>
      <c r="D163" s="34"/>
      <c r="E163" s="21"/>
      <c r="F163" s="21"/>
      <c r="G163" s="21"/>
      <c r="H163" s="21"/>
      <c r="I163" s="34"/>
      <c r="J163" s="34"/>
      <c r="K163" s="34"/>
      <c r="L163" s="34"/>
      <c r="M163" s="34"/>
      <c r="N163" s="34"/>
      <c r="O163" s="34"/>
      <c r="P163" s="34"/>
      <c r="Q163" s="34"/>
      <c r="R163" s="21"/>
    </row>
    <row r="164" customFormat="false" ht="15" hidden="false" customHeight="false" outlineLevel="0" collapsed="false">
      <c r="A164" s="6" t="s">
        <v>1673</v>
      </c>
      <c r="B164" s="35"/>
      <c r="C164" s="34"/>
      <c r="D164" s="34"/>
      <c r="E164" s="21"/>
      <c r="F164" s="21"/>
      <c r="G164" s="21"/>
      <c r="H164" s="21"/>
      <c r="I164" s="34"/>
      <c r="J164" s="34"/>
      <c r="K164" s="34"/>
      <c r="L164" s="34"/>
      <c r="M164" s="34"/>
      <c r="N164" s="34"/>
      <c r="O164" s="34"/>
      <c r="P164" s="34"/>
      <c r="Q164" s="34"/>
      <c r="R164" s="21"/>
    </row>
    <row r="165" customFormat="false" ht="15" hidden="false" customHeight="false" outlineLevel="0" collapsed="false">
      <c r="A165" s="6" t="s">
        <v>1674</v>
      </c>
      <c r="B165" s="35"/>
      <c r="C165" s="34"/>
      <c r="D165" s="34"/>
      <c r="E165" s="21"/>
      <c r="F165" s="21"/>
      <c r="G165" s="21"/>
      <c r="H165" s="21"/>
      <c r="I165" s="34"/>
      <c r="J165" s="34"/>
      <c r="K165" s="34"/>
      <c r="L165" s="34"/>
      <c r="M165" s="34"/>
      <c r="N165" s="34"/>
      <c r="O165" s="34"/>
      <c r="P165" s="34"/>
      <c r="Q165" s="34"/>
      <c r="R165" s="21"/>
    </row>
    <row r="166" customFormat="false" ht="15" hidden="false" customHeight="false" outlineLevel="0" collapsed="false">
      <c r="A166" s="6" t="s">
        <v>1675</v>
      </c>
      <c r="B166" s="35"/>
      <c r="C166" s="34"/>
      <c r="D166" s="34"/>
      <c r="E166" s="21"/>
      <c r="F166" s="21"/>
      <c r="G166" s="21"/>
      <c r="H166" s="21"/>
      <c r="I166" s="34"/>
      <c r="J166" s="34"/>
      <c r="K166" s="34"/>
      <c r="L166" s="34"/>
      <c r="M166" s="34"/>
      <c r="N166" s="34"/>
      <c r="O166" s="34"/>
      <c r="P166" s="34"/>
      <c r="Q166" s="34"/>
      <c r="R166" s="21"/>
    </row>
    <row r="167" customFormat="false" ht="15" hidden="false" customHeight="false" outlineLevel="0" collapsed="false">
      <c r="A167" s="6" t="s">
        <v>1676</v>
      </c>
      <c r="B167" s="35"/>
      <c r="C167" s="34"/>
      <c r="D167" s="34"/>
      <c r="E167" s="21"/>
      <c r="F167" s="21"/>
      <c r="G167" s="21"/>
      <c r="H167" s="21"/>
      <c r="I167" s="34"/>
      <c r="J167" s="34"/>
      <c r="K167" s="34"/>
      <c r="L167" s="34"/>
      <c r="M167" s="34"/>
      <c r="N167" s="34"/>
      <c r="O167" s="34"/>
      <c r="P167" s="34"/>
      <c r="Q167" s="34"/>
      <c r="R167" s="21"/>
    </row>
    <row r="168" customFormat="false" ht="15" hidden="false" customHeight="false" outlineLevel="0" collapsed="false">
      <c r="A168" s="6" t="s">
        <v>1677</v>
      </c>
      <c r="B168" s="35"/>
      <c r="C168" s="34"/>
      <c r="D168" s="34"/>
      <c r="E168" s="21"/>
      <c r="F168" s="21"/>
      <c r="G168" s="21"/>
      <c r="H168" s="21"/>
      <c r="I168" s="34"/>
      <c r="J168" s="34"/>
      <c r="K168" s="34"/>
      <c r="L168" s="34"/>
      <c r="M168" s="34"/>
      <c r="N168" s="34"/>
      <c r="O168" s="34"/>
      <c r="P168" s="34"/>
      <c r="Q168" s="34"/>
      <c r="R168" s="21"/>
    </row>
    <row r="169" customFormat="false" ht="15" hidden="false" customHeight="false" outlineLevel="0" collapsed="false">
      <c r="A169" s="6" t="s">
        <v>1678</v>
      </c>
      <c r="B169" s="35"/>
      <c r="C169" s="34"/>
      <c r="D169" s="34"/>
      <c r="E169" s="21"/>
      <c r="F169" s="21"/>
      <c r="G169" s="21"/>
      <c r="H169" s="21"/>
      <c r="I169" s="34"/>
      <c r="J169" s="34"/>
      <c r="K169" s="34"/>
      <c r="L169" s="34"/>
      <c r="M169" s="34"/>
      <c r="N169" s="34"/>
      <c r="O169" s="34"/>
      <c r="P169" s="34"/>
      <c r="Q169" s="34"/>
      <c r="R169" s="21"/>
    </row>
    <row r="170" customFormat="false" ht="15" hidden="false" customHeight="false" outlineLevel="0" collapsed="false">
      <c r="A170" s="6" t="s">
        <v>1679</v>
      </c>
      <c r="B170" s="35"/>
      <c r="C170" s="34"/>
      <c r="D170" s="34"/>
      <c r="E170" s="21"/>
      <c r="F170" s="21"/>
      <c r="G170" s="21"/>
      <c r="H170" s="21"/>
      <c r="I170" s="34"/>
      <c r="J170" s="34"/>
      <c r="K170" s="34"/>
      <c r="L170" s="34"/>
      <c r="M170" s="34"/>
      <c r="N170" s="34"/>
      <c r="O170" s="34"/>
      <c r="P170" s="34"/>
      <c r="Q170" s="34"/>
      <c r="R170" s="21"/>
    </row>
    <row r="171" customFormat="false" ht="15" hidden="false" customHeight="false" outlineLevel="0" collapsed="false">
      <c r="A171" s="6" t="s">
        <v>1680</v>
      </c>
      <c r="B171" s="35"/>
      <c r="C171" s="34"/>
      <c r="D171" s="34"/>
      <c r="E171" s="21"/>
      <c r="F171" s="21"/>
      <c r="G171" s="21"/>
      <c r="H171" s="21"/>
      <c r="I171" s="34"/>
      <c r="J171" s="34"/>
      <c r="K171" s="34"/>
      <c r="L171" s="34"/>
      <c r="M171" s="34"/>
      <c r="N171" s="34"/>
      <c r="O171" s="34"/>
      <c r="P171" s="34"/>
      <c r="Q171" s="34"/>
      <c r="R171" s="21"/>
    </row>
    <row r="172" customFormat="false" ht="15" hidden="false" customHeight="false" outlineLevel="0" collapsed="false">
      <c r="A172" s="6" t="s">
        <v>1681</v>
      </c>
      <c r="B172" s="35"/>
      <c r="C172" s="34"/>
      <c r="D172" s="34"/>
      <c r="E172" s="21"/>
      <c r="F172" s="21"/>
      <c r="G172" s="21"/>
      <c r="H172" s="21"/>
      <c r="I172" s="34"/>
      <c r="J172" s="34"/>
      <c r="K172" s="34"/>
      <c r="L172" s="34"/>
      <c r="M172" s="34"/>
      <c r="N172" s="34"/>
      <c r="O172" s="34"/>
      <c r="P172" s="34"/>
      <c r="Q172" s="34"/>
      <c r="R172" s="21"/>
    </row>
    <row r="173" customFormat="false" ht="15" hidden="false" customHeight="false" outlineLevel="0" collapsed="false">
      <c r="A173" s="6" t="s">
        <v>1682</v>
      </c>
      <c r="B173" s="35"/>
      <c r="C173" s="34"/>
      <c r="D173" s="34"/>
      <c r="E173" s="21"/>
      <c r="F173" s="21"/>
      <c r="G173" s="21"/>
      <c r="H173" s="21"/>
      <c r="I173" s="34"/>
      <c r="J173" s="34"/>
      <c r="K173" s="34"/>
      <c r="L173" s="34"/>
      <c r="M173" s="34"/>
      <c r="N173" s="34"/>
      <c r="O173" s="34"/>
      <c r="P173" s="34"/>
      <c r="Q173" s="34"/>
      <c r="R173" s="21"/>
    </row>
    <row r="174" customFormat="false" ht="15" hidden="false" customHeight="false" outlineLevel="0" collapsed="false">
      <c r="A174" s="6" t="s">
        <v>1683</v>
      </c>
      <c r="B174" s="35"/>
      <c r="C174" s="34"/>
      <c r="D174" s="34"/>
      <c r="E174" s="21"/>
      <c r="F174" s="21"/>
      <c r="G174" s="21"/>
      <c r="H174" s="21"/>
      <c r="I174" s="34"/>
      <c r="J174" s="34"/>
      <c r="K174" s="34"/>
      <c r="L174" s="34"/>
      <c r="M174" s="34"/>
      <c r="N174" s="34"/>
      <c r="O174" s="34"/>
      <c r="P174" s="34"/>
      <c r="Q174" s="34"/>
      <c r="R174" s="21"/>
    </row>
    <row r="175" customFormat="false" ht="15" hidden="false" customHeight="false" outlineLevel="0" collapsed="false">
      <c r="A175" s="6" t="s">
        <v>1684</v>
      </c>
      <c r="B175" s="35"/>
      <c r="C175" s="34"/>
      <c r="D175" s="34"/>
      <c r="E175" s="21"/>
      <c r="F175" s="21"/>
      <c r="G175" s="21"/>
      <c r="H175" s="21"/>
      <c r="I175" s="34"/>
      <c r="J175" s="34"/>
      <c r="K175" s="34"/>
      <c r="L175" s="34"/>
      <c r="M175" s="34"/>
      <c r="N175" s="34"/>
      <c r="O175" s="34"/>
      <c r="P175" s="34"/>
      <c r="Q175" s="34"/>
      <c r="R175" s="21"/>
    </row>
    <row r="176" customFormat="false" ht="15" hidden="false" customHeight="false" outlineLevel="0" collapsed="false">
      <c r="A176" s="6" t="s">
        <v>1685</v>
      </c>
      <c r="B176" s="35"/>
      <c r="C176" s="34"/>
      <c r="D176" s="34"/>
      <c r="E176" s="21"/>
      <c r="F176" s="21"/>
      <c r="G176" s="21"/>
      <c r="H176" s="21"/>
      <c r="I176" s="34"/>
      <c r="J176" s="34"/>
      <c r="K176" s="34"/>
      <c r="L176" s="34"/>
      <c r="M176" s="34"/>
      <c r="N176" s="34"/>
      <c r="O176" s="34"/>
      <c r="P176" s="34"/>
      <c r="Q176" s="34"/>
      <c r="R176" s="21"/>
    </row>
    <row r="177" customFormat="false" ht="15" hidden="false" customHeight="false" outlineLevel="0" collapsed="false">
      <c r="A177" s="6" t="s">
        <v>1686</v>
      </c>
      <c r="B177" s="35"/>
      <c r="C177" s="34"/>
      <c r="D177" s="34"/>
      <c r="E177" s="21"/>
      <c r="F177" s="21"/>
      <c r="G177" s="21"/>
      <c r="H177" s="21"/>
      <c r="I177" s="34"/>
      <c r="J177" s="34"/>
      <c r="K177" s="34"/>
      <c r="L177" s="34"/>
      <c r="M177" s="34"/>
      <c r="N177" s="34"/>
      <c r="O177" s="34"/>
      <c r="P177" s="34"/>
      <c r="Q177" s="34"/>
      <c r="R177" s="21"/>
    </row>
    <row r="178" customFormat="false" ht="15" hidden="false" customHeight="false" outlineLevel="0" collapsed="false">
      <c r="A178" s="6" t="s">
        <v>1687</v>
      </c>
      <c r="B178" s="35"/>
      <c r="C178" s="34"/>
      <c r="D178" s="34"/>
      <c r="E178" s="21"/>
      <c r="F178" s="21"/>
      <c r="G178" s="21"/>
      <c r="H178" s="21"/>
      <c r="I178" s="34"/>
      <c r="J178" s="34"/>
      <c r="K178" s="34"/>
      <c r="L178" s="34"/>
      <c r="M178" s="34"/>
      <c r="N178" s="34"/>
      <c r="O178" s="34"/>
      <c r="P178" s="34"/>
      <c r="Q178" s="34"/>
      <c r="R178" s="21"/>
    </row>
    <row r="179" customFormat="false" ht="15" hidden="false" customHeight="false" outlineLevel="0" collapsed="false">
      <c r="A179" s="6" t="s">
        <v>1688</v>
      </c>
      <c r="B179" s="35"/>
      <c r="C179" s="34"/>
      <c r="D179" s="34"/>
      <c r="E179" s="21"/>
      <c r="F179" s="21"/>
      <c r="G179" s="21"/>
      <c r="H179" s="21"/>
      <c r="I179" s="34"/>
      <c r="J179" s="34"/>
      <c r="K179" s="34"/>
      <c r="L179" s="34"/>
      <c r="M179" s="34"/>
      <c r="N179" s="34"/>
      <c r="O179" s="34"/>
      <c r="P179" s="34"/>
      <c r="Q179" s="34"/>
      <c r="R179" s="21"/>
    </row>
    <row r="180" customFormat="false" ht="15" hidden="false" customHeight="false" outlineLevel="0" collapsed="false">
      <c r="A180" s="6" t="s">
        <v>1689</v>
      </c>
      <c r="B180" s="35"/>
      <c r="C180" s="34"/>
      <c r="D180" s="34"/>
      <c r="E180" s="21"/>
      <c r="F180" s="21"/>
      <c r="G180" s="21"/>
      <c r="H180" s="21"/>
      <c r="I180" s="34"/>
      <c r="J180" s="34"/>
      <c r="K180" s="34"/>
      <c r="L180" s="34"/>
      <c r="M180" s="34"/>
      <c r="N180" s="34"/>
      <c r="O180" s="34"/>
      <c r="P180" s="34"/>
      <c r="Q180" s="34"/>
      <c r="R180" s="21"/>
    </row>
    <row r="181" customFormat="false" ht="15" hidden="false" customHeight="false" outlineLevel="0" collapsed="false">
      <c r="A181" s="6" t="s">
        <v>1690</v>
      </c>
      <c r="B181" s="35"/>
      <c r="C181" s="34"/>
      <c r="D181" s="34"/>
      <c r="E181" s="21"/>
      <c r="F181" s="21"/>
      <c r="G181" s="21"/>
      <c r="H181" s="21"/>
      <c r="I181" s="34"/>
      <c r="J181" s="34"/>
      <c r="K181" s="34"/>
      <c r="L181" s="34"/>
      <c r="M181" s="34"/>
      <c r="N181" s="34"/>
      <c r="O181" s="34"/>
      <c r="P181" s="34"/>
      <c r="Q181" s="34"/>
      <c r="R181" s="21"/>
    </row>
    <row r="182" customFormat="false" ht="15" hidden="false" customHeight="false" outlineLevel="0" collapsed="false">
      <c r="A182" s="6" t="s">
        <v>1691</v>
      </c>
      <c r="B182" s="35"/>
      <c r="C182" s="34"/>
      <c r="D182" s="34"/>
      <c r="E182" s="21"/>
      <c r="F182" s="21"/>
      <c r="G182" s="21"/>
      <c r="H182" s="21"/>
      <c r="I182" s="34"/>
      <c r="J182" s="34"/>
      <c r="K182" s="34"/>
      <c r="L182" s="34"/>
      <c r="M182" s="34"/>
      <c r="N182" s="34"/>
      <c r="O182" s="34"/>
      <c r="P182" s="34"/>
      <c r="Q182" s="34"/>
      <c r="R182" s="21"/>
    </row>
    <row r="183" customFormat="false" ht="15" hidden="false" customHeight="false" outlineLevel="0" collapsed="false">
      <c r="A183" s="6" t="s">
        <v>1692</v>
      </c>
      <c r="B183" s="35"/>
      <c r="C183" s="34"/>
      <c r="D183" s="34"/>
      <c r="E183" s="21"/>
      <c r="F183" s="21"/>
      <c r="G183" s="21"/>
      <c r="H183" s="21"/>
      <c r="I183" s="34"/>
      <c r="J183" s="34"/>
      <c r="K183" s="34"/>
      <c r="L183" s="34"/>
      <c r="M183" s="34"/>
      <c r="N183" s="34"/>
      <c r="O183" s="34"/>
      <c r="P183" s="34"/>
      <c r="Q183" s="34"/>
      <c r="R183" s="21"/>
    </row>
    <row r="184" customFormat="false" ht="15" hidden="false" customHeight="false" outlineLevel="0" collapsed="false">
      <c r="A184" s="6" t="s">
        <v>1693</v>
      </c>
      <c r="B184" s="35"/>
      <c r="C184" s="34"/>
      <c r="D184" s="34"/>
      <c r="E184" s="21"/>
      <c r="F184" s="21"/>
      <c r="G184" s="21"/>
      <c r="H184" s="21"/>
      <c r="I184" s="34"/>
      <c r="J184" s="34"/>
      <c r="K184" s="34"/>
      <c r="L184" s="34"/>
      <c r="M184" s="34"/>
      <c r="N184" s="34"/>
      <c r="O184" s="34"/>
      <c r="P184" s="34"/>
      <c r="Q184" s="34"/>
      <c r="R184" s="21"/>
    </row>
    <row r="185" customFormat="false" ht="15" hidden="false" customHeight="false" outlineLevel="0" collapsed="false">
      <c r="A185" s="6" t="s">
        <v>1694</v>
      </c>
      <c r="B185" s="35"/>
      <c r="C185" s="34"/>
      <c r="D185" s="34"/>
      <c r="E185" s="21"/>
      <c r="F185" s="21"/>
      <c r="G185" s="21"/>
      <c r="H185" s="21"/>
      <c r="I185" s="34"/>
      <c r="J185" s="34"/>
      <c r="K185" s="34"/>
      <c r="L185" s="34"/>
      <c r="M185" s="34"/>
      <c r="N185" s="34"/>
      <c r="O185" s="34"/>
      <c r="P185" s="34"/>
      <c r="Q185" s="34"/>
      <c r="R185" s="21"/>
    </row>
    <row r="186" customFormat="false" ht="15" hidden="false" customHeight="false" outlineLevel="0" collapsed="false">
      <c r="A186" s="6" t="s">
        <v>1695</v>
      </c>
      <c r="B186" s="35"/>
      <c r="C186" s="34"/>
      <c r="D186" s="34"/>
      <c r="E186" s="21"/>
      <c r="F186" s="21"/>
      <c r="G186" s="21"/>
      <c r="H186" s="21"/>
      <c r="I186" s="34"/>
      <c r="J186" s="34"/>
      <c r="K186" s="34"/>
      <c r="L186" s="34"/>
      <c r="M186" s="34"/>
      <c r="N186" s="34"/>
      <c r="O186" s="34"/>
      <c r="P186" s="34"/>
      <c r="Q186" s="34"/>
      <c r="R186" s="21"/>
    </row>
    <row r="187" customFormat="false" ht="15" hidden="false" customHeight="false" outlineLevel="0" collapsed="false">
      <c r="A187" s="6" t="s">
        <v>1696</v>
      </c>
      <c r="B187" s="35"/>
      <c r="C187" s="34"/>
      <c r="D187" s="34"/>
      <c r="E187" s="21"/>
      <c r="F187" s="21"/>
      <c r="G187" s="21"/>
      <c r="H187" s="21"/>
      <c r="I187" s="34"/>
      <c r="J187" s="34"/>
      <c r="K187" s="34"/>
      <c r="L187" s="34"/>
      <c r="M187" s="34"/>
      <c r="N187" s="34"/>
      <c r="O187" s="34"/>
      <c r="P187" s="34"/>
      <c r="Q187" s="34"/>
      <c r="R187" s="21"/>
    </row>
    <row r="188" customFormat="false" ht="15" hidden="false" customHeight="false" outlineLevel="0" collapsed="false">
      <c r="A188" s="6" t="s">
        <v>1697</v>
      </c>
      <c r="B188" s="35"/>
      <c r="C188" s="34"/>
      <c r="D188" s="34"/>
      <c r="E188" s="21"/>
      <c r="F188" s="21"/>
      <c r="G188" s="21"/>
      <c r="H188" s="21"/>
      <c r="I188" s="34"/>
      <c r="J188" s="34"/>
      <c r="K188" s="34"/>
      <c r="L188" s="34"/>
      <c r="M188" s="34"/>
      <c r="N188" s="34"/>
      <c r="O188" s="34"/>
      <c r="P188" s="34"/>
      <c r="Q188" s="34"/>
      <c r="R188" s="21"/>
    </row>
    <row r="189" customFormat="false" ht="15" hidden="false" customHeight="false" outlineLevel="0" collapsed="false">
      <c r="A189" s="6" t="s">
        <v>1698</v>
      </c>
      <c r="B189" s="35"/>
      <c r="C189" s="34"/>
      <c r="D189" s="34"/>
      <c r="E189" s="21"/>
      <c r="F189" s="21"/>
      <c r="G189" s="21"/>
      <c r="H189" s="21"/>
      <c r="I189" s="34"/>
      <c r="J189" s="34"/>
      <c r="K189" s="34"/>
      <c r="L189" s="34"/>
      <c r="M189" s="34"/>
      <c r="N189" s="34"/>
      <c r="O189" s="34"/>
      <c r="P189" s="34"/>
      <c r="Q189" s="34"/>
      <c r="R189" s="21"/>
    </row>
    <row r="190" customFormat="false" ht="15" hidden="false" customHeight="false" outlineLevel="0" collapsed="false">
      <c r="A190" s="6" t="s">
        <v>1699</v>
      </c>
      <c r="B190" s="35"/>
      <c r="C190" s="34"/>
      <c r="D190" s="34"/>
      <c r="E190" s="21"/>
      <c r="F190" s="21"/>
      <c r="G190" s="21"/>
      <c r="H190" s="21"/>
      <c r="I190" s="34"/>
      <c r="J190" s="34"/>
      <c r="K190" s="34"/>
      <c r="L190" s="34"/>
      <c r="M190" s="34"/>
      <c r="N190" s="34"/>
      <c r="O190" s="34"/>
      <c r="P190" s="34"/>
      <c r="Q190" s="34"/>
      <c r="R190" s="21"/>
    </row>
    <row r="191" customFormat="false" ht="15" hidden="false" customHeight="false" outlineLevel="0" collapsed="false">
      <c r="A191" s="6" t="s">
        <v>1700</v>
      </c>
      <c r="B191" s="35"/>
      <c r="C191" s="34"/>
      <c r="D191" s="34"/>
      <c r="E191" s="21"/>
      <c r="F191" s="21"/>
      <c r="G191" s="21"/>
      <c r="H191" s="21"/>
      <c r="I191" s="34"/>
      <c r="J191" s="34"/>
      <c r="K191" s="34"/>
      <c r="L191" s="34"/>
      <c r="M191" s="34"/>
      <c r="N191" s="34"/>
      <c r="O191" s="34"/>
      <c r="P191" s="34"/>
      <c r="Q191" s="34"/>
      <c r="R191" s="21"/>
    </row>
    <row r="192" customFormat="false" ht="15" hidden="false" customHeight="false" outlineLevel="0" collapsed="false">
      <c r="A192" s="6" t="s">
        <v>1701</v>
      </c>
      <c r="B192" s="35"/>
      <c r="C192" s="34"/>
      <c r="D192" s="34"/>
      <c r="E192" s="21"/>
      <c r="F192" s="21"/>
      <c r="G192" s="21"/>
      <c r="H192" s="21"/>
      <c r="I192" s="34"/>
      <c r="J192" s="34"/>
      <c r="K192" s="34"/>
      <c r="L192" s="34"/>
      <c r="M192" s="34"/>
      <c r="N192" s="34"/>
      <c r="O192" s="34"/>
      <c r="P192" s="34"/>
      <c r="Q192" s="34"/>
      <c r="R192" s="21"/>
    </row>
    <row r="193" customFormat="false" ht="15" hidden="false" customHeight="false" outlineLevel="0" collapsed="false">
      <c r="A193" s="6" t="s">
        <v>1702</v>
      </c>
      <c r="B193" s="35"/>
      <c r="C193" s="34"/>
      <c r="D193" s="34"/>
      <c r="E193" s="21"/>
      <c r="F193" s="21"/>
      <c r="G193" s="21"/>
      <c r="H193" s="21"/>
      <c r="I193" s="34"/>
      <c r="J193" s="34"/>
      <c r="K193" s="34"/>
      <c r="L193" s="34"/>
      <c r="M193" s="34"/>
      <c r="N193" s="34"/>
      <c r="O193" s="34"/>
      <c r="P193" s="34"/>
      <c r="Q193" s="34"/>
      <c r="R193" s="21"/>
    </row>
    <row r="194" customFormat="false" ht="15" hidden="false" customHeight="false" outlineLevel="0" collapsed="false">
      <c r="A194" s="6" t="s">
        <v>1703</v>
      </c>
      <c r="B194" s="35"/>
      <c r="C194" s="34"/>
      <c r="D194" s="34"/>
      <c r="E194" s="21"/>
      <c r="F194" s="21"/>
      <c r="G194" s="21"/>
      <c r="H194" s="21"/>
      <c r="I194" s="34"/>
      <c r="J194" s="34"/>
      <c r="K194" s="34"/>
      <c r="L194" s="34"/>
      <c r="M194" s="34"/>
      <c r="N194" s="34"/>
      <c r="O194" s="34"/>
      <c r="P194" s="34"/>
      <c r="Q194" s="34"/>
      <c r="R194" s="21"/>
    </row>
    <row r="195" customFormat="false" ht="15" hidden="false" customHeight="false" outlineLevel="0" collapsed="false">
      <c r="A195" s="6" t="s">
        <v>1704</v>
      </c>
      <c r="B195" s="35"/>
      <c r="C195" s="34"/>
      <c r="D195" s="34"/>
      <c r="E195" s="21"/>
      <c r="F195" s="21"/>
      <c r="G195" s="21"/>
      <c r="H195" s="21"/>
      <c r="I195" s="34"/>
      <c r="J195" s="34"/>
      <c r="K195" s="34"/>
      <c r="L195" s="34"/>
      <c r="M195" s="34"/>
      <c r="N195" s="34"/>
      <c r="O195" s="34"/>
      <c r="P195" s="34"/>
      <c r="Q195" s="34"/>
      <c r="R195" s="21"/>
    </row>
    <row r="196" customFormat="false" ht="15" hidden="false" customHeight="false" outlineLevel="0" collapsed="false">
      <c r="A196" s="6" t="s">
        <v>1705</v>
      </c>
      <c r="B196" s="35"/>
      <c r="C196" s="34"/>
      <c r="D196" s="34"/>
      <c r="E196" s="21"/>
      <c r="F196" s="21"/>
      <c r="G196" s="21"/>
      <c r="H196" s="21"/>
      <c r="I196" s="34"/>
      <c r="J196" s="34"/>
      <c r="K196" s="34"/>
      <c r="L196" s="34"/>
      <c r="M196" s="34"/>
      <c r="N196" s="34"/>
      <c r="O196" s="34"/>
      <c r="P196" s="34"/>
      <c r="Q196" s="34"/>
      <c r="R196" s="21"/>
    </row>
    <row r="197" customFormat="false" ht="15" hidden="false" customHeight="false" outlineLevel="0" collapsed="false">
      <c r="A197" s="6" t="s">
        <v>1706</v>
      </c>
      <c r="B197" s="35"/>
      <c r="C197" s="34"/>
      <c r="D197" s="34"/>
      <c r="E197" s="21"/>
      <c r="F197" s="21"/>
      <c r="G197" s="21"/>
      <c r="H197" s="21"/>
      <c r="I197" s="34"/>
      <c r="J197" s="34"/>
      <c r="K197" s="34"/>
      <c r="L197" s="34"/>
      <c r="M197" s="34"/>
      <c r="N197" s="34"/>
      <c r="O197" s="34"/>
      <c r="P197" s="34"/>
      <c r="Q197" s="34"/>
      <c r="R197" s="21"/>
    </row>
    <row r="198" customFormat="false" ht="15" hidden="false" customHeight="false" outlineLevel="0" collapsed="false">
      <c r="A198" s="6" t="s">
        <v>1707</v>
      </c>
      <c r="B198" s="35"/>
      <c r="C198" s="34"/>
      <c r="D198" s="34"/>
      <c r="E198" s="21"/>
      <c r="F198" s="21"/>
      <c r="G198" s="21"/>
      <c r="H198" s="21"/>
      <c r="I198" s="34"/>
      <c r="J198" s="34"/>
      <c r="K198" s="34"/>
      <c r="L198" s="34"/>
      <c r="M198" s="34"/>
      <c r="N198" s="34"/>
      <c r="O198" s="34"/>
      <c r="P198" s="34"/>
      <c r="Q198" s="34"/>
      <c r="R198" s="21"/>
    </row>
    <row r="199" customFormat="false" ht="15" hidden="false" customHeight="false" outlineLevel="0" collapsed="false">
      <c r="A199" s="6" t="s">
        <v>1708</v>
      </c>
      <c r="B199" s="35"/>
      <c r="C199" s="34"/>
      <c r="D199" s="34"/>
      <c r="E199" s="21"/>
      <c r="F199" s="21"/>
      <c r="G199" s="21"/>
      <c r="H199" s="21"/>
      <c r="I199" s="34"/>
      <c r="J199" s="34"/>
      <c r="K199" s="34"/>
      <c r="L199" s="34"/>
      <c r="M199" s="34"/>
      <c r="N199" s="34"/>
      <c r="O199" s="34"/>
      <c r="P199" s="34"/>
      <c r="Q199" s="34"/>
      <c r="R199" s="21"/>
    </row>
    <row r="200" customFormat="false" ht="15" hidden="false" customHeight="false" outlineLevel="0" collapsed="false">
      <c r="A200" s="6" t="s">
        <v>1709</v>
      </c>
      <c r="B200" s="35"/>
      <c r="C200" s="34"/>
      <c r="D200" s="34"/>
      <c r="E200" s="21"/>
      <c r="F200" s="21"/>
      <c r="G200" s="21"/>
      <c r="H200" s="21"/>
      <c r="I200" s="34"/>
      <c r="J200" s="34"/>
      <c r="K200" s="34"/>
      <c r="L200" s="34"/>
      <c r="M200" s="34"/>
      <c r="N200" s="34"/>
      <c r="O200" s="34"/>
      <c r="P200" s="34"/>
      <c r="Q200" s="34"/>
      <c r="R200" s="21"/>
    </row>
    <row r="201" customFormat="false" ht="15" hidden="false" customHeight="false" outlineLevel="0" collapsed="false">
      <c r="A201" s="6" t="s">
        <v>1710</v>
      </c>
      <c r="B201" s="35"/>
      <c r="C201" s="34"/>
      <c r="D201" s="34"/>
      <c r="E201" s="21"/>
      <c r="F201" s="21"/>
      <c r="G201" s="21"/>
      <c r="H201" s="21"/>
      <c r="I201" s="34"/>
      <c r="J201" s="34"/>
      <c r="K201" s="34"/>
      <c r="L201" s="34"/>
      <c r="M201" s="34"/>
      <c r="N201" s="34"/>
      <c r="O201" s="34"/>
      <c r="P201" s="34"/>
      <c r="Q201" s="34"/>
      <c r="R201" s="21"/>
    </row>
    <row r="202" customFormat="false" ht="15" hidden="false" customHeight="false" outlineLevel="0" collapsed="false">
      <c r="A202" s="6" t="s">
        <v>1711</v>
      </c>
      <c r="B202" s="35"/>
      <c r="C202" s="34"/>
      <c r="D202" s="34"/>
      <c r="E202" s="21"/>
      <c r="F202" s="21"/>
      <c r="G202" s="21"/>
      <c r="H202" s="21"/>
      <c r="I202" s="34"/>
      <c r="J202" s="34"/>
      <c r="K202" s="34"/>
      <c r="L202" s="34"/>
      <c r="M202" s="34"/>
      <c r="N202" s="34"/>
      <c r="O202" s="34"/>
      <c r="P202" s="34"/>
      <c r="Q202" s="34"/>
      <c r="R202" s="21"/>
    </row>
    <row r="203" customFormat="false" ht="15" hidden="false" customHeight="false" outlineLevel="0" collapsed="false">
      <c r="A203" s="6" t="s">
        <v>1712</v>
      </c>
      <c r="B203" s="35"/>
      <c r="C203" s="34"/>
      <c r="D203" s="34"/>
      <c r="E203" s="21"/>
      <c r="F203" s="21"/>
      <c r="G203" s="21"/>
      <c r="H203" s="21"/>
      <c r="I203" s="34"/>
      <c r="J203" s="34"/>
      <c r="K203" s="34"/>
      <c r="L203" s="34"/>
      <c r="M203" s="34"/>
      <c r="N203" s="34"/>
      <c r="O203" s="34"/>
      <c r="P203" s="34"/>
      <c r="Q203" s="34"/>
      <c r="R203" s="21"/>
    </row>
    <row r="204" customFormat="false" ht="15" hidden="false" customHeight="false" outlineLevel="0" collapsed="false">
      <c r="A204" s="6" t="s">
        <v>1713</v>
      </c>
      <c r="B204" s="35"/>
      <c r="C204" s="34"/>
      <c r="D204" s="34"/>
      <c r="E204" s="21"/>
      <c r="F204" s="21"/>
      <c r="G204" s="21"/>
      <c r="H204" s="21"/>
      <c r="I204" s="34"/>
      <c r="J204" s="34"/>
      <c r="K204" s="34"/>
      <c r="L204" s="34"/>
      <c r="M204" s="34"/>
      <c r="N204" s="34"/>
      <c r="O204" s="34"/>
      <c r="P204" s="34"/>
      <c r="Q204" s="34"/>
      <c r="R204" s="21"/>
    </row>
    <row r="205" customFormat="false" ht="15" hidden="false" customHeight="false" outlineLevel="0" collapsed="false">
      <c r="A205" s="6" t="s">
        <v>1714</v>
      </c>
      <c r="B205" s="35"/>
      <c r="C205" s="34"/>
      <c r="D205" s="34"/>
      <c r="E205" s="21"/>
      <c r="F205" s="21"/>
      <c r="G205" s="21"/>
      <c r="H205" s="21"/>
      <c r="I205" s="34"/>
      <c r="J205" s="34"/>
      <c r="K205" s="34"/>
      <c r="L205" s="34"/>
      <c r="M205" s="34"/>
      <c r="N205" s="34"/>
      <c r="O205" s="34"/>
      <c r="P205" s="34"/>
      <c r="Q205" s="34"/>
      <c r="R205" s="21"/>
    </row>
    <row r="206" customFormat="false" ht="15" hidden="false" customHeight="false" outlineLevel="0" collapsed="false">
      <c r="A206" s="6" t="s">
        <v>1715</v>
      </c>
      <c r="B206" s="35"/>
      <c r="C206" s="34"/>
      <c r="D206" s="34"/>
      <c r="E206" s="21"/>
      <c r="F206" s="21"/>
      <c r="G206" s="21"/>
      <c r="H206" s="21"/>
      <c r="I206" s="34"/>
      <c r="J206" s="34"/>
      <c r="K206" s="34"/>
      <c r="L206" s="34"/>
      <c r="M206" s="34"/>
      <c r="N206" s="34"/>
      <c r="O206" s="34"/>
      <c r="P206" s="34"/>
      <c r="Q206" s="34"/>
      <c r="R206" s="21"/>
    </row>
    <row r="207" customFormat="false" ht="15" hidden="false" customHeight="false" outlineLevel="0" collapsed="false">
      <c r="A207" s="6" t="s">
        <v>1716</v>
      </c>
      <c r="B207" s="35"/>
      <c r="C207" s="34"/>
      <c r="D207" s="34"/>
      <c r="E207" s="21"/>
      <c r="F207" s="21"/>
      <c r="G207" s="21"/>
      <c r="H207" s="21"/>
      <c r="I207" s="34"/>
      <c r="J207" s="34"/>
      <c r="K207" s="34"/>
      <c r="L207" s="34"/>
      <c r="M207" s="34"/>
      <c r="N207" s="34"/>
      <c r="O207" s="34"/>
      <c r="P207" s="34"/>
      <c r="Q207" s="34"/>
      <c r="R207" s="21"/>
    </row>
    <row r="208" customFormat="false" ht="15" hidden="false" customHeight="false" outlineLevel="0" collapsed="false">
      <c r="A208" s="6" t="s">
        <v>1717</v>
      </c>
      <c r="B208" s="35"/>
      <c r="C208" s="34"/>
      <c r="D208" s="34"/>
      <c r="E208" s="21"/>
      <c r="F208" s="21"/>
      <c r="G208" s="21"/>
      <c r="H208" s="21"/>
      <c r="I208" s="34"/>
      <c r="J208" s="34"/>
      <c r="K208" s="34"/>
      <c r="L208" s="34"/>
      <c r="M208" s="34"/>
      <c r="N208" s="34"/>
      <c r="O208" s="34"/>
      <c r="P208" s="34"/>
      <c r="Q208" s="34"/>
      <c r="R208" s="21"/>
    </row>
    <row r="209" customFormat="false" ht="15" hidden="false" customHeight="false" outlineLevel="0" collapsed="false">
      <c r="A209" s="6" t="s">
        <v>1718</v>
      </c>
      <c r="B209" s="35"/>
      <c r="C209" s="34"/>
      <c r="D209" s="34"/>
      <c r="E209" s="21"/>
      <c r="F209" s="21"/>
      <c r="G209" s="21"/>
      <c r="H209" s="21"/>
      <c r="I209" s="34"/>
      <c r="J209" s="34"/>
      <c r="K209" s="34"/>
      <c r="L209" s="34"/>
      <c r="M209" s="34"/>
      <c r="N209" s="34"/>
      <c r="O209" s="34"/>
      <c r="P209" s="34"/>
      <c r="Q209" s="34"/>
      <c r="R209" s="21"/>
    </row>
    <row r="210" customFormat="false" ht="15" hidden="false" customHeight="false" outlineLevel="0" collapsed="false">
      <c r="A210" s="6" t="s">
        <v>1719</v>
      </c>
      <c r="B210" s="35"/>
      <c r="C210" s="34"/>
      <c r="D210" s="34"/>
      <c r="E210" s="21"/>
      <c r="F210" s="21"/>
      <c r="G210" s="21"/>
      <c r="H210" s="21"/>
      <c r="I210" s="34"/>
      <c r="J210" s="34"/>
      <c r="K210" s="34"/>
      <c r="L210" s="34"/>
      <c r="M210" s="34"/>
      <c r="N210" s="34"/>
      <c r="O210" s="34"/>
      <c r="P210" s="34"/>
      <c r="Q210" s="34"/>
      <c r="R210" s="21"/>
    </row>
    <row r="211" customFormat="false" ht="15" hidden="false" customHeight="false" outlineLevel="0" collapsed="false">
      <c r="A211" s="6" t="s">
        <v>1720</v>
      </c>
      <c r="B211" s="35"/>
      <c r="C211" s="34"/>
      <c r="D211" s="34"/>
      <c r="E211" s="21"/>
      <c r="F211" s="21"/>
      <c r="G211" s="21"/>
      <c r="H211" s="21"/>
      <c r="I211" s="34"/>
      <c r="J211" s="34"/>
      <c r="K211" s="34"/>
      <c r="L211" s="34"/>
      <c r="M211" s="34"/>
      <c r="N211" s="34"/>
      <c r="O211" s="34"/>
      <c r="P211" s="34"/>
      <c r="Q211" s="34"/>
      <c r="R211" s="21"/>
    </row>
    <row r="212" customFormat="false" ht="15" hidden="false" customHeight="false" outlineLevel="0" collapsed="false">
      <c r="A212" s="6" t="s">
        <v>1721</v>
      </c>
      <c r="B212" s="35"/>
      <c r="C212" s="34"/>
      <c r="D212" s="34"/>
      <c r="E212" s="21"/>
      <c r="F212" s="21"/>
      <c r="G212" s="21"/>
      <c r="H212" s="21"/>
      <c r="I212" s="34"/>
      <c r="J212" s="34"/>
      <c r="K212" s="34"/>
      <c r="L212" s="34"/>
      <c r="M212" s="34"/>
      <c r="N212" s="34"/>
      <c r="O212" s="34"/>
      <c r="P212" s="34"/>
      <c r="Q212" s="34"/>
      <c r="R212" s="21"/>
    </row>
    <row r="213" customFormat="false" ht="15" hidden="false" customHeight="false" outlineLevel="0" collapsed="false">
      <c r="A213" s="6" t="s">
        <v>1722</v>
      </c>
      <c r="B213" s="35"/>
      <c r="C213" s="34"/>
      <c r="D213" s="34"/>
      <c r="E213" s="21"/>
      <c r="F213" s="21"/>
      <c r="G213" s="21"/>
      <c r="H213" s="21"/>
      <c r="I213" s="34"/>
      <c r="J213" s="34"/>
      <c r="K213" s="34"/>
      <c r="L213" s="34"/>
      <c r="M213" s="34"/>
      <c r="N213" s="34"/>
      <c r="O213" s="34"/>
      <c r="P213" s="34"/>
      <c r="Q213" s="34"/>
      <c r="R213" s="21"/>
    </row>
    <row r="214" customFormat="false" ht="15" hidden="false" customHeight="false" outlineLevel="0" collapsed="false">
      <c r="A214" s="6" t="s">
        <v>1723</v>
      </c>
      <c r="B214" s="35"/>
      <c r="C214" s="34"/>
      <c r="D214" s="34"/>
      <c r="E214" s="21"/>
      <c r="F214" s="21"/>
      <c r="G214" s="21"/>
      <c r="H214" s="21"/>
      <c r="I214" s="34"/>
      <c r="J214" s="34"/>
      <c r="K214" s="34"/>
      <c r="L214" s="34"/>
      <c r="M214" s="34"/>
      <c r="N214" s="34"/>
      <c r="O214" s="34"/>
      <c r="P214" s="34"/>
      <c r="Q214" s="34"/>
      <c r="R214" s="21"/>
    </row>
    <row r="215" customFormat="false" ht="15" hidden="false" customHeight="false" outlineLevel="0" collapsed="false">
      <c r="A215" s="6" t="s">
        <v>1724</v>
      </c>
      <c r="B215" s="35"/>
      <c r="C215" s="34"/>
      <c r="D215" s="34"/>
      <c r="E215" s="21"/>
      <c r="F215" s="21"/>
      <c r="G215" s="21"/>
      <c r="H215" s="21"/>
      <c r="I215" s="34"/>
      <c r="J215" s="34"/>
      <c r="K215" s="34"/>
      <c r="L215" s="34"/>
      <c r="M215" s="34"/>
      <c r="N215" s="34"/>
      <c r="O215" s="34"/>
      <c r="P215" s="34"/>
      <c r="Q215" s="34"/>
      <c r="R215" s="21"/>
    </row>
    <row r="216" customFormat="false" ht="15" hidden="false" customHeight="false" outlineLevel="0" collapsed="false">
      <c r="A216" s="6" t="s">
        <v>1725</v>
      </c>
      <c r="B216" s="35"/>
      <c r="C216" s="34"/>
      <c r="D216" s="34"/>
      <c r="E216" s="21"/>
      <c r="F216" s="21"/>
      <c r="G216" s="21"/>
      <c r="H216" s="21"/>
      <c r="I216" s="34"/>
      <c r="J216" s="34"/>
      <c r="K216" s="34"/>
      <c r="L216" s="34"/>
      <c r="M216" s="34"/>
      <c r="N216" s="34"/>
      <c r="O216" s="34"/>
      <c r="P216" s="34"/>
      <c r="Q216" s="34"/>
      <c r="R216" s="21"/>
    </row>
    <row r="217" customFormat="false" ht="15" hidden="false" customHeight="false" outlineLevel="0" collapsed="false">
      <c r="A217" s="6" t="s">
        <v>1726</v>
      </c>
      <c r="B217" s="35"/>
      <c r="C217" s="34"/>
      <c r="D217" s="34"/>
      <c r="E217" s="21"/>
      <c r="F217" s="21"/>
      <c r="G217" s="21"/>
      <c r="H217" s="21"/>
      <c r="I217" s="34"/>
      <c r="J217" s="34"/>
      <c r="K217" s="34"/>
      <c r="L217" s="34"/>
      <c r="M217" s="34"/>
      <c r="N217" s="34"/>
      <c r="O217" s="34"/>
      <c r="P217" s="34"/>
      <c r="Q217" s="34"/>
      <c r="R217" s="21"/>
    </row>
    <row r="218" customFormat="false" ht="15" hidden="false" customHeight="false" outlineLevel="0" collapsed="false">
      <c r="A218" s="6" t="s">
        <v>1727</v>
      </c>
      <c r="B218" s="35"/>
      <c r="C218" s="34"/>
      <c r="D218" s="34"/>
      <c r="E218" s="21"/>
      <c r="F218" s="21"/>
      <c r="G218" s="21"/>
      <c r="H218" s="21"/>
      <c r="I218" s="34"/>
      <c r="J218" s="34"/>
      <c r="K218" s="34"/>
      <c r="L218" s="34"/>
      <c r="M218" s="34"/>
      <c r="N218" s="34"/>
      <c r="O218" s="34"/>
      <c r="P218" s="34"/>
      <c r="Q218" s="34"/>
      <c r="R218" s="21"/>
    </row>
    <row r="219" customFormat="false" ht="15" hidden="false" customHeight="false" outlineLevel="0" collapsed="false">
      <c r="A219" s="6" t="s">
        <v>1728</v>
      </c>
      <c r="B219" s="35"/>
      <c r="C219" s="34"/>
      <c r="D219" s="34"/>
      <c r="E219" s="21"/>
      <c r="F219" s="21"/>
      <c r="G219" s="21"/>
      <c r="H219" s="21"/>
      <c r="I219" s="34"/>
      <c r="J219" s="34"/>
      <c r="K219" s="34"/>
      <c r="L219" s="34"/>
      <c r="M219" s="34"/>
      <c r="N219" s="34"/>
      <c r="O219" s="34"/>
      <c r="P219" s="34"/>
      <c r="Q219" s="34"/>
      <c r="R219" s="21"/>
    </row>
    <row r="220" customFormat="false" ht="15" hidden="false" customHeight="false" outlineLevel="0" collapsed="false">
      <c r="A220" s="6" t="s">
        <v>1729</v>
      </c>
      <c r="B220" s="35"/>
      <c r="C220" s="34"/>
      <c r="D220" s="34"/>
      <c r="E220" s="21"/>
      <c r="F220" s="21"/>
      <c r="G220" s="21"/>
      <c r="H220" s="21"/>
      <c r="I220" s="34"/>
      <c r="J220" s="34"/>
      <c r="K220" s="34"/>
      <c r="L220" s="34"/>
      <c r="M220" s="34"/>
      <c r="N220" s="34"/>
      <c r="O220" s="34"/>
      <c r="P220" s="34"/>
      <c r="Q220" s="34"/>
      <c r="R220" s="21"/>
    </row>
    <row r="221" customFormat="false" ht="15" hidden="false" customHeight="false" outlineLevel="0" collapsed="false">
      <c r="A221" s="6" t="s">
        <v>1730</v>
      </c>
      <c r="B221" s="35"/>
      <c r="C221" s="34"/>
      <c r="D221" s="34"/>
      <c r="E221" s="21"/>
      <c r="F221" s="21"/>
      <c r="G221" s="21"/>
      <c r="H221" s="21"/>
      <c r="I221" s="34"/>
      <c r="J221" s="34"/>
      <c r="K221" s="34"/>
      <c r="L221" s="34"/>
      <c r="M221" s="34"/>
      <c r="N221" s="34"/>
      <c r="O221" s="34"/>
      <c r="P221" s="34"/>
      <c r="Q221" s="34"/>
      <c r="R221" s="21"/>
    </row>
    <row r="222" customFormat="false" ht="15" hidden="false" customHeight="false" outlineLevel="0" collapsed="false">
      <c r="A222" s="6" t="s">
        <v>1731</v>
      </c>
      <c r="B222" s="35"/>
      <c r="C222" s="34"/>
      <c r="D222" s="34"/>
      <c r="E222" s="21"/>
      <c r="F222" s="21"/>
      <c r="G222" s="21"/>
      <c r="H222" s="21"/>
      <c r="I222" s="34"/>
      <c r="J222" s="34"/>
      <c r="K222" s="34"/>
      <c r="L222" s="34"/>
      <c r="M222" s="34"/>
      <c r="N222" s="34"/>
      <c r="O222" s="34"/>
      <c r="P222" s="34"/>
      <c r="Q222" s="34"/>
      <c r="R222" s="21"/>
    </row>
    <row r="223" customFormat="false" ht="15" hidden="false" customHeight="false" outlineLevel="0" collapsed="false">
      <c r="A223" s="6" t="s">
        <v>1732</v>
      </c>
      <c r="B223" s="35"/>
      <c r="C223" s="34"/>
      <c r="D223" s="34"/>
      <c r="E223" s="21"/>
      <c r="F223" s="21"/>
      <c r="G223" s="21"/>
      <c r="H223" s="21"/>
      <c r="I223" s="34"/>
      <c r="J223" s="34"/>
      <c r="K223" s="34"/>
      <c r="L223" s="34"/>
      <c r="M223" s="34"/>
      <c r="N223" s="34"/>
      <c r="O223" s="34"/>
      <c r="P223" s="34"/>
      <c r="Q223" s="34"/>
      <c r="R223" s="21"/>
    </row>
    <row r="224" customFormat="false" ht="15" hidden="false" customHeight="false" outlineLevel="0" collapsed="false">
      <c r="A224" s="6" t="s">
        <v>1733</v>
      </c>
      <c r="B224" s="35"/>
      <c r="C224" s="34"/>
      <c r="D224" s="34"/>
      <c r="E224" s="21"/>
      <c r="F224" s="21"/>
      <c r="G224" s="21"/>
      <c r="H224" s="21"/>
      <c r="I224" s="34"/>
      <c r="J224" s="34"/>
      <c r="K224" s="34"/>
      <c r="L224" s="34"/>
      <c r="M224" s="34"/>
      <c r="N224" s="34"/>
      <c r="O224" s="34"/>
      <c r="P224" s="34"/>
      <c r="Q224" s="34"/>
      <c r="R224" s="21"/>
    </row>
    <row r="225" customFormat="false" ht="15" hidden="false" customHeight="false" outlineLevel="0" collapsed="false">
      <c r="A225" s="6" t="s">
        <v>1734</v>
      </c>
      <c r="B225" s="35"/>
      <c r="C225" s="34"/>
      <c r="D225" s="34"/>
      <c r="E225" s="21"/>
      <c r="F225" s="21"/>
      <c r="G225" s="21"/>
      <c r="H225" s="21"/>
      <c r="I225" s="34"/>
      <c r="J225" s="34"/>
      <c r="K225" s="34"/>
      <c r="L225" s="34"/>
      <c r="M225" s="34"/>
      <c r="N225" s="34"/>
      <c r="O225" s="34"/>
      <c r="P225" s="34"/>
      <c r="Q225" s="34"/>
      <c r="R225" s="21"/>
    </row>
    <row r="226" customFormat="false" ht="15" hidden="false" customHeight="false" outlineLevel="0" collapsed="false">
      <c r="A226" s="6" t="s">
        <v>1735</v>
      </c>
      <c r="B226" s="35"/>
      <c r="C226" s="34"/>
      <c r="D226" s="34"/>
      <c r="E226" s="21"/>
      <c r="F226" s="21"/>
      <c r="G226" s="21"/>
      <c r="H226" s="21"/>
      <c r="I226" s="34"/>
      <c r="J226" s="34"/>
      <c r="K226" s="34"/>
      <c r="L226" s="34"/>
      <c r="M226" s="34"/>
      <c r="N226" s="34"/>
      <c r="O226" s="34"/>
      <c r="P226" s="34"/>
      <c r="Q226" s="34"/>
      <c r="R226" s="21"/>
    </row>
    <row r="227" customFormat="false" ht="15" hidden="false" customHeight="false" outlineLevel="0" collapsed="false">
      <c r="A227" s="6" t="s">
        <v>1736</v>
      </c>
      <c r="B227" s="35"/>
      <c r="C227" s="34"/>
      <c r="D227" s="34"/>
      <c r="E227" s="21"/>
      <c r="F227" s="21"/>
      <c r="G227" s="21"/>
      <c r="H227" s="21"/>
      <c r="I227" s="34"/>
      <c r="J227" s="34"/>
      <c r="K227" s="34"/>
      <c r="L227" s="34"/>
      <c r="M227" s="34"/>
      <c r="N227" s="34"/>
      <c r="O227" s="34"/>
      <c r="P227" s="34"/>
      <c r="Q227" s="34"/>
      <c r="R227" s="21"/>
    </row>
    <row r="228" customFormat="false" ht="15" hidden="false" customHeight="false" outlineLevel="0" collapsed="false">
      <c r="A228" s="6" t="s">
        <v>1737</v>
      </c>
      <c r="B228" s="35"/>
      <c r="C228" s="34"/>
      <c r="D228" s="34"/>
      <c r="E228" s="21"/>
      <c r="F228" s="21"/>
      <c r="G228" s="21"/>
      <c r="H228" s="21"/>
      <c r="I228" s="34"/>
      <c r="J228" s="34"/>
      <c r="K228" s="34"/>
      <c r="L228" s="34"/>
      <c r="M228" s="34"/>
      <c r="N228" s="34"/>
      <c r="O228" s="34"/>
      <c r="P228" s="34"/>
      <c r="Q228" s="34"/>
      <c r="R228" s="21"/>
    </row>
    <row r="229" customFormat="false" ht="15" hidden="false" customHeight="false" outlineLevel="0" collapsed="false">
      <c r="A229" s="6" t="s">
        <v>1738</v>
      </c>
      <c r="B229" s="35"/>
      <c r="C229" s="34"/>
      <c r="D229" s="34"/>
      <c r="E229" s="21"/>
      <c r="F229" s="21"/>
      <c r="G229" s="21"/>
      <c r="H229" s="21"/>
      <c r="I229" s="34"/>
      <c r="J229" s="34"/>
      <c r="K229" s="34"/>
      <c r="L229" s="34"/>
      <c r="M229" s="34"/>
      <c r="N229" s="34"/>
      <c r="O229" s="34"/>
      <c r="P229" s="34"/>
      <c r="Q229" s="34"/>
      <c r="R229" s="21"/>
    </row>
    <row r="230" customFormat="false" ht="15" hidden="false" customHeight="false" outlineLevel="0" collapsed="false">
      <c r="A230" s="6" t="s">
        <v>1739</v>
      </c>
      <c r="B230" s="35"/>
      <c r="C230" s="34"/>
      <c r="D230" s="34"/>
      <c r="E230" s="21"/>
      <c r="F230" s="21"/>
      <c r="G230" s="21"/>
      <c r="H230" s="21"/>
      <c r="I230" s="34"/>
      <c r="J230" s="34"/>
      <c r="K230" s="34"/>
      <c r="L230" s="34"/>
      <c r="M230" s="34"/>
      <c r="N230" s="34"/>
      <c r="O230" s="34"/>
      <c r="P230" s="34"/>
      <c r="Q230" s="34"/>
      <c r="R230" s="21"/>
    </row>
    <row r="231" customFormat="false" ht="15" hidden="false" customHeight="false" outlineLevel="0" collapsed="false">
      <c r="A231" s="6" t="s">
        <v>1740</v>
      </c>
      <c r="B231" s="35"/>
      <c r="C231" s="34"/>
      <c r="D231" s="34"/>
      <c r="E231" s="21"/>
      <c r="F231" s="21"/>
      <c r="G231" s="21"/>
      <c r="H231" s="21"/>
      <c r="I231" s="34"/>
      <c r="J231" s="34"/>
      <c r="K231" s="34"/>
      <c r="L231" s="34"/>
      <c r="M231" s="34"/>
      <c r="N231" s="34"/>
      <c r="O231" s="34"/>
      <c r="P231" s="34"/>
      <c r="Q231" s="34"/>
      <c r="R231" s="21"/>
    </row>
    <row r="232" customFormat="false" ht="15" hidden="false" customHeight="false" outlineLevel="0" collapsed="false">
      <c r="A232" s="6" t="s">
        <v>1741</v>
      </c>
      <c r="B232" s="35"/>
      <c r="C232" s="34"/>
      <c r="D232" s="34"/>
      <c r="E232" s="21"/>
      <c r="F232" s="21"/>
      <c r="G232" s="21"/>
      <c r="H232" s="21"/>
      <c r="I232" s="34"/>
      <c r="J232" s="34"/>
      <c r="K232" s="34"/>
      <c r="L232" s="34"/>
      <c r="M232" s="34"/>
      <c r="N232" s="34"/>
      <c r="O232" s="34"/>
      <c r="P232" s="34"/>
      <c r="Q232" s="34"/>
      <c r="R232" s="21"/>
    </row>
    <row r="233" customFormat="false" ht="15" hidden="false" customHeight="false" outlineLevel="0" collapsed="false">
      <c r="A233" s="6" t="s">
        <v>1742</v>
      </c>
      <c r="B233" s="35"/>
      <c r="C233" s="34"/>
      <c r="D233" s="34"/>
      <c r="E233" s="21"/>
      <c r="F233" s="21"/>
      <c r="G233" s="21"/>
      <c r="H233" s="21"/>
      <c r="I233" s="34"/>
      <c r="J233" s="34"/>
      <c r="K233" s="34"/>
      <c r="L233" s="34"/>
      <c r="M233" s="34"/>
      <c r="N233" s="34"/>
      <c r="O233" s="34"/>
      <c r="P233" s="34"/>
      <c r="Q233" s="34"/>
      <c r="R233" s="21"/>
    </row>
    <row r="234" customFormat="false" ht="15" hidden="false" customHeight="false" outlineLevel="0" collapsed="false">
      <c r="A234" s="6" t="s">
        <v>1743</v>
      </c>
      <c r="B234" s="35"/>
      <c r="C234" s="34"/>
      <c r="D234" s="34"/>
      <c r="E234" s="21"/>
      <c r="F234" s="21"/>
      <c r="G234" s="21"/>
      <c r="H234" s="21"/>
      <c r="I234" s="34"/>
      <c r="J234" s="34"/>
      <c r="K234" s="34"/>
      <c r="L234" s="34"/>
      <c r="M234" s="34"/>
      <c r="N234" s="34"/>
      <c r="O234" s="34"/>
      <c r="P234" s="34"/>
      <c r="Q234" s="34"/>
      <c r="R234" s="21"/>
    </row>
    <row r="235" customFormat="false" ht="15" hidden="false" customHeight="false" outlineLevel="0" collapsed="false">
      <c r="A235" s="6" t="s">
        <v>1744</v>
      </c>
      <c r="B235" s="35"/>
      <c r="C235" s="34"/>
      <c r="D235" s="34"/>
      <c r="E235" s="21"/>
      <c r="F235" s="21"/>
      <c r="G235" s="21"/>
      <c r="H235" s="21"/>
      <c r="I235" s="34"/>
      <c r="J235" s="34"/>
      <c r="K235" s="34"/>
      <c r="L235" s="34"/>
      <c r="M235" s="34"/>
      <c r="N235" s="34"/>
      <c r="O235" s="34"/>
      <c r="P235" s="34"/>
      <c r="Q235" s="34"/>
      <c r="R235" s="21"/>
    </row>
    <row r="236" customFormat="false" ht="15" hidden="false" customHeight="false" outlineLevel="0" collapsed="false">
      <c r="A236" s="6" t="s">
        <v>1745</v>
      </c>
      <c r="B236" s="35"/>
      <c r="C236" s="34"/>
      <c r="D236" s="34"/>
      <c r="E236" s="21"/>
      <c r="F236" s="21"/>
      <c r="G236" s="21"/>
      <c r="H236" s="21"/>
      <c r="I236" s="34"/>
      <c r="J236" s="34"/>
      <c r="K236" s="34"/>
      <c r="L236" s="34"/>
      <c r="M236" s="34"/>
      <c r="N236" s="34"/>
      <c r="O236" s="34"/>
      <c r="P236" s="34"/>
      <c r="Q236" s="34"/>
      <c r="R236" s="21"/>
    </row>
    <row r="237" customFormat="false" ht="15" hidden="false" customHeight="false" outlineLevel="0" collapsed="false">
      <c r="A237" s="6" t="s">
        <v>1746</v>
      </c>
      <c r="B237" s="35"/>
      <c r="C237" s="34"/>
      <c r="D237" s="34"/>
      <c r="E237" s="21"/>
      <c r="F237" s="21"/>
      <c r="G237" s="21"/>
      <c r="H237" s="21"/>
      <c r="I237" s="34"/>
      <c r="J237" s="34"/>
      <c r="K237" s="34"/>
      <c r="L237" s="34"/>
      <c r="M237" s="34"/>
      <c r="N237" s="34"/>
      <c r="O237" s="34"/>
      <c r="P237" s="34"/>
      <c r="Q237" s="34"/>
      <c r="R237" s="21"/>
    </row>
    <row r="238" customFormat="false" ht="15" hidden="false" customHeight="false" outlineLevel="0" collapsed="false">
      <c r="A238" s="6" t="s">
        <v>1747</v>
      </c>
      <c r="B238" s="35"/>
      <c r="C238" s="34"/>
      <c r="D238" s="34"/>
      <c r="E238" s="21"/>
      <c r="F238" s="21"/>
      <c r="G238" s="21"/>
      <c r="H238" s="21"/>
      <c r="I238" s="34"/>
      <c r="J238" s="34"/>
      <c r="K238" s="34"/>
      <c r="L238" s="34"/>
      <c r="M238" s="34"/>
      <c r="N238" s="34"/>
      <c r="O238" s="34"/>
      <c r="P238" s="34"/>
      <c r="Q238" s="34"/>
      <c r="R238" s="21"/>
    </row>
    <row r="239" customFormat="false" ht="15" hidden="false" customHeight="false" outlineLevel="0" collapsed="false">
      <c r="A239" s="6" t="s">
        <v>1748</v>
      </c>
      <c r="B239" s="35"/>
      <c r="C239" s="34"/>
      <c r="D239" s="34"/>
      <c r="E239" s="21"/>
      <c r="F239" s="21"/>
      <c r="G239" s="21"/>
      <c r="H239" s="21"/>
      <c r="I239" s="34"/>
      <c r="J239" s="34"/>
      <c r="K239" s="34"/>
      <c r="L239" s="34"/>
      <c r="M239" s="34"/>
      <c r="N239" s="34"/>
      <c r="O239" s="34"/>
      <c r="P239" s="34"/>
      <c r="Q239" s="34"/>
      <c r="R239" s="21"/>
    </row>
    <row r="240" customFormat="false" ht="15" hidden="false" customHeight="false" outlineLevel="0" collapsed="false">
      <c r="A240" s="6" t="s">
        <v>1749</v>
      </c>
      <c r="B240" s="35"/>
      <c r="C240" s="34"/>
      <c r="D240" s="34"/>
      <c r="E240" s="21"/>
      <c r="F240" s="21"/>
      <c r="G240" s="21"/>
      <c r="H240" s="21"/>
      <c r="I240" s="34"/>
      <c r="J240" s="34"/>
      <c r="K240" s="34"/>
      <c r="L240" s="34"/>
      <c r="M240" s="34"/>
      <c r="N240" s="34"/>
      <c r="O240" s="34"/>
      <c r="P240" s="34"/>
      <c r="Q240" s="34"/>
      <c r="R240" s="21"/>
    </row>
    <row r="241" customFormat="false" ht="15" hidden="false" customHeight="false" outlineLevel="0" collapsed="false">
      <c r="A241" s="6" t="s">
        <v>1750</v>
      </c>
      <c r="B241" s="35"/>
      <c r="C241" s="34"/>
      <c r="D241" s="34"/>
      <c r="E241" s="21"/>
      <c r="F241" s="21"/>
      <c r="G241" s="21"/>
      <c r="H241" s="21"/>
      <c r="I241" s="34"/>
      <c r="J241" s="34"/>
      <c r="K241" s="34"/>
      <c r="L241" s="34"/>
      <c r="M241" s="34"/>
      <c r="N241" s="34"/>
      <c r="O241" s="34"/>
      <c r="P241" s="34"/>
      <c r="Q241" s="34"/>
      <c r="R241" s="21"/>
    </row>
    <row r="242" customFormat="false" ht="15" hidden="false" customHeight="false" outlineLevel="0" collapsed="false">
      <c r="A242" s="6" t="s">
        <v>1751</v>
      </c>
      <c r="B242" s="35"/>
      <c r="C242" s="34"/>
      <c r="D242" s="34"/>
      <c r="E242" s="21"/>
      <c r="F242" s="21"/>
      <c r="G242" s="21"/>
      <c r="H242" s="21"/>
      <c r="I242" s="34"/>
      <c r="J242" s="34"/>
      <c r="K242" s="34"/>
      <c r="L242" s="34"/>
      <c r="M242" s="34"/>
      <c r="N242" s="34"/>
      <c r="O242" s="34"/>
      <c r="P242" s="34"/>
      <c r="Q242" s="34"/>
      <c r="R242" s="21"/>
    </row>
    <row r="243" customFormat="false" ht="15" hidden="false" customHeight="false" outlineLevel="0" collapsed="false">
      <c r="A243" s="6" t="s">
        <v>1752</v>
      </c>
      <c r="B243" s="35"/>
      <c r="C243" s="34"/>
      <c r="D243" s="34"/>
      <c r="E243" s="21"/>
      <c r="F243" s="21"/>
      <c r="G243" s="21"/>
      <c r="H243" s="21"/>
      <c r="I243" s="34"/>
      <c r="J243" s="34"/>
      <c r="K243" s="34"/>
      <c r="L243" s="34"/>
      <c r="M243" s="34"/>
      <c r="N243" s="34"/>
      <c r="O243" s="34"/>
      <c r="P243" s="34"/>
      <c r="Q243" s="34"/>
      <c r="R243" s="21"/>
    </row>
    <row r="244" customFormat="false" ht="15" hidden="false" customHeight="false" outlineLevel="0" collapsed="false">
      <c r="A244" s="6" t="s">
        <v>1753</v>
      </c>
      <c r="B244" s="35"/>
      <c r="C244" s="34"/>
      <c r="D244" s="34"/>
      <c r="E244" s="21"/>
      <c r="F244" s="21"/>
      <c r="G244" s="21"/>
      <c r="H244" s="21"/>
      <c r="I244" s="34"/>
      <c r="J244" s="34"/>
      <c r="K244" s="34"/>
      <c r="L244" s="34"/>
      <c r="M244" s="34"/>
      <c r="N244" s="34"/>
      <c r="O244" s="34"/>
      <c r="P244" s="34"/>
      <c r="Q244" s="34"/>
      <c r="R244" s="21"/>
    </row>
    <row r="245" customFormat="false" ht="15" hidden="false" customHeight="false" outlineLevel="0" collapsed="false">
      <c r="A245" s="6" t="s">
        <v>1754</v>
      </c>
      <c r="B245" s="35"/>
      <c r="C245" s="34"/>
      <c r="D245" s="34"/>
      <c r="E245" s="21"/>
      <c r="F245" s="21"/>
      <c r="G245" s="21"/>
      <c r="H245" s="21"/>
      <c r="I245" s="34"/>
      <c r="J245" s="34"/>
      <c r="K245" s="34"/>
      <c r="L245" s="34"/>
      <c r="M245" s="34"/>
      <c r="N245" s="34"/>
      <c r="O245" s="34"/>
      <c r="P245" s="34"/>
      <c r="Q245" s="34"/>
      <c r="R245" s="21"/>
    </row>
    <row r="246" customFormat="false" ht="15" hidden="false" customHeight="false" outlineLevel="0" collapsed="false">
      <c r="A246" s="6" t="s">
        <v>1755</v>
      </c>
      <c r="B246" s="35"/>
      <c r="C246" s="34"/>
      <c r="D246" s="34"/>
      <c r="E246" s="21"/>
      <c r="F246" s="21"/>
      <c r="G246" s="21"/>
      <c r="H246" s="21"/>
      <c r="I246" s="34"/>
      <c r="J246" s="34"/>
      <c r="K246" s="34"/>
      <c r="L246" s="34"/>
      <c r="M246" s="34"/>
      <c r="N246" s="34"/>
      <c r="O246" s="34"/>
      <c r="P246" s="34"/>
      <c r="Q246" s="34"/>
      <c r="R246" s="21"/>
    </row>
    <row r="247" customFormat="false" ht="15" hidden="false" customHeight="false" outlineLevel="0" collapsed="false">
      <c r="A247" s="6" t="s">
        <v>1756</v>
      </c>
      <c r="B247" s="35"/>
      <c r="C247" s="34"/>
      <c r="D247" s="34"/>
      <c r="E247" s="21"/>
      <c r="F247" s="21"/>
      <c r="G247" s="21"/>
      <c r="H247" s="21"/>
      <c r="I247" s="34"/>
      <c r="J247" s="34"/>
      <c r="K247" s="34"/>
      <c r="L247" s="34"/>
      <c r="M247" s="34"/>
      <c r="N247" s="34"/>
      <c r="O247" s="34"/>
      <c r="P247" s="34"/>
      <c r="Q247" s="34"/>
      <c r="R247" s="21"/>
    </row>
    <row r="248" customFormat="false" ht="15" hidden="false" customHeight="false" outlineLevel="0" collapsed="false">
      <c r="A248" s="6" t="s">
        <v>1757</v>
      </c>
      <c r="B248" s="35"/>
      <c r="C248" s="34"/>
      <c r="D248" s="34"/>
      <c r="E248" s="21"/>
      <c r="F248" s="21"/>
      <c r="G248" s="21"/>
      <c r="H248" s="21"/>
      <c r="I248" s="34"/>
      <c r="J248" s="34"/>
      <c r="K248" s="34"/>
      <c r="L248" s="34"/>
      <c r="M248" s="34"/>
      <c r="N248" s="34"/>
      <c r="O248" s="34"/>
      <c r="P248" s="34"/>
      <c r="Q248" s="34"/>
      <c r="R248" s="21"/>
    </row>
    <row r="249" customFormat="false" ht="15" hidden="false" customHeight="false" outlineLevel="0" collapsed="false">
      <c r="A249" s="6" t="s">
        <v>1758</v>
      </c>
      <c r="B249" s="35"/>
      <c r="C249" s="34"/>
      <c r="D249" s="34"/>
      <c r="E249" s="21"/>
      <c r="F249" s="21"/>
      <c r="G249" s="21"/>
      <c r="H249" s="21"/>
      <c r="I249" s="34"/>
      <c r="J249" s="34"/>
      <c r="K249" s="34"/>
      <c r="L249" s="34"/>
      <c r="M249" s="34"/>
      <c r="N249" s="34"/>
      <c r="O249" s="34"/>
      <c r="P249" s="34"/>
      <c r="Q249" s="34"/>
      <c r="R249" s="21"/>
    </row>
    <row r="250" customFormat="false" ht="15" hidden="false" customHeight="false" outlineLevel="0" collapsed="false">
      <c r="A250" s="6" t="s">
        <v>1759</v>
      </c>
      <c r="B250" s="35"/>
      <c r="C250" s="34"/>
      <c r="D250" s="34"/>
      <c r="E250" s="21"/>
      <c r="F250" s="21"/>
      <c r="G250" s="21"/>
      <c r="H250" s="21"/>
      <c r="I250" s="34"/>
      <c r="J250" s="34"/>
      <c r="K250" s="34"/>
      <c r="L250" s="34"/>
      <c r="M250" s="34"/>
      <c r="N250" s="34"/>
      <c r="O250" s="34"/>
      <c r="P250" s="34"/>
      <c r="Q250" s="34"/>
      <c r="R250" s="21"/>
    </row>
    <row r="251" customFormat="false" ht="15" hidden="false" customHeight="false" outlineLevel="0" collapsed="false">
      <c r="A251" s="6" t="s">
        <v>1760</v>
      </c>
      <c r="B251" s="35"/>
      <c r="C251" s="34"/>
      <c r="D251" s="34"/>
      <c r="E251" s="21"/>
      <c r="F251" s="21"/>
      <c r="G251" s="21"/>
      <c r="H251" s="21"/>
      <c r="I251" s="34"/>
      <c r="J251" s="34"/>
      <c r="K251" s="34"/>
      <c r="L251" s="34"/>
      <c r="M251" s="34"/>
      <c r="N251" s="34"/>
      <c r="O251" s="34"/>
      <c r="P251" s="34"/>
      <c r="Q251" s="34"/>
      <c r="R251" s="21"/>
    </row>
    <row r="252" customFormat="false" ht="15" hidden="false" customHeight="false" outlineLevel="0" collapsed="false">
      <c r="A252" s="6" t="s">
        <v>1761</v>
      </c>
      <c r="B252" s="35"/>
      <c r="C252" s="34"/>
      <c r="D252" s="34"/>
      <c r="E252" s="21"/>
      <c r="F252" s="21"/>
      <c r="G252" s="21"/>
      <c r="H252" s="21"/>
      <c r="I252" s="34"/>
      <c r="J252" s="34"/>
      <c r="K252" s="34"/>
      <c r="L252" s="34"/>
      <c r="M252" s="34"/>
      <c r="N252" s="34"/>
      <c r="O252" s="34"/>
      <c r="P252" s="34"/>
      <c r="Q252" s="34"/>
      <c r="R252" s="21"/>
    </row>
    <row r="253" customFormat="false" ht="15" hidden="false" customHeight="false" outlineLevel="0" collapsed="false">
      <c r="A253" s="6" t="s">
        <v>1762</v>
      </c>
      <c r="B253" s="35"/>
      <c r="C253" s="34"/>
      <c r="D253" s="34"/>
      <c r="E253" s="21"/>
      <c r="F253" s="21"/>
      <c r="G253" s="21"/>
      <c r="H253" s="21"/>
      <c r="I253" s="34"/>
      <c r="J253" s="34"/>
      <c r="K253" s="34"/>
      <c r="L253" s="34"/>
      <c r="M253" s="34"/>
      <c r="N253" s="34"/>
      <c r="O253" s="34"/>
      <c r="P253" s="34"/>
      <c r="Q253" s="34"/>
      <c r="R253" s="21"/>
    </row>
    <row r="254" customFormat="false" ht="15" hidden="false" customHeight="false" outlineLevel="0" collapsed="false">
      <c r="A254" s="6" t="s">
        <v>1763</v>
      </c>
      <c r="B254" s="35"/>
      <c r="C254" s="34"/>
      <c r="D254" s="34"/>
      <c r="E254" s="21"/>
      <c r="F254" s="21"/>
      <c r="G254" s="21"/>
      <c r="H254" s="21"/>
      <c r="I254" s="34"/>
      <c r="J254" s="34"/>
      <c r="K254" s="34"/>
      <c r="L254" s="34"/>
      <c r="M254" s="34"/>
      <c r="N254" s="34"/>
      <c r="O254" s="34"/>
      <c r="P254" s="34"/>
      <c r="Q254" s="34"/>
      <c r="R254" s="21"/>
    </row>
    <row r="255" customFormat="false" ht="15" hidden="false" customHeight="false" outlineLevel="0" collapsed="false">
      <c r="A255" s="6" t="s">
        <v>1764</v>
      </c>
      <c r="B255" s="35"/>
      <c r="C255" s="34"/>
      <c r="D255" s="34"/>
      <c r="E255" s="21"/>
      <c r="F255" s="21"/>
      <c r="G255" s="21"/>
      <c r="H255" s="21"/>
      <c r="I255" s="34"/>
      <c r="J255" s="34"/>
      <c r="K255" s="34"/>
      <c r="L255" s="34"/>
      <c r="M255" s="34"/>
      <c r="N255" s="34"/>
      <c r="O255" s="34"/>
      <c r="P255" s="34"/>
      <c r="Q255" s="34"/>
      <c r="R255" s="21"/>
    </row>
    <row r="256" customFormat="false" ht="15" hidden="false" customHeight="false" outlineLevel="0" collapsed="false">
      <c r="A256" s="6" t="s">
        <v>1765</v>
      </c>
      <c r="B256" s="35"/>
      <c r="C256" s="34"/>
      <c r="D256" s="34"/>
      <c r="E256" s="21"/>
      <c r="F256" s="21"/>
      <c r="G256" s="21"/>
      <c r="H256" s="21"/>
      <c r="I256" s="34"/>
      <c r="J256" s="34"/>
      <c r="K256" s="34"/>
      <c r="L256" s="34"/>
      <c r="M256" s="34"/>
      <c r="N256" s="34"/>
      <c r="O256" s="34"/>
      <c r="P256" s="34"/>
      <c r="Q256" s="34"/>
      <c r="R256" s="21"/>
    </row>
    <row r="257" customFormat="false" ht="15" hidden="false" customHeight="false" outlineLevel="0" collapsed="false">
      <c r="A257" s="6" t="s">
        <v>1766</v>
      </c>
      <c r="B257" s="35"/>
      <c r="C257" s="34"/>
      <c r="D257" s="34"/>
      <c r="E257" s="21"/>
      <c r="F257" s="21"/>
      <c r="G257" s="21"/>
      <c r="H257" s="21"/>
      <c r="I257" s="34"/>
      <c r="J257" s="34"/>
      <c r="K257" s="34"/>
      <c r="L257" s="34"/>
      <c r="M257" s="34"/>
      <c r="N257" s="34"/>
      <c r="O257" s="34"/>
      <c r="P257" s="34"/>
      <c r="Q257" s="34"/>
      <c r="R257" s="21"/>
    </row>
    <row r="258" customFormat="false" ht="15" hidden="false" customHeight="false" outlineLevel="0" collapsed="false">
      <c r="A258" s="6" t="s">
        <v>1767</v>
      </c>
      <c r="B258" s="35"/>
      <c r="C258" s="34"/>
      <c r="D258" s="34"/>
      <c r="E258" s="21"/>
      <c r="F258" s="21"/>
      <c r="G258" s="21"/>
      <c r="H258" s="21"/>
      <c r="I258" s="34"/>
      <c r="J258" s="34"/>
      <c r="K258" s="34"/>
      <c r="L258" s="34"/>
      <c r="M258" s="34"/>
      <c r="N258" s="34"/>
      <c r="O258" s="34"/>
      <c r="P258" s="34"/>
      <c r="Q258" s="34"/>
      <c r="R258" s="21"/>
    </row>
    <row r="259" customFormat="false" ht="15" hidden="false" customHeight="false" outlineLevel="0" collapsed="false">
      <c r="A259" s="6" t="s">
        <v>1768</v>
      </c>
      <c r="B259" s="35"/>
      <c r="C259" s="34"/>
      <c r="D259" s="34"/>
      <c r="E259" s="21"/>
      <c r="F259" s="21"/>
      <c r="G259" s="21"/>
      <c r="H259" s="21"/>
      <c r="I259" s="34"/>
      <c r="J259" s="34"/>
      <c r="K259" s="34"/>
      <c r="L259" s="34"/>
      <c r="M259" s="34"/>
      <c r="N259" s="34"/>
      <c r="O259" s="34"/>
      <c r="P259" s="34"/>
      <c r="Q259" s="34"/>
      <c r="R259" s="21"/>
    </row>
    <row r="260" customFormat="false" ht="15" hidden="false" customHeight="false" outlineLevel="0" collapsed="false">
      <c r="A260" s="6" t="s">
        <v>1769</v>
      </c>
      <c r="B260" s="35"/>
      <c r="C260" s="34"/>
      <c r="D260" s="34"/>
      <c r="E260" s="21"/>
      <c r="F260" s="21"/>
      <c r="G260" s="21"/>
      <c r="H260" s="21"/>
      <c r="I260" s="34"/>
      <c r="J260" s="34"/>
      <c r="K260" s="34"/>
      <c r="L260" s="34"/>
      <c r="M260" s="34"/>
      <c r="N260" s="34"/>
      <c r="O260" s="34"/>
      <c r="P260" s="34"/>
      <c r="Q260" s="34"/>
      <c r="R260" s="21"/>
    </row>
    <row r="261" customFormat="false" ht="15" hidden="false" customHeight="false" outlineLevel="0" collapsed="false">
      <c r="A261" s="6" t="s">
        <v>1770</v>
      </c>
      <c r="B261" s="35"/>
      <c r="C261" s="34"/>
      <c r="D261" s="34"/>
      <c r="E261" s="21"/>
      <c r="F261" s="21"/>
      <c r="G261" s="21"/>
      <c r="H261" s="21"/>
      <c r="I261" s="34"/>
      <c r="J261" s="34"/>
      <c r="K261" s="34"/>
      <c r="L261" s="34"/>
      <c r="M261" s="34"/>
      <c r="N261" s="34"/>
      <c r="O261" s="34"/>
      <c r="P261" s="34"/>
      <c r="Q261" s="34"/>
      <c r="R261" s="21"/>
    </row>
    <row r="262" customFormat="false" ht="15" hidden="false" customHeight="false" outlineLevel="0" collapsed="false">
      <c r="A262" s="6" t="s">
        <v>1771</v>
      </c>
      <c r="B262" s="35"/>
      <c r="C262" s="34"/>
      <c r="D262" s="34"/>
      <c r="E262" s="21"/>
      <c r="F262" s="21"/>
      <c r="G262" s="21"/>
      <c r="H262" s="21"/>
      <c r="I262" s="34"/>
      <c r="J262" s="34"/>
      <c r="K262" s="34"/>
      <c r="L262" s="34"/>
      <c r="M262" s="34"/>
      <c r="N262" s="34"/>
      <c r="O262" s="34"/>
      <c r="P262" s="34"/>
      <c r="Q262" s="34"/>
      <c r="R262" s="21"/>
    </row>
    <row r="263" customFormat="false" ht="15" hidden="false" customHeight="false" outlineLevel="0" collapsed="false">
      <c r="A263" s="6" t="s">
        <v>1772</v>
      </c>
      <c r="B263" s="35"/>
      <c r="C263" s="34"/>
      <c r="D263" s="34"/>
      <c r="E263" s="21"/>
      <c r="F263" s="21"/>
      <c r="G263" s="21"/>
      <c r="H263" s="21"/>
      <c r="I263" s="34"/>
      <c r="J263" s="34"/>
      <c r="K263" s="34"/>
      <c r="L263" s="34"/>
      <c r="M263" s="34"/>
      <c r="N263" s="34"/>
      <c r="O263" s="34"/>
      <c r="P263" s="34"/>
      <c r="Q263" s="34"/>
      <c r="R263" s="21"/>
    </row>
    <row r="264" customFormat="false" ht="15" hidden="false" customHeight="false" outlineLevel="0" collapsed="false">
      <c r="A264" s="6" t="s">
        <v>1773</v>
      </c>
      <c r="B264" s="35"/>
      <c r="C264" s="34"/>
      <c r="D264" s="34"/>
      <c r="E264" s="21"/>
      <c r="F264" s="21"/>
      <c r="G264" s="21"/>
      <c r="H264" s="21"/>
      <c r="I264" s="34"/>
      <c r="J264" s="34"/>
      <c r="K264" s="34"/>
      <c r="L264" s="34"/>
      <c r="M264" s="34"/>
      <c r="N264" s="34"/>
      <c r="O264" s="34"/>
      <c r="P264" s="34"/>
      <c r="Q264" s="34"/>
      <c r="R264" s="21"/>
    </row>
    <row r="265" customFormat="false" ht="15" hidden="false" customHeight="false" outlineLevel="0" collapsed="false">
      <c r="A265" s="6" t="s">
        <v>1774</v>
      </c>
      <c r="B265" s="35"/>
      <c r="C265" s="34"/>
      <c r="D265" s="34"/>
      <c r="E265" s="21"/>
      <c r="F265" s="21"/>
      <c r="G265" s="21"/>
      <c r="H265" s="21"/>
      <c r="I265" s="34"/>
      <c r="J265" s="34"/>
      <c r="K265" s="34"/>
      <c r="L265" s="34"/>
      <c r="M265" s="34"/>
      <c r="N265" s="34"/>
      <c r="O265" s="34"/>
      <c r="P265" s="34"/>
      <c r="Q265" s="34"/>
      <c r="R265" s="21"/>
    </row>
    <row r="266" customFormat="false" ht="15" hidden="false" customHeight="false" outlineLevel="0" collapsed="false">
      <c r="A266" s="6" t="s">
        <v>1775</v>
      </c>
      <c r="B266" s="35"/>
      <c r="C266" s="34"/>
      <c r="D266" s="34"/>
      <c r="E266" s="21"/>
      <c r="F266" s="21"/>
      <c r="G266" s="21"/>
      <c r="H266" s="21"/>
      <c r="I266" s="34"/>
      <c r="J266" s="34"/>
      <c r="K266" s="34"/>
      <c r="L266" s="34"/>
      <c r="M266" s="34"/>
      <c r="N266" s="34"/>
      <c r="O266" s="34"/>
      <c r="P266" s="34"/>
      <c r="Q266" s="34"/>
      <c r="R266" s="21"/>
    </row>
    <row r="267" customFormat="false" ht="15" hidden="false" customHeight="false" outlineLevel="0" collapsed="false">
      <c r="A267" s="6" t="s">
        <v>1776</v>
      </c>
      <c r="B267" s="35"/>
      <c r="C267" s="34"/>
      <c r="D267" s="34"/>
      <c r="E267" s="21"/>
      <c r="F267" s="21"/>
      <c r="G267" s="21"/>
      <c r="H267" s="21"/>
      <c r="I267" s="34"/>
      <c r="J267" s="34"/>
      <c r="K267" s="34"/>
      <c r="L267" s="34"/>
      <c r="M267" s="34"/>
      <c r="N267" s="34"/>
      <c r="O267" s="34"/>
      <c r="P267" s="34"/>
      <c r="Q267" s="34"/>
      <c r="R267" s="21"/>
    </row>
    <row r="268" customFormat="false" ht="15" hidden="false" customHeight="false" outlineLevel="0" collapsed="false">
      <c r="A268" s="6" t="s">
        <v>1777</v>
      </c>
      <c r="B268" s="35"/>
      <c r="C268" s="34"/>
      <c r="D268" s="34"/>
      <c r="E268" s="21"/>
      <c r="F268" s="21"/>
      <c r="G268" s="21"/>
      <c r="H268" s="21"/>
      <c r="I268" s="34"/>
      <c r="J268" s="34"/>
      <c r="K268" s="34"/>
      <c r="L268" s="34"/>
      <c r="M268" s="34"/>
      <c r="N268" s="34"/>
      <c r="O268" s="34"/>
      <c r="P268" s="34"/>
      <c r="Q268" s="34"/>
      <c r="R268" s="21"/>
    </row>
    <row r="269" customFormat="false" ht="15" hidden="false" customHeight="false" outlineLevel="0" collapsed="false">
      <c r="A269" s="6" t="s">
        <v>1778</v>
      </c>
      <c r="B269" s="35"/>
      <c r="C269" s="34"/>
      <c r="D269" s="34"/>
      <c r="E269" s="21"/>
      <c r="F269" s="21"/>
      <c r="G269" s="21"/>
      <c r="H269" s="21"/>
      <c r="I269" s="34"/>
      <c r="J269" s="34"/>
      <c r="K269" s="34"/>
      <c r="L269" s="34"/>
      <c r="M269" s="34"/>
      <c r="N269" s="34"/>
      <c r="O269" s="34"/>
      <c r="P269" s="34"/>
      <c r="Q269" s="34"/>
      <c r="R269" s="21"/>
    </row>
    <row r="270" customFormat="false" ht="15" hidden="false" customHeight="false" outlineLevel="0" collapsed="false">
      <c r="A270" s="6" t="s">
        <v>1779</v>
      </c>
      <c r="B270" s="35"/>
      <c r="C270" s="34"/>
      <c r="D270" s="34"/>
      <c r="E270" s="21"/>
      <c r="F270" s="21"/>
      <c r="G270" s="21"/>
      <c r="H270" s="21"/>
      <c r="I270" s="34"/>
      <c r="J270" s="34"/>
      <c r="K270" s="34"/>
      <c r="L270" s="34"/>
      <c r="M270" s="34"/>
      <c r="N270" s="34"/>
      <c r="O270" s="34"/>
      <c r="P270" s="34"/>
      <c r="Q270" s="34"/>
      <c r="R270" s="21"/>
    </row>
    <row r="271" customFormat="false" ht="15" hidden="false" customHeight="false" outlineLevel="0" collapsed="false">
      <c r="A271" s="6" t="s">
        <v>1780</v>
      </c>
      <c r="B271" s="35"/>
      <c r="C271" s="34"/>
      <c r="D271" s="34"/>
      <c r="E271" s="21"/>
      <c r="F271" s="21"/>
      <c r="G271" s="21"/>
      <c r="H271" s="21"/>
      <c r="I271" s="34"/>
      <c r="J271" s="34"/>
      <c r="K271" s="34"/>
      <c r="L271" s="34"/>
      <c r="M271" s="34"/>
      <c r="N271" s="34"/>
      <c r="O271" s="34"/>
      <c r="P271" s="34"/>
      <c r="Q271" s="34"/>
      <c r="R271" s="21"/>
    </row>
    <row r="272" customFormat="false" ht="15" hidden="false" customHeight="false" outlineLevel="0" collapsed="false">
      <c r="A272" s="6" t="s">
        <v>1781</v>
      </c>
      <c r="B272" s="35"/>
      <c r="C272" s="34"/>
      <c r="D272" s="34"/>
      <c r="E272" s="21"/>
      <c r="F272" s="21"/>
      <c r="G272" s="21"/>
      <c r="H272" s="21"/>
      <c r="I272" s="34"/>
      <c r="J272" s="34"/>
      <c r="K272" s="34"/>
      <c r="L272" s="34"/>
      <c r="M272" s="34"/>
      <c r="N272" s="34"/>
      <c r="O272" s="34"/>
      <c r="P272" s="34"/>
      <c r="Q272" s="34"/>
      <c r="R272" s="21"/>
    </row>
    <row r="273" customFormat="false" ht="15" hidden="false" customHeight="false" outlineLevel="0" collapsed="false">
      <c r="A273" s="6" t="s">
        <v>1782</v>
      </c>
      <c r="B273" s="35"/>
      <c r="C273" s="34"/>
      <c r="D273" s="34"/>
      <c r="E273" s="21"/>
      <c r="F273" s="21"/>
      <c r="G273" s="21"/>
      <c r="H273" s="21"/>
      <c r="I273" s="34"/>
      <c r="J273" s="34"/>
      <c r="K273" s="34"/>
      <c r="L273" s="34"/>
      <c r="M273" s="34"/>
      <c r="N273" s="34"/>
      <c r="O273" s="34"/>
      <c r="P273" s="34"/>
      <c r="Q273" s="34"/>
      <c r="R273" s="21"/>
    </row>
    <row r="274" customFormat="false" ht="15" hidden="false" customHeight="false" outlineLevel="0" collapsed="false">
      <c r="A274" s="6" t="s">
        <v>1783</v>
      </c>
      <c r="B274" s="35"/>
      <c r="C274" s="34"/>
      <c r="D274" s="34"/>
      <c r="E274" s="21"/>
      <c r="F274" s="21"/>
      <c r="G274" s="21"/>
      <c r="H274" s="21"/>
      <c r="I274" s="34"/>
      <c r="J274" s="34"/>
      <c r="K274" s="34"/>
      <c r="L274" s="34"/>
      <c r="M274" s="34"/>
      <c r="N274" s="34"/>
      <c r="O274" s="34"/>
      <c r="P274" s="34"/>
      <c r="Q274" s="34"/>
      <c r="R274" s="21"/>
    </row>
    <row r="275" customFormat="false" ht="15" hidden="false" customHeight="false" outlineLevel="0" collapsed="false">
      <c r="A275" s="6" t="s">
        <v>1784</v>
      </c>
      <c r="B275" s="35"/>
      <c r="C275" s="34"/>
      <c r="D275" s="34"/>
      <c r="E275" s="21"/>
      <c r="F275" s="21"/>
      <c r="G275" s="21"/>
      <c r="H275" s="21"/>
      <c r="I275" s="34"/>
      <c r="J275" s="34"/>
      <c r="K275" s="34"/>
      <c r="L275" s="34"/>
      <c r="M275" s="34"/>
      <c r="N275" s="34"/>
      <c r="O275" s="34"/>
      <c r="P275" s="34"/>
      <c r="Q275" s="34"/>
      <c r="R275" s="21"/>
    </row>
    <row r="276" customFormat="false" ht="15" hidden="false" customHeight="false" outlineLevel="0" collapsed="false">
      <c r="A276" s="6" t="s">
        <v>1785</v>
      </c>
      <c r="B276" s="35"/>
      <c r="C276" s="34"/>
      <c r="D276" s="34"/>
      <c r="E276" s="21"/>
      <c r="F276" s="21"/>
      <c r="G276" s="21"/>
      <c r="H276" s="21"/>
      <c r="I276" s="34"/>
      <c r="J276" s="34"/>
      <c r="K276" s="34"/>
      <c r="L276" s="34"/>
      <c r="M276" s="34"/>
      <c r="N276" s="34"/>
      <c r="O276" s="34"/>
      <c r="P276" s="34"/>
      <c r="Q276" s="34"/>
      <c r="R276" s="21"/>
    </row>
    <row r="277" customFormat="false" ht="15" hidden="false" customHeight="false" outlineLevel="0" collapsed="false">
      <c r="A277" s="6" t="s">
        <v>1786</v>
      </c>
      <c r="B277" s="35"/>
      <c r="C277" s="34"/>
      <c r="D277" s="34"/>
      <c r="E277" s="21"/>
      <c r="F277" s="21"/>
      <c r="G277" s="21"/>
      <c r="H277" s="21"/>
      <c r="I277" s="34"/>
      <c r="J277" s="34"/>
      <c r="K277" s="34"/>
      <c r="L277" s="34"/>
      <c r="M277" s="34"/>
      <c r="N277" s="34"/>
      <c r="O277" s="34"/>
      <c r="P277" s="34"/>
      <c r="Q277" s="34"/>
      <c r="R277" s="21"/>
    </row>
    <row r="278" customFormat="false" ht="15" hidden="false" customHeight="false" outlineLevel="0" collapsed="false">
      <c r="A278" s="6" t="s">
        <v>1787</v>
      </c>
      <c r="B278" s="35"/>
      <c r="C278" s="34"/>
      <c r="D278" s="34"/>
      <c r="E278" s="21"/>
      <c r="F278" s="21"/>
      <c r="G278" s="21"/>
      <c r="H278" s="21"/>
      <c r="I278" s="34"/>
      <c r="J278" s="34"/>
      <c r="K278" s="34"/>
      <c r="L278" s="34"/>
      <c r="M278" s="34"/>
      <c r="N278" s="34"/>
      <c r="O278" s="34"/>
      <c r="P278" s="34"/>
      <c r="Q278" s="34"/>
      <c r="R278" s="21"/>
    </row>
    <row r="279" customFormat="false" ht="15" hidden="false" customHeight="false" outlineLevel="0" collapsed="false">
      <c r="A279" s="6" t="s">
        <v>1788</v>
      </c>
      <c r="B279" s="35"/>
      <c r="C279" s="34"/>
      <c r="D279" s="34"/>
      <c r="E279" s="21"/>
      <c r="F279" s="21"/>
      <c r="G279" s="21"/>
      <c r="H279" s="21"/>
      <c r="I279" s="34"/>
      <c r="J279" s="34"/>
      <c r="K279" s="34"/>
      <c r="L279" s="34"/>
      <c r="M279" s="34"/>
      <c r="N279" s="34"/>
      <c r="O279" s="34"/>
      <c r="P279" s="34"/>
      <c r="Q279" s="34"/>
      <c r="R279" s="21"/>
    </row>
    <row r="280" customFormat="false" ht="15" hidden="false" customHeight="false" outlineLevel="0" collapsed="false">
      <c r="A280" s="6" t="s">
        <v>1789</v>
      </c>
      <c r="B280" s="35"/>
      <c r="C280" s="34"/>
      <c r="D280" s="34"/>
      <c r="E280" s="21"/>
      <c r="F280" s="21"/>
      <c r="G280" s="21"/>
      <c r="H280" s="21"/>
      <c r="I280" s="34"/>
      <c r="J280" s="34"/>
      <c r="K280" s="34"/>
      <c r="L280" s="34"/>
      <c r="M280" s="34"/>
      <c r="N280" s="34"/>
      <c r="O280" s="34"/>
      <c r="P280" s="34"/>
      <c r="Q280" s="34"/>
      <c r="R280" s="21"/>
    </row>
    <row r="281" customFormat="false" ht="15" hidden="false" customHeight="false" outlineLevel="0" collapsed="false">
      <c r="A281" s="6" t="s">
        <v>1790</v>
      </c>
      <c r="B281" s="35"/>
      <c r="C281" s="34"/>
      <c r="D281" s="34"/>
      <c r="E281" s="21"/>
      <c r="F281" s="21"/>
      <c r="G281" s="21"/>
      <c r="H281" s="21"/>
      <c r="I281" s="34"/>
      <c r="J281" s="34"/>
      <c r="K281" s="34"/>
      <c r="L281" s="34"/>
      <c r="M281" s="34"/>
      <c r="N281" s="34"/>
      <c r="O281" s="34"/>
      <c r="P281" s="34"/>
      <c r="Q281" s="34"/>
      <c r="R281" s="21"/>
    </row>
    <row r="282" customFormat="false" ht="15" hidden="false" customHeight="false" outlineLevel="0" collapsed="false">
      <c r="A282" s="6" t="s">
        <v>1791</v>
      </c>
      <c r="B282" s="35"/>
      <c r="C282" s="34"/>
      <c r="D282" s="34"/>
      <c r="E282" s="21"/>
      <c r="F282" s="21"/>
      <c r="G282" s="21"/>
      <c r="H282" s="21"/>
      <c r="I282" s="34"/>
      <c r="J282" s="34"/>
      <c r="K282" s="34"/>
      <c r="L282" s="34"/>
      <c r="M282" s="34"/>
      <c r="N282" s="34"/>
      <c r="O282" s="34"/>
      <c r="P282" s="34"/>
      <c r="Q282" s="34"/>
      <c r="R282" s="21"/>
    </row>
    <row r="283" customFormat="false" ht="15" hidden="false" customHeight="false" outlineLevel="0" collapsed="false">
      <c r="A283" s="6" t="s">
        <v>1792</v>
      </c>
      <c r="B283" s="35"/>
      <c r="C283" s="34"/>
      <c r="D283" s="34"/>
      <c r="E283" s="21"/>
      <c r="F283" s="21"/>
      <c r="G283" s="21"/>
      <c r="H283" s="21"/>
      <c r="I283" s="34"/>
      <c r="J283" s="34"/>
      <c r="K283" s="34"/>
      <c r="L283" s="34"/>
      <c r="M283" s="34"/>
      <c r="N283" s="34"/>
      <c r="O283" s="34"/>
      <c r="P283" s="34"/>
      <c r="Q283" s="34"/>
      <c r="R283" s="21"/>
    </row>
    <row r="284" customFormat="false" ht="15" hidden="false" customHeight="false" outlineLevel="0" collapsed="false">
      <c r="A284" s="6" t="s">
        <v>1793</v>
      </c>
      <c r="B284" s="35"/>
      <c r="C284" s="34"/>
      <c r="D284" s="34"/>
      <c r="E284" s="21"/>
      <c r="F284" s="21"/>
      <c r="G284" s="21"/>
      <c r="H284" s="21"/>
      <c r="I284" s="34"/>
      <c r="J284" s="34"/>
      <c r="K284" s="34"/>
      <c r="L284" s="34"/>
      <c r="M284" s="34"/>
      <c r="N284" s="34"/>
      <c r="O284" s="34"/>
      <c r="P284" s="34"/>
      <c r="Q284" s="34"/>
      <c r="R284" s="21"/>
    </row>
    <row r="285" customFormat="false" ht="15" hidden="false" customHeight="false" outlineLevel="0" collapsed="false">
      <c r="A285" s="6" t="s">
        <v>1794</v>
      </c>
      <c r="B285" s="35"/>
      <c r="C285" s="34"/>
      <c r="D285" s="34"/>
      <c r="E285" s="21"/>
      <c r="F285" s="21"/>
      <c r="G285" s="21"/>
      <c r="H285" s="21"/>
      <c r="I285" s="34"/>
      <c r="J285" s="34"/>
      <c r="K285" s="34"/>
      <c r="L285" s="34"/>
      <c r="M285" s="34"/>
      <c r="N285" s="34"/>
      <c r="O285" s="34"/>
      <c r="P285" s="34"/>
      <c r="Q285" s="34"/>
      <c r="R285" s="21"/>
    </row>
    <row r="286" customFormat="false" ht="15" hidden="false" customHeight="false" outlineLevel="0" collapsed="false">
      <c r="A286" s="6" t="s">
        <v>1795</v>
      </c>
      <c r="B286" s="35"/>
      <c r="C286" s="34"/>
      <c r="D286" s="34"/>
      <c r="E286" s="21"/>
      <c r="F286" s="21"/>
      <c r="G286" s="21"/>
      <c r="H286" s="21"/>
      <c r="I286" s="34"/>
      <c r="J286" s="34"/>
      <c r="K286" s="34"/>
      <c r="L286" s="34"/>
      <c r="M286" s="34"/>
      <c r="N286" s="34"/>
      <c r="O286" s="34"/>
      <c r="P286" s="34"/>
      <c r="Q286" s="34"/>
      <c r="R286" s="21"/>
    </row>
    <row r="287" customFormat="false" ht="15" hidden="false" customHeight="false" outlineLevel="0" collapsed="false">
      <c r="A287" s="6" t="s">
        <v>1796</v>
      </c>
      <c r="B287" s="35"/>
      <c r="C287" s="34"/>
      <c r="D287" s="34"/>
      <c r="E287" s="21"/>
      <c r="F287" s="21"/>
      <c r="G287" s="21"/>
      <c r="H287" s="21"/>
      <c r="I287" s="34"/>
      <c r="J287" s="34"/>
      <c r="K287" s="34"/>
      <c r="L287" s="34"/>
      <c r="M287" s="34"/>
      <c r="N287" s="34"/>
      <c r="O287" s="34"/>
      <c r="P287" s="34"/>
      <c r="Q287" s="34"/>
      <c r="R287" s="21"/>
    </row>
    <row r="288" customFormat="false" ht="15" hidden="false" customHeight="false" outlineLevel="0" collapsed="false">
      <c r="A288" s="6" t="s">
        <v>1797</v>
      </c>
      <c r="B288" s="35"/>
      <c r="C288" s="34"/>
      <c r="D288" s="34"/>
      <c r="E288" s="21"/>
      <c r="F288" s="21"/>
      <c r="G288" s="21"/>
      <c r="H288" s="21"/>
      <c r="I288" s="34"/>
      <c r="J288" s="34"/>
      <c r="K288" s="34"/>
      <c r="L288" s="34"/>
      <c r="M288" s="34"/>
      <c r="N288" s="34"/>
      <c r="O288" s="34"/>
      <c r="P288" s="34"/>
      <c r="Q288" s="34"/>
      <c r="R288" s="21"/>
    </row>
    <row r="289" customFormat="false" ht="15" hidden="false" customHeight="false" outlineLevel="0" collapsed="false">
      <c r="A289" s="6" t="s">
        <v>1798</v>
      </c>
      <c r="B289" s="35"/>
      <c r="C289" s="34"/>
      <c r="D289" s="34"/>
      <c r="E289" s="21"/>
      <c r="F289" s="21"/>
      <c r="G289" s="21"/>
      <c r="H289" s="21"/>
      <c r="I289" s="34"/>
      <c r="J289" s="34"/>
      <c r="K289" s="34"/>
      <c r="L289" s="34"/>
      <c r="M289" s="34"/>
      <c r="N289" s="34"/>
      <c r="O289" s="34"/>
      <c r="P289" s="34"/>
      <c r="Q289" s="34"/>
      <c r="R289" s="21"/>
    </row>
    <row r="290" customFormat="false" ht="15" hidden="false" customHeight="false" outlineLevel="0" collapsed="false">
      <c r="A290" s="6" t="s">
        <v>1799</v>
      </c>
      <c r="B290" s="35"/>
      <c r="C290" s="34"/>
      <c r="D290" s="34"/>
      <c r="E290" s="21"/>
      <c r="F290" s="21"/>
      <c r="G290" s="21"/>
      <c r="H290" s="21"/>
      <c r="I290" s="34"/>
      <c r="J290" s="34"/>
      <c r="K290" s="34"/>
      <c r="L290" s="34"/>
      <c r="M290" s="34"/>
      <c r="N290" s="34"/>
      <c r="O290" s="34"/>
      <c r="P290" s="34"/>
      <c r="Q290" s="34"/>
      <c r="R290" s="21"/>
    </row>
    <row r="291" customFormat="false" ht="15" hidden="false" customHeight="false" outlineLevel="0" collapsed="false">
      <c r="A291" s="6" t="s">
        <v>1800</v>
      </c>
      <c r="B291" s="35"/>
      <c r="C291" s="34"/>
      <c r="D291" s="34"/>
      <c r="E291" s="21"/>
      <c r="F291" s="21"/>
      <c r="G291" s="21"/>
      <c r="H291" s="21"/>
      <c r="I291" s="34"/>
      <c r="J291" s="34"/>
      <c r="K291" s="34"/>
      <c r="L291" s="34"/>
      <c r="M291" s="34"/>
      <c r="N291" s="34"/>
      <c r="O291" s="34"/>
      <c r="P291" s="34"/>
      <c r="Q291" s="34"/>
      <c r="R291" s="21"/>
    </row>
    <row r="292" customFormat="false" ht="15" hidden="false" customHeight="false" outlineLevel="0" collapsed="false">
      <c r="A292" s="6" t="s">
        <v>1801</v>
      </c>
      <c r="B292" s="35"/>
      <c r="C292" s="34"/>
      <c r="D292" s="34"/>
      <c r="E292" s="21"/>
      <c r="F292" s="21"/>
      <c r="G292" s="21"/>
      <c r="H292" s="21"/>
      <c r="I292" s="34"/>
      <c r="J292" s="34"/>
      <c r="K292" s="34"/>
      <c r="L292" s="34"/>
      <c r="M292" s="34"/>
      <c r="N292" s="34"/>
      <c r="O292" s="34"/>
      <c r="P292" s="34"/>
      <c r="Q292" s="34"/>
      <c r="R292" s="21"/>
    </row>
    <row r="293" customFormat="false" ht="15" hidden="false" customHeight="false" outlineLevel="0" collapsed="false">
      <c r="A293" s="6" t="s">
        <v>1802</v>
      </c>
      <c r="B293" s="35"/>
      <c r="C293" s="34"/>
      <c r="D293" s="34"/>
      <c r="E293" s="21"/>
      <c r="F293" s="21"/>
      <c r="G293" s="21"/>
      <c r="H293" s="21"/>
      <c r="I293" s="34"/>
      <c r="J293" s="34"/>
      <c r="K293" s="34"/>
      <c r="L293" s="34"/>
      <c r="M293" s="34"/>
      <c r="N293" s="34"/>
      <c r="O293" s="34"/>
      <c r="P293" s="34"/>
      <c r="Q293" s="34"/>
      <c r="R293" s="21"/>
    </row>
    <row r="294" customFormat="false" ht="15" hidden="false" customHeight="false" outlineLevel="0" collapsed="false">
      <c r="A294" s="6" t="s">
        <v>1803</v>
      </c>
      <c r="B294" s="35"/>
      <c r="C294" s="34"/>
      <c r="D294" s="34"/>
      <c r="E294" s="21"/>
      <c r="F294" s="21"/>
      <c r="G294" s="21"/>
      <c r="H294" s="21"/>
      <c r="I294" s="34"/>
      <c r="J294" s="34"/>
      <c r="K294" s="34"/>
      <c r="L294" s="34"/>
      <c r="M294" s="34"/>
      <c r="N294" s="34"/>
      <c r="O294" s="34"/>
      <c r="P294" s="34"/>
      <c r="Q294" s="34"/>
      <c r="R294" s="21"/>
    </row>
    <row r="295" customFormat="false" ht="15" hidden="false" customHeight="false" outlineLevel="0" collapsed="false">
      <c r="A295" s="6" t="s">
        <v>1804</v>
      </c>
      <c r="B295" s="35"/>
      <c r="C295" s="34"/>
      <c r="D295" s="34"/>
      <c r="E295" s="21"/>
      <c r="F295" s="21"/>
      <c r="G295" s="21"/>
      <c r="H295" s="21"/>
      <c r="I295" s="34"/>
      <c r="J295" s="34"/>
      <c r="K295" s="34"/>
      <c r="L295" s="34"/>
      <c r="M295" s="34"/>
      <c r="N295" s="34"/>
      <c r="O295" s="34"/>
      <c r="P295" s="34"/>
      <c r="Q295" s="34"/>
      <c r="R295" s="21"/>
    </row>
    <row r="296" customFormat="false" ht="15" hidden="false" customHeight="false" outlineLevel="0" collapsed="false">
      <c r="A296" s="6" t="s">
        <v>1805</v>
      </c>
      <c r="B296" s="35"/>
      <c r="C296" s="34"/>
      <c r="D296" s="34"/>
      <c r="E296" s="21"/>
      <c r="F296" s="21"/>
      <c r="G296" s="21"/>
      <c r="H296" s="21"/>
      <c r="I296" s="34"/>
      <c r="J296" s="34"/>
      <c r="K296" s="34"/>
      <c r="L296" s="34"/>
      <c r="M296" s="34"/>
      <c r="N296" s="34"/>
      <c r="O296" s="34"/>
      <c r="P296" s="34"/>
      <c r="Q296" s="34"/>
      <c r="R296" s="21"/>
    </row>
    <row r="297" customFormat="false" ht="15" hidden="false" customHeight="false" outlineLevel="0" collapsed="false">
      <c r="A297" s="6" t="s">
        <v>1806</v>
      </c>
      <c r="B297" s="35"/>
      <c r="C297" s="34"/>
      <c r="D297" s="34"/>
      <c r="E297" s="21"/>
      <c r="F297" s="21"/>
      <c r="G297" s="21"/>
      <c r="H297" s="21"/>
      <c r="I297" s="34"/>
      <c r="J297" s="34"/>
      <c r="K297" s="34"/>
      <c r="L297" s="34"/>
      <c r="M297" s="34"/>
      <c r="N297" s="34"/>
      <c r="O297" s="34"/>
      <c r="P297" s="34"/>
      <c r="Q297" s="34"/>
      <c r="R297" s="21"/>
    </row>
    <row r="298" customFormat="false" ht="15" hidden="false" customHeight="false" outlineLevel="0" collapsed="false">
      <c r="A298" s="6" t="s">
        <v>1807</v>
      </c>
      <c r="B298" s="35"/>
      <c r="C298" s="34"/>
      <c r="D298" s="34"/>
      <c r="E298" s="21"/>
      <c r="F298" s="21"/>
      <c r="G298" s="21"/>
      <c r="H298" s="21"/>
      <c r="I298" s="34"/>
      <c r="J298" s="34"/>
      <c r="K298" s="34"/>
      <c r="L298" s="34"/>
      <c r="M298" s="34"/>
      <c r="N298" s="34"/>
      <c r="O298" s="34"/>
      <c r="P298" s="34"/>
      <c r="Q298" s="34"/>
      <c r="R298" s="21"/>
    </row>
    <row r="299" customFormat="false" ht="15" hidden="false" customHeight="false" outlineLevel="0" collapsed="false">
      <c r="A299" s="6" t="s">
        <v>1808</v>
      </c>
      <c r="B299" s="35"/>
      <c r="C299" s="34"/>
      <c r="D299" s="34"/>
      <c r="E299" s="21"/>
      <c r="F299" s="21"/>
      <c r="G299" s="21"/>
      <c r="H299" s="21"/>
      <c r="I299" s="34"/>
      <c r="J299" s="34"/>
      <c r="K299" s="34"/>
      <c r="L299" s="34"/>
      <c r="M299" s="34"/>
      <c r="N299" s="34"/>
      <c r="O299" s="34"/>
      <c r="P299" s="34"/>
      <c r="Q299" s="34"/>
      <c r="R299" s="21"/>
    </row>
    <row r="300" customFormat="false" ht="15" hidden="false" customHeight="false" outlineLevel="0" collapsed="false">
      <c r="A300" s="6" t="s">
        <v>1809</v>
      </c>
      <c r="B300" s="35"/>
      <c r="C300" s="34"/>
      <c r="D300" s="34"/>
      <c r="E300" s="21"/>
      <c r="F300" s="21"/>
      <c r="G300" s="21"/>
      <c r="H300" s="21"/>
      <c r="I300" s="34"/>
      <c r="J300" s="34"/>
      <c r="K300" s="34"/>
      <c r="L300" s="34"/>
      <c r="M300" s="34"/>
      <c r="N300" s="34"/>
      <c r="O300" s="34"/>
      <c r="P300" s="34"/>
      <c r="Q300" s="34"/>
      <c r="R300" s="21"/>
    </row>
    <row r="301" customFormat="false" ht="15" hidden="false" customHeight="false" outlineLevel="0" collapsed="false">
      <c r="A301" s="6" t="s">
        <v>1810</v>
      </c>
      <c r="B301" s="35"/>
      <c r="C301" s="34"/>
      <c r="D301" s="34"/>
      <c r="E301" s="21"/>
      <c r="F301" s="21"/>
      <c r="G301" s="21"/>
      <c r="H301" s="21"/>
      <c r="I301" s="34"/>
      <c r="J301" s="34"/>
      <c r="K301" s="34"/>
      <c r="L301" s="34"/>
      <c r="M301" s="34"/>
      <c r="N301" s="34"/>
      <c r="O301" s="34"/>
      <c r="P301" s="34"/>
      <c r="Q301" s="34"/>
      <c r="R301" s="21"/>
    </row>
    <row r="302" customFormat="false" ht="15" hidden="false" customHeight="false" outlineLevel="0" collapsed="false">
      <c r="A302" s="6" t="s">
        <v>1811</v>
      </c>
      <c r="B302" s="35"/>
      <c r="C302" s="34"/>
      <c r="D302" s="34"/>
      <c r="E302" s="21"/>
      <c r="F302" s="21"/>
      <c r="G302" s="21"/>
      <c r="H302" s="21"/>
      <c r="I302" s="34"/>
      <c r="J302" s="34"/>
      <c r="K302" s="34"/>
      <c r="L302" s="34"/>
      <c r="M302" s="34"/>
      <c r="N302" s="34"/>
      <c r="O302" s="34"/>
      <c r="P302" s="34"/>
      <c r="Q302" s="34"/>
      <c r="R302" s="21"/>
    </row>
    <row r="303" customFormat="false" ht="15" hidden="false" customHeight="false" outlineLevel="0" collapsed="false">
      <c r="A303" s="6" t="s">
        <v>1812</v>
      </c>
      <c r="B303" s="35"/>
      <c r="C303" s="34"/>
      <c r="D303" s="34"/>
      <c r="E303" s="21"/>
      <c r="F303" s="21"/>
      <c r="G303" s="21"/>
      <c r="H303" s="21"/>
      <c r="I303" s="34"/>
      <c r="J303" s="34"/>
      <c r="K303" s="34"/>
      <c r="L303" s="34"/>
      <c r="M303" s="34"/>
      <c r="N303" s="34"/>
      <c r="O303" s="34"/>
      <c r="P303" s="34"/>
      <c r="Q303" s="34"/>
      <c r="R303" s="21"/>
    </row>
    <row r="304" customFormat="false" ht="15" hidden="false" customHeight="false" outlineLevel="0" collapsed="false">
      <c r="A304" s="6" t="s">
        <v>1813</v>
      </c>
      <c r="B304" s="35"/>
      <c r="C304" s="34"/>
      <c r="D304" s="34"/>
      <c r="E304" s="21"/>
      <c r="F304" s="21"/>
      <c r="G304" s="21"/>
      <c r="H304" s="21"/>
      <c r="I304" s="34"/>
      <c r="J304" s="34"/>
      <c r="K304" s="34"/>
      <c r="L304" s="34"/>
      <c r="M304" s="34"/>
      <c r="N304" s="34"/>
      <c r="O304" s="34"/>
      <c r="P304" s="34"/>
      <c r="Q304" s="34"/>
      <c r="R304" s="21"/>
    </row>
  </sheetData>
  <autoFilter ref="A4:R304"/>
  <conditionalFormatting sqref="J5:J304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6">
      <formula>"High"</formula>
    </cfRule>
    <cfRule type="cellIs" priority="4" operator="equal" aboveAverage="0" equalAverage="0" bottom="0" percent="0" rank="0" text="" dxfId="2">
      <formula>"Medium"</formula>
    </cfRule>
  </conditionalFormatting>
  <conditionalFormatting sqref="L5:L304">
    <cfRule type="expression" priority="5" aboveAverage="0" equalAverage="0" bottom="0" percent="0" rank="0" text="" dxfId="0">
      <formula>LEFT(L5,6)="Breach"</formula>
    </cfRule>
    <cfRule type="cellIs" priority="6" operator="equal" aboveAverage="0" equalAverage="0" bottom="0" percent="0" rank="0" text="" dxfId="2">
      <formula>"Within Tolerance"</formula>
    </cfRule>
    <cfRule type="cellIs" priority="7" operator="equal" aboveAverage="0" equalAverage="0" bottom="0" percent="0" rank="0" text="" dxfId="1">
      <formula>"Within Appetite"</formula>
    </cfRule>
  </conditionalFormatting>
  <dataValidations count="7">
    <dataValidation allowBlank="true" error="Enter a valid date (e.g. 19-Oct-2026)." errorStyle="stop" operator="greaterThan" showDropDown="false" showErrorMessage="true" showInputMessage="false" sqref="B5:B304" type="date">
      <formula1>DATE(2000,1,1)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C5:C304" type="list">
      <formula1>Lists!$M$4:$M$11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D5:D304" type="list">
      <formula1>Lists!$F$4:$F$14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J5:J304" type="list">
      <formula1>Lists!$N$4:$N$8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K5:K304" type="list">
      <formula1>Lists!$O$4:$O$10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L5:L304" type="list">
      <formula1>Lists!$P$4:$P$8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P5:P304" type="list">
      <formula1>Lists!$A$4:$A$5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AA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4" min="3" style="0" width="18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18"/>
    <col collapsed="false" customWidth="true" hidden="false" outlineLevel="0" max="9" min="9" style="0" width="11"/>
    <col collapsed="false" customWidth="true" hidden="false" outlineLevel="0" max="10" min="10" style="0" width="34"/>
    <col collapsed="false" customWidth="true" hidden="false" outlineLevel="0" max="11" min="11" style="0" width="16"/>
    <col collapsed="false" customWidth="true" hidden="false" outlineLevel="0" max="13" min="12" style="0" width="12"/>
    <col collapsed="false" customWidth="true" hidden="false" outlineLevel="0" max="15" min="14" style="0" width="34"/>
    <col collapsed="false" customWidth="true" hidden="false" outlineLevel="0" max="16" min="16" style="0" width="30"/>
    <col collapsed="false" customWidth="true" hidden="false" outlineLevel="0" max="17" min="17" style="0" width="17"/>
    <col collapsed="false" customWidth="true" hidden="false" outlineLevel="0" max="18" min="18" style="0" width="18"/>
    <col collapsed="false" customWidth="true" hidden="false" outlineLevel="0" max="19" min="19" style="0" width="8"/>
    <col collapsed="false" customWidth="true" hidden="false" outlineLevel="0" max="20" min="20" style="0" width="13"/>
    <col collapsed="false" customWidth="true" hidden="false" outlineLevel="0" max="21" min="21" style="0" width="18"/>
    <col collapsed="false" customWidth="true" hidden="false" outlineLevel="0" max="22" min="22" style="0" width="13"/>
    <col collapsed="false" customWidth="true" hidden="false" outlineLevel="0" max="23" min="23" style="0" width="9"/>
    <col collapsed="false" customWidth="true" hidden="false" outlineLevel="0" max="24" min="24" style="0" width="13"/>
    <col collapsed="false" customWidth="true" hidden="false" outlineLevel="0" max="25" min="25" style="0" width="11"/>
    <col collapsed="false" customWidth="true" hidden="false" outlineLevel="0" max="26" min="26" style="0" width="16"/>
    <col collapsed="false" customWidth="true" hidden="false" outlineLevel="0" max="27" min="27" style="0" width="28"/>
  </cols>
  <sheetData>
    <row r="1" customFormat="false" ht="19.7" hidden="false" customHeight="false" outlineLevel="0" collapsed="false">
      <c r="A1" s="9" t="s">
        <v>1814</v>
      </c>
    </row>
    <row r="2" customFormat="false" ht="15" hidden="false" customHeight="false" outlineLevel="0" collapsed="false">
      <c r="A2" s="2" t="s">
        <v>1815</v>
      </c>
    </row>
    <row r="3" customFormat="false" ht="15" hidden="false" customHeight="false" outlineLevel="0" collapsed="false">
      <c r="A3" s="27" t="s">
        <v>170</v>
      </c>
    </row>
    <row r="4" customFormat="false" ht="42" hidden="false" customHeight="true" outlineLevel="0" collapsed="false">
      <c r="A4" s="28" t="s">
        <v>1816</v>
      </c>
      <c r="B4" s="28" t="s">
        <v>1817</v>
      </c>
      <c r="C4" s="28" t="s">
        <v>1818</v>
      </c>
      <c r="D4" s="28" t="s">
        <v>1819</v>
      </c>
      <c r="E4" s="28" t="s">
        <v>1820</v>
      </c>
      <c r="F4" s="28" t="s">
        <v>1821</v>
      </c>
      <c r="G4" s="28" t="s">
        <v>1822</v>
      </c>
      <c r="H4" s="28" t="s">
        <v>1823</v>
      </c>
      <c r="I4" s="28" t="s">
        <v>1824</v>
      </c>
      <c r="J4" s="28" t="s">
        <v>1825</v>
      </c>
      <c r="K4" s="28" t="s">
        <v>1826</v>
      </c>
      <c r="L4" s="28" t="s">
        <v>1827</v>
      </c>
      <c r="M4" s="28" t="s">
        <v>1828</v>
      </c>
      <c r="N4" s="28" t="s">
        <v>1829</v>
      </c>
      <c r="O4" s="28" t="s">
        <v>1830</v>
      </c>
      <c r="P4" s="28" t="s">
        <v>1831</v>
      </c>
      <c r="Q4" s="28" t="s">
        <v>1497</v>
      </c>
      <c r="R4" s="28" t="s">
        <v>1832</v>
      </c>
      <c r="S4" s="28" t="s">
        <v>1833</v>
      </c>
      <c r="T4" s="28" t="s">
        <v>1834</v>
      </c>
      <c r="U4" s="28" t="s">
        <v>155</v>
      </c>
      <c r="V4" s="28" t="s">
        <v>1835</v>
      </c>
      <c r="W4" s="28" t="s">
        <v>1181</v>
      </c>
      <c r="X4" s="28" t="s">
        <v>1836</v>
      </c>
      <c r="Y4" s="28" t="s">
        <v>1837</v>
      </c>
      <c r="Z4" s="28" t="s">
        <v>1838</v>
      </c>
      <c r="AA4" s="28" t="s">
        <v>518</v>
      </c>
    </row>
    <row r="5" customFormat="false" ht="35.05" hidden="false" customHeight="false" outlineLevel="0" collapsed="false">
      <c r="A5" s="6" t="s">
        <v>1839</v>
      </c>
      <c r="B5" s="32" t="n">
        <v>46309</v>
      </c>
      <c r="C5" s="30" t="s">
        <v>1840</v>
      </c>
      <c r="D5" s="30" t="s">
        <v>1841</v>
      </c>
      <c r="E5" s="29" t="s">
        <v>1842</v>
      </c>
      <c r="F5" s="30" t="s">
        <v>70</v>
      </c>
      <c r="G5" s="30" t="s">
        <v>1843</v>
      </c>
      <c r="H5" s="30" t="s">
        <v>1844</v>
      </c>
      <c r="I5" s="30" t="s">
        <v>531</v>
      </c>
      <c r="J5" s="29" t="s">
        <v>1845</v>
      </c>
      <c r="K5" s="30" t="s">
        <v>1846</v>
      </c>
      <c r="L5" s="30" t="s">
        <v>66</v>
      </c>
      <c r="M5" s="30" t="s">
        <v>1847</v>
      </c>
      <c r="N5" s="29" t="s">
        <v>1848</v>
      </c>
      <c r="O5" s="29" t="s">
        <v>1849</v>
      </c>
      <c r="P5" s="29" t="s">
        <v>1850</v>
      </c>
      <c r="Q5" s="30" t="s">
        <v>1511</v>
      </c>
      <c r="R5" s="30" t="s">
        <v>1851</v>
      </c>
      <c r="S5" s="33" t="n">
        <f aca="false">IF(OR(B5="",L5=""),"",INDEX(Lists!$AB$4:$AB$8,MATCH(L5,Lists!$AA$4:$AA$8,0)))</f>
        <v>15</v>
      </c>
      <c r="T5" s="43" t="n">
        <f aca="false">IF(OR(S5="",ISERROR(S5)),"",B5+S5)</f>
        <v>46324</v>
      </c>
      <c r="U5" s="30" t="s">
        <v>80</v>
      </c>
      <c r="V5" s="35"/>
      <c r="W5" s="33" t="n">
        <f aca="true">IF(B5="","",IF(V5&lt;&gt;"",V5-B5,TODAY()-B5))</f>
        <v>5</v>
      </c>
      <c r="X5" s="38" t="str">
        <f aca="true">IF(OR(B5="",T5="",U5="False Positive",U5="Risk Accepted"),"",IF(V5&lt;&gt;"",IF(V5&gt;T5,"Closed Late","Met"),IF(TODAY()&gt;T5,"SLA BREACH",IF(T5-TODAY()&lt;=7,"Due ≤7d","Within SLA"))))</f>
        <v>Within SLA</v>
      </c>
      <c r="Y5" s="30" t="s">
        <v>529</v>
      </c>
      <c r="Z5" s="34"/>
      <c r="AA5" s="21"/>
    </row>
    <row r="6" customFormat="false" ht="15" hidden="false" customHeight="false" outlineLevel="0" collapsed="false">
      <c r="A6" s="6" t="s">
        <v>1852</v>
      </c>
      <c r="B6" s="35"/>
      <c r="C6" s="34"/>
      <c r="D6" s="34"/>
      <c r="E6" s="21"/>
      <c r="F6" s="34"/>
      <c r="G6" s="34"/>
      <c r="H6" s="34"/>
      <c r="I6" s="34"/>
      <c r="J6" s="21"/>
      <c r="K6" s="34"/>
      <c r="L6" s="34"/>
      <c r="M6" s="34"/>
      <c r="N6" s="21"/>
      <c r="O6" s="21"/>
      <c r="P6" s="21"/>
      <c r="Q6" s="34"/>
      <c r="R6" s="34"/>
      <c r="S6" s="33" t="str">
        <f aca="false">IF(OR(B6="",L6=""),"",INDEX(Lists!$AB$4:$AB$8,MATCH(L6,Lists!$AA$4:$AA$8,0)))</f>
        <v/>
      </c>
      <c r="T6" s="43" t="str">
        <f aca="false">IF(OR(S6="",ISERROR(S6)),"",B6+S6)</f>
        <v/>
      </c>
      <c r="U6" s="34"/>
      <c r="V6" s="35"/>
      <c r="W6" s="33" t="str">
        <f aca="true">IF(B6="","",IF(V6&lt;&gt;"",V6-B6,TODAY()-B6))</f>
        <v/>
      </c>
      <c r="X6" s="38" t="str">
        <f aca="true">IF(OR(B6="",T6="",U6="False Positive",U6="Risk Accepted"),"",IF(V6&lt;&gt;"",IF(V6&gt;T6,"Closed Late","Met"),IF(TODAY()&gt;T6,"SLA BREACH",IF(T6-TODAY()&lt;=7,"Due ≤7d","Within SLA"))))</f>
        <v/>
      </c>
      <c r="Y6" s="34"/>
      <c r="Z6" s="34"/>
      <c r="AA6" s="21"/>
    </row>
    <row r="7" customFormat="false" ht="15" hidden="false" customHeight="false" outlineLevel="0" collapsed="false">
      <c r="A7" s="6" t="s">
        <v>1853</v>
      </c>
      <c r="B7" s="35"/>
      <c r="C7" s="34"/>
      <c r="D7" s="34"/>
      <c r="E7" s="21"/>
      <c r="F7" s="34"/>
      <c r="G7" s="34"/>
      <c r="H7" s="34"/>
      <c r="I7" s="34"/>
      <c r="J7" s="21"/>
      <c r="K7" s="34"/>
      <c r="L7" s="34"/>
      <c r="M7" s="34"/>
      <c r="N7" s="21"/>
      <c r="O7" s="21"/>
      <c r="P7" s="21"/>
      <c r="Q7" s="34"/>
      <c r="R7" s="34"/>
      <c r="S7" s="33" t="str">
        <f aca="false">IF(OR(B7="",L7=""),"",INDEX(Lists!$AB$4:$AB$8,MATCH(L7,Lists!$AA$4:$AA$8,0)))</f>
        <v/>
      </c>
      <c r="T7" s="43" t="str">
        <f aca="false">IF(OR(S7="",ISERROR(S7)),"",B7+S7)</f>
        <v/>
      </c>
      <c r="U7" s="34"/>
      <c r="V7" s="35"/>
      <c r="W7" s="33" t="str">
        <f aca="true">IF(B7="","",IF(V7&lt;&gt;"",V7-B7,TODAY()-B7))</f>
        <v/>
      </c>
      <c r="X7" s="38" t="str">
        <f aca="true">IF(OR(B7="",T7="",U7="False Positive",U7="Risk Accepted"),"",IF(V7&lt;&gt;"",IF(V7&gt;T7,"Closed Late","Met"),IF(TODAY()&gt;T7,"SLA BREACH",IF(T7-TODAY()&lt;=7,"Due ≤7d","Within SLA"))))</f>
        <v/>
      </c>
      <c r="Y7" s="34"/>
      <c r="Z7" s="34"/>
      <c r="AA7" s="21"/>
    </row>
    <row r="8" customFormat="false" ht="15" hidden="false" customHeight="false" outlineLevel="0" collapsed="false">
      <c r="A8" s="6" t="s">
        <v>1854</v>
      </c>
      <c r="B8" s="35"/>
      <c r="C8" s="34"/>
      <c r="D8" s="34"/>
      <c r="E8" s="21"/>
      <c r="F8" s="34"/>
      <c r="G8" s="34"/>
      <c r="H8" s="34"/>
      <c r="I8" s="34"/>
      <c r="J8" s="21"/>
      <c r="K8" s="34"/>
      <c r="L8" s="34"/>
      <c r="M8" s="34"/>
      <c r="N8" s="21"/>
      <c r="O8" s="21"/>
      <c r="P8" s="21"/>
      <c r="Q8" s="34"/>
      <c r="R8" s="34"/>
      <c r="S8" s="33" t="str">
        <f aca="false">IF(OR(B8="",L8=""),"",INDEX(Lists!$AB$4:$AB$8,MATCH(L8,Lists!$AA$4:$AA$8,0)))</f>
        <v/>
      </c>
      <c r="T8" s="43" t="str">
        <f aca="false">IF(OR(S8="",ISERROR(S8)),"",B8+S8)</f>
        <v/>
      </c>
      <c r="U8" s="34"/>
      <c r="V8" s="35"/>
      <c r="W8" s="33" t="str">
        <f aca="true">IF(B8="","",IF(V8&lt;&gt;"",V8-B8,TODAY()-B8))</f>
        <v/>
      </c>
      <c r="X8" s="38" t="str">
        <f aca="true">IF(OR(B8="",T8="",U8="False Positive",U8="Risk Accepted"),"",IF(V8&lt;&gt;"",IF(V8&gt;T8,"Closed Late","Met"),IF(TODAY()&gt;T8,"SLA BREACH",IF(T8-TODAY()&lt;=7,"Due ≤7d","Within SLA"))))</f>
        <v/>
      </c>
      <c r="Y8" s="34"/>
      <c r="Z8" s="34"/>
      <c r="AA8" s="21"/>
    </row>
    <row r="9" customFormat="false" ht="15" hidden="false" customHeight="false" outlineLevel="0" collapsed="false">
      <c r="A9" s="6" t="s">
        <v>1855</v>
      </c>
      <c r="B9" s="35"/>
      <c r="C9" s="34"/>
      <c r="D9" s="34"/>
      <c r="E9" s="21"/>
      <c r="F9" s="34"/>
      <c r="G9" s="34"/>
      <c r="H9" s="34"/>
      <c r="I9" s="34"/>
      <c r="J9" s="21"/>
      <c r="K9" s="34"/>
      <c r="L9" s="34"/>
      <c r="M9" s="34"/>
      <c r="N9" s="21"/>
      <c r="O9" s="21"/>
      <c r="P9" s="21"/>
      <c r="Q9" s="34"/>
      <c r="R9" s="34"/>
      <c r="S9" s="33" t="str">
        <f aca="false">IF(OR(B9="",L9=""),"",INDEX(Lists!$AB$4:$AB$8,MATCH(L9,Lists!$AA$4:$AA$8,0)))</f>
        <v/>
      </c>
      <c r="T9" s="43" t="str">
        <f aca="false">IF(OR(S9="",ISERROR(S9)),"",B9+S9)</f>
        <v/>
      </c>
      <c r="U9" s="34"/>
      <c r="V9" s="35"/>
      <c r="W9" s="33" t="str">
        <f aca="true">IF(B9="","",IF(V9&lt;&gt;"",V9-B9,TODAY()-B9))</f>
        <v/>
      </c>
      <c r="X9" s="38" t="str">
        <f aca="true">IF(OR(B9="",T9="",U9="False Positive",U9="Risk Accepted"),"",IF(V9&lt;&gt;"",IF(V9&gt;T9,"Closed Late","Met"),IF(TODAY()&gt;T9,"SLA BREACH",IF(T9-TODAY()&lt;=7,"Due ≤7d","Within SLA"))))</f>
        <v/>
      </c>
      <c r="Y9" s="34"/>
      <c r="Z9" s="34"/>
      <c r="AA9" s="21"/>
    </row>
    <row r="10" customFormat="false" ht="15" hidden="false" customHeight="false" outlineLevel="0" collapsed="false">
      <c r="A10" s="6" t="s">
        <v>1856</v>
      </c>
      <c r="B10" s="35"/>
      <c r="C10" s="34"/>
      <c r="D10" s="34"/>
      <c r="E10" s="21"/>
      <c r="F10" s="34"/>
      <c r="G10" s="34"/>
      <c r="H10" s="34"/>
      <c r="I10" s="34"/>
      <c r="J10" s="21"/>
      <c r="K10" s="34"/>
      <c r="L10" s="34"/>
      <c r="M10" s="34"/>
      <c r="N10" s="21"/>
      <c r="O10" s="21"/>
      <c r="P10" s="21"/>
      <c r="Q10" s="34"/>
      <c r="R10" s="34"/>
      <c r="S10" s="33" t="str">
        <f aca="false">IF(OR(B10="",L10=""),"",INDEX(Lists!$AB$4:$AB$8,MATCH(L10,Lists!$AA$4:$AA$8,0)))</f>
        <v/>
      </c>
      <c r="T10" s="43" t="str">
        <f aca="false">IF(OR(S10="",ISERROR(S10)),"",B10+S10)</f>
        <v/>
      </c>
      <c r="U10" s="34"/>
      <c r="V10" s="35"/>
      <c r="W10" s="33" t="str">
        <f aca="true">IF(B10="","",IF(V10&lt;&gt;"",V10-B10,TODAY()-B10))</f>
        <v/>
      </c>
      <c r="X10" s="38" t="str">
        <f aca="true">IF(OR(B10="",T10="",U10="False Positive",U10="Risk Accepted"),"",IF(V10&lt;&gt;"",IF(V10&gt;T10,"Closed Late","Met"),IF(TODAY()&gt;T10,"SLA BREACH",IF(T10-TODAY()&lt;=7,"Due ≤7d","Within SLA"))))</f>
        <v/>
      </c>
      <c r="Y10" s="34"/>
      <c r="Z10" s="34"/>
      <c r="AA10" s="21"/>
    </row>
    <row r="11" customFormat="false" ht="15" hidden="false" customHeight="false" outlineLevel="0" collapsed="false">
      <c r="A11" s="6" t="s">
        <v>1857</v>
      </c>
      <c r="B11" s="35"/>
      <c r="C11" s="34"/>
      <c r="D11" s="34"/>
      <c r="E11" s="21"/>
      <c r="F11" s="34"/>
      <c r="G11" s="34"/>
      <c r="H11" s="34"/>
      <c r="I11" s="34"/>
      <c r="J11" s="21"/>
      <c r="K11" s="34"/>
      <c r="L11" s="34"/>
      <c r="M11" s="34"/>
      <c r="N11" s="21"/>
      <c r="O11" s="21"/>
      <c r="P11" s="21"/>
      <c r="Q11" s="34"/>
      <c r="R11" s="34"/>
      <c r="S11" s="33" t="str">
        <f aca="false">IF(OR(B11="",L11=""),"",INDEX(Lists!$AB$4:$AB$8,MATCH(L11,Lists!$AA$4:$AA$8,0)))</f>
        <v/>
      </c>
      <c r="T11" s="43" t="str">
        <f aca="false">IF(OR(S11="",ISERROR(S11)),"",B11+S11)</f>
        <v/>
      </c>
      <c r="U11" s="34"/>
      <c r="V11" s="35"/>
      <c r="W11" s="33" t="str">
        <f aca="true">IF(B11="","",IF(V11&lt;&gt;"",V11-B11,TODAY()-B11))</f>
        <v/>
      </c>
      <c r="X11" s="38" t="str">
        <f aca="true">IF(OR(B11="",T11="",U11="False Positive",U11="Risk Accepted"),"",IF(V11&lt;&gt;"",IF(V11&gt;T11,"Closed Late","Met"),IF(TODAY()&gt;T11,"SLA BREACH",IF(T11-TODAY()&lt;=7,"Due ≤7d","Within SLA"))))</f>
        <v/>
      </c>
      <c r="Y11" s="34"/>
      <c r="Z11" s="34"/>
      <c r="AA11" s="21"/>
    </row>
    <row r="12" customFormat="false" ht="15" hidden="false" customHeight="false" outlineLevel="0" collapsed="false">
      <c r="A12" s="6" t="s">
        <v>1858</v>
      </c>
      <c r="B12" s="35"/>
      <c r="C12" s="34"/>
      <c r="D12" s="34"/>
      <c r="E12" s="21"/>
      <c r="F12" s="34"/>
      <c r="G12" s="34"/>
      <c r="H12" s="34"/>
      <c r="I12" s="34"/>
      <c r="J12" s="21"/>
      <c r="K12" s="34"/>
      <c r="L12" s="34"/>
      <c r="M12" s="34"/>
      <c r="N12" s="21"/>
      <c r="O12" s="21"/>
      <c r="P12" s="21"/>
      <c r="Q12" s="34"/>
      <c r="R12" s="34"/>
      <c r="S12" s="33" t="str">
        <f aca="false">IF(OR(B12="",L12=""),"",INDEX(Lists!$AB$4:$AB$8,MATCH(L12,Lists!$AA$4:$AA$8,0)))</f>
        <v/>
      </c>
      <c r="T12" s="43" t="str">
        <f aca="false">IF(OR(S12="",ISERROR(S12)),"",B12+S12)</f>
        <v/>
      </c>
      <c r="U12" s="34"/>
      <c r="V12" s="35"/>
      <c r="W12" s="33" t="str">
        <f aca="true">IF(B12="","",IF(V12&lt;&gt;"",V12-B12,TODAY()-B12))</f>
        <v/>
      </c>
      <c r="X12" s="38" t="str">
        <f aca="true">IF(OR(B12="",T12="",U12="False Positive",U12="Risk Accepted"),"",IF(V12&lt;&gt;"",IF(V12&gt;T12,"Closed Late","Met"),IF(TODAY()&gt;T12,"SLA BREACH",IF(T12-TODAY()&lt;=7,"Due ≤7d","Within SLA"))))</f>
        <v/>
      </c>
      <c r="Y12" s="34"/>
      <c r="Z12" s="34"/>
      <c r="AA12" s="21"/>
    </row>
    <row r="13" customFormat="false" ht="15" hidden="false" customHeight="false" outlineLevel="0" collapsed="false">
      <c r="A13" s="6" t="s">
        <v>1859</v>
      </c>
      <c r="B13" s="35"/>
      <c r="C13" s="34"/>
      <c r="D13" s="34"/>
      <c r="E13" s="21"/>
      <c r="F13" s="34"/>
      <c r="G13" s="34"/>
      <c r="H13" s="34"/>
      <c r="I13" s="34"/>
      <c r="J13" s="21"/>
      <c r="K13" s="34"/>
      <c r="L13" s="34"/>
      <c r="M13" s="34"/>
      <c r="N13" s="21"/>
      <c r="O13" s="21"/>
      <c r="P13" s="21"/>
      <c r="Q13" s="34"/>
      <c r="R13" s="34"/>
      <c r="S13" s="33" t="str">
        <f aca="false">IF(OR(B13="",L13=""),"",INDEX(Lists!$AB$4:$AB$8,MATCH(L13,Lists!$AA$4:$AA$8,0)))</f>
        <v/>
      </c>
      <c r="T13" s="43" t="str">
        <f aca="false">IF(OR(S13="",ISERROR(S13)),"",B13+S13)</f>
        <v/>
      </c>
      <c r="U13" s="34"/>
      <c r="V13" s="35"/>
      <c r="W13" s="33" t="str">
        <f aca="true">IF(B13="","",IF(V13&lt;&gt;"",V13-B13,TODAY()-B13))</f>
        <v/>
      </c>
      <c r="X13" s="38" t="str">
        <f aca="true">IF(OR(B13="",T13="",U13="False Positive",U13="Risk Accepted"),"",IF(V13&lt;&gt;"",IF(V13&gt;T13,"Closed Late","Met"),IF(TODAY()&gt;T13,"SLA BREACH",IF(T13-TODAY()&lt;=7,"Due ≤7d","Within SLA"))))</f>
        <v/>
      </c>
      <c r="Y13" s="34"/>
      <c r="Z13" s="34"/>
      <c r="AA13" s="21"/>
    </row>
    <row r="14" customFormat="false" ht="15" hidden="false" customHeight="false" outlineLevel="0" collapsed="false">
      <c r="A14" s="6" t="s">
        <v>1860</v>
      </c>
      <c r="B14" s="35"/>
      <c r="C14" s="34"/>
      <c r="D14" s="34"/>
      <c r="E14" s="21"/>
      <c r="F14" s="34"/>
      <c r="G14" s="34"/>
      <c r="H14" s="34"/>
      <c r="I14" s="34"/>
      <c r="J14" s="21"/>
      <c r="K14" s="34"/>
      <c r="L14" s="34"/>
      <c r="M14" s="34"/>
      <c r="N14" s="21"/>
      <c r="O14" s="21"/>
      <c r="P14" s="21"/>
      <c r="Q14" s="34"/>
      <c r="R14" s="34"/>
      <c r="S14" s="33" t="str">
        <f aca="false">IF(OR(B14="",L14=""),"",INDEX(Lists!$AB$4:$AB$8,MATCH(L14,Lists!$AA$4:$AA$8,0)))</f>
        <v/>
      </c>
      <c r="T14" s="43" t="str">
        <f aca="false">IF(OR(S14="",ISERROR(S14)),"",B14+S14)</f>
        <v/>
      </c>
      <c r="U14" s="34"/>
      <c r="V14" s="35"/>
      <c r="W14" s="33" t="str">
        <f aca="true">IF(B14="","",IF(V14&lt;&gt;"",V14-B14,TODAY()-B14))</f>
        <v/>
      </c>
      <c r="X14" s="38" t="str">
        <f aca="true">IF(OR(B14="",T14="",U14="False Positive",U14="Risk Accepted"),"",IF(V14&lt;&gt;"",IF(V14&gt;T14,"Closed Late","Met"),IF(TODAY()&gt;T14,"SLA BREACH",IF(T14-TODAY()&lt;=7,"Due ≤7d","Within SLA"))))</f>
        <v/>
      </c>
      <c r="Y14" s="34"/>
      <c r="Z14" s="34"/>
      <c r="AA14" s="21"/>
    </row>
    <row r="15" customFormat="false" ht="15" hidden="false" customHeight="false" outlineLevel="0" collapsed="false">
      <c r="A15" s="6" t="s">
        <v>1861</v>
      </c>
      <c r="B15" s="35"/>
      <c r="C15" s="34"/>
      <c r="D15" s="34"/>
      <c r="E15" s="21"/>
      <c r="F15" s="34"/>
      <c r="G15" s="34"/>
      <c r="H15" s="34"/>
      <c r="I15" s="34"/>
      <c r="J15" s="21"/>
      <c r="K15" s="34"/>
      <c r="L15" s="34"/>
      <c r="M15" s="34"/>
      <c r="N15" s="21"/>
      <c r="O15" s="21"/>
      <c r="P15" s="21"/>
      <c r="Q15" s="34"/>
      <c r="R15" s="34"/>
      <c r="S15" s="33" t="str">
        <f aca="false">IF(OR(B15="",L15=""),"",INDEX(Lists!$AB$4:$AB$8,MATCH(L15,Lists!$AA$4:$AA$8,0)))</f>
        <v/>
      </c>
      <c r="T15" s="43" t="str">
        <f aca="false">IF(OR(S15="",ISERROR(S15)),"",B15+S15)</f>
        <v/>
      </c>
      <c r="U15" s="34"/>
      <c r="V15" s="35"/>
      <c r="W15" s="33" t="str">
        <f aca="true">IF(B15="","",IF(V15&lt;&gt;"",V15-B15,TODAY()-B15))</f>
        <v/>
      </c>
      <c r="X15" s="38" t="str">
        <f aca="true">IF(OR(B15="",T15="",U15="False Positive",U15="Risk Accepted"),"",IF(V15&lt;&gt;"",IF(V15&gt;T15,"Closed Late","Met"),IF(TODAY()&gt;T15,"SLA BREACH",IF(T15-TODAY()&lt;=7,"Due ≤7d","Within SLA"))))</f>
        <v/>
      </c>
      <c r="Y15" s="34"/>
      <c r="Z15" s="34"/>
      <c r="AA15" s="21"/>
    </row>
    <row r="16" customFormat="false" ht="15" hidden="false" customHeight="false" outlineLevel="0" collapsed="false">
      <c r="A16" s="6" t="s">
        <v>1862</v>
      </c>
      <c r="B16" s="35"/>
      <c r="C16" s="34"/>
      <c r="D16" s="34"/>
      <c r="E16" s="21"/>
      <c r="F16" s="34"/>
      <c r="G16" s="34"/>
      <c r="H16" s="34"/>
      <c r="I16" s="34"/>
      <c r="J16" s="21"/>
      <c r="K16" s="34"/>
      <c r="L16" s="34"/>
      <c r="M16" s="34"/>
      <c r="N16" s="21"/>
      <c r="O16" s="21"/>
      <c r="P16" s="21"/>
      <c r="Q16" s="34"/>
      <c r="R16" s="34"/>
      <c r="S16" s="33" t="str">
        <f aca="false">IF(OR(B16="",L16=""),"",INDEX(Lists!$AB$4:$AB$8,MATCH(L16,Lists!$AA$4:$AA$8,0)))</f>
        <v/>
      </c>
      <c r="T16" s="43" t="str">
        <f aca="false">IF(OR(S16="",ISERROR(S16)),"",B16+S16)</f>
        <v/>
      </c>
      <c r="U16" s="34"/>
      <c r="V16" s="35"/>
      <c r="W16" s="33" t="str">
        <f aca="true">IF(B16="","",IF(V16&lt;&gt;"",V16-B16,TODAY()-B16))</f>
        <v/>
      </c>
      <c r="X16" s="38" t="str">
        <f aca="true">IF(OR(B16="",T16="",U16="False Positive",U16="Risk Accepted"),"",IF(V16&lt;&gt;"",IF(V16&gt;T16,"Closed Late","Met"),IF(TODAY()&gt;T16,"SLA BREACH",IF(T16-TODAY()&lt;=7,"Due ≤7d","Within SLA"))))</f>
        <v/>
      </c>
      <c r="Y16" s="34"/>
      <c r="Z16" s="34"/>
      <c r="AA16" s="21"/>
    </row>
    <row r="17" customFormat="false" ht="15" hidden="false" customHeight="false" outlineLevel="0" collapsed="false">
      <c r="A17" s="6" t="s">
        <v>1863</v>
      </c>
      <c r="B17" s="35"/>
      <c r="C17" s="34"/>
      <c r="D17" s="34"/>
      <c r="E17" s="21"/>
      <c r="F17" s="34"/>
      <c r="G17" s="34"/>
      <c r="H17" s="34"/>
      <c r="I17" s="34"/>
      <c r="J17" s="21"/>
      <c r="K17" s="34"/>
      <c r="L17" s="34"/>
      <c r="M17" s="34"/>
      <c r="N17" s="21"/>
      <c r="O17" s="21"/>
      <c r="P17" s="21"/>
      <c r="Q17" s="34"/>
      <c r="R17" s="34"/>
      <c r="S17" s="33" t="str">
        <f aca="false">IF(OR(B17="",L17=""),"",INDEX(Lists!$AB$4:$AB$8,MATCH(L17,Lists!$AA$4:$AA$8,0)))</f>
        <v/>
      </c>
      <c r="T17" s="43" t="str">
        <f aca="false">IF(OR(S17="",ISERROR(S17)),"",B17+S17)</f>
        <v/>
      </c>
      <c r="U17" s="34"/>
      <c r="V17" s="35"/>
      <c r="W17" s="33" t="str">
        <f aca="true">IF(B17="","",IF(V17&lt;&gt;"",V17-B17,TODAY()-B17))</f>
        <v/>
      </c>
      <c r="X17" s="38" t="str">
        <f aca="true">IF(OR(B17="",T17="",U17="False Positive",U17="Risk Accepted"),"",IF(V17&lt;&gt;"",IF(V17&gt;T17,"Closed Late","Met"),IF(TODAY()&gt;T17,"SLA BREACH",IF(T17-TODAY()&lt;=7,"Due ≤7d","Within SLA"))))</f>
        <v/>
      </c>
      <c r="Y17" s="34"/>
      <c r="Z17" s="34"/>
      <c r="AA17" s="21"/>
    </row>
    <row r="18" customFormat="false" ht="15" hidden="false" customHeight="false" outlineLevel="0" collapsed="false">
      <c r="A18" s="6" t="s">
        <v>1864</v>
      </c>
      <c r="B18" s="35"/>
      <c r="C18" s="34"/>
      <c r="D18" s="34"/>
      <c r="E18" s="21"/>
      <c r="F18" s="34"/>
      <c r="G18" s="34"/>
      <c r="H18" s="34"/>
      <c r="I18" s="34"/>
      <c r="J18" s="21"/>
      <c r="K18" s="34"/>
      <c r="L18" s="34"/>
      <c r="M18" s="34"/>
      <c r="N18" s="21"/>
      <c r="O18" s="21"/>
      <c r="P18" s="21"/>
      <c r="Q18" s="34"/>
      <c r="R18" s="34"/>
      <c r="S18" s="33" t="str">
        <f aca="false">IF(OR(B18="",L18=""),"",INDEX(Lists!$AB$4:$AB$8,MATCH(L18,Lists!$AA$4:$AA$8,0)))</f>
        <v/>
      </c>
      <c r="T18" s="43" t="str">
        <f aca="false">IF(OR(S18="",ISERROR(S18)),"",B18+S18)</f>
        <v/>
      </c>
      <c r="U18" s="34"/>
      <c r="V18" s="35"/>
      <c r="W18" s="33" t="str">
        <f aca="true">IF(B18="","",IF(V18&lt;&gt;"",V18-B18,TODAY()-B18))</f>
        <v/>
      </c>
      <c r="X18" s="38" t="str">
        <f aca="true">IF(OR(B18="",T18="",U18="False Positive",U18="Risk Accepted"),"",IF(V18&lt;&gt;"",IF(V18&gt;T18,"Closed Late","Met"),IF(TODAY()&gt;T18,"SLA BREACH",IF(T18-TODAY()&lt;=7,"Due ≤7d","Within SLA"))))</f>
        <v/>
      </c>
      <c r="Y18" s="34"/>
      <c r="Z18" s="34"/>
      <c r="AA18" s="21"/>
    </row>
    <row r="19" customFormat="false" ht="15" hidden="false" customHeight="false" outlineLevel="0" collapsed="false">
      <c r="A19" s="6" t="s">
        <v>1865</v>
      </c>
      <c r="B19" s="35"/>
      <c r="C19" s="34"/>
      <c r="D19" s="34"/>
      <c r="E19" s="21"/>
      <c r="F19" s="34"/>
      <c r="G19" s="34"/>
      <c r="H19" s="34"/>
      <c r="I19" s="34"/>
      <c r="J19" s="21"/>
      <c r="K19" s="34"/>
      <c r="L19" s="34"/>
      <c r="M19" s="34"/>
      <c r="N19" s="21"/>
      <c r="O19" s="21"/>
      <c r="P19" s="21"/>
      <c r="Q19" s="34"/>
      <c r="R19" s="34"/>
      <c r="S19" s="33" t="str">
        <f aca="false">IF(OR(B19="",L19=""),"",INDEX(Lists!$AB$4:$AB$8,MATCH(L19,Lists!$AA$4:$AA$8,0)))</f>
        <v/>
      </c>
      <c r="T19" s="43" t="str">
        <f aca="false">IF(OR(S19="",ISERROR(S19)),"",B19+S19)</f>
        <v/>
      </c>
      <c r="U19" s="34"/>
      <c r="V19" s="35"/>
      <c r="W19" s="33" t="str">
        <f aca="true">IF(B19="","",IF(V19&lt;&gt;"",V19-B19,TODAY()-B19))</f>
        <v/>
      </c>
      <c r="X19" s="38" t="str">
        <f aca="true">IF(OR(B19="",T19="",U19="False Positive",U19="Risk Accepted"),"",IF(V19&lt;&gt;"",IF(V19&gt;T19,"Closed Late","Met"),IF(TODAY()&gt;T19,"SLA BREACH",IF(T19-TODAY()&lt;=7,"Due ≤7d","Within SLA"))))</f>
        <v/>
      </c>
      <c r="Y19" s="34"/>
      <c r="Z19" s="34"/>
      <c r="AA19" s="21"/>
    </row>
    <row r="20" customFormat="false" ht="15" hidden="false" customHeight="false" outlineLevel="0" collapsed="false">
      <c r="A20" s="6" t="s">
        <v>1866</v>
      </c>
      <c r="B20" s="35"/>
      <c r="C20" s="34"/>
      <c r="D20" s="34"/>
      <c r="E20" s="21"/>
      <c r="F20" s="34"/>
      <c r="G20" s="34"/>
      <c r="H20" s="34"/>
      <c r="I20" s="34"/>
      <c r="J20" s="21"/>
      <c r="K20" s="34"/>
      <c r="L20" s="34"/>
      <c r="M20" s="34"/>
      <c r="N20" s="21"/>
      <c r="O20" s="21"/>
      <c r="P20" s="21"/>
      <c r="Q20" s="34"/>
      <c r="R20" s="34"/>
      <c r="S20" s="33" t="str">
        <f aca="false">IF(OR(B20="",L20=""),"",INDEX(Lists!$AB$4:$AB$8,MATCH(L20,Lists!$AA$4:$AA$8,0)))</f>
        <v/>
      </c>
      <c r="T20" s="43" t="str">
        <f aca="false">IF(OR(S20="",ISERROR(S20)),"",B20+S20)</f>
        <v/>
      </c>
      <c r="U20" s="34"/>
      <c r="V20" s="35"/>
      <c r="W20" s="33" t="str">
        <f aca="true">IF(B20="","",IF(V20&lt;&gt;"",V20-B20,TODAY()-B20))</f>
        <v/>
      </c>
      <c r="X20" s="38" t="str">
        <f aca="true">IF(OR(B20="",T20="",U20="False Positive",U20="Risk Accepted"),"",IF(V20&lt;&gt;"",IF(V20&gt;T20,"Closed Late","Met"),IF(TODAY()&gt;T20,"SLA BREACH",IF(T20-TODAY()&lt;=7,"Due ≤7d","Within SLA"))))</f>
        <v/>
      </c>
      <c r="Y20" s="34"/>
      <c r="Z20" s="34"/>
      <c r="AA20" s="21"/>
    </row>
    <row r="21" customFormat="false" ht="15" hidden="false" customHeight="false" outlineLevel="0" collapsed="false">
      <c r="A21" s="6" t="s">
        <v>1867</v>
      </c>
      <c r="B21" s="35"/>
      <c r="C21" s="34"/>
      <c r="D21" s="34"/>
      <c r="E21" s="21"/>
      <c r="F21" s="34"/>
      <c r="G21" s="34"/>
      <c r="H21" s="34"/>
      <c r="I21" s="34"/>
      <c r="J21" s="21"/>
      <c r="K21" s="34"/>
      <c r="L21" s="34"/>
      <c r="M21" s="34"/>
      <c r="N21" s="21"/>
      <c r="O21" s="21"/>
      <c r="P21" s="21"/>
      <c r="Q21" s="34"/>
      <c r="R21" s="34"/>
      <c r="S21" s="33" t="str">
        <f aca="false">IF(OR(B21="",L21=""),"",INDEX(Lists!$AB$4:$AB$8,MATCH(L21,Lists!$AA$4:$AA$8,0)))</f>
        <v/>
      </c>
      <c r="T21" s="43" t="str">
        <f aca="false">IF(OR(S21="",ISERROR(S21)),"",B21+S21)</f>
        <v/>
      </c>
      <c r="U21" s="34"/>
      <c r="V21" s="35"/>
      <c r="W21" s="33" t="str">
        <f aca="true">IF(B21="","",IF(V21&lt;&gt;"",V21-B21,TODAY()-B21))</f>
        <v/>
      </c>
      <c r="X21" s="38" t="str">
        <f aca="true">IF(OR(B21="",T21="",U21="False Positive",U21="Risk Accepted"),"",IF(V21&lt;&gt;"",IF(V21&gt;T21,"Closed Late","Met"),IF(TODAY()&gt;T21,"SLA BREACH",IF(T21-TODAY()&lt;=7,"Due ≤7d","Within SLA"))))</f>
        <v/>
      </c>
      <c r="Y21" s="34"/>
      <c r="Z21" s="34"/>
      <c r="AA21" s="21"/>
    </row>
    <row r="22" customFormat="false" ht="15" hidden="false" customHeight="false" outlineLevel="0" collapsed="false">
      <c r="A22" s="6" t="s">
        <v>1868</v>
      </c>
      <c r="B22" s="35"/>
      <c r="C22" s="34"/>
      <c r="D22" s="34"/>
      <c r="E22" s="21"/>
      <c r="F22" s="34"/>
      <c r="G22" s="34"/>
      <c r="H22" s="34"/>
      <c r="I22" s="34"/>
      <c r="J22" s="21"/>
      <c r="K22" s="34"/>
      <c r="L22" s="34"/>
      <c r="M22" s="34"/>
      <c r="N22" s="21"/>
      <c r="O22" s="21"/>
      <c r="P22" s="21"/>
      <c r="Q22" s="34"/>
      <c r="R22" s="34"/>
      <c r="S22" s="33" t="str">
        <f aca="false">IF(OR(B22="",L22=""),"",INDEX(Lists!$AB$4:$AB$8,MATCH(L22,Lists!$AA$4:$AA$8,0)))</f>
        <v/>
      </c>
      <c r="T22" s="43" t="str">
        <f aca="false">IF(OR(S22="",ISERROR(S22)),"",B22+S22)</f>
        <v/>
      </c>
      <c r="U22" s="34"/>
      <c r="V22" s="35"/>
      <c r="W22" s="33" t="str">
        <f aca="true">IF(B22="","",IF(V22&lt;&gt;"",V22-B22,TODAY()-B22))</f>
        <v/>
      </c>
      <c r="X22" s="38" t="str">
        <f aca="true">IF(OR(B22="",T22="",U22="False Positive",U22="Risk Accepted"),"",IF(V22&lt;&gt;"",IF(V22&gt;T22,"Closed Late","Met"),IF(TODAY()&gt;T22,"SLA BREACH",IF(T22-TODAY()&lt;=7,"Due ≤7d","Within SLA"))))</f>
        <v/>
      </c>
      <c r="Y22" s="34"/>
      <c r="Z22" s="34"/>
      <c r="AA22" s="21"/>
    </row>
    <row r="23" customFormat="false" ht="15" hidden="false" customHeight="false" outlineLevel="0" collapsed="false">
      <c r="A23" s="6" t="s">
        <v>1869</v>
      </c>
      <c r="B23" s="35"/>
      <c r="C23" s="34"/>
      <c r="D23" s="34"/>
      <c r="E23" s="21"/>
      <c r="F23" s="34"/>
      <c r="G23" s="34"/>
      <c r="H23" s="34"/>
      <c r="I23" s="34"/>
      <c r="J23" s="21"/>
      <c r="K23" s="34"/>
      <c r="L23" s="34"/>
      <c r="M23" s="34"/>
      <c r="N23" s="21"/>
      <c r="O23" s="21"/>
      <c r="P23" s="21"/>
      <c r="Q23" s="34"/>
      <c r="R23" s="34"/>
      <c r="S23" s="33" t="str">
        <f aca="false">IF(OR(B23="",L23=""),"",INDEX(Lists!$AB$4:$AB$8,MATCH(L23,Lists!$AA$4:$AA$8,0)))</f>
        <v/>
      </c>
      <c r="T23" s="43" t="str">
        <f aca="false">IF(OR(S23="",ISERROR(S23)),"",B23+S23)</f>
        <v/>
      </c>
      <c r="U23" s="34"/>
      <c r="V23" s="35"/>
      <c r="W23" s="33" t="str">
        <f aca="true">IF(B23="","",IF(V23&lt;&gt;"",V23-B23,TODAY()-B23))</f>
        <v/>
      </c>
      <c r="X23" s="38" t="str">
        <f aca="true">IF(OR(B23="",T23="",U23="False Positive",U23="Risk Accepted"),"",IF(V23&lt;&gt;"",IF(V23&gt;T23,"Closed Late","Met"),IF(TODAY()&gt;T23,"SLA BREACH",IF(T23-TODAY()&lt;=7,"Due ≤7d","Within SLA"))))</f>
        <v/>
      </c>
      <c r="Y23" s="34"/>
      <c r="Z23" s="34"/>
      <c r="AA23" s="21"/>
    </row>
    <row r="24" customFormat="false" ht="15" hidden="false" customHeight="false" outlineLevel="0" collapsed="false">
      <c r="A24" s="6" t="s">
        <v>1870</v>
      </c>
      <c r="B24" s="35"/>
      <c r="C24" s="34"/>
      <c r="D24" s="34"/>
      <c r="E24" s="21"/>
      <c r="F24" s="34"/>
      <c r="G24" s="34"/>
      <c r="H24" s="34"/>
      <c r="I24" s="34"/>
      <c r="J24" s="21"/>
      <c r="K24" s="34"/>
      <c r="L24" s="34"/>
      <c r="M24" s="34"/>
      <c r="N24" s="21"/>
      <c r="O24" s="21"/>
      <c r="P24" s="21"/>
      <c r="Q24" s="34"/>
      <c r="R24" s="34"/>
      <c r="S24" s="33" t="str">
        <f aca="false">IF(OR(B24="",L24=""),"",INDEX(Lists!$AB$4:$AB$8,MATCH(L24,Lists!$AA$4:$AA$8,0)))</f>
        <v/>
      </c>
      <c r="T24" s="43" t="str">
        <f aca="false">IF(OR(S24="",ISERROR(S24)),"",B24+S24)</f>
        <v/>
      </c>
      <c r="U24" s="34"/>
      <c r="V24" s="35"/>
      <c r="W24" s="33" t="str">
        <f aca="true">IF(B24="","",IF(V24&lt;&gt;"",V24-B24,TODAY()-B24))</f>
        <v/>
      </c>
      <c r="X24" s="38" t="str">
        <f aca="true">IF(OR(B24="",T24="",U24="False Positive",U24="Risk Accepted"),"",IF(V24&lt;&gt;"",IF(V24&gt;T24,"Closed Late","Met"),IF(TODAY()&gt;T24,"SLA BREACH",IF(T24-TODAY()&lt;=7,"Due ≤7d","Within SLA"))))</f>
        <v/>
      </c>
      <c r="Y24" s="34"/>
      <c r="Z24" s="34"/>
      <c r="AA24" s="21"/>
    </row>
    <row r="25" customFormat="false" ht="15" hidden="false" customHeight="false" outlineLevel="0" collapsed="false">
      <c r="A25" s="6" t="s">
        <v>1871</v>
      </c>
      <c r="B25" s="35"/>
      <c r="C25" s="34"/>
      <c r="D25" s="34"/>
      <c r="E25" s="21"/>
      <c r="F25" s="34"/>
      <c r="G25" s="34"/>
      <c r="H25" s="34"/>
      <c r="I25" s="34"/>
      <c r="J25" s="21"/>
      <c r="K25" s="34"/>
      <c r="L25" s="34"/>
      <c r="M25" s="34"/>
      <c r="N25" s="21"/>
      <c r="O25" s="21"/>
      <c r="P25" s="21"/>
      <c r="Q25" s="34"/>
      <c r="R25" s="34"/>
      <c r="S25" s="33" t="str">
        <f aca="false">IF(OR(B25="",L25=""),"",INDEX(Lists!$AB$4:$AB$8,MATCH(L25,Lists!$AA$4:$AA$8,0)))</f>
        <v/>
      </c>
      <c r="T25" s="43" t="str">
        <f aca="false">IF(OR(S25="",ISERROR(S25)),"",B25+S25)</f>
        <v/>
      </c>
      <c r="U25" s="34"/>
      <c r="V25" s="35"/>
      <c r="W25" s="33" t="str">
        <f aca="true">IF(B25="","",IF(V25&lt;&gt;"",V25-B25,TODAY()-B25))</f>
        <v/>
      </c>
      <c r="X25" s="38" t="str">
        <f aca="true">IF(OR(B25="",T25="",U25="False Positive",U25="Risk Accepted"),"",IF(V25&lt;&gt;"",IF(V25&gt;T25,"Closed Late","Met"),IF(TODAY()&gt;T25,"SLA BREACH",IF(T25-TODAY()&lt;=7,"Due ≤7d","Within SLA"))))</f>
        <v/>
      </c>
      <c r="Y25" s="34"/>
      <c r="Z25" s="34"/>
      <c r="AA25" s="21"/>
    </row>
    <row r="26" customFormat="false" ht="15" hidden="false" customHeight="false" outlineLevel="0" collapsed="false">
      <c r="A26" s="6" t="s">
        <v>1872</v>
      </c>
      <c r="B26" s="35"/>
      <c r="C26" s="34"/>
      <c r="D26" s="34"/>
      <c r="E26" s="21"/>
      <c r="F26" s="34"/>
      <c r="G26" s="34"/>
      <c r="H26" s="34"/>
      <c r="I26" s="34"/>
      <c r="J26" s="21"/>
      <c r="K26" s="34"/>
      <c r="L26" s="34"/>
      <c r="M26" s="34"/>
      <c r="N26" s="21"/>
      <c r="O26" s="21"/>
      <c r="P26" s="21"/>
      <c r="Q26" s="34"/>
      <c r="R26" s="34"/>
      <c r="S26" s="33" t="str">
        <f aca="false">IF(OR(B26="",L26=""),"",INDEX(Lists!$AB$4:$AB$8,MATCH(L26,Lists!$AA$4:$AA$8,0)))</f>
        <v/>
      </c>
      <c r="T26" s="43" t="str">
        <f aca="false">IF(OR(S26="",ISERROR(S26)),"",B26+S26)</f>
        <v/>
      </c>
      <c r="U26" s="34"/>
      <c r="V26" s="35"/>
      <c r="W26" s="33" t="str">
        <f aca="true">IF(B26="","",IF(V26&lt;&gt;"",V26-B26,TODAY()-B26))</f>
        <v/>
      </c>
      <c r="X26" s="38" t="str">
        <f aca="true">IF(OR(B26="",T26="",U26="False Positive",U26="Risk Accepted"),"",IF(V26&lt;&gt;"",IF(V26&gt;T26,"Closed Late","Met"),IF(TODAY()&gt;T26,"SLA BREACH",IF(T26-TODAY()&lt;=7,"Due ≤7d","Within SLA"))))</f>
        <v/>
      </c>
      <c r="Y26" s="34"/>
      <c r="Z26" s="34"/>
      <c r="AA26" s="21"/>
    </row>
    <row r="27" customFormat="false" ht="15" hidden="false" customHeight="false" outlineLevel="0" collapsed="false">
      <c r="A27" s="6" t="s">
        <v>1873</v>
      </c>
      <c r="B27" s="35"/>
      <c r="C27" s="34"/>
      <c r="D27" s="34"/>
      <c r="E27" s="21"/>
      <c r="F27" s="34"/>
      <c r="G27" s="34"/>
      <c r="H27" s="34"/>
      <c r="I27" s="34"/>
      <c r="J27" s="21"/>
      <c r="K27" s="34"/>
      <c r="L27" s="34"/>
      <c r="M27" s="34"/>
      <c r="N27" s="21"/>
      <c r="O27" s="21"/>
      <c r="P27" s="21"/>
      <c r="Q27" s="34"/>
      <c r="R27" s="34"/>
      <c r="S27" s="33" t="str">
        <f aca="false">IF(OR(B27="",L27=""),"",INDEX(Lists!$AB$4:$AB$8,MATCH(L27,Lists!$AA$4:$AA$8,0)))</f>
        <v/>
      </c>
      <c r="T27" s="43" t="str">
        <f aca="false">IF(OR(S27="",ISERROR(S27)),"",B27+S27)</f>
        <v/>
      </c>
      <c r="U27" s="34"/>
      <c r="V27" s="35"/>
      <c r="W27" s="33" t="str">
        <f aca="true">IF(B27="","",IF(V27&lt;&gt;"",V27-B27,TODAY()-B27))</f>
        <v/>
      </c>
      <c r="X27" s="38" t="str">
        <f aca="true">IF(OR(B27="",T27="",U27="False Positive",U27="Risk Accepted"),"",IF(V27&lt;&gt;"",IF(V27&gt;T27,"Closed Late","Met"),IF(TODAY()&gt;T27,"SLA BREACH",IF(T27-TODAY()&lt;=7,"Due ≤7d","Within SLA"))))</f>
        <v/>
      </c>
      <c r="Y27" s="34"/>
      <c r="Z27" s="34"/>
      <c r="AA27" s="21"/>
    </row>
    <row r="28" customFormat="false" ht="15" hidden="false" customHeight="false" outlineLevel="0" collapsed="false">
      <c r="A28" s="6" t="s">
        <v>1874</v>
      </c>
      <c r="B28" s="35"/>
      <c r="C28" s="34"/>
      <c r="D28" s="34"/>
      <c r="E28" s="21"/>
      <c r="F28" s="34"/>
      <c r="G28" s="34"/>
      <c r="H28" s="34"/>
      <c r="I28" s="34"/>
      <c r="J28" s="21"/>
      <c r="K28" s="34"/>
      <c r="L28" s="34"/>
      <c r="M28" s="34"/>
      <c r="N28" s="21"/>
      <c r="O28" s="21"/>
      <c r="P28" s="21"/>
      <c r="Q28" s="34"/>
      <c r="R28" s="34"/>
      <c r="S28" s="33" t="str">
        <f aca="false">IF(OR(B28="",L28=""),"",INDEX(Lists!$AB$4:$AB$8,MATCH(L28,Lists!$AA$4:$AA$8,0)))</f>
        <v/>
      </c>
      <c r="T28" s="43" t="str">
        <f aca="false">IF(OR(S28="",ISERROR(S28)),"",B28+S28)</f>
        <v/>
      </c>
      <c r="U28" s="34"/>
      <c r="V28" s="35"/>
      <c r="W28" s="33" t="str">
        <f aca="true">IF(B28="","",IF(V28&lt;&gt;"",V28-B28,TODAY()-B28))</f>
        <v/>
      </c>
      <c r="X28" s="38" t="str">
        <f aca="true">IF(OR(B28="",T28="",U28="False Positive",U28="Risk Accepted"),"",IF(V28&lt;&gt;"",IF(V28&gt;T28,"Closed Late","Met"),IF(TODAY()&gt;T28,"SLA BREACH",IF(T28-TODAY()&lt;=7,"Due ≤7d","Within SLA"))))</f>
        <v/>
      </c>
      <c r="Y28" s="34"/>
      <c r="Z28" s="34"/>
      <c r="AA28" s="21"/>
    </row>
    <row r="29" customFormat="false" ht="15" hidden="false" customHeight="false" outlineLevel="0" collapsed="false">
      <c r="A29" s="6" t="s">
        <v>1875</v>
      </c>
      <c r="B29" s="35"/>
      <c r="C29" s="34"/>
      <c r="D29" s="34"/>
      <c r="E29" s="21"/>
      <c r="F29" s="34"/>
      <c r="G29" s="34"/>
      <c r="H29" s="34"/>
      <c r="I29" s="34"/>
      <c r="J29" s="21"/>
      <c r="K29" s="34"/>
      <c r="L29" s="34"/>
      <c r="M29" s="34"/>
      <c r="N29" s="21"/>
      <c r="O29" s="21"/>
      <c r="P29" s="21"/>
      <c r="Q29" s="34"/>
      <c r="R29" s="34"/>
      <c r="S29" s="33" t="str">
        <f aca="false">IF(OR(B29="",L29=""),"",INDEX(Lists!$AB$4:$AB$8,MATCH(L29,Lists!$AA$4:$AA$8,0)))</f>
        <v/>
      </c>
      <c r="T29" s="43" t="str">
        <f aca="false">IF(OR(S29="",ISERROR(S29)),"",B29+S29)</f>
        <v/>
      </c>
      <c r="U29" s="34"/>
      <c r="V29" s="35"/>
      <c r="W29" s="33" t="str">
        <f aca="true">IF(B29="","",IF(V29&lt;&gt;"",V29-B29,TODAY()-B29))</f>
        <v/>
      </c>
      <c r="X29" s="38" t="str">
        <f aca="true">IF(OR(B29="",T29="",U29="False Positive",U29="Risk Accepted"),"",IF(V29&lt;&gt;"",IF(V29&gt;T29,"Closed Late","Met"),IF(TODAY()&gt;T29,"SLA BREACH",IF(T29-TODAY()&lt;=7,"Due ≤7d","Within SLA"))))</f>
        <v/>
      </c>
      <c r="Y29" s="34"/>
      <c r="Z29" s="34"/>
      <c r="AA29" s="21"/>
    </row>
    <row r="30" customFormat="false" ht="15" hidden="false" customHeight="false" outlineLevel="0" collapsed="false">
      <c r="A30" s="6" t="s">
        <v>1876</v>
      </c>
      <c r="B30" s="35"/>
      <c r="C30" s="34"/>
      <c r="D30" s="34"/>
      <c r="E30" s="21"/>
      <c r="F30" s="34"/>
      <c r="G30" s="34"/>
      <c r="H30" s="34"/>
      <c r="I30" s="34"/>
      <c r="J30" s="21"/>
      <c r="K30" s="34"/>
      <c r="L30" s="34"/>
      <c r="M30" s="34"/>
      <c r="N30" s="21"/>
      <c r="O30" s="21"/>
      <c r="P30" s="21"/>
      <c r="Q30" s="34"/>
      <c r="R30" s="34"/>
      <c r="S30" s="33" t="str">
        <f aca="false">IF(OR(B30="",L30=""),"",INDEX(Lists!$AB$4:$AB$8,MATCH(L30,Lists!$AA$4:$AA$8,0)))</f>
        <v/>
      </c>
      <c r="T30" s="43" t="str">
        <f aca="false">IF(OR(S30="",ISERROR(S30)),"",B30+S30)</f>
        <v/>
      </c>
      <c r="U30" s="34"/>
      <c r="V30" s="35"/>
      <c r="W30" s="33" t="str">
        <f aca="true">IF(B30="","",IF(V30&lt;&gt;"",V30-B30,TODAY()-B30))</f>
        <v/>
      </c>
      <c r="X30" s="38" t="str">
        <f aca="true">IF(OR(B30="",T30="",U30="False Positive",U30="Risk Accepted"),"",IF(V30&lt;&gt;"",IF(V30&gt;T30,"Closed Late","Met"),IF(TODAY()&gt;T30,"SLA BREACH",IF(T30-TODAY()&lt;=7,"Due ≤7d","Within SLA"))))</f>
        <v/>
      </c>
      <c r="Y30" s="34"/>
      <c r="Z30" s="34"/>
      <c r="AA30" s="21"/>
    </row>
    <row r="31" customFormat="false" ht="15" hidden="false" customHeight="false" outlineLevel="0" collapsed="false">
      <c r="A31" s="6" t="s">
        <v>1877</v>
      </c>
      <c r="B31" s="35"/>
      <c r="C31" s="34"/>
      <c r="D31" s="34"/>
      <c r="E31" s="21"/>
      <c r="F31" s="34"/>
      <c r="G31" s="34"/>
      <c r="H31" s="34"/>
      <c r="I31" s="34"/>
      <c r="J31" s="21"/>
      <c r="K31" s="34"/>
      <c r="L31" s="34"/>
      <c r="M31" s="34"/>
      <c r="N31" s="21"/>
      <c r="O31" s="21"/>
      <c r="P31" s="21"/>
      <c r="Q31" s="34"/>
      <c r="R31" s="34"/>
      <c r="S31" s="33" t="str">
        <f aca="false">IF(OR(B31="",L31=""),"",INDEX(Lists!$AB$4:$AB$8,MATCH(L31,Lists!$AA$4:$AA$8,0)))</f>
        <v/>
      </c>
      <c r="T31" s="43" t="str">
        <f aca="false">IF(OR(S31="",ISERROR(S31)),"",B31+S31)</f>
        <v/>
      </c>
      <c r="U31" s="34"/>
      <c r="V31" s="35"/>
      <c r="W31" s="33" t="str">
        <f aca="true">IF(B31="","",IF(V31&lt;&gt;"",V31-B31,TODAY()-B31))</f>
        <v/>
      </c>
      <c r="X31" s="38" t="str">
        <f aca="true">IF(OR(B31="",T31="",U31="False Positive",U31="Risk Accepted"),"",IF(V31&lt;&gt;"",IF(V31&gt;T31,"Closed Late","Met"),IF(TODAY()&gt;T31,"SLA BREACH",IF(T31-TODAY()&lt;=7,"Due ≤7d","Within SLA"))))</f>
        <v/>
      </c>
      <c r="Y31" s="34"/>
      <c r="Z31" s="34"/>
      <c r="AA31" s="21"/>
    </row>
    <row r="32" customFormat="false" ht="15" hidden="false" customHeight="false" outlineLevel="0" collapsed="false">
      <c r="A32" s="6" t="s">
        <v>1878</v>
      </c>
      <c r="B32" s="35"/>
      <c r="C32" s="34"/>
      <c r="D32" s="34"/>
      <c r="E32" s="21"/>
      <c r="F32" s="34"/>
      <c r="G32" s="34"/>
      <c r="H32" s="34"/>
      <c r="I32" s="34"/>
      <c r="J32" s="21"/>
      <c r="K32" s="34"/>
      <c r="L32" s="34"/>
      <c r="M32" s="34"/>
      <c r="N32" s="21"/>
      <c r="O32" s="21"/>
      <c r="P32" s="21"/>
      <c r="Q32" s="34"/>
      <c r="R32" s="34"/>
      <c r="S32" s="33" t="str">
        <f aca="false">IF(OR(B32="",L32=""),"",INDEX(Lists!$AB$4:$AB$8,MATCH(L32,Lists!$AA$4:$AA$8,0)))</f>
        <v/>
      </c>
      <c r="T32" s="43" t="str">
        <f aca="false">IF(OR(S32="",ISERROR(S32)),"",B32+S32)</f>
        <v/>
      </c>
      <c r="U32" s="34"/>
      <c r="V32" s="35"/>
      <c r="W32" s="33" t="str">
        <f aca="true">IF(B32="","",IF(V32&lt;&gt;"",V32-B32,TODAY()-B32))</f>
        <v/>
      </c>
      <c r="X32" s="38" t="str">
        <f aca="true">IF(OR(B32="",T32="",U32="False Positive",U32="Risk Accepted"),"",IF(V32&lt;&gt;"",IF(V32&gt;T32,"Closed Late","Met"),IF(TODAY()&gt;T32,"SLA BREACH",IF(T32-TODAY()&lt;=7,"Due ≤7d","Within SLA"))))</f>
        <v/>
      </c>
      <c r="Y32" s="34"/>
      <c r="Z32" s="34"/>
      <c r="AA32" s="21"/>
    </row>
    <row r="33" customFormat="false" ht="15" hidden="false" customHeight="false" outlineLevel="0" collapsed="false">
      <c r="A33" s="6" t="s">
        <v>1879</v>
      </c>
      <c r="B33" s="35"/>
      <c r="C33" s="34"/>
      <c r="D33" s="34"/>
      <c r="E33" s="21"/>
      <c r="F33" s="34"/>
      <c r="G33" s="34"/>
      <c r="H33" s="34"/>
      <c r="I33" s="34"/>
      <c r="J33" s="21"/>
      <c r="K33" s="34"/>
      <c r="L33" s="34"/>
      <c r="M33" s="34"/>
      <c r="N33" s="21"/>
      <c r="O33" s="21"/>
      <c r="P33" s="21"/>
      <c r="Q33" s="34"/>
      <c r="R33" s="34"/>
      <c r="S33" s="33" t="str">
        <f aca="false">IF(OR(B33="",L33=""),"",INDEX(Lists!$AB$4:$AB$8,MATCH(L33,Lists!$AA$4:$AA$8,0)))</f>
        <v/>
      </c>
      <c r="T33" s="43" t="str">
        <f aca="false">IF(OR(S33="",ISERROR(S33)),"",B33+S33)</f>
        <v/>
      </c>
      <c r="U33" s="34"/>
      <c r="V33" s="35"/>
      <c r="W33" s="33" t="str">
        <f aca="true">IF(B33="","",IF(V33&lt;&gt;"",V33-B33,TODAY()-B33))</f>
        <v/>
      </c>
      <c r="X33" s="38" t="str">
        <f aca="true">IF(OR(B33="",T33="",U33="False Positive",U33="Risk Accepted"),"",IF(V33&lt;&gt;"",IF(V33&gt;T33,"Closed Late","Met"),IF(TODAY()&gt;T33,"SLA BREACH",IF(T33-TODAY()&lt;=7,"Due ≤7d","Within SLA"))))</f>
        <v/>
      </c>
      <c r="Y33" s="34"/>
      <c r="Z33" s="34"/>
      <c r="AA33" s="21"/>
    </row>
    <row r="34" customFormat="false" ht="15" hidden="false" customHeight="false" outlineLevel="0" collapsed="false">
      <c r="A34" s="6" t="s">
        <v>1880</v>
      </c>
      <c r="B34" s="35"/>
      <c r="C34" s="34"/>
      <c r="D34" s="34"/>
      <c r="E34" s="21"/>
      <c r="F34" s="34"/>
      <c r="G34" s="34"/>
      <c r="H34" s="34"/>
      <c r="I34" s="34"/>
      <c r="J34" s="21"/>
      <c r="K34" s="34"/>
      <c r="L34" s="34"/>
      <c r="M34" s="34"/>
      <c r="N34" s="21"/>
      <c r="O34" s="21"/>
      <c r="P34" s="21"/>
      <c r="Q34" s="34"/>
      <c r="R34" s="34"/>
      <c r="S34" s="33" t="str">
        <f aca="false">IF(OR(B34="",L34=""),"",INDEX(Lists!$AB$4:$AB$8,MATCH(L34,Lists!$AA$4:$AA$8,0)))</f>
        <v/>
      </c>
      <c r="T34" s="43" t="str">
        <f aca="false">IF(OR(S34="",ISERROR(S34)),"",B34+S34)</f>
        <v/>
      </c>
      <c r="U34" s="34"/>
      <c r="V34" s="35"/>
      <c r="W34" s="33" t="str">
        <f aca="true">IF(B34="","",IF(V34&lt;&gt;"",V34-B34,TODAY()-B34))</f>
        <v/>
      </c>
      <c r="X34" s="38" t="str">
        <f aca="true">IF(OR(B34="",T34="",U34="False Positive",U34="Risk Accepted"),"",IF(V34&lt;&gt;"",IF(V34&gt;T34,"Closed Late","Met"),IF(TODAY()&gt;T34,"SLA BREACH",IF(T34-TODAY()&lt;=7,"Due ≤7d","Within SLA"))))</f>
        <v/>
      </c>
      <c r="Y34" s="34"/>
      <c r="Z34" s="34"/>
      <c r="AA34" s="21"/>
    </row>
    <row r="35" customFormat="false" ht="15" hidden="false" customHeight="false" outlineLevel="0" collapsed="false">
      <c r="A35" s="6" t="s">
        <v>1881</v>
      </c>
      <c r="B35" s="35"/>
      <c r="C35" s="34"/>
      <c r="D35" s="34"/>
      <c r="E35" s="21"/>
      <c r="F35" s="34"/>
      <c r="G35" s="34"/>
      <c r="H35" s="34"/>
      <c r="I35" s="34"/>
      <c r="J35" s="21"/>
      <c r="K35" s="34"/>
      <c r="L35" s="34"/>
      <c r="M35" s="34"/>
      <c r="N35" s="21"/>
      <c r="O35" s="21"/>
      <c r="P35" s="21"/>
      <c r="Q35" s="34"/>
      <c r="R35" s="34"/>
      <c r="S35" s="33" t="str">
        <f aca="false">IF(OR(B35="",L35=""),"",INDEX(Lists!$AB$4:$AB$8,MATCH(L35,Lists!$AA$4:$AA$8,0)))</f>
        <v/>
      </c>
      <c r="T35" s="43" t="str">
        <f aca="false">IF(OR(S35="",ISERROR(S35)),"",B35+S35)</f>
        <v/>
      </c>
      <c r="U35" s="34"/>
      <c r="V35" s="35"/>
      <c r="W35" s="33" t="str">
        <f aca="true">IF(B35="","",IF(V35&lt;&gt;"",V35-B35,TODAY()-B35))</f>
        <v/>
      </c>
      <c r="X35" s="38" t="str">
        <f aca="true">IF(OR(B35="",T35="",U35="False Positive",U35="Risk Accepted"),"",IF(V35&lt;&gt;"",IF(V35&gt;T35,"Closed Late","Met"),IF(TODAY()&gt;T35,"SLA BREACH",IF(T35-TODAY()&lt;=7,"Due ≤7d","Within SLA"))))</f>
        <v/>
      </c>
      <c r="Y35" s="34"/>
      <c r="Z35" s="34"/>
      <c r="AA35" s="21"/>
    </row>
    <row r="36" customFormat="false" ht="15" hidden="false" customHeight="false" outlineLevel="0" collapsed="false">
      <c r="A36" s="6" t="s">
        <v>1882</v>
      </c>
      <c r="B36" s="35"/>
      <c r="C36" s="34"/>
      <c r="D36" s="34"/>
      <c r="E36" s="21"/>
      <c r="F36" s="34"/>
      <c r="G36" s="34"/>
      <c r="H36" s="34"/>
      <c r="I36" s="34"/>
      <c r="J36" s="21"/>
      <c r="K36" s="34"/>
      <c r="L36" s="34"/>
      <c r="M36" s="34"/>
      <c r="N36" s="21"/>
      <c r="O36" s="21"/>
      <c r="P36" s="21"/>
      <c r="Q36" s="34"/>
      <c r="R36" s="34"/>
      <c r="S36" s="33" t="str">
        <f aca="false">IF(OR(B36="",L36=""),"",INDEX(Lists!$AB$4:$AB$8,MATCH(L36,Lists!$AA$4:$AA$8,0)))</f>
        <v/>
      </c>
      <c r="T36" s="43" t="str">
        <f aca="false">IF(OR(S36="",ISERROR(S36)),"",B36+S36)</f>
        <v/>
      </c>
      <c r="U36" s="34"/>
      <c r="V36" s="35"/>
      <c r="W36" s="33" t="str">
        <f aca="true">IF(B36="","",IF(V36&lt;&gt;"",V36-B36,TODAY()-B36))</f>
        <v/>
      </c>
      <c r="X36" s="38" t="str">
        <f aca="true">IF(OR(B36="",T36="",U36="False Positive",U36="Risk Accepted"),"",IF(V36&lt;&gt;"",IF(V36&gt;T36,"Closed Late","Met"),IF(TODAY()&gt;T36,"SLA BREACH",IF(T36-TODAY()&lt;=7,"Due ≤7d","Within SLA"))))</f>
        <v/>
      </c>
      <c r="Y36" s="34"/>
      <c r="Z36" s="34"/>
      <c r="AA36" s="21"/>
    </row>
    <row r="37" customFormat="false" ht="15" hidden="false" customHeight="false" outlineLevel="0" collapsed="false">
      <c r="A37" s="6" t="s">
        <v>1883</v>
      </c>
      <c r="B37" s="35"/>
      <c r="C37" s="34"/>
      <c r="D37" s="34"/>
      <c r="E37" s="21"/>
      <c r="F37" s="34"/>
      <c r="G37" s="34"/>
      <c r="H37" s="34"/>
      <c r="I37" s="34"/>
      <c r="J37" s="21"/>
      <c r="K37" s="34"/>
      <c r="L37" s="34"/>
      <c r="M37" s="34"/>
      <c r="N37" s="21"/>
      <c r="O37" s="21"/>
      <c r="P37" s="21"/>
      <c r="Q37" s="34"/>
      <c r="R37" s="34"/>
      <c r="S37" s="33" t="str">
        <f aca="false">IF(OR(B37="",L37=""),"",INDEX(Lists!$AB$4:$AB$8,MATCH(L37,Lists!$AA$4:$AA$8,0)))</f>
        <v/>
      </c>
      <c r="T37" s="43" t="str">
        <f aca="false">IF(OR(S37="",ISERROR(S37)),"",B37+S37)</f>
        <v/>
      </c>
      <c r="U37" s="34"/>
      <c r="V37" s="35"/>
      <c r="W37" s="33" t="str">
        <f aca="true">IF(B37="","",IF(V37&lt;&gt;"",V37-B37,TODAY()-B37))</f>
        <v/>
      </c>
      <c r="X37" s="38" t="str">
        <f aca="true">IF(OR(B37="",T37="",U37="False Positive",U37="Risk Accepted"),"",IF(V37&lt;&gt;"",IF(V37&gt;T37,"Closed Late","Met"),IF(TODAY()&gt;T37,"SLA BREACH",IF(T37-TODAY()&lt;=7,"Due ≤7d","Within SLA"))))</f>
        <v/>
      </c>
      <c r="Y37" s="34"/>
      <c r="Z37" s="34"/>
      <c r="AA37" s="21"/>
    </row>
    <row r="38" customFormat="false" ht="15" hidden="false" customHeight="false" outlineLevel="0" collapsed="false">
      <c r="A38" s="6" t="s">
        <v>1884</v>
      </c>
      <c r="B38" s="35"/>
      <c r="C38" s="34"/>
      <c r="D38" s="34"/>
      <c r="E38" s="21"/>
      <c r="F38" s="34"/>
      <c r="G38" s="34"/>
      <c r="H38" s="34"/>
      <c r="I38" s="34"/>
      <c r="J38" s="21"/>
      <c r="K38" s="34"/>
      <c r="L38" s="34"/>
      <c r="M38" s="34"/>
      <c r="N38" s="21"/>
      <c r="O38" s="21"/>
      <c r="P38" s="21"/>
      <c r="Q38" s="34"/>
      <c r="R38" s="34"/>
      <c r="S38" s="33" t="str">
        <f aca="false">IF(OR(B38="",L38=""),"",INDEX(Lists!$AB$4:$AB$8,MATCH(L38,Lists!$AA$4:$AA$8,0)))</f>
        <v/>
      </c>
      <c r="T38" s="43" t="str">
        <f aca="false">IF(OR(S38="",ISERROR(S38)),"",B38+S38)</f>
        <v/>
      </c>
      <c r="U38" s="34"/>
      <c r="V38" s="35"/>
      <c r="W38" s="33" t="str">
        <f aca="true">IF(B38="","",IF(V38&lt;&gt;"",V38-B38,TODAY()-B38))</f>
        <v/>
      </c>
      <c r="X38" s="38" t="str">
        <f aca="true">IF(OR(B38="",T38="",U38="False Positive",U38="Risk Accepted"),"",IF(V38&lt;&gt;"",IF(V38&gt;T38,"Closed Late","Met"),IF(TODAY()&gt;T38,"SLA BREACH",IF(T38-TODAY()&lt;=7,"Due ≤7d","Within SLA"))))</f>
        <v/>
      </c>
      <c r="Y38" s="34"/>
      <c r="Z38" s="34"/>
      <c r="AA38" s="21"/>
    </row>
    <row r="39" customFormat="false" ht="15" hidden="false" customHeight="false" outlineLevel="0" collapsed="false">
      <c r="A39" s="6" t="s">
        <v>1885</v>
      </c>
      <c r="B39" s="35"/>
      <c r="C39" s="34"/>
      <c r="D39" s="34"/>
      <c r="E39" s="21"/>
      <c r="F39" s="34"/>
      <c r="G39" s="34"/>
      <c r="H39" s="34"/>
      <c r="I39" s="34"/>
      <c r="J39" s="21"/>
      <c r="K39" s="34"/>
      <c r="L39" s="34"/>
      <c r="M39" s="34"/>
      <c r="N39" s="21"/>
      <c r="O39" s="21"/>
      <c r="P39" s="21"/>
      <c r="Q39" s="34"/>
      <c r="R39" s="34"/>
      <c r="S39" s="33" t="str">
        <f aca="false">IF(OR(B39="",L39=""),"",INDEX(Lists!$AB$4:$AB$8,MATCH(L39,Lists!$AA$4:$AA$8,0)))</f>
        <v/>
      </c>
      <c r="T39" s="43" t="str">
        <f aca="false">IF(OR(S39="",ISERROR(S39)),"",B39+S39)</f>
        <v/>
      </c>
      <c r="U39" s="34"/>
      <c r="V39" s="35"/>
      <c r="W39" s="33" t="str">
        <f aca="true">IF(B39="","",IF(V39&lt;&gt;"",V39-B39,TODAY()-B39))</f>
        <v/>
      </c>
      <c r="X39" s="38" t="str">
        <f aca="true">IF(OR(B39="",T39="",U39="False Positive",U39="Risk Accepted"),"",IF(V39&lt;&gt;"",IF(V39&gt;T39,"Closed Late","Met"),IF(TODAY()&gt;T39,"SLA BREACH",IF(T39-TODAY()&lt;=7,"Due ≤7d","Within SLA"))))</f>
        <v/>
      </c>
      <c r="Y39" s="34"/>
      <c r="Z39" s="34"/>
      <c r="AA39" s="21"/>
    </row>
    <row r="40" customFormat="false" ht="15" hidden="false" customHeight="false" outlineLevel="0" collapsed="false">
      <c r="A40" s="6" t="s">
        <v>1886</v>
      </c>
      <c r="B40" s="35"/>
      <c r="C40" s="34"/>
      <c r="D40" s="34"/>
      <c r="E40" s="21"/>
      <c r="F40" s="34"/>
      <c r="G40" s="34"/>
      <c r="H40" s="34"/>
      <c r="I40" s="34"/>
      <c r="J40" s="21"/>
      <c r="K40" s="34"/>
      <c r="L40" s="34"/>
      <c r="M40" s="34"/>
      <c r="N40" s="21"/>
      <c r="O40" s="21"/>
      <c r="P40" s="21"/>
      <c r="Q40" s="34"/>
      <c r="R40" s="34"/>
      <c r="S40" s="33" t="str">
        <f aca="false">IF(OR(B40="",L40=""),"",INDEX(Lists!$AB$4:$AB$8,MATCH(L40,Lists!$AA$4:$AA$8,0)))</f>
        <v/>
      </c>
      <c r="T40" s="43" t="str">
        <f aca="false">IF(OR(S40="",ISERROR(S40)),"",B40+S40)</f>
        <v/>
      </c>
      <c r="U40" s="34"/>
      <c r="V40" s="35"/>
      <c r="W40" s="33" t="str">
        <f aca="true">IF(B40="","",IF(V40&lt;&gt;"",V40-B40,TODAY()-B40))</f>
        <v/>
      </c>
      <c r="X40" s="38" t="str">
        <f aca="true">IF(OR(B40="",T40="",U40="False Positive",U40="Risk Accepted"),"",IF(V40&lt;&gt;"",IF(V40&gt;T40,"Closed Late","Met"),IF(TODAY()&gt;T40,"SLA BREACH",IF(T40-TODAY()&lt;=7,"Due ≤7d","Within SLA"))))</f>
        <v/>
      </c>
      <c r="Y40" s="34"/>
      <c r="Z40" s="34"/>
      <c r="AA40" s="21"/>
    </row>
    <row r="41" customFormat="false" ht="15" hidden="false" customHeight="false" outlineLevel="0" collapsed="false">
      <c r="A41" s="6" t="s">
        <v>1887</v>
      </c>
      <c r="B41" s="35"/>
      <c r="C41" s="34"/>
      <c r="D41" s="34"/>
      <c r="E41" s="21"/>
      <c r="F41" s="34"/>
      <c r="G41" s="34"/>
      <c r="H41" s="34"/>
      <c r="I41" s="34"/>
      <c r="J41" s="21"/>
      <c r="K41" s="34"/>
      <c r="L41" s="34"/>
      <c r="M41" s="34"/>
      <c r="N41" s="21"/>
      <c r="O41" s="21"/>
      <c r="P41" s="21"/>
      <c r="Q41" s="34"/>
      <c r="R41" s="34"/>
      <c r="S41" s="33" t="str">
        <f aca="false">IF(OR(B41="",L41=""),"",INDEX(Lists!$AB$4:$AB$8,MATCH(L41,Lists!$AA$4:$AA$8,0)))</f>
        <v/>
      </c>
      <c r="T41" s="43" t="str">
        <f aca="false">IF(OR(S41="",ISERROR(S41)),"",B41+S41)</f>
        <v/>
      </c>
      <c r="U41" s="34"/>
      <c r="V41" s="35"/>
      <c r="W41" s="33" t="str">
        <f aca="true">IF(B41="","",IF(V41&lt;&gt;"",V41-B41,TODAY()-B41))</f>
        <v/>
      </c>
      <c r="X41" s="38" t="str">
        <f aca="true">IF(OR(B41="",T41="",U41="False Positive",U41="Risk Accepted"),"",IF(V41&lt;&gt;"",IF(V41&gt;T41,"Closed Late","Met"),IF(TODAY()&gt;T41,"SLA BREACH",IF(T41-TODAY()&lt;=7,"Due ≤7d","Within SLA"))))</f>
        <v/>
      </c>
      <c r="Y41" s="34"/>
      <c r="Z41" s="34"/>
      <c r="AA41" s="21"/>
    </row>
    <row r="42" customFormat="false" ht="15" hidden="false" customHeight="false" outlineLevel="0" collapsed="false">
      <c r="A42" s="6" t="s">
        <v>1888</v>
      </c>
      <c r="B42" s="35"/>
      <c r="C42" s="34"/>
      <c r="D42" s="34"/>
      <c r="E42" s="21"/>
      <c r="F42" s="34"/>
      <c r="G42" s="34"/>
      <c r="H42" s="34"/>
      <c r="I42" s="34"/>
      <c r="J42" s="21"/>
      <c r="K42" s="34"/>
      <c r="L42" s="34"/>
      <c r="M42" s="34"/>
      <c r="N42" s="21"/>
      <c r="O42" s="21"/>
      <c r="P42" s="21"/>
      <c r="Q42" s="34"/>
      <c r="R42" s="34"/>
      <c r="S42" s="33" t="str">
        <f aca="false">IF(OR(B42="",L42=""),"",INDEX(Lists!$AB$4:$AB$8,MATCH(L42,Lists!$AA$4:$AA$8,0)))</f>
        <v/>
      </c>
      <c r="T42" s="43" t="str">
        <f aca="false">IF(OR(S42="",ISERROR(S42)),"",B42+S42)</f>
        <v/>
      </c>
      <c r="U42" s="34"/>
      <c r="V42" s="35"/>
      <c r="W42" s="33" t="str">
        <f aca="true">IF(B42="","",IF(V42&lt;&gt;"",V42-B42,TODAY()-B42))</f>
        <v/>
      </c>
      <c r="X42" s="38" t="str">
        <f aca="true">IF(OR(B42="",T42="",U42="False Positive",U42="Risk Accepted"),"",IF(V42&lt;&gt;"",IF(V42&gt;T42,"Closed Late","Met"),IF(TODAY()&gt;T42,"SLA BREACH",IF(T42-TODAY()&lt;=7,"Due ≤7d","Within SLA"))))</f>
        <v/>
      </c>
      <c r="Y42" s="34"/>
      <c r="Z42" s="34"/>
      <c r="AA42" s="21"/>
    </row>
    <row r="43" customFormat="false" ht="15" hidden="false" customHeight="false" outlineLevel="0" collapsed="false">
      <c r="A43" s="6" t="s">
        <v>1889</v>
      </c>
      <c r="B43" s="35"/>
      <c r="C43" s="34"/>
      <c r="D43" s="34"/>
      <c r="E43" s="21"/>
      <c r="F43" s="34"/>
      <c r="G43" s="34"/>
      <c r="H43" s="34"/>
      <c r="I43" s="34"/>
      <c r="J43" s="21"/>
      <c r="K43" s="34"/>
      <c r="L43" s="34"/>
      <c r="M43" s="34"/>
      <c r="N43" s="21"/>
      <c r="O43" s="21"/>
      <c r="P43" s="21"/>
      <c r="Q43" s="34"/>
      <c r="R43" s="34"/>
      <c r="S43" s="33" t="str">
        <f aca="false">IF(OR(B43="",L43=""),"",INDEX(Lists!$AB$4:$AB$8,MATCH(L43,Lists!$AA$4:$AA$8,0)))</f>
        <v/>
      </c>
      <c r="T43" s="43" t="str">
        <f aca="false">IF(OR(S43="",ISERROR(S43)),"",B43+S43)</f>
        <v/>
      </c>
      <c r="U43" s="34"/>
      <c r="V43" s="35"/>
      <c r="W43" s="33" t="str">
        <f aca="true">IF(B43="","",IF(V43&lt;&gt;"",V43-B43,TODAY()-B43))</f>
        <v/>
      </c>
      <c r="X43" s="38" t="str">
        <f aca="true">IF(OR(B43="",T43="",U43="False Positive",U43="Risk Accepted"),"",IF(V43&lt;&gt;"",IF(V43&gt;T43,"Closed Late","Met"),IF(TODAY()&gt;T43,"SLA BREACH",IF(T43-TODAY()&lt;=7,"Due ≤7d","Within SLA"))))</f>
        <v/>
      </c>
      <c r="Y43" s="34"/>
      <c r="Z43" s="34"/>
      <c r="AA43" s="21"/>
    </row>
    <row r="44" customFormat="false" ht="15" hidden="false" customHeight="false" outlineLevel="0" collapsed="false">
      <c r="A44" s="6" t="s">
        <v>1890</v>
      </c>
      <c r="B44" s="35"/>
      <c r="C44" s="34"/>
      <c r="D44" s="34"/>
      <c r="E44" s="21"/>
      <c r="F44" s="34"/>
      <c r="G44" s="34"/>
      <c r="H44" s="34"/>
      <c r="I44" s="34"/>
      <c r="J44" s="21"/>
      <c r="K44" s="34"/>
      <c r="L44" s="34"/>
      <c r="M44" s="34"/>
      <c r="N44" s="21"/>
      <c r="O44" s="21"/>
      <c r="P44" s="21"/>
      <c r="Q44" s="34"/>
      <c r="R44" s="34"/>
      <c r="S44" s="33" t="str">
        <f aca="false">IF(OR(B44="",L44=""),"",INDEX(Lists!$AB$4:$AB$8,MATCH(L44,Lists!$AA$4:$AA$8,0)))</f>
        <v/>
      </c>
      <c r="T44" s="43" t="str">
        <f aca="false">IF(OR(S44="",ISERROR(S44)),"",B44+S44)</f>
        <v/>
      </c>
      <c r="U44" s="34"/>
      <c r="V44" s="35"/>
      <c r="W44" s="33" t="str">
        <f aca="true">IF(B44="","",IF(V44&lt;&gt;"",V44-B44,TODAY()-B44))</f>
        <v/>
      </c>
      <c r="X44" s="38" t="str">
        <f aca="true">IF(OR(B44="",T44="",U44="False Positive",U44="Risk Accepted"),"",IF(V44&lt;&gt;"",IF(V44&gt;T44,"Closed Late","Met"),IF(TODAY()&gt;T44,"SLA BREACH",IF(T44-TODAY()&lt;=7,"Due ≤7d","Within SLA"))))</f>
        <v/>
      </c>
      <c r="Y44" s="34"/>
      <c r="Z44" s="34"/>
      <c r="AA44" s="21"/>
    </row>
    <row r="45" customFormat="false" ht="15" hidden="false" customHeight="false" outlineLevel="0" collapsed="false">
      <c r="A45" s="6" t="s">
        <v>1891</v>
      </c>
      <c r="B45" s="35"/>
      <c r="C45" s="34"/>
      <c r="D45" s="34"/>
      <c r="E45" s="21"/>
      <c r="F45" s="34"/>
      <c r="G45" s="34"/>
      <c r="H45" s="34"/>
      <c r="I45" s="34"/>
      <c r="J45" s="21"/>
      <c r="K45" s="34"/>
      <c r="L45" s="34"/>
      <c r="M45" s="34"/>
      <c r="N45" s="21"/>
      <c r="O45" s="21"/>
      <c r="P45" s="21"/>
      <c r="Q45" s="34"/>
      <c r="R45" s="34"/>
      <c r="S45" s="33" t="str">
        <f aca="false">IF(OR(B45="",L45=""),"",INDEX(Lists!$AB$4:$AB$8,MATCH(L45,Lists!$AA$4:$AA$8,0)))</f>
        <v/>
      </c>
      <c r="T45" s="43" t="str">
        <f aca="false">IF(OR(S45="",ISERROR(S45)),"",B45+S45)</f>
        <v/>
      </c>
      <c r="U45" s="34"/>
      <c r="V45" s="35"/>
      <c r="W45" s="33" t="str">
        <f aca="true">IF(B45="","",IF(V45&lt;&gt;"",V45-B45,TODAY()-B45))</f>
        <v/>
      </c>
      <c r="X45" s="38" t="str">
        <f aca="true">IF(OR(B45="",T45="",U45="False Positive",U45="Risk Accepted"),"",IF(V45&lt;&gt;"",IF(V45&gt;T45,"Closed Late","Met"),IF(TODAY()&gt;T45,"SLA BREACH",IF(T45-TODAY()&lt;=7,"Due ≤7d","Within SLA"))))</f>
        <v/>
      </c>
      <c r="Y45" s="34"/>
      <c r="Z45" s="34"/>
      <c r="AA45" s="21"/>
    </row>
    <row r="46" customFormat="false" ht="15" hidden="false" customHeight="false" outlineLevel="0" collapsed="false">
      <c r="A46" s="6" t="s">
        <v>1892</v>
      </c>
      <c r="B46" s="35"/>
      <c r="C46" s="34"/>
      <c r="D46" s="34"/>
      <c r="E46" s="21"/>
      <c r="F46" s="34"/>
      <c r="G46" s="34"/>
      <c r="H46" s="34"/>
      <c r="I46" s="34"/>
      <c r="J46" s="21"/>
      <c r="K46" s="34"/>
      <c r="L46" s="34"/>
      <c r="M46" s="34"/>
      <c r="N46" s="21"/>
      <c r="O46" s="21"/>
      <c r="P46" s="21"/>
      <c r="Q46" s="34"/>
      <c r="R46" s="34"/>
      <c r="S46" s="33" t="str">
        <f aca="false">IF(OR(B46="",L46=""),"",INDEX(Lists!$AB$4:$AB$8,MATCH(L46,Lists!$AA$4:$AA$8,0)))</f>
        <v/>
      </c>
      <c r="T46" s="43" t="str">
        <f aca="false">IF(OR(S46="",ISERROR(S46)),"",B46+S46)</f>
        <v/>
      </c>
      <c r="U46" s="34"/>
      <c r="V46" s="35"/>
      <c r="W46" s="33" t="str">
        <f aca="true">IF(B46="","",IF(V46&lt;&gt;"",V46-B46,TODAY()-B46))</f>
        <v/>
      </c>
      <c r="X46" s="38" t="str">
        <f aca="true">IF(OR(B46="",T46="",U46="False Positive",U46="Risk Accepted"),"",IF(V46&lt;&gt;"",IF(V46&gt;T46,"Closed Late","Met"),IF(TODAY()&gt;T46,"SLA BREACH",IF(T46-TODAY()&lt;=7,"Due ≤7d","Within SLA"))))</f>
        <v/>
      </c>
      <c r="Y46" s="34"/>
      <c r="Z46" s="34"/>
      <c r="AA46" s="21"/>
    </row>
    <row r="47" customFormat="false" ht="15" hidden="false" customHeight="false" outlineLevel="0" collapsed="false">
      <c r="A47" s="6" t="s">
        <v>1893</v>
      </c>
      <c r="B47" s="35"/>
      <c r="C47" s="34"/>
      <c r="D47" s="34"/>
      <c r="E47" s="21"/>
      <c r="F47" s="34"/>
      <c r="G47" s="34"/>
      <c r="H47" s="34"/>
      <c r="I47" s="34"/>
      <c r="J47" s="21"/>
      <c r="K47" s="34"/>
      <c r="L47" s="34"/>
      <c r="M47" s="34"/>
      <c r="N47" s="21"/>
      <c r="O47" s="21"/>
      <c r="P47" s="21"/>
      <c r="Q47" s="34"/>
      <c r="R47" s="34"/>
      <c r="S47" s="33" t="str">
        <f aca="false">IF(OR(B47="",L47=""),"",INDEX(Lists!$AB$4:$AB$8,MATCH(L47,Lists!$AA$4:$AA$8,0)))</f>
        <v/>
      </c>
      <c r="T47" s="43" t="str">
        <f aca="false">IF(OR(S47="",ISERROR(S47)),"",B47+S47)</f>
        <v/>
      </c>
      <c r="U47" s="34"/>
      <c r="V47" s="35"/>
      <c r="W47" s="33" t="str">
        <f aca="true">IF(B47="","",IF(V47&lt;&gt;"",V47-B47,TODAY()-B47))</f>
        <v/>
      </c>
      <c r="X47" s="38" t="str">
        <f aca="true">IF(OR(B47="",T47="",U47="False Positive",U47="Risk Accepted"),"",IF(V47&lt;&gt;"",IF(V47&gt;T47,"Closed Late","Met"),IF(TODAY()&gt;T47,"SLA BREACH",IF(T47-TODAY()&lt;=7,"Due ≤7d","Within SLA"))))</f>
        <v/>
      </c>
      <c r="Y47" s="34"/>
      <c r="Z47" s="34"/>
      <c r="AA47" s="21"/>
    </row>
    <row r="48" customFormat="false" ht="15" hidden="false" customHeight="false" outlineLevel="0" collapsed="false">
      <c r="A48" s="6" t="s">
        <v>1894</v>
      </c>
      <c r="B48" s="35"/>
      <c r="C48" s="34"/>
      <c r="D48" s="34"/>
      <c r="E48" s="21"/>
      <c r="F48" s="34"/>
      <c r="G48" s="34"/>
      <c r="H48" s="34"/>
      <c r="I48" s="34"/>
      <c r="J48" s="21"/>
      <c r="K48" s="34"/>
      <c r="L48" s="34"/>
      <c r="M48" s="34"/>
      <c r="N48" s="21"/>
      <c r="O48" s="21"/>
      <c r="P48" s="21"/>
      <c r="Q48" s="34"/>
      <c r="R48" s="34"/>
      <c r="S48" s="33" t="str">
        <f aca="false">IF(OR(B48="",L48=""),"",INDEX(Lists!$AB$4:$AB$8,MATCH(L48,Lists!$AA$4:$AA$8,0)))</f>
        <v/>
      </c>
      <c r="T48" s="43" t="str">
        <f aca="false">IF(OR(S48="",ISERROR(S48)),"",B48+S48)</f>
        <v/>
      </c>
      <c r="U48" s="34"/>
      <c r="V48" s="35"/>
      <c r="W48" s="33" t="str">
        <f aca="true">IF(B48="","",IF(V48&lt;&gt;"",V48-B48,TODAY()-B48))</f>
        <v/>
      </c>
      <c r="X48" s="38" t="str">
        <f aca="true">IF(OR(B48="",T48="",U48="False Positive",U48="Risk Accepted"),"",IF(V48&lt;&gt;"",IF(V48&gt;T48,"Closed Late","Met"),IF(TODAY()&gt;T48,"SLA BREACH",IF(T48-TODAY()&lt;=7,"Due ≤7d","Within SLA"))))</f>
        <v/>
      </c>
      <c r="Y48" s="34"/>
      <c r="Z48" s="34"/>
      <c r="AA48" s="21"/>
    </row>
    <row r="49" customFormat="false" ht="15" hidden="false" customHeight="false" outlineLevel="0" collapsed="false">
      <c r="A49" s="6" t="s">
        <v>1895</v>
      </c>
      <c r="B49" s="35"/>
      <c r="C49" s="34"/>
      <c r="D49" s="34"/>
      <c r="E49" s="21"/>
      <c r="F49" s="34"/>
      <c r="G49" s="34"/>
      <c r="H49" s="34"/>
      <c r="I49" s="34"/>
      <c r="J49" s="21"/>
      <c r="K49" s="34"/>
      <c r="L49" s="34"/>
      <c r="M49" s="34"/>
      <c r="N49" s="21"/>
      <c r="O49" s="21"/>
      <c r="P49" s="21"/>
      <c r="Q49" s="34"/>
      <c r="R49" s="34"/>
      <c r="S49" s="33" t="str">
        <f aca="false">IF(OR(B49="",L49=""),"",INDEX(Lists!$AB$4:$AB$8,MATCH(L49,Lists!$AA$4:$AA$8,0)))</f>
        <v/>
      </c>
      <c r="T49" s="43" t="str">
        <f aca="false">IF(OR(S49="",ISERROR(S49)),"",B49+S49)</f>
        <v/>
      </c>
      <c r="U49" s="34"/>
      <c r="V49" s="35"/>
      <c r="W49" s="33" t="str">
        <f aca="true">IF(B49="","",IF(V49&lt;&gt;"",V49-B49,TODAY()-B49))</f>
        <v/>
      </c>
      <c r="X49" s="38" t="str">
        <f aca="true">IF(OR(B49="",T49="",U49="False Positive",U49="Risk Accepted"),"",IF(V49&lt;&gt;"",IF(V49&gt;T49,"Closed Late","Met"),IF(TODAY()&gt;T49,"SLA BREACH",IF(T49-TODAY()&lt;=7,"Due ≤7d","Within SLA"))))</f>
        <v/>
      </c>
      <c r="Y49" s="34"/>
      <c r="Z49" s="34"/>
      <c r="AA49" s="21"/>
    </row>
    <row r="50" customFormat="false" ht="15" hidden="false" customHeight="false" outlineLevel="0" collapsed="false">
      <c r="A50" s="6" t="s">
        <v>1896</v>
      </c>
      <c r="B50" s="35"/>
      <c r="C50" s="34"/>
      <c r="D50" s="34"/>
      <c r="E50" s="21"/>
      <c r="F50" s="34"/>
      <c r="G50" s="34"/>
      <c r="H50" s="34"/>
      <c r="I50" s="34"/>
      <c r="J50" s="21"/>
      <c r="K50" s="34"/>
      <c r="L50" s="34"/>
      <c r="M50" s="34"/>
      <c r="N50" s="21"/>
      <c r="O50" s="21"/>
      <c r="P50" s="21"/>
      <c r="Q50" s="34"/>
      <c r="R50" s="34"/>
      <c r="S50" s="33" t="str">
        <f aca="false">IF(OR(B50="",L50=""),"",INDEX(Lists!$AB$4:$AB$8,MATCH(L50,Lists!$AA$4:$AA$8,0)))</f>
        <v/>
      </c>
      <c r="T50" s="43" t="str">
        <f aca="false">IF(OR(S50="",ISERROR(S50)),"",B50+S50)</f>
        <v/>
      </c>
      <c r="U50" s="34"/>
      <c r="V50" s="35"/>
      <c r="W50" s="33" t="str">
        <f aca="true">IF(B50="","",IF(V50&lt;&gt;"",V50-B50,TODAY()-B50))</f>
        <v/>
      </c>
      <c r="X50" s="38" t="str">
        <f aca="true">IF(OR(B50="",T50="",U50="False Positive",U50="Risk Accepted"),"",IF(V50&lt;&gt;"",IF(V50&gt;T50,"Closed Late","Met"),IF(TODAY()&gt;T50,"SLA BREACH",IF(T50-TODAY()&lt;=7,"Due ≤7d","Within SLA"))))</f>
        <v/>
      </c>
      <c r="Y50" s="34"/>
      <c r="Z50" s="34"/>
      <c r="AA50" s="21"/>
    </row>
    <row r="51" customFormat="false" ht="15" hidden="false" customHeight="false" outlineLevel="0" collapsed="false">
      <c r="A51" s="6" t="s">
        <v>1897</v>
      </c>
      <c r="B51" s="35"/>
      <c r="C51" s="34"/>
      <c r="D51" s="34"/>
      <c r="E51" s="21"/>
      <c r="F51" s="34"/>
      <c r="G51" s="34"/>
      <c r="H51" s="34"/>
      <c r="I51" s="34"/>
      <c r="J51" s="21"/>
      <c r="K51" s="34"/>
      <c r="L51" s="34"/>
      <c r="M51" s="34"/>
      <c r="N51" s="21"/>
      <c r="O51" s="21"/>
      <c r="P51" s="21"/>
      <c r="Q51" s="34"/>
      <c r="R51" s="34"/>
      <c r="S51" s="33" t="str">
        <f aca="false">IF(OR(B51="",L51=""),"",INDEX(Lists!$AB$4:$AB$8,MATCH(L51,Lists!$AA$4:$AA$8,0)))</f>
        <v/>
      </c>
      <c r="T51" s="43" t="str">
        <f aca="false">IF(OR(S51="",ISERROR(S51)),"",B51+S51)</f>
        <v/>
      </c>
      <c r="U51" s="34"/>
      <c r="V51" s="35"/>
      <c r="W51" s="33" t="str">
        <f aca="true">IF(B51="","",IF(V51&lt;&gt;"",V51-B51,TODAY()-B51))</f>
        <v/>
      </c>
      <c r="X51" s="38" t="str">
        <f aca="true">IF(OR(B51="",T51="",U51="False Positive",U51="Risk Accepted"),"",IF(V51&lt;&gt;"",IF(V51&gt;T51,"Closed Late","Met"),IF(TODAY()&gt;T51,"SLA BREACH",IF(T51-TODAY()&lt;=7,"Due ≤7d","Within SLA"))))</f>
        <v/>
      </c>
      <c r="Y51" s="34"/>
      <c r="Z51" s="34"/>
      <c r="AA51" s="21"/>
    </row>
    <row r="52" customFormat="false" ht="15" hidden="false" customHeight="false" outlineLevel="0" collapsed="false">
      <c r="A52" s="6" t="s">
        <v>1898</v>
      </c>
      <c r="B52" s="35"/>
      <c r="C52" s="34"/>
      <c r="D52" s="34"/>
      <c r="E52" s="21"/>
      <c r="F52" s="34"/>
      <c r="G52" s="34"/>
      <c r="H52" s="34"/>
      <c r="I52" s="34"/>
      <c r="J52" s="21"/>
      <c r="K52" s="34"/>
      <c r="L52" s="34"/>
      <c r="M52" s="34"/>
      <c r="N52" s="21"/>
      <c r="O52" s="21"/>
      <c r="P52" s="21"/>
      <c r="Q52" s="34"/>
      <c r="R52" s="34"/>
      <c r="S52" s="33" t="str">
        <f aca="false">IF(OR(B52="",L52=""),"",INDEX(Lists!$AB$4:$AB$8,MATCH(L52,Lists!$AA$4:$AA$8,0)))</f>
        <v/>
      </c>
      <c r="T52" s="43" t="str">
        <f aca="false">IF(OR(S52="",ISERROR(S52)),"",B52+S52)</f>
        <v/>
      </c>
      <c r="U52" s="34"/>
      <c r="V52" s="35"/>
      <c r="W52" s="33" t="str">
        <f aca="true">IF(B52="","",IF(V52&lt;&gt;"",V52-B52,TODAY()-B52))</f>
        <v/>
      </c>
      <c r="X52" s="38" t="str">
        <f aca="true">IF(OR(B52="",T52="",U52="False Positive",U52="Risk Accepted"),"",IF(V52&lt;&gt;"",IF(V52&gt;T52,"Closed Late","Met"),IF(TODAY()&gt;T52,"SLA BREACH",IF(T52-TODAY()&lt;=7,"Due ≤7d","Within SLA"))))</f>
        <v/>
      </c>
      <c r="Y52" s="34"/>
      <c r="Z52" s="34"/>
      <c r="AA52" s="21"/>
    </row>
    <row r="53" customFormat="false" ht="15" hidden="false" customHeight="false" outlineLevel="0" collapsed="false">
      <c r="A53" s="6" t="s">
        <v>1899</v>
      </c>
      <c r="B53" s="35"/>
      <c r="C53" s="34"/>
      <c r="D53" s="34"/>
      <c r="E53" s="21"/>
      <c r="F53" s="34"/>
      <c r="G53" s="34"/>
      <c r="H53" s="34"/>
      <c r="I53" s="34"/>
      <c r="J53" s="21"/>
      <c r="K53" s="34"/>
      <c r="L53" s="34"/>
      <c r="M53" s="34"/>
      <c r="N53" s="21"/>
      <c r="O53" s="21"/>
      <c r="P53" s="21"/>
      <c r="Q53" s="34"/>
      <c r="R53" s="34"/>
      <c r="S53" s="33" t="str">
        <f aca="false">IF(OR(B53="",L53=""),"",INDEX(Lists!$AB$4:$AB$8,MATCH(L53,Lists!$AA$4:$AA$8,0)))</f>
        <v/>
      </c>
      <c r="T53" s="43" t="str">
        <f aca="false">IF(OR(S53="",ISERROR(S53)),"",B53+S53)</f>
        <v/>
      </c>
      <c r="U53" s="34"/>
      <c r="V53" s="35"/>
      <c r="W53" s="33" t="str">
        <f aca="true">IF(B53="","",IF(V53&lt;&gt;"",V53-B53,TODAY()-B53))</f>
        <v/>
      </c>
      <c r="X53" s="38" t="str">
        <f aca="true">IF(OR(B53="",T53="",U53="False Positive",U53="Risk Accepted"),"",IF(V53&lt;&gt;"",IF(V53&gt;T53,"Closed Late","Met"),IF(TODAY()&gt;T53,"SLA BREACH",IF(T53-TODAY()&lt;=7,"Due ≤7d","Within SLA"))))</f>
        <v/>
      </c>
      <c r="Y53" s="34"/>
      <c r="Z53" s="34"/>
      <c r="AA53" s="21"/>
    </row>
    <row r="54" customFormat="false" ht="15" hidden="false" customHeight="false" outlineLevel="0" collapsed="false">
      <c r="A54" s="6" t="s">
        <v>1900</v>
      </c>
      <c r="B54" s="35"/>
      <c r="C54" s="34"/>
      <c r="D54" s="34"/>
      <c r="E54" s="21"/>
      <c r="F54" s="34"/>
      <c r="G54" s="34"/>
      <c r="H54" s="34"/>
      <c r="I54" s="34"/>
      <c r="J54" s="21"/>
      <c r="K54" s="34"/>
      <c r="L54" s="34"/>
      <c r="M54" s="34"/>
      <c r="N54" s="21"/>
      <c r="O54" s="21"/>
      <c r="P54" s="21"/>
      <c r="Q54" s="34"/>
      <c r="R54" s="34"/>
      <c r="S54" s="33" t="str">
        <f aca="false">IF(OR(B54="",L54=""),"",INDEX(Lists!$AB$4:$AB$8,MATCH(L54,Lists!$AA$4:$AA$8,0)))</f>
        <v/>
      </c>
      <c r="T54" s="43" t="str">
        <f aca="false">IF(OR(S54="",ISERROR(S54)),"",B54+S54)</f>
        <v/>
      </c>
      <c r="U54" s="34"/>
      <c r="V54" s="35"/>
      <c r="W54" s="33" t="str">
        <f aca="true">IF(B54="","",IF(V54&lt;&gt;"",V54-B54,TODAY()-B54))</f>
        <v/>
      </c>
      <c r="X54" s="38" t="str">
        <f aca="true">IF(OR(B54="",T54="",U54="False Positive",U54="Risk Accepted"),"",IF(V54&lt;&gt;"",IF(V54&gt;T54,"Closed Late","Met"),IF(TODAY()&gt;T54,"SLA BREACH",IF(T54-TODAY()&lt;=7,"Due ≤7d","Within SLA"))))</f>
        <v/>
      </c>
      <c r="Y54" s="34"/>
      <c r="Z54" s="34"/>
      <c r="AA54" s="21"/>
    </row>
    <row r="55" customFormat="false" ht="15" hidden="false" customHeight="false" outlineLevel="0" collapsed="false">
      <c r="A55" s="6" t="s">
        <v>1901</v>
      </c>
      <c r="B55" s="35"/>
      <c r="C55" s="34"/>
      <c r="D55" s="34"/>
      <c r="E55" s="21"/>
      <c r="F55" s="34"/>
      <c r="G55" s="34"/>
      <c r="H55" s="34"/>
      <c r="I55" s="34"/>
      <c r="J55" s="21"/>
      <c r="K55" s="34"/>
      <c r="L55" s="34"/>
      <c r="M55" s="34"/>
      <c r="N55" s="21"/>
      <c r="O55" s="21"/>
      <c r="P55" s="21"/>
      <c r="Q55" s="34"/>
      <c r="R55" s="34"/>
      <c r="S55" s="33" t="str">
        <f aca="false">IF(OR(B55="",L55=""),"",INDEX(Lists!$AB$4:$AB$8,MATCH(L55,Lists!$AA$4:$AA$8,0)))</f>
        <v/>
      </c>
      <c r="T55" s="43" t="str">
        <f aca="false">IF(OR(S55="",ISERROR(S55)),"",B55+S55)</f>
        <v/>
      </c>
      <c r="U55" s="34"/>
      <c r="V55" s="35"/>
      <c r="W55" s="33" t="str">
        <f aca="true">IF(B55="","",IF(V55&lt;&gt;"",V55-B55,TODAY()-B55))</f>
        <v/>
      </c>
      <c r="X55" s="38" t="str">
        <f aca="true">IF(OR(B55="",T55="",U55="False Positive",U55="Risk Accepted"),"",IF(V55&lt;&gt;"",IF(V55&gt;T55,"Closed Late","Met"),IF(TODAY()&gt;T55,"SLA BREACH",IF(T55-TODAY()&lt;=7,"Due ≤7d","Within SLA"))))</f>
        <v/>
      </c>
      <c r="Y55" s="34"/>
      <c r="Z55" s="34"/>
      <c r="AA55" s="21"/>
    </row>
    <row r="56" customFormat="false" ht="15" hidden="false" customHeight="false" outlineLevel="0" collapsed="false">
      <c r="A56" s="6" t="s">
        <v>1902</v>
      </c>
      <c r="B56" s="35"/>
      <c r="C56" s="34"/>
      <c r="D56" s="34"/>
      <c r="E56" s="21"/>
      <c r="F56" s="34"/>
      <c r="G56" s="34"/>
      <c r="H56" s="34"/>
      <c r="I56" s="34"/>
      <c r="J56" s="21"/>
      <c r="K56" s="34"/>
      <c r="L56" s="34"/>
      <c r="M56" s="34"/>
      <c r="N56" s="21"/>
      <c r="O56" s="21"/>
      <c r="P56" s="21"/>
      <c r="Q56" s="34"/>
      <c r="R56" s="34"/>
      <c r="S56" s="33" t="str">
        <f aca="false">IF(OR(B56="",L56=""),"",INDEX(Lists!$AB$4:$AB$8,MATCH(L56,Lists!$AA$4:$AA$8,0)))</f>
        <v/>
      </c>
      <c r="T56" s="43" t="str">
        <f aca="false">IF(OR(S56="",ISERROR(S56)),"",B56+S56)</f>
        <v/>
      </c>
      <c r="U56" s="34"/>
      <c r="V56" s="35"/>
      <c r="W56" s="33" t="str">
        <f aca="true">IF(B56="","",IF(V56&lt;&gt;"",V56-B56,TODAY()-B56))</f>
        <v/>
      </c>
      <c r="X56" s="38" t="str">
        <f aca="true">IF(OR(B56="",T56="",U56="False Positive",U56="Risk Accepted"),"",IF(V56&lt;&gt;"",IF(V56&gt;T56,"Closed Late","Met"),IF(TODAY()&gt;T56,"SLA BREACH",IF(T56-TODAY()&lt;=7,"Due ≤7d","Within SLA"))))</f>
        <v/>
      </c>
      <c r="Y56" s="34"/>
      <c r="Z56" s="34"/>
      <c r="AA56" s="21"/>
    </row>
    <row r="57" customFormat="false" ht="15" hidden="false" customHeight="false" outlineLevel="0" collapsed="false">
      <c r="A57" s="6" t="s">
        <v>1903</v>
      </c>
      <c r="B57" s="35"/>
      <c r="C57" s="34"/>
      <c r="D57" s="34"/>
      <c r="E57" s="21"/>
      <c r="F57" s="34"/>
      <c r="G57" s="34"/>
      <c r="H57" s="34"/>
      <c r="I57" s="34"/>
      <c r="J57" s="21"/>
      <c r="K57" s="34"/>
      <c r="L57" s="34"/>
      <c r="M57" s="34"/>
      <c r="N57" s="21"/>
      <c r="O57" s="21"/>
      <c r="P57" s="21"/>
      <c r="Q57" s="34"/>
      <c r="R57" s="34"/>
      <c r="S57" s="33" t="str">
        <f aca="false">IF(OR(B57="",L57=""),"",INDEX(Lists!$AB$4:$AB$8,MATCH(L57,Lists!$AA$4:$AA$8,0)))</f>
        <v/>
      </c>
      <c r="T57" s="43" t="str">
        <f aca="false">IF(OR(S57="",ISERROR(S57)),"",B57+S57)</f>
        <v/>
      </c>
      <c r="U57" s="34"/>
      <c r="V57" s="35"/>
      <c r="W57" s="33" t="str">
        <f aca="true">IF(B57="","",IF(V57&lt;&gt;"",V57-B57,TODAY()-B57))</f>
        <v/>
      </c>
      <c r="X57" s="38" t="str">
        <f aca="true">IF(OR(B57="",T57="",U57="False Positive",U57="Risk Accepted"),"",IF(V57&lt;&gt;"",IF(V57&gt;T57,"Closed Late","Met"),IF(TODAY()&gt;T57,"SLA BREACH",IF(T57-TODAY()&lt;=7,"Due ≤7d","Within SLA"))))</f>
        <v/>
      </c>
      <c r="Y57" s="34"/>
      <c r="Z57" s="34"/>
      <c r="AA57" s="21"/>
    </row>
    <row r="58" customFormat="false" ht="15" hidden="false" customHeight="false" outlineLevel="0" collapsed="false">
      <c r="A58" s="6" t="s">
        <v>1904</v>
      </c>
      <c r="B58" s="35"/>
      <c r="C58" s="34"/>
      <c r="D58" s="34"/>
      <c r="E58" s="21"/>
      <c r="F58" s="34"/>
      <c r="G58" s="34"/>
      <c r="H58" s="34"/>
      <c r="I58" s="34"/>
      <c r="J58" s="21"/>
      <c r="K58" s="34"/>
      <c r="L58" s="34"/>
      <c r="M58" s="34"/>
      <c r="N58" s="21"/>
      <c r="O58" s="21"/>
      <c r="P58" s="21"/>
      <c r="Q58" s="34"/>
      <c r="R58" s="34"/>
      <c r="S58" s="33" t="str">
        <f aca="false">IF(OR(B58="",L58=""),"",INDEX(Lists!$AB$4:$AB$8,MATCH(L58,Lists!$AA$4:$AA$8,0)))</f>
        <v/>
      </c>
      <c r="T58" s="43" t="str">
        <f aca="false">IF(OR(S58="",ISERROR(S58)),"",B58+S58)</f>
        <v/>
      </c>
      <c r="U58" s="34"/>
      <c r="V58" s="35"/>
      <c r="W58" s="33" t="str">
        <f aca="true">IF(B58="","",IF(V58&lt;&gt;"",V58-B58,TODAY()-B58))</f>
        <v/>
      </c>
      <c r="X58" s="38" t="str">
        <f aca="true">IF(OR(B58="",T58="",U58="False Positive",U58="Risk Accepted"),"",IF(V58&lt;&gt;"",IF(V58&gt;T58,"Closed Late","Met"),IF(TODAY()&gt;T58,"SLA BREACH",IF(T58-TODAY()&lt;=7,"Due ≤7d","Within SLA"))))</f>
        <v/>
      </c>
      <c r="Y58" s="34"/>
      <c r="Z58" s="34"/>
      <c r="AA58" s="21"/>
    </row>
    <row r="59" customFormat="false" ht="15" hidden="false" customHeight="false" outlineLevel="0" collapsed="false">
      <c r="A59" s="6" t="s">
        <v>1905</v>
      </c>
      <c r="B59" s="35"/>
      <c r="C59" s="34"/>
      <c r="D59" s="34"/>
      <c r="E59" s="21"/>
      <c r="F59" s="34"/>
      <c r="G59" s="34"/>
      <c r="H59" s="34"/>
      <c r="I59" s="34"/>
      <c r="J59" s="21"/>
      <c r="K59" s="34"/>
      <c r="L59" s="34"/>
      <c r="M59" s="34"/>
      <c r="N59" s="21"/>
      <c r="O59" s="21"/>
      <c r="P59" s="21"/>
      <c r="Q59" s="34"/>
      <c r="R59" s="34"/>
      <c r="S59" s="33" t="str">
        <f aca="false">IF(OR(B59="",L59=""),"",INDEX(Lists!$AB$4:$AB$8,MATCH(L59,Lists!$AA$4:$AA$8,0)))</f>
        <v/>
      </c>
      <c r="T59" s="43" t="str">
        <f aca="false">IF(OR(S59="",ISERROR(S59)),"",B59+S59)</f>
        <v/>
      </c>
      <c r="U59" s="34"/>
      <c r="V59" s="35"/>
      <c r="W59" s="33" t="str">
        <f aca="true">IF(B59="","",IF(V59&lt;&gt;"",V59-B59,TODAY()-B59))</f>
        <v/>
      </c>
      <c r="X59" s="38" t="str">
        <f aca="true">IF(OR(B59="",T59="",U59="False Positive",U59="Risk Accepted"),"",IF(V59&lt;&gt;"",IF(V59&gt;T59,"Closed Late","Met"),IF(TODAY()&gt;T59,"SLA BREACH",IF(T59-TODAY()&lt;=7,"Due ≤7d","Within SLA"))))</f>
        <v/>
      </c>
      <c r="Y59" s="34"/>
      <c r="Z59" s="34"/>
      <c r="AA59" s="21"/>
    </row>
    <row r="60" customFormat="false" ht="15" hidden="false" customHeight="false" outlineLevel="0" collapsed="false">
      <c r="A60" s="6" t="s">
        <v>1906</v>
      </c>
      <c r="B60" s="35"/>
      <c r="C60" s="34"/>
      <c r="D60" s="34"/>
      <c r="E60" s="21"/>
      <c r="F60" s="34"/>
      <c r="G60" s="34"/>
      <c r="H60" s="34"/>
      <c r="I60" s="34"/>
      <c r="J60" s="21"/>
      <c r="K60" s="34"/>
      <c r="L60" s="34"/>
      <c r="M60" s="34"/>
      <c r="N60" s="21"/>
      <c r="O60" s="21"/>
      <c r="P60" s="21"/>
      <c r="Q60" s="34"/>
      <c r="R60" s="34"/>
      <c r="S60" s="33" t="str">
        <f aca="false">IF(OR(B60="",L60=""),"",INDEX(Lists!$AB$4:$AB$8,MATCH(L60,Lists!$AA$4:$AA$8,0)))</f>
        <v/>
      </c>
      <c r="T60" s="43" t="str">
        <f aca="false">IF(OR(S60="",ISERROR(S60)),"",B60+S60)</f>
        <v/>
      </c>
      <c r="U60" s="34"/>
      <c r="V60" s="35"/>
      <c r="W60" s="33" t="str">
        <f aca="true">IF(B60="","",IF(V60&lt;&gt;"",V60-B60,TODAY()-B60))</f>
        <v/>
      </c>
      <c r="X60" s="38" t="str">
        <f aca="true">IF(OR(B60="",T60="",U60="False Positive",U60="Risk Accepted"),"",IF(V60&lt;&gt;"",IF(V60&gt;T60,"Closed Late","Met"),IF(TODAY()&gt;T60,"SLA BREACH",IF(T60-TODAY()&lt;=7,"Due ≤7d","Within SLA"))))</f>
        <v/>
      </c>
      <c r="Y60" s="34"/>
      <c r="Z60" s="34"/>
      <c r="AA60" s="21"/>
    </row>
    <row r="61" customFormat="false" ht="15" hidden="false" customHeight="false" outlineLevel="0" collapsed="false">
      <c r="A61" s="6" t="s">
        <v>1907</v>
      </c>
      <c r="B61" s="35"/>
      <c r="C61" s="34"/>
      <c r="D61" s="34"/>
      <c r="E61" s="21"/>
      <c r="F61" s="34"/>
      <c r="G61" s="34"/>
      <c r="H61" s="34"/>
      <c r="I61" s="34"/>
      <c r="J61" s="21"/>
      <c r="K61" s="34"/>
      <c r="L61" s="34"/>
      <c r="M61" s="34"/>
      <c r="N61" s="21"/>
      <c r="O61" s="21"/>
      <c r="P61" s="21"/>
      <c r="Q61" s="34"/>
      <c r="R61" s="34"/>
      <c r="S61" s="33" t="str">
        <f aca="false">IF(OR(B61="",L61=""),"",INDEX(Lists!$AB$4:$AB$8,MATCH(L61,Lists!$AA$4:$AA$8,0)))</f>
        <v/>
      </c>
      <c r="T61" s="43" t="str">
        <f aca="false">IF(OR(S61="",ISERROR(S61)),"",B61+S61)</f>
        <v/>
      </c>
      <c r="U61" s="34"/>
      <c r="V61" s="35"/>
      <c r="W61" s="33" t="str">
        <f aca="true">IF(B61="","",IF(V61&lt;&gt;"",V61-B61,TODAY()-B61))</f>
        <v/>
      </c>
      <c r="X61" s="38" t="str">
        <f aca="true">IF(OR(B61="",T61="",U61="False Positive",U61="Risk Accepted"),"",IF(V61&lt;&gt;"",IF(V61&gt;T61,"Closed Late","Met"),IF(TODAY()&gt;T61,"SLA BREACH",IF(T61-TODAY()&lt;=7,"Due ≤7d","Within SLA"))))</f>
        <v/>
      </c>
      <c r="Y61" s="34"/>
      <c r="Z61" s="34"/>
      <c r="AA61" s="21"/>
    </row>
    <row r="62" customFormat="false" ht="15" hidden="false" customHeight="false" outlineLevel="0" collapsed="false">
      <c r="A62" s="6" t="s">
        <v>1908</v>
      </c>
      <c r="B62" s="35"/>
      <c r="C62" s="34"/>
      <c r="D62" s="34"/>
      <c r="E62" s="21"/>
      <c r="F62" s="34"/>
      <c r="G62" s="34"/>
      <c r="H62" s="34"/>
      <c r="I62" s="34"/>
      <c r="J62" s="21"/>
      <c r="K62" s="34"/>
      <c r="L62" s="34"/>
      <c r="M62" s="34"/>
      <c r="N62" s="21"/>
      <c r="O62" s="21"/>
      <c r="P62" s="21"/>
      <c r="Q62" s="34"/>
      <c r="R62" s="34"/>
      <c r="S62" s="33" t="str">
        <f aca="false">IF(OR(B62="",L62=""),"",INDEX(Lists!$AB$4:$AB$8,MATCH(L62,Lists!$AA$4:$AA$8,0)))</f>
        <v/>
      </c>
      <c r="T62" s="43" t="str">
        <f aca="false">IF(OR(S62="",ISERROR(S62)),"",B62+S62)</f>
        <v/>
      </c>
      <c r="U62" s="34"/>
      <c r="V62" s="35"/>
      <c r="W62" s="33" t="str">
        <f aca="true">IF(B62="","",IF(V62&lt;&gt;"",V62-B62,TODAY()-B62))</f>
        <v/>
      </c>
      <c r="X62" s="38" t="str">
        <f aca="true">IF(OR(B62="",T62="",U62="False Positive",U62="Risk Accepted"),"",IF(V62&lt;&gt;"",IF(V62&gt;T62,"Closed Late","Met"),IF(TODAY()&gt;T62,"SLA BREACH",IF(T62-TODAY()&lt;=7,"Due ≤7d","Within SLA"))))</f>
        <v/>
      </c>
      <c r="Y62" s="34"/>
      <c r="Z62" s="34"/>
      <c r="AA62" s="21"/>
    </row>
    <row r="63" customFormat="false" ht="15" hidden="false" customHeight="false" outlineLevel="0" collapsed="false">
      <c r="A63" s="6" t="s">
        <v>1909</v>
      </c>
      <c r="B63" s="35"/>
      <c r="C63" s="34"/>
      <c r="D63" s="34"/>
      <c r="E63" s="21"/>
      <c r="F63" s="34"/>
      <c r="G63" s="34"/>
      <c r="H63" s="34"/>
      <c r="I63" s="34"/>
      <c r="J63" s="21"/>
      <c r="K63" s="34"/>
      <c r="L63" s="34"/>
      <c r="M63" s="34"/>
      <c r="N63" s="21"/>
      <c r="O63" s="21"/>
      <c r="P63" s="21"/>
      <c r="Q63" s="34"/>
      <c r="R63" s="34"/>
      <c r="S63" s="33" t="str">
        <f aca="false">IF(OR(B63="",L63=""),"",INDEX(Lists!$AB$4:$AB$8,MATCH(L63,Lists!$AA$4:$AA$8,0)))</f>
        <v/>
      </c>
      <c r="T63" s="43" t="str">
        <f aca="false">IF(OR(S63="",ISERROR(S63)),"",B63+S63)</f>
        <v/>
      </c>
      <c r="U63" s="34"/>
      <c r="V63" s="35"/>
      <c r="W63" s="33" t="str">
        <f aca="true">IF(B63="","",IF(V63&lt;&gt;"",V63-B63,TODAY()-B63))</f>
        <v/>
      </c>
      <c r="X63" s="38" t="str">
        <f aca="true">IF(OR(B63="",T63="",U63="False Positive",U63="Risk Accepted"),"",IF(V63&lt;&gt;"",IF(V63&gt;T63,"Closed Late","Met"),IF(TODAY()&gt;T63,"SLA BREACH",IF(T63-TODAY()&lt;=7,"Due ≤7d","Within SLA"))))</f>
        <v/>
      </c>
      <c r="Y63" s="34"/>
      <c r="Z63" s="34"/>
      <c r="AA63" s="21"/>
    </row>
    <row r="64" customFormat="false" ht="15" hidden="false" customHeight="false" outlineLevel="0" collapsed="false">
      <c r="A64" s="6" t="s">
        <v>1910</v>
      </c>
      <c r="B64" s="35"/>
      <c r="C64" s="34"/>
      <c r="D64" s="34"/>
      <c r="E64" s="21"/>
      <c r="F64" s="34"/>
      <c r="G64" s="34"/>
      <c r="H64" s="34"/>
      <c r="I64" s="34"/>
      <c r="J64" s="21"/>
      <c r="K64" s="34"/>
      <c r="L64" s="34"/>
      <c r="M64" s="34"/>
      <c r="N64" s="21"/>
      <c r="O64" s="21"/>
      <c r="P64" s="21"/>
      <c r="Q64" s="34"/>
      <c r="R64" s="34"/>
      <c r="S64" s="33" t="str">
        <f aca="false">IF(OR(B64="",L64=""),"",INDEX(Lists!$AB$4:$AB$8,MATCH(L64,Lists!$AA$4:$AA$8,0)))</f>
        <v/>
      </c>
      <c r="T64" s="43" t="str">
        <f aca="false">IF(OR(S64="",ISERROR(S64)),"",B64+S64)</f>
        <v/>
      </c>
      <c r="U64" s="34"/>
      <c r="V64" s="35"/>
      <c r="W64" s="33" t="str">
        <f aca="true">IF(B64="","",IF(V64&lt;&gt;"",V64-B64,TODAY()-B64))</f>
        <v/>
      </c>
      <c r="X64" s="38" t="str">
        <f aca="true">IF(OR(B64="",T64="",U64="False Positive",U64="Risk Accepted"),"",IF(V64&lt;&gt;"",IF(V64&gt;T64,"Closed Late","Met"),IF(TODAY()&gt;T64,"SLA BREACH",IF(T64-TODAY()&lt;=7,"Due ≤7d","Within SLA"))))</f>
        <v/>
      </c>
      <c r="Y64" s="34"/>
      <c r="Z64" s="34"/>
      <c r="AA64" s="21"/>
    </row>
    <row r="65" customFormat="false" ht="15" hidden="false" customHeight="false" outlineLevel="0" collapsed="false">
      <c r="A65" s="6" t="s">
        <v>1911</v>
      </c>
      <c r="B65" s="35"/>
      <c r="C65" s="34"/>
      <c r="D65" s="34"/>
      <c r="E65" s="21"/>
      <c r="F65" s="34"/>
      <c r="G65" s="34"/>
      <c r="H65" s="34"/>
      <c r="I65" s="34"/>
      <c r="J65" s="21"/>
      <c r="K65" s="34"/>
      <c r="L65" s="34"/>
      <c r="M65" s="34"/>
      <c r="N65" s="21"/>
      <c r="O65" s="21"/>
      <c r="P65" s="21"/>
      <c r="Q65" s="34"/>
      <c r="R65" s="34"/>
      <c r="S65" s="33" t="str">
        <f aca="false">IF(OR(B65="",L65=""),"",INDEX(Lists!$AB$4:$AB$8,MATCH(L65,Lists!$AA$4:$AA$8,0)))</f>
        <v/>
      </c>
      <c r="T65" s="43" t="str">
        <f aca="false">IF(OR(S65="",ISERROR(S65)),"",B65+S65)</f>
        <v/>
      </c>
      <c r="U65" s="34"/>
      <c r="V65" s="35"/>
      <c r="W65" s="33" t="str">
        <f aca="true">IF(B65="","",IF(V65&lt;&gt;"",V65-B65,TODAY()-B65))</f>
        <v/>
      </c>
      <c r="X65" s="38" t="str">
        <f aca="true">IF(OR(B65="",T65="",U65="False Positive",U65="Risk Accepted"),"",IF(V65&lt;&gt;"",IF(V65&gt;T65,"Closed Late","Met"),IF(TODAY()&gt;T65,"SLA BREACH",IF(T65-TODAY()&lt;=7,"Due ≤7d","Within SLA"))))</f>
        <v/>
      </c>
      <c r="Y65" s="34"/>
      <c r="Z65" s="34"/>
      <c r="AA65" s="21"/>
    </row>
    <row r="66" customFormat="false" ht="15" hidden="false" customHeight="false" outlineLevel="0" collapsed="false">
      <c r="A66" s="6" t="s">
        <v>1912</v>
      </c>
      <c r="B66" s="35"/>
      <c r="C66" s="34"/>
      <c r="D66" s="34"/>
      <c r="E66" s="21"/>
      <c r="F66" s="34"/>
      <c r="G66" s="34"/>
      <c r="H66" s="34"/>
      <c r="I66" s="34"/>
      <c r="J66" s="21"/>
      <c r="K66" s="34"/>
      <c r="L66" s="34"/>
      <c r="M66" s="34"/>
      <c r="N66" s="21"/>
      <c r="O66" s="21"/>
      <c r="P66" s="21"/>
      <c r="Q66" s="34"/>
      <c r="R66" s="34"/>
      <c r="S66" s="33" t="str">
        <f aca="false">IF(OR(B66="",L66=""),"",INDEX(Lists!$AB$4:$AB$8,MATCH(L66,Lists!$AA$4:$AA$8,0)))</f>
        <v/>
      </c>
      <c r="T66" s="43" t="str">
        <f aca="false">IF(OR(S66="",ISERROR(S66)),"",B66+S66)</f>
        <v/>
      </c>
      <c r="U66" s="34"/>
      <c r="V66" s="35"/>
      <c r="W66" s="33" t="str">
        <f aca="true">IF(B66="","",IF(V66&lt;&gt;"",V66-B66,TODAY()-B66))</f>
        <v/>
      </c>
      <c r="X66" s="38" t="str">
        <f aca="true">IF(OR(B66="",T66="",U66="False Positive",U66="Risk Accepted"),"",IF(V66&lt;&gt;"",IF(V66&gt;T66,"Closed Late","Met"),IF(TODAY()&gt;T66,"SLA BREACH",IF(T66-TODAY()&lt;=7,"Due ≤7d","Within SLA"))))</f>
        <v/>
      </c>
      <c r="Y66" s="34"/>
      <c r="Z66" s="34"/>
      <c r="AA66" s="21"/>
    </row>
    <row r="67" customFormat="false" ht="15" hidden="false" customHeight="false" outlineLevel="0" collapsed="false">
      <c r="A67" s="6" t="s">
        <v>1913</v>
      </c>
      <c r="B67" s="35"/>
      <c r="C67" s="34"/>
      <c r="D67" s="34"/>
      <c r="E67" s="21"/>
      <c r="F67" s="34"/>
      <c r="G67" s="34"/>
      <c r="H67" s="34"/>
      <c r="I67" s="34"/>
      <c r="J67" s="21"/>
      <c r="K67" s="34"/>
      <c r="L67" s="34"/>
      <c r="M67" s="34"/>
      <c r="N67" s="21"/>
      <c r="O67" s="21"/>
      <c r="P67" s="21"/>
      <c r="Q67" s="34"/>
      <c r="R67" s="34"/>
      <c r="S67" s="33" t="str">
        <f aca="false">IF(OR(B67="",L67=""),"",INDEX(Lists!$AB$4:$AB$8,MATCH(L67,Lists!$AA$4:$AA$8,0)))</f>
        <v/>
      </c>
      <c r="T67" s="43" t="str">
        <f aca="false">IF(OR(S67="",ISERROR(S67)),"",B67+S67)</f>
        <v/>
      </c>
      <c r="U67" s="34"/>
      <c r="V67" s="35"/>
      <c r="W67" s="33" t="str">
        <f aca="true">IF(B67="","",IF(V67&lt;&gt;"",V67-B67,TODAY()-B67))</f>
        <v/>
      </c>
      <c r="X67" s="38" t="str">
        <f aca="true">IF(OR(B67="",T67="",U67="False Positive",U67="Risk Accepted"),"",IF(V67&lt;&gt;"",IF(V67&gt;T67,"Closed Late","Met"),IF(TODAY()&gt;T67,"SLA BREACH",IF(T67-TODAY()&lt;=7,"Due ≤7d","Within SLA"))))</f>
        <v/>
      </c>
      <c r="Y67" s="34"/>
      <c r="Z67" s="34"/>
      <c r="AA67" s="21"/>
    </row>
    <row r="68" customFormat="false" ht="15" hidden="false" customHeight="false" outlineLevel="0" collapsed="false">
      <c r="A68" s="6" t="s">
        <v>1914</v>
      </c>
      <c r="B68" s="35"/>
      <c r="C68" s="34"/>
      <c r="D68" s="34"/>
      <c r="E68" s="21"/>
      <c r="F68" s="34"/>
      <c r="G68" s="34"/>
      <c r="H68" s="34"/>
      <c r="I68" s="34"/>
      <c r="J68" s="21"/>
      <c r="K68" s="34"/>
      <c r="L68" s="34"/>
      <c r="M68" s="34"/>
      <c r="N68" s="21"/>
      <c r="O68" s="21"/>
      <c r="P68" s="21"/>
      <c r="Q68" s="34"/>
      <c r="R68" s="34"/>
      <c r="S68" s="33" t="str">
        <f aca="false">IF(OR(B68="",L68=""),"",INDEX(Lists!$AB$4:$AB$8,MATCH(L68,Lists!$AA$4:$AA$8,0)))</f>
        <v/>
      </c>
      <c r="T68" s="43" t="str">
        <f aca="false">IF(OR(S68="",ISERROR(S68)),"",B68+S68)</f>
        <v/>
      </c>
      <c r="U68" s="34"/>
      <c r="V68" s="35"/>
      <c r="W68" s="33" t="str">
        <f aca="true">IF(B68="","",IF(V68&lt;&gt;"",V68-B68,TODAY()-B68))</f>
        <v/>
      </c>
      <c r="X68" s="38" t="str">
        <f aca="true">IF(OR(B68="",T68="",U68="False Positive",U68="Risk Accepted"),"",IF(V68&lt;&gt;"",IF(V68&gt;T68,"Closed Late","Met"),IF(TODAY()&gt;T68,"SLA BREACH",IF(T68-TODAY()&lt;=7,"Due ≤7d","Within SLA"))))</f>
        <v/>
      </c>
      <c r="Y68" s="34"/>
      <c r="Z68" s="34"/>
      <c r="AA68" s="21"/>
    </row>
    <row r="69" customFormat="false" ht="15" hidden="false" customHeight="false" outlineLevel="0" collapsed="false">
      <c r="A69" s="6" t="s">
        <v>1915</v>
      </c>
      <c r="B69" s="35"/>
      <c r="C69" s="34"/>
      <c r="D69" s="34"/>
      <c r="E69" s="21"/>
      <c r="F69" s="34"/>
      <c r="G69" s="34"/>
      <c r="H69" s="34"/>
      <c r="I69" s="34"/>
      <c r="J69" s="21"/>
      <c r="K69" s="34"/>
      <c r="L69" s="34"/>
      <c r="M69" s="34"/>
      <c r="N69" s="21"/>
      <c r="O69" s="21"/>
      <c r="P69" s="21"/>
      <c r="Q69" s="34"/>
      <c r="R69" s="34"/>
      <c r="S69" s="33" t="str">
        <f aca="false">IF(OR(B69="",L69=""),"",INDEX(Lists!$AB$4:$AB$8,MATCH(L69,Lists!$AA$4:$AA$8,0)))</f>
        <v/>
      </c>
      <c r="T69" s="43" t="str">
        <f aca="false">IF(OR(S69="",ISERROR(S69)),"",B69+S69)</f>
        <v/>
      </c>
      <c r="U69" s="34"/>
      <c r="V69" s="35"/>
      <c r="W69" s="33" t="str">
        <f aca="true">IF(B69="","",IF(V69&lt;&gt;"",V69-B69,TODAY()-B69))</f>
        <v/>
      </c>
      <c r="X69" s="38" t="str">
        <f aca="true">IF(OR(B69="",T69="",U69="False Positive",U69="Risk Accepted"),"",IF(V69&lt;&gt;"",IF(V69&gt;T69,"Closed Late","Met"),IF(TODAY()&gt;T69,"SLA BREACH",IF(T69-TODAY()&lt;=7,"Due ≤7d","Within SLA"))))</f>
        <v/>
      </c>
      <c r="Y69" s="34"/>
      <c r="Z69" s="34"/>
      <c r="AA69" s="21"/>
    </row>
    <row r="70" customFormat="false" ht="15" hidden="false" customHeight="false" outlineLevel="0" collapsed="false">
      <c r="A70" s="6" t="s">
        <v>1916</v>
      </c>
      <c r="B70" s="35"/>
      <c r="C70" s="34"/>
      <c r="D70" s="34"/>
      <c r="E70" s="21"/>
      <c r="F70" s="34"/>
      <c r="G70" s="34"/>
      <c r="H70" s="34"/>
      <c r="I70" s="34"/>
      <c r="J70" s="21"/>
      <c r="K70" s="34"/>
      <c r="L70" s="34"/>
      <c r="M70" s="34"/>
      <c r="N70" s="21"/>
      <c r="O70" s="21"/>
      <c r="P70" s="21"/>
      <c r="Q70" s="34"/>
      <c r="R70" s="34"/>
      <c r="S70" s="33" t="str">
        <f aca="false">IF(OR(B70="",L70=""),"",INDEX(Lists!$AB$4:$AB$8,MATCH(L70,Lists!$AA$4:$AA$8,0)))</f>
        <v/>
      </c>
      <c r="T70" s="43" t="str">
        <f aca="false">IF(OR(S70="",ISERROR(S70)),"",B70+S70)</f>
        <v/>
      </c>
      <c r="U70" s="34"/>
      <c r="V70" s="35"/>
      <c r="W70" s="33" t="str">
        <f aca="true">IF(B70="","",IF(V70&lt;&gt;"",V70-B70,TODAY()-B70))</f>
        <v/>
      </c>
      <c r="X70" s="38" t="str">
        <f aca="true">IF(OR(B70="",T70="",U70="False Positive",U70="Risk Accepted"),"",IF(V70&lt;&gt;"",IF(V70&gt;T70,"Closed Late","Met"),IF(TODAY()&gt;T70,"SLA BREACH",IF(T70-TODAY()&lt;=7,"Due ≤7d","Within SLA"))))</f>
        <v/>
      </c>
      <c r="Y70" s="34"/>
      <c r="Z70" s="34"/>
      <c r="AA70" s="21"/>
    </row>
    <row r="71" customFormat="false" ht="15" hidden="false" customHeight="false" outlineLevel="0" collapsed="false">
      <c r="A71" s="6" t="s">
        <v>1917</v>
      </c>
      <c r="B71" s="35"/>
      <c r="C71" s="34"/>
      <c r="D71" s="34"/>
      <c r="E71" s="21"/>
      <c r="F71" s="34"/>
      <c r="G71" s="34"/>
      <c r="H71" s="34"/>
      <c r="I71" s="34"/>
      <c r="J71" s="21"/>
      <c r="K71" s="34"/>
      <c r="L71" s="34"/>
      <c r="M71" s="34"/>
      <c r="N71" s="21"/>
      <c r="O71" s="21"/>
      <c r="P71" s="21"/>
      <c r="Q71" s="34"/>
      <c r="R71" s="34"/>
      <c r="S71" s="33" t="str">
        <f aca="false">IF(OR(B71="",L71=""),"",INDEX(Lists!$AB$4:$AB$8,MATCH(L71,Lists!$AA$4:$AA$8,0)))</f>
        <v/>
      </c>
      <c r="T71" s="43" t="str">
        <f aca="false">IF(OR(S71="",ISERROR(S71)),"",B71+S71)</f>
        <v/>
      </c>
      <c r="U71" s="34"/>
      <c r="V71" s="35"/>
      <c r="W71" s="33" t="str">
        <f aca="true">IF(B71="","",IF(V71&lt;&gt;"",V71-B71,TODAY()-B71))</f>
        <v/>
      </c>
      <c r="X71" s="38" t="str">
        <f aca="true">IF(OR(B71="",T71="",U71="False Positive",U71="Risk Accepted"),"",IF(V71&lt;&gt;"",IF(V71&gt;T71,"Closed Late","Met"),IF(TODAY()&gt;T71,"SLA BREACH",IF(T71-TODAY()&lt;=7,"Due ≤7d","Within SLA"))))</f>
        <v/>
      </c>
      <c r="Y71" s="34"/>
      <c r="Z71" s="34"/>
      <c r="AA71" s="21"/>
    </row>
    <row r="72" customFormat="false" ht="15" hidden="false" customHeight="false" outlineLevel="0" collapsed="false">
      <c r="A72" s="6" t="s">
        <v>1918</v>
      </c>
      <c r="B72" s="35"/>
      <c r="C72" s="34"/>
      <c r="D72" s="34"/>
      <c r="E72" s="21"/>
      <c r="F72" s="34"/>
      <c r="G72" s="34"/>
      <c r="H72" s="34"/>
      <c r="I72" s="34"/>
      <c r="J72" s="21"/>
      <c r="K72" s="34"/>
      <c r="L72" s="34"/>
      <c r="M72" s="34"/>
      <c r="N72" s="21"/>
      <c r="O72" s="21"/>
      <c r="P72" s="21"/>
      <c r="Q72" s="34"/>
      <c r="R72" s="34"/>
      <c r="S72" s="33" t="str">
        <f aca="false">IF(OR(B72="",L72=""),"",INDEX(Lists!$AB$4:$AB$8,MATCH(L72,Lists!$AA$4:$AA$8,0)))</f>
        <v/>
      </c>
      <c r="T72" s="43" t="str">
        <f aca="false">IF(OR(S72="",ISERROR(S72)),"",B72+S72)</f>
        <v/>
      </c>
      <c r="U72" s="34"/>
      <c r="V72" s="35"/>
      <c r="W72" s="33" t="str">
        <f aca="true">IF(B72="","",IF(V72&lt;&gt;"",V72-B72,TODAY()-B72))</f>
        <v/>
      </c>
      <c r="X72" s="38" t="str">
        <f aca="true">IF(OR(B72="",T72="",U72="False Positive",U72="Risk Accepted"),"",IF(V72&lt;&gt;"",IF(V72&gt;T72,"Closed Late","Met"),IF(TODAY()&gt;T72,"SLA BREACH",IF(T72-TODAY()&lt;=7,"Due ≤7d","Within SLA"))))</f>
        <v/>
      </c>
      <c r="Y72" s="34"/>
      <c r="Z72" s="34"/>
      <c r="AA72" s="21"/>
    </row>
    <row r="73" customFormat="false" ht="15" hidden="false" customHeight="false" outlineLevel="0" collapsed="false">
      <c r="A73" s="6" t="s">
        <v>1919</v>
      </c>
      <c r="B73" s="35"/>
      <c r="C73" s="34"/>
      <c r="D73" s="34"/>
      <c r="E73" s="21"/>
      <c r="F73" s="34"/>
      <c r="G73" s="34"/>
      <c r="H73" s="34"/>
      <c r="I73" s="34"/>
      <c r="J73" s="21"/>
      <c r="K73" s="34"/>
      <c r="L73" s="34"/>
      <c r="M73" s="34"/>
      <c r="N73" s="21"/>
      <c r="O73" s="21"/>
      <c r="P73" s="21"/>
      <c r="Q73" s="34"/>
      <c r="R73" s="34"/>
      <c r="S73" s="33" t="str">
        <f aca="false">IF(OR(B73="",L73=""),"",INDEX(Lists!$AB$4:$AB$8,MATCH(L73,Lists!$AA$4:$AA$8,0)))</f>
        <v/>
      </c>
      <c r="T73" s="43" t="str">
        <f aca="false">IF(OR(S73="",ISERROR(S73)),"",B73+S73)</f>
        <v/>
      </c>
      <c r="U73" s="34"/>
      <c r="V73" s="35"/>
      <c r="W73" s="33" t="str">
        <f aca="true">IF(B73="","",IF(V73&lt;&gt;"",V73-B73,TODAY()-B73))</f>
        <v/>
      </c>
      <c r="X73" s="38" t="str">
        <f aca="true">IF(OR(B73="",T73="",U73="False Positive",U73="Risk Accepted"),"",IF(V73&lt;&gt;"",IF(V73&gt;T73,"Closed Late","Met"),IF(TODAY()&gt;T73,"SLA BREACH",IF(T73-TODAY()&lt;=7,"Due ≤7d","Within SLA"))))</f>
        <v/>
      </c>
      <c r="Y73" s="34"/>
      <c r="Z73" s="34"/>
      <c r="AA73" s="21"/>
    </row>
    <row r="74" customFormat="false" ht="15" hidden="false" customHeight="false" outlineLevel="0" collapsed="false">
      <c r="A74" s="6" t="s">
        <v>1920</v>
      </c>
      <c r="B74" s="35"/>
      <c r="C74" s="34"/>
      <c r="D74" s="34"/>
      <c r="E74" s="21"/>
      <c r="F74" s="34"/>
      <c r="G74" s="34"/>
      <c r="H74" s="34"/>
      <c r="I74" s="34"/>
      <c r="J74" s="21"/>
      <c r="K74" s="34"/>
      <c r="L74" s="34"/>
      <c r="M74" s="34"/>
      <c r="N74" s="21"/>
      <c r="O74" s="21"/>
      <c r="P74" s="21"/>
      <c r="Q74" s="34"/>
      <c r="R74" s="34"/>
      <c r="S74" s="33" t="str">
        <f aca="false">IF(OR(B74="",L74=""),"",INDEX(Lists!$AB$4:$AB$8,MATCH(L74,Lists!$AA$4:$AA$8,0)))</f>
        <v/>
      </c>
      <c r="T74" s="43" t="str">
        <f aca="false">IF(OR(S74="",ISERROR(S74)),"",B74+S74)</f>
        <v/>
      </c>
      <c r="U74" s="34"/>
      <c r="V74" s="35"/>
      <c r="W74" s="33" t="str">
        <f aca="true">IF(B74="","",IF(V74&lt;&gt;"",V74-B74,TODAY()-B74))</f>
        <v/>
      </c>
      <c r="X74" s="38" t="str">
        <f aca="true">IF(OR(B74="",T74="",U74="False Positive",U74="Risk Accepted"),"",IF(V74&lt;&gt;"",IF(V74&gt;T74,"Closed Late","Met"),IF(TODAY()&gt;T74,"SLA BREACH",IF(T74-TODAY()&lt;=7,"Due ≤7d","Within SLA"))))</f>
        <v/>
      </c>
      <c r="Y74" s="34"/>
      <c r="Z74" s="34"/>
      <c r="AA74" s="21"/>
    </row>
    <row r="75" customFormat="false" ht="15" hidden="false" customHeight="false" outlineLevel="0" collapsed="false">
      <c r="A75" s="6" t="s">
        <v>1921</v>
      </c>
      <c r="B75" s="35"/>
      <c r="C75" s="34"/>
      <c r="D75" s="34"/>
      <c r="E75" s="21"/>
      <c r="F75" s="34"/>
      <c r="G75" s="34"/>
      <c r="H75" s="34"/>
      <c r="I75" s="34"/>
      <c r="J75" s="21"/>
      <c r="K75" s="34"/>
      <c r="L75" s="34"/>
      <c r="M75" s="34"/>
      <c r="N75" s="21"/>
      <c r="O75" s="21"/>
      <c r="P75" s="21"/>
      <c r="Q75" s="34"/>
      <c r="R75" s="34"/>
      <c r="S75" s="33" t="str">
        <f aca="false">IF(OR(B75="",L75=""),"",INDEX(Lists!$AB$4:$AB$8,MATCH(L75,Lists!$AA$4:$AA$8,0)))</f>
        <v/>
      </c>
      <c r="T75" s="43" t="str">
        <f aca="false">IF(OR(S75="",ISERROR(S75)),"",B75+S75)</f>
        <v/>
      </c>
      <c r="U75" s="34"/>
      <c r="V75" s="35"/>
      <c r="W75" s="33" t="str">
        <f aca="true">IF(B75="","",IF(V75&lt;&gt;"",V75-B75,TODAY()-B75))</f>
        <v/>
      </c>
      <c r="X75" s="38" t="str">
        <f aca="true">IF(OR(B75="",T75="",U75="False Positive",U75="Risk Accepted"),"",IF(V75&lt;&gt;"",IF(V75&gt;T75,"Closed Late","Met"),IF(TODAY()&gt;T75,"SLA BREACH",IF(T75-TODAY()&lt;=7,"Due ≤7d","Within SLA"))))</f>
        <v/>
      </c>
      <c r="Y75" s="34"/>
      <c r="Z75" s="34"/>
      <c r="AA75" s="21"/>
    </row>
    <row r="76" customFormat="false" ht="15" hidden="false" customHeight="false" outlineLevel="0" collapsed="false">
      <c r="A76" s="6" t="s">
        <v>1922</v>
      </c>
      <c r="B76" s="35"/>
      <c r="C76" s="34"/>
      <c r="D76" s="34"/>
      <c r="E76" s="21"/>
      <c r="F76" s="34"/>
      <c r="G76" s="34"/>
      <c r="H76" s="34"/>
      <c r="I76" s="34"/>
      <c r="J76" s="21"/>
      <c r="K76" s="34"/>
      <c r="L76" s="34"/>
      <c r="M76" s="34"/>
      <c r="N76" s="21"/>
      <c r="O76" s="21"/>
      <c r="P76" s="21"/>
      <c r="Q76" s="34"/>
      <c r="R76" s="34"/>
      <c r="S76" s="33" t="str">
        <f aca="false">IF(OR(B76="",L76=""),"",INDEX(Lists!$AB$4:$AB$8,MATCH(L76,Lists!$AA$4:$AA$8,0)))</f>
        <v/>
      </c>
      <c r="T76" s="43" t="str">
        <f aca="false">IF(OR(S76="",ISERROR(S76)),"",B76+S76)</f>
        <v/>
      </c>
      <c r="U76" s="34"/>
      <c r="V76" s="35"/>
      <c r="W76" s="33" t="str">
        <f aca="true">IF(B76="","",IF(V76&lt;&gt;"",V76-B76,TODAY()-B76))</f>
        <v/>
      </c>
      <c r="X76" s="38" t="str">
        <f aca="true">IF(OR(B76="",T76="",U76="False Positive",U76="Risk Accepted"),"",IF(V76&lt;&gt;"",IF(V76&gt;T76,"Closed Late","Met"),IF(TODAY()&gt;T76,"SLA BREACH",IF(T76-TODAY()&lt;=7,"Due ≤7d","Within SLA"))))</f>
        <v/>
      </c>
      <c r="Y76" s="34"/>
      <c r="Z76" s="34"/>
      <c r="AA76" s="21"/>
    </row>
    <row r="77" customFormat="false" ht="15" hidden="false" customHeight="false" outlineLevel="0" collapsed="false">
      <c r="A77" s="6" t="s">
        <v>1923</v>
      </c>
      <c r="B77" s="35"/>
      <c r="C77" s="34"/>
      <c r="D77" s="34"/>
      <c r="E77" s="21"/>
      <c r="F77" s="34"/>
      <c r="G77" s="34"/>
      <c r="H77" s="34"/>
      <c r="I77" s="34"/>
      <c r="J77" s="21"/>
      <c r="K77" s="34"/>
      <c r="L77" s="34"/>
      <c r="M77" s="34"/>
      <c r="N77" s="21"/>
      <c r="O77" s="21"/>
      <c r="P77" s="21"/>
      <c r="Q77" s="34"/>
      <c r="R77" s="34"/>
      <c r="S77" s="33" t="str">
        <f aca="false">IF(OR(B77="",L77=""),"",INDEX(Lists!$AB$4:$AB$8,MATCH(L77,Lists!$AA$4:$AA$8,0)))</f>
        <v/>
      </c>
      <c r="T77" s="43" t="str">
        <f aca="false">IF(OR(S77="",ISERROR(S77)),"",B77+S77)</f>
        <v/>
      </c>
      <c r="U77" s="34"/>
      <c r="V77" s="35"/>
      <c r="W77" s="33" t="str">
        <f aca="true">IF(B77="","",IF(V77&lt;&gt;"",V77-B77,TODAY()-B77))</f>
        <v/>
      </c>
      <c r="X77" s="38" t="str">
        <f aca="true">IF(OR(B77="",T77="",U77="False Positive",U77="Risk Accepted"),"",IF(V77&lt;&gt;"",IF(V77&gt;T77,"Closed Late","Met"),IF(TODAY()&gt;T77,"SLA BREACH",IF(T77-TODAY()&lt;=7,"Due ≤7d","Within SLA"))))</f>
        <v/>
      </c>
      <c r="Y77" s="34"/>
      <c r="Z77" s="34"/>
      <c r="AA77" s="21"/>
    </row>
    <row r="78" customFormat="false" ht="15" hidden="false" customHeight="false" outlineLevel="0" collapsed="false">
      <c r="A78" s="6" t="s">
        <v>1924</v>
      </c>
      <c r="B78" s="35"/>
      <c r="C78" s="34"/>
      <c r="D78" s="34"/>
      <c r="E78" s="21"/>
      <c r="F78" s="34"/>
      <c r="G78" s="34"/>
      <c r="H78" s="34"/>
      <c r="I78" s="34"/>
      <c r="J78" s="21"/>
      <c r="K78" s="34"/>
      <c r="L78" s="34"/>
      <c r="M78" s="34"/>
      <c r="N78" s="21"/>
      <c r="O78" s="21"/>
      <c r="P78" s="21"/>
      <c r="Q78" s="34"/>
      <c r="R78" s="34"/>
      <c r="S78" s="33" t="str">
        <f aca="false">IF(OR(B78="",L78=""),"",INDEX(Lists!$AB$4:$AB$8,MATCH(L78,Lists!$AA$4:$AA$8,0)))</f>
        <v/>
      </c>
      <c r="T78" s="43" t="str">
        <f aca="false">IF(OR(S78="",ISERROR(S78)),"",B78+S78)</f>
        <v/>
      </c>
      <c r="U78" s="34"/>
      <c r="V78" s="35"/>
      <c r="W78" s="33" t="str">
        <f aca="true">IF(B78="","",IF(V78&lt;&gt;"",V78-B78,TODAY()-B78))</f>
        <v/>
      </c>
      <c r="X78" s="38" t="str">
        <f aca="true">IF(OR(B78="",T78="",U78="False Positive",U78="Risk Accepted"),"",IF(V78&lt;&gt;"",IF(V78&gt;T78,"Closed Late","Met"),IF(TODAY()&gt;T78,"SLA BREACH",IF(T78-TODAY()&lt;=7,"Due ≤7d","Within SLA"))))</f>
        <v/>
      </c>
      <c r="Y78" s="34"/>
      <c r="Z78" s="34"/>
      <c r="AA78" s="21"/>
    </row>
    <row r="79" customFormat="false" ht="15" hidden="false" customHeight="false" outlineLevel="0" collapsed="false">
      <c r="A79" s="6" t="s">
        <v>1925</v>
      </c>
      <c r="B79" s="35"/>
      <c r="C79" s="34"/>
      <c r="D79" s="34"/>
      <c r="E79" s="21"/>
      <c r="F79" s="34"/>
      <c r="G79" s="34"/>
      <c r="H79" s="34"/>
      <c r="I79" s="34"/>
      <c r="J79" s="21"/>
      <c r="K79" s="34"/>
      <c r="L79" s="34"/>
      <c r="M79" s="34"/>
      <c r="N79" s="21"/>
      <c r="O79" s="21"/>
      <c r="P79" s="21"/>
      <c r="Q79" s="34"/>
      <c r="R79" s="34"/>
      <c r="S79" s="33" t="str">
        <f aca="false">IF(OR(B79="",L79=""),"",INDEX(Lists!$AB$4:$AB$8,MATCH(L79,Lists!$AA$4:$AA$8,0)))</f>
        <v/>
      </c>
      <c r="T79" s="43" t="str">
        <f aca="false">IF(OR(S79="",ISERROR(S79)),"",B79+S79)</f>
        <v/>
      </c>
      <c r="U79" s="34"/>
      <c r="V79" s="35"/>
      <c r="W79" s="33" t="str">
        <f aca="true">IF(B79="","",IF(V79&lt;&gt;"",V79-B79,TODAY()-B79))</f>
        <v/>
      </c>
      <c r="X79" s="38" t="str">
        <f aca="true">IF(OR(B79="",T79="",U79="False Positive",U79="Risk Accepted"),"",IF(V79&lt;&gt;"",IF(V79&gt;T79,"Closed Late","Met"),IF(TODAY()&gt;T79,"SLA BREACH",IF(T79-TODAY()&lt;=7,"Due ≤7d","Within SLA"))))</f>
        <v/>
      </c>
      <c r="Y79" s="34"/>
      <c r="Z79" s="34"/>
      <c r="AA79" s="21"/>
    </row>
    <row r="80" customFormat="false" ht="15" hidden="false" customHeight="false" outlineLevel="0" collapsed="false">
      <c r="A80" s="6" t="s">
        <v>1926</v>
      </c>
      <c r="B80" s="35"/>
      <c r="C80" s="34"/>
      <c r="D80" s="34"/>
      <c r="E80" s="21"/>
      <c r="F80" s="34"/>
      <c r="G80" s="34"/>
      <c r="H80" s="34"/>
      <c r="I80" s="34"/>
      <c r="J80" s="21"/>
      <c r="K80" s="34"/>
      <c r="L80" s="34"/>
      <c r="M80" s="34"/>
      <c r="N80" s="21"/>
      <c r="O80" s="21"/>
      <c r="P80" s="21"/>
      <c r="Q80" s="34"/>
      <c r="R80" s="34"/>
      <c r="S80" s="33" t="str">
        <f aca="false">IF(OR(B80="",L80=""),"",INDEX(Lists!$AB$4:$AB$8,MATCH(L80,Lists!$AA$4:$AA$8,0)))</f>
        <v/>
      </c>
      <c r="T80" s="43" t="str">
        <f aca="false">IF(OR(S80="",ISERROR(S80)),"",B80+S80)</f>
        <v/>
      </c>
      <c r="U80" s="34"/>
      <c r="V80" s="35"/>
      <c r="W80" s="33" t="str">
        <f aca="true">IF(B80="","",IF(V80&lt;&gt;"",V80-B80,TODAY()-B80))</f>
        <v/>
      </c>
      <c r="X80" s="38" t="str">
        <f aca="true">IF(OR(B80="",T80="",U80="False Positive",U80="Risk Accepted"),"",IF(V80&lt;&gt;"",IF(V80&gt;T80,"Closed Late","Met"),IF(TODAY()&gt;T80,"SLA BREACH",IF(T80-TODAY()&lt;=7,"Due ≤7d","Within SLA"))))</f>
        <v/>
      </c>
      <c r="Y80" s="34"/>
      <c r="Z80" s="34"/>
      <c r="AA80" s="21"/>
    </row>
    <row r="81" customFormat="false" ht="15" hidden="false" customHeight="false" outlineLevel="0" collapsed="false">
      <c r="A81" s="6" t="s">
        <v>1927</v>
      </c>
      <c r="B81" s="35"/>
      <c r="C81" s="34"/>
      <c r="D81" s="34"/>
      <c r="E81" s="21"/>
      <c r="F81" s="34"/>
      <c r="G81" s="34"/>
      <c r="H81" s="34"/>
      <c r="I81" s="34"/>
      <c r="J81" s="21"/>
      <c r="K81" s="34"/>
      <c r="L81" s="34"/>
      <c r="M81" s="34"/>
      <c r="N81" s="21"/>
      <c r="O81" s="21"/>
      <c r="P81" s="21"/>
      <c r="Q81" s="34"/>
      <c r="R81" s="34"/>
      <c r="S81" s="33" t="str">
        <f aca="false">IF(OR(B81="",L81=""),"",INDEX(Lists!$AB$4:$AB$8,MATCH(L81,Lists!$AA$4:$AA$8,0)))</f>
        <v/>
      </c>
      <c r="T81" s="43" t="str">
        <f aca="false">IF(OR(S81="",ISERROR(S81)),"",B81+S81)</f>
        <v/>
      </c>
      <c r="U81" s="34"/>
      <c r="V81" s="35"/>
      <c r="W81" s="33" t="str">
        <f aca="true">IF(B81="","",IF(V81&lt;&gt;"",V81-B81,TODAY()-B81))</f>
        <v/>
      </c>
      <c r="X81" s="38" t="str">
        <f aca="true">IF(OR(B81="",T81="",U81="False Positive",U81="Risk Accepted"),"",IF(V81&lt;&gt;"",IF(V81&gt;T81,"Closed Late","Met"),IF(TODAY()&gt;T81,"SLA BREACH",IF(T81-TODAY()&lt;=7,"Due ≤7d","Within SLA"))))</f>
        <v/>
      </c>
      <c r="Y81" s="34"/>
      <c r="Z81" s="34"/>
      <c r="AA81" s="21"/>
    </row>
    <row r="82" customFormat="false" ht="15" hidden="false" customHeight="false" outlineLevel="0" collapsed="false">
      <c r="A82" s="6" t="s">
        <v>1928</v>
      </c>
      <c r="B82" s="35"/>
      <c r="C82" s="34"/>
      <c r="D82" s="34"/>
      <c r="E82" s="21"/>
      <c r="F82" s="34"/>
      <c r="G82" s="34"/>
      <c r="H82" s="34"/>
      <c r="I82" s="34"/>
      <c r="J82" s="21"/>
      <c r="K82" s="34"/>
      <c r="L82" s="34"/>
      <c r="M82" s="34"/>
      <c r="N82" s="21"/>
      <c r="O82" s="21"/>
      <c r="P82" s="21"/>
      <c r="Q82" s="34"/>
      <c r="R82" s="34"/>
      <c r="S82" s="33" t="str">
        <f aca="false">IF(OR(B82="",L82=""),"",INDEX(Lists!$AB$4:$AB$8,MATCH(L82,Lists!$AA$4:$AA$8,0)))</f>
        <v/>
      </c>
      <c r="T82" s="43" t="str">
        <f aca="false">IF(OR(S82="",ISERROR(S82)),"",B82+S82)</f>
        <v/>
      </c>
      <c r="U82" s="34"/>
      <c r="V82" s="35"/>
      <c r="W82" s="33" t="str">
        <f aca="true">IF(B82="","",IF(V82&lt;&gt;"",V82-B82,TODAY()-B82))</f>
        <v/>
      </c>
      <c r="X82" s="38" t="str">
        <f aca="true">IF(OR(B82="",T82="",U82="False Positive",U82="Risk Accepted"),"",IF(V82&lt;&gt;"",IF(V82&gt;T82,"Closed Late","Met"),IF(TODAY()&gt;T82,"SLA BREACH",IF(T82-TODAY()&lt;=7,"Due ≤7d","Within SLA"))))</f>
        <v/>
      </c>
      <c r="Y82" s="34"/>
      <c r="Z82" s="34"/>
      <c r="AA82" s="21"/>
    </row>
    <row r="83" customFormat="false" ht="15" hidden="false" customHeight="false" outlineLevel="0" collapsed="false">
      <c r="A83" s="6" t="s">
        <v>1929</v>
      </c>
      <c r="B83" s="35"/>
      <c r="C83" s="34"/>
      <c r="D83" s="34"/>
      <c r="E83" s="21"/>
      <c r="F83" s="34"/>
      <c r="G83" s="34"/>
      <c r="H83" s="34"/>
      <c r="I83" s="34"/>
      <c r="J83" s="21"/>
      <c r="K83" s="34"/>
      <c r="L83" s="34"/>
      <c r="M83" s="34"/>
      <c r="N83" s="21"/>
      <c r="O83" s="21"/>
      <c r="P83" s="21"/>
      <c r="Q83" s="34"/>
      <c r="R83" s="34"/>
      <c r="S83" s="33" t="str">
        <f aca="false">IF(OR(B83="",L83=""),"",INDEX(Lists!$AB$4:$AB$8,MATCH(L83,Lists!$AA$4:$AA$8,0)))</f>
        <v/>
      </c>
      <c r="T83" s="43" t="str">
        <f aca="false">IF(OR(S83="",ISERROR(S83)),"",B83+S83)</f>
        <v/>
      </c>
      <c r="U83" s="34"/>
      <c r="V83" s="35"/>
      <c r="W83" s="33" t="str">
        <f aca="true">IF(B83="","",IF(V83&lt;&gt;"",V83-B83,TODAY()-B83))</f>
        <v/>
      </c>
      <c r="X83" s="38" t="str">
        <f aca="true">IF(OR(B83="",T83="",U83="False Positive",U83="Risk Accepted"),"",IF(V83&lt;&gt;"",IF(V83&gt;T83,"Closed Late","Met"),IF(TODAY()&gt;T83,"SLA BREACH",IF(T83-TODAY()&lt;=7,"Due ≤7d","Within SLA"))))</f>
        <v/>
      </c>
      <c r="Y83" s="34"/>
      <c r="Z83" s="34"/>
      <c r="AA83" s="21"/>
    </row>
    <row r="84" customFormat="false" ht="15" hidden="false" customHeight="false" outlineLevel="0" collapsed="false">
      <c r="A84" s="6" t="s">
        <v>1930</v>
      </c>
      <c r="B84" s="35"/>
      <c r="C84" s="34"/>
      <c r="D84" s="34"/>
      <c r="E84" s="21"/>
      <c r="F84" s="34"/>
      <c r="G84" s="34"/>
      <c r="H84" s="34"/>
      <c r="I84" s="34"/>
      <c r="J84" s="21"/>
      <c r="K84" s="34"/>
      <c r="L84" s="34"/>
      <c r="M84" s="34"/>
      <c r="N84" s="21"/>
      <c r="O84" s="21"/>
      <c r="P84" s="21"/>
      <c r="Q84" s="34"/>
      <c r="R84" s="34"/>
      <c r="S84" s="33" t="str">
        <f aca="false">IF(OR(B84="",L84=""),"",INDEX(Lists!$AB$4:$AB$8,MATCH(L84,Lists!$AA$4:$AA$8,0)))</f>
        <v/>
      </c>
      <c r="T84" s="43" t="str">
        <f aca="false">IF(OR(S84="",ISERROR(S84)),"",B84+S84)</f>
        <v/>
      </c>
      <c r="U84" s="34"/>
      <c r="V84" s="35"/>
      <c r="W84" s="33" t="str">
        <f aca="true">IF(B84="","",IF(V84&lt;&gt;"",V84-B84,TODAY()-B84))</f>
        <v/>
      </c>
      <c r="X84" s="38" t="str">
        <f aca="true">IF(OR(B84="",T84="",U84="False Positive",U84="Risk Accepted"),"",IF(V84&lt;&gt;"",IF(V84&gt;T84,"Closed Late","Met"),IF(TODAY()&gt;T84,"SLA BREACH",IF(T84-TODAY()&lt;=7,"Due ≤7d","Within SLA"))))</f>
        <v/>
      </c>
      <c r="Y84" s="34"/>
      <c r="Z84" s="34"/>
      <c r="AA84" s="21"/>
    </row>
    <row r="85" customFormat="false" ht="15" hidden="false" customHeight="false" outlineLevel="0" collapsed="false">
      <c r="A85" s="6" t="s">
        <v>1931</v>
      </c>
      <c r="B85" s="35"/>
      <c r="C85" s="34"/>
      <c r="D85" s="34"/>
      <c r="E85" s="21"/>
      <c r="F85" s="34"/>
      <c r="G85" s="34"/>
      <c r="H85" s="34"/>
      <c r="I85" s="34"/>
      <c r="J85" s="21"/>
      <c r="K85" s="34"/>
      <c r="L85" s="34"/>
      <c r="M85" s="34"/>
      <c r="N85" s="21"/>
      <c r="O85" s="21"/>
      <c r="P85" s="21"/>
      <c r="Q85" s="34"/>
      <c r="R85" s="34"/>
      <c r="S85" s="33" t="str">
        <f aca="false">IF(OR(B85="",L85=""),"",INDEX(Lists!$AB$4:$AB$8,MATCH(L85,Lists!$AA$4:$AA$8,0)))</f>
        <v/>
      </c>
      <c r="T85" s="43" t="str">
        <f aca="false">IF(OR(S85="",ISERROR(S85)),"",B85+S85)</f>
        <v/>
      </c>
      <c r="U85" s="34"/>
      <c r="V85" s="35"/>
      <c r="W85" s="33" t="str">
        <f aca="true">IF(B85="","",IF(V85&lt;&gt;"",V85-B85,TODAY()-B85))</f>
        <v/>
      </c>
      <c r="X85" s="38" t="str">
        <f aca="true">IF(OR(B85="",T85="",U85="False Positive",U85="Risk Accepted"),"",IF(V85&lt;&gt;"",IF(V85&gt;T85,"Closed Late","Met"),IF(TODAY()&gt;T85,"SLA BREACH",IF(T85-TODAY()&lt;=7,"Due ≤7d","Within SLA"))))</f>
        <v/>
      </c>
      <c r="Y85" s="34"/>
      <c r="Z85" s="34"/>
      <c r="AA85" s="21"/>
    </row>
    <row r="86" customFormat="false" ht="15" hidden="false" customHeight="false" outlineLevel="0" collapsed="false">
      <c r="A86" s="6" t="s">
        <v>1932</v>
      </c>
      <c r="B86" s="35"/>
      <c r="C86" s="34"/>
      <c r="D86" s="34"/>
      <c r="E86" s="21"/>
      <c r="F86" s="34"/>
      <c r="G86" s="34"/>
      <c r="H86" s="34"/>
      <c r="I86" s="34"/>
      <c r="J86" s="21"/>
      <c r="K86" s="34"/>
      <c r="L86" s="34"/>
      <c r="M86" s="34"/>
      <c r="N86" s="21"/>
      <c r="O86" s="21"/>
      <c r="P86" s="21"/>
      <c r="Q86" s="34"/>
      <c r="R86" s="34"/>
      <c r="S86" s="33" t="str">
        <f aca="false">IF(OR(B86="",L86=""),"",INDEX(Lists!$AB$4:$AB$8,MATCH(L86,Lists!$AA$4:$AA$8,0)))</f>
        <v/>
      </c>
      <c r="T86" s="43" t="str">
        <f aca="false">IF(OR(S86="",ISERROR(S86)),"",B86+S86)</f>
        <v/>
      </c>
      <c r="U86" s="34"/>
      <c r="V86" s="35"/>
      <c r="W86" s="33" t="str">
        <f aca="true">IF(B86="","",IF(V86&lt;&gt;"",V86-B86,TODAY()-B86))</f>
        <v/>
      </c>
      <c r="X86" s="38" t="str">
        <f aca="true">IF(OR(B86="",T86="",U86="False Positive",U86="Risk Accepted"),"",IF(V86&lt;&gt;"",IF(V86&gt;T86,"Closed Late","Met"),IF(TODAY()&gt;T86,"SLA BREACH",IF(T86-TODAY()&lt;=7,"Due ≤7d","Within SLA"))))</f>
        <v/>
      </c>
      <c r="Y86" s="34"/>
      <c r="Z86" s="34"/>
      <c r="AA86" s="21"/>
    </row>
    <row r="87" customFormat="false" ht="15" hidden="false" customHeight="false" outlineLevel="0" collapsed="false">
      <c r="A87" s="6" t="s">
        <v>1933</v>
      </c>
      <c r="B87" s="35"/>
      <c r="C87" s="34"/>
      <c r="D87" s="34"/>
      <c r="E87" s="21"/>
      <c r="F87" s="34"/>
      <c r="G87" s="34"/>
      <c r="H87" s="34"/>
      <c r="I87" s="34"/>
      <c r="J87" s="21"/>
      <c r="K87" s="34"/>
      <c r="L87" s="34"/>
      <c r="M87" s="34"/>
      <c r="N87" s="21"/>
      <c r="O87" s="21"/>
      <c r="P87" s="21"/>
      <c r="Q87" s="34"/>
      <c r="R87" s="34"/>
      <c r="S87" s="33" t="str">
        <f aca="false">IF(OR(B87="",L87=""),"",INDEX(Lists!$AB$4:$AB$8,MATCH(L87,Lists!$AA$4:$AA$8,0)))</f>
        <v/>
      </c>
      <c r="T87" s="43" t="str">
        <f aca="false">IF(OR(S87="",ISERROR(S87)),"",B87+S87)</f>
        <v/>
      </c>
      <c r="U87" s="34"/>
      <c r="V87" s="35"/>
      <c r="W87" s="33" t="str">
        <f aca="true">IF(B87="","",IF(V87&lt;&gt;"",V87-B87,TODAY()-B87))</f>
        <v/>
      </c>
      <c r="X87" s="38" t="str">
        <f aca="true">IF(OR(B87="",T87="",U87="False Positive",U87="Risk Accepted"),"",IF(V87&lt;&gt;"",IF(V87&gt;T87,"Closed Late","Met"),IF(TODAY()&gt;T87,"SLA BREACH",IF(T87-TODAY()&lt;=7,"Due ≤7d","Within SLA"))))</f>
        <v/>
      </c>
      <c r="Y87" s="34"/>
      <c r="Z87" s="34"/>
      <c r="AA87" s="21"/>
    </row>
    <row r="88" customFormat="false" ht="15" hidden="false" customHeight="false" outlineLevel="0" collapsed="false">
      <c r="A88" s="6" t="s">
        <v>1934</v>
      </c>
      <c r="B88" s="35"/>
      <c r="C88" s="34"/>
      <c r="D88" s="34"/>
      <c r="E88" s="21"/>
      <c r="F88" s="34"/>
      <c r="G88" s="34"/>
      <c r="H88" s="34"/>
      <c r="I88" s="34"/>
      <c r="J88" s="21"/>
      <c r="K88" s="34"/>
      <c r="L88" s="34"/>
      <c r="M88" s="34"/>
      <c r="N88" s="21"/>
      <c r="O88" s="21"/>
      <c r="P88" s="21"/>
      <c r="Q88" s="34"/>
      <c r="R88" s="34"/>
      <c r="S88" s="33" t="str">
        <f aca="false">IF(OR(B88="",L88=""),"",INDEX(Lists!$AB$4:$AB$8,MATCH(L88,Lists!$AA$4:$AA$8,0)))</f>
        <v/>
      </c>
      <c r="T88" s="43" t="str">
        <f aca="false">IF(OR(S88="",ISERROR(S88)),"",B88+S88)</f>
        <v/>
      </c>
      <c r="U88" s="34"/>
      <c r="V88" s="35"/>
      <c r="W88" s="33" t="str">
        <f aca="true">IF(B88="","",IF(V88&lt;&gt;"",V88-B88,TODAY()-B88))</f>
        <v/>
      </c>
      <c r="X88" s="38" t="str">
        <f aca="true">IF(OR(B88="",T88="",U88="False Positive",U88="Risk Accepted"),"",IF(V88&lt;&gt;"",IF(V88&gt;T88,"Closed Late","Met"),IF(TODAY()&gt;T88,"SLA BREACH",IF(T88-TODAY()&lt;=7,"Due ≤7d","Within SLA"))))</f>
        <v/>
      </c>
      <c r="Y88" s="34"/>
      <c r="Z88" s="34"/>
      <c r="AA88" s="21"/>
    </row>
    <row r="89" customFormat="false" ht="15" hidden="false" customHeight="false" outlineLevel="0" collapsed="false">
      <c r="A89" s="6" t="s">
        <v>1935</v>
      </c>
      <c r="B89" s="35"/>
      <c r="C89" s="34"/>
      <c r="D89" s="34"/>
      <c r="E89" s="21"/>
      <c r="F89" s="34"/>
      <c r="G89" s="34"/>
      <c r="H89" s="34"/>
      <c r="I89" s="34"/>
      <c r="J89" s="21"/>
      <c r="K89" s="34"/>
      <c r="L89" s="34"/>
      <c r="M89" s="34"/>
      <c r="N89" s="21"/>
      <c r="O89" s="21"/>
      <c r="P89" s="21"/>
      <c r="Q89" s="34"/>
      <c r="R89" s="34"/>
      <c r="S89" s="33" t="str">
        <f aca="false">IF(OR(B89="",L89=""),"",INDEX(Lists!$AB$4:$AB$8,MATCH(L89,Lists!$AA$4:$AA$8,0)))</f>
        <v/>
      </c>
      <c r="T89" s="43" t="str">
        <f aca="false">IF(OR(S89="",ISERROR(S89)),"",B89+S89)</f>
        <v/>
      </c>
      <c r="U89" s="34"/>
      <c r="V89" s="35"/>
      <c r="W89" s="33" t="str">
        <f aca="true">IF(B89="","",IF(V89&lt;&gt;"",V89-B89,TODAY()-B89))</f>
        <v/>
      </c>
      <c r="X89" s="38" t="str">
        <f aca="true">IF(OR(B89="",T89="",U89="False Positive",U89="Risk Accepted"),"",IF(V89&lt;&gt;"",IF(V89&gt;T89,"Closed Late","Met"),IF(TODAY()&gt;T89,"SLA BREACH",IF(T89-TODAY()&lt;=7,"Due ≤7d","Within SLA"))))</f>
        <v/>
      </c>
      <c r="Y89" s="34"/>
      <c r="Z89" s="34"/>
      <c r="AA89" s="21"/>
    </row>
    <row r="90" customFormat="false" ht="15" hidden="false" customHeight="false" outlineLevel="0" collapsed="false">
      <c r="A90" s="6" t="s">
        <v>1936</v>
      </c>
      <c r="B90" s="35"/>
      <c r="C90" s="34"/>
      <c r="D90" s="34"/>
      <c r="E90" s="21"/>
      <c r="F90" s="34"/>
      <c r="G90" s="34"/>
      <c r="H90" s="34"/>
      <c r="I90" s="34"/>
      <c r="J90" s="21"/>
      <c r="K90" s="34"/>
      <c r="L90" s="34"/>
      <c r="M90" s="34"/>
      <c r="N90" s="21"/>
      <c r="O90" s="21"/>
      <c r="P90" s="21"/>
      <c r="Q90" s="34"/>
      <c r="R90" s="34"/>
      <c r="S90" s="33" t="str">
        <f aca="false">IF(OR(B90="",L90=""),"",INDEX(Lists!$AB$4:$AB$8,MATCH(L90,Lists!$AA$4:$AA$8,0)))</f>
        <v/>
      </c>
      <c r="T90" s="43" t="str">
        <f aca="false">IF(OR(S90="",ISERROR(S90)),"",B90+S90)</f>
        <v/>
      </c>
      <c r="U90" s="34"/>
      <c r="V90" s="35"/>
      <c r="W90" s="33" t="str">
        <f aca="true">IF(B90="","",IF(V90&lt;&gt;"",V90-B90,TODAY()-B90))</f>
        <v/>
      </c>
      <c r="X90" s="38" t="str">
        <f aca="true">IF(OR(B90="",T90="",U90="False Positive",U90="Risk Accepted"),"",IF(V90&lt;&gt;"",IF(V90&gt;T90,"Closed Late","Met"),IF(TODAY()&gt;T90,"SLA BREACH",IF(T90-TODAY()&lt;=7,"Due ≤7d","Within SLA"))))</f>
        <v/>
      </c>
      <c r="Y90" s="34"/>
      <c r="Z90" s="34"/>
      <c r="AA90" s="21"/>
    </row>
    <row r="91" customFormat="false" ht="15" hidden="false" customHeight="false" outlineLevel="0" collapsed="false">
      <c r="A91" s="6" t="s">
        <v>1937</v>
      </c>
      <c r="B91" s="35"/>
      <c r="C91" s="34"/>
      <c r="D91" s="34"/>
      <c r="E91" s="21"/>
      <c r="F91" s="34"/>
      <c r="G91" s="34"/>
      <c r="H91" s="34"/>
      <c r="I91" s="34"/>
      <c r="J91" s="21"/>
      <c r="K91" s="34"/>
      <c r="L91" s="34"/>
      <c r="M91" s="34"/>
      <c r="N91" s="21"/>
      <c r="O91" s="21"/>
      <c r="P91" s="21"/>
      <c r="Q91" s="34"/>
      <c r="R91" s="34"/>
      <c r="S91" s="33" t="str">
        <f aca="false">IF(OR(B91="",L91=""),"",INDEX(Lists!$AB$4:$AB$8,MATCH(L91,Lists!$AA$4:$AA$8,0)))</f>
        <v/>
      </c>
      <c r="T91" s="43" t="str">
        <f aca="false">IF(OR(S91="",ISERROR(S91)),"",B91+S91)</f>
        <v/>
      </c>
      <c r="U91" s="34"/>
      <c r="V91" s="35"/>
      <c r="W91" s="33" t="str">
        <f aca="true">IF(B91="","",IF(V91&lt;&gt;"",V91-B91,TODAY()-B91))</f>
        <v/>
      </c>
      <c r="X91" s="38" t="str">
        <f aca="true">IF(OR(B91="",T91="",U91="False Positive",U91="Risk Accepted"),"",IF(V91&lt;&gt;"",IF(V91&gt;T91,"Closed Late","Met"),IF(TODAY()&gt;T91,"SLA BREACH",IF(T91-TODAY()&lt;=7,"Due ≤7d","Within SLA"))))</f>
        <v/>
      </c>
      <c r="Y91" s="34"/>
      <c r="Z91" s="34"/>
      <c r="AA91" s="21"/>
    </row>
    <row r="92" customFormat="false" ht="15" hidden="false" customHeight="false" outlineLevel="0" collapsed="false">
      <c r="A92" s="6" t="s">
        <v>1938</v>
      </c>
      <c r="B92" s="35"/>
      <c r="C92" s="34"/>
      <c r="D92" s="34"/>
      <c r="E92" s="21"/>
      <c r="F92" s="34"/>
      <c r="G92" s="34"/>
      <c r="H92" s="34"/>
      <c r="I92" s="34"/>
      <c r="J92" s="21"/>
      <c r="K92" s="34"/>
      <c r="L92" s="34"/>
      <c r="M92" s="34"/>
      <c r="N92" s="21"/>
      <c r="O92" s="21"/>
      <c r="P92" s="21"/>
      <c r="Q92" s="34"/>
      <c r="R92" s="34"/>
      <c r="S92" s="33" t="str">
        <f aca="false">IF(OR(B92="",L92=""),"",INDEX(Lists!$AB$4:$AB$8,MATCH(L92,Lists!$AA$4:$AA$8,0)))</f>
        <v/>
      </c>
      <c r="T92" s="43" t="str">
        <f aca="false">IF(OR(S92="",ISERROR(S92)),"",B92+S92)</f>
        <v/>
      </c>
      <c r="U92" s="34"/>
      <c r="V92" s="35"/>
      <c r="W92" s="33" t="str">
        <f aca="true">IF(B92="","",IF(V92&lt;&gt;"",V92-B92,TODAY()-B92))</f>
        <v/>
      </c>
      <c r="X92" s="38" t="str">
        <f aca="true">IF(OR(B92="",T92="",U92="False Positive",U92="Risk Accepted"),"",IF(V92&lt;&gt;"",IF(V92&gt;T92,"Closed Late","Met"),IF(TODAY()&gt;T92,"SLA BREACH",IF(T92-TODAY()&lt;=7,"Due ≤7d","Within SLA"))))</f>
        <v/>
      </c>
      <c r="Y92" s="34"/>
      <c r="Z92" s="34"/>
      <c r="AA92" s="21"/>
    </row>
    <row r="93" customFormat="false" ht="15" hidden="false" customHeight="false" outlineLevel="0" collapsed="false">
      <c r="A93" s="6" t="s">
        <v>1939</v>
      </c>
      <c r="B93" s="35"/>
      <c r="C93" s="34"/>
      <c r="D93" s="34"/>
      <c r="E93" s="21"/>
      <c r="F93" s="34"/>
      <c r="G93" s="34"/>
      <c r="H93" s="34"/>
      <c r="I93" s="34"/>
      <c r="J93" s="21"/>
      <c r="K93" s="34"/>
      <c r="L93" s="34"/>
      <c r="M93" s="34"/>
      <c r="N93" s="21"/>
      <c r="O93" s="21"/>
      <c r="P93" s="21"/>
      <c r="Q93" s="34"/>
      <c r="R93" s="34"/>
      <c r="S93" s="33" t="str">
        <f aca="false">IF(OR(B93="",L93=""),"",INDEX(Lists!$AB$4:$AB$8,MATCH(L93,Lists!$AA$4:$AA$8,0)))</f>
        <v/>
      </c>
      <c r="T93" s="43" t="str">
        <f aca="false">IF(OR(S93="",ISERROR(S93)),"",B93+S93)</f>
        <v/>
      </c>
      <c r="U93" s="34"/>
      <c r="V93" s="35"/>
      <c r="W93" s="33" t="str">
        <f aca="true">IF(B93="","",IF(V93&lt;&gt;"",V93-B93,TODAY()-B93))</f>
        <v/>
      </c>
      <c r="X93" s="38" t="str">
        <f aca="true">IF(OR(B93="",T93="",U93="False Positive",U93="Risk Accepted"),"",IF(V93&lt;&gt;"",IF(V93&gt;T93,"Closed Late","Met"),IF(TODAY()&gt;T93,"SLA BREACH",IF(T93-TODAY()&lt;=7,"Due ≤7d","Within SLA"))))</f>
        <v/>
      </c>
      <c r="Y93" s="34"/>
      <c r="Z93" s="34"/>
      <c r="AA93" s="21"/>
    </row>
    <row r="94" customFormat="false" ht="15" hidden="false" customHeight="false" outlineLevel="0" collapsed="false">
      <c r="A94" s="6" t="s">
        <v>1940</v>
      </c>
      <c r="B94" s="35"/>
      <c r="C94" s="34"/>
      <c r="D94" s="34"/>
      <c r="E94" s="21"/>
      <c r="F94" s="34"/>
      <c r="G94" s="34"/>
      <c r="H94" s="34"/>
      <c r="I94" s="34"/>
      <c r="J94" s="21"/>
      <c r="K94" s="34"/>
      <c r="L94" s="34"/>
      <c r="M94" s="34"/>
      <c r="N94" s="21"/>
      <c r="O94" s="21"/>
      <c r="P94" s="21"/>
      <c r="Q94" s="34"/>
      <c r="R94" s="34"/>
      <c r="S94" s="33" t="str">
        <f aca="false">IF(OR(B94="",L94=""),"",INDEX(Lists!$AB$4:$AB$8,MATCH(L94,Lists!$AA$4:$AA$8,0)))</f>
        <v/>
      </c>
      <c r="T94" s="43" t="str">
        <f aca="false">IF(OR(S94="",ISERROR(S94)),"",B94+S94)</f>
        <v/>
      </c>
      <c r="U94" s="34"/>
      <c r="V94" s="35"/>
      <c r="W94" s="33" t="str">
        <f aca="true">IF(B94="","",IF(V94&lt;&gt;"",V94-B94,TODAY()-B94))</f>
        <v/>
      </c>
      <c r="X94" s="38" t="str">
        <f aca="true">IF(OR(B94="",T94="",U94="False Positive",U94="Risk Accepted"),"",IF(V94&lt;&gt;"",IF(V94&gt;T94,"Closed Late","Met"),IF(TODAY()&gt;T94,"SLA BREACH",IF(T94-TODAY()&lt;=7,"Due ≤7d","Within SLA"))))</f>
        <v/>
      </c>
      <c r="Y94" s="34"/>
      <c r="Z94" s="34"/>
      <c r="AA94" s="21"/>
    </row>
    <row r="95" customFormat="false" ht="15" hidden="false" customHeight="false" outlineLevel="0" collapsed="false">
      <c r="A95" s="6" t="s">
        <v>1941</v>
      </c>
      <c r="B95" s="35"/>
      <c r="C95" s="34"/>
      <c r="D95" s="34"/>
      <c r="E95" s="21"/>
      <c r="F95" s="34"/>
      <c r="G95" s="34"/>
      <c r="H95" s="34"/>
      <c r="I95" s="34"/>
      <c r="J95" s="21"/>
      <c r="K95" s="34"/>
      <c r="L95" s="34"/>
      <c r="M95" s="34"/>
      <c r="N95" s="21"/>
      <c r="O95" s="21"/>
      <c r="P95" s="21"/>
      <c r="Q95" s="34"/>
      <c r="R95" s="34"/>
      <c r="S95" s="33" t="str">
        <f aca="false">IF(OR(B95="",L95=""),"",INDEX(Lists!$AB$4:$AB$8,MATCH(L95,Lists!$AA$4:$AA$8,0)))</f>
        <v/>
      </c>
      <c r="T95" s="43" t="str">
        <f aca="false">IF(OR(S95="",ISERROR(S95)),"",B95+S95)</f>
        <v/>
      </c>
      <c r="U95" s="34"/>
      <c r="V95" s="35"/>
      <c r="W95" s="33" t="str">
        <f aca="true">IF(B95="","",IF(V95&lt;&gt;"",V95-B95,TODAY()-B95))</f>
        <v/>
      </c>
      <c r="X95" s="38" t="str">
        <f aca="true">IF(OR(B95="",T95="",U95="False Positive",U95="Risk Accepted"),"",IF(V95&lt;&gt;"",IF(V95&gt;T95,"Closed Late","Met"),IF(TODAY()&gt;T95,"SLA BREACH",IF(T95-TODAY()&lt;=7,"Due ≤7d","Within SLA"))))</f>
        <v/>
      </c>
      <c r="Y95" s="34"/>
      <c r="Z95" s="34"/>
      <c r="AA95" s="21"/>
    </row>
    <row r="96" customFormat="false" ht="15" hidden="false" customHeight="false" outlineLevel="0" collapsed="false">
      <c r="A96" s="6" t="s">
        <v>1942</v>
      </c>
      <c r="B96" s="35"/>
      <c r="C96" s="34"/>
      <c r="D96" s="34"/>
      <c r="E96" s="21"/>
      <c r="F96" s="34"/>
      <c r="G96" s="34"/>
      <c r="H96" s="34"/>
      <c r="I96" s="34"/>
      <c r="J96" s="21"/>
      <c r="K96" s="34"/>
      <c r="L96" s="34"/>
      <c r="M96" s="34"/>
      <c r="N96" s="21"/>
      <c r="O96" s="21"/>
      <c r="P96" s="21"/>
      <c r="Q96" s="34"/>
      <c r="R96" s="34"/>
      <c r="S96" s="33" t="str">
        <f aca="false">IF(OR(B96="",L96=""),"",INDEX(Lists!$AB$4:$AB$8,MATCH(L96,Lists!$AA$4:$AA$8,0)))</f>
        <v/>
      </c>
      <c r="T96" s="43" t="str">
        <f aca="false">IF(OR(S96="",ISERROR(S96)),"",B96+S96)</f>
        <v/>
      </c>
      <c r="U96" s="34"/>
      <c r="V96" s="35"/>
      <c r="W96" s="33" t="str">
        <f aca="true">IF(B96="","",IF(V96&lt;&gt;"",V96-B96,TODAY()-B96))</f>
        <v/>
      </c>
      <c r="X96" s="38" t="str">
        <f aca="true">IF(OR(B96="",T96="",U96="False Positive",U96="Risk Accepted"),"",IF(V96&lt;&gt;"",IF(V96&gt;T96,"Closed Late","Met"),IF(TODAY()&gt;T96,"SLA BREACH",IF(T96-TODAY()&lt;=7,"Due ≤7d","Within SLA"))))</f>
        <v/>
      </c>
      <c r="Y96" s="34"/>
      <c r="Z96" s="34"/>
      <c r="AA96" s="21"/>
    </row>
    <row r="97" customFormat="false" ht="15" hidden="false" customHeight="false" outlineLevel="0" collapsed="false">
      <c r="A97" s="6" t="s">
        <v>1943</v>
      </c>
      <c r="B97" s="35"/>
      <c r="C97" s="34"/>
      <c r="D97" s="34"/>
      <c r="E97" s="21"/>
      <c r="F97" s="34"/>
      <c r="G97" s="34"/>
      <c r="H97" s="34"/>
      <c r="I97" s="34"/>
      <c r="J97" s="21"/>
      <c r="K97" s="34"/>
      <c r="L97" s="34"/>
      <c r="M97" s="34"/>
      <c r="N97" s="21"/>
      <c r="O97" s="21"/>
      <c r="P97" s="21"/>
      <c r="Q97" s="34"/>
      <c r="R97" s="34"/>
      <c r="S97" s="33" t="str">
        <f aca="false">IF(OR(B97="",L97=""),"",INDEX(Lists!$AB$4:$AB$8,MATCH(L97,Lists!$AA$4:$AA$8,0)))</f>
        <v/>
      </c>
      <c r="T97" s="43" t="str">
        <f aca="false">IF(OR(S97="",ISERROR(S97)),"",B97+S97)</f>
        <v/>
      </c>
      <c r="U97" s="34"/>
      <c r="V97" s="35"/>
      <c r="W97" s="33" t="str">
        <f aca="true">IF(B97="","",IF(V97&lt;&gt;"",V97-B97,TODAY()-B97))</f>
        <v/>
      </c>
      <c r="X97" s="38" t="str">
        <f aca="true">IF(OR(B97="",T97="",U97="False Positive",U97="Risk Accepted"),"",IF(V97&lt;&gt;"",IF(V97&gt;T97,"Closed Late","Met"),IF(TODAY()&gt;T97,"SLA BREACH",IF(T97-TODAY()&lt;=7,"Due ≤7d","Within SLA"))))</f>
        <v/>
      </c>
      <c r="Y97" s="34"/>
      <c r="Z97" s="34"/>
      <c r="AA97" s="21"/>
    </row>
    <row r="98" customFormat="false" ht="15" hidden="false" customHeight="false" outlineLevel="0" collapsed="false">
      <c r="A98" s="6" t="s">
        <v>1944</v>
      </c>
      <c r="B98" s="35"/>
      <c r="C98" s="34"/>
      <c r="D98" s="34"/>
      <c r="E98" s="21"/>
      <c r="F98" s="34"/>
      <c r="G98" s="34"/>
      <c r="H98" s="34"/>
      <c r="I98" s="34"/>
      <c r="J98" s="21"/>
      <c r="K98" s="34"/>
      <c r="L98" s="34"/>
      <c r="M98" s="34"/>
      <c r="N98" s="21"/>
      <c r="O98" s="21"/>
      <c r="P98" s="21"/>
      <c r="Q98" s="34"/>
      <c r="R98" s="34"/>
      <c r="S98" s="33" t="str">
        <f aca="false">IF(OR(B98="",L98=""),"",INDEX(Lists!$AB$4:$AB$8,MATCH(L98,Lists!$AA$4:$AA$8,0)))</f>
        <v/>
      </c>
      <c r="T98" s="43" t="str">
        <f aca="false">IF(OR(S98="",ISERROR(S98)),"",B98+S98)</f>
        <v/>
      </c>
      <c r="U98" s="34"/>
      <c r="V98" s="35"/>
      <c r="W98" s="33" t="str">
        <f aca="true">IF(B98="","",IF(V98&lt;&gt;"",V98-B98,TODAY()-B98))</f>
        <v/>
      </c>
      <c r="X98" s="38" t="str">
        <f aca="true">IF(OR(B98="",T98="",U98="False Positive",U98="Risk Accepted"),"",IF(V98&lt;&gt;"",IF(V98&gt;T98,"Closed Late","Met"),IF(TODAY()&gt;T98,"SLA BREACH",IF(T98-TODAY()&lt;=7,"Due ≤7d","Within SLA"))))</f>
        <v/>
      </c>
      <c r="Y98" s="34"/>
      <c r="Z98" s="34"/>
      <c r="AA98" s="21"/>
    </row>
    <row r="99" customFormat="false" ht="15" hidden="false" customHeight="false" outlineLevel="0" collapsed="false">
      <c r="A99" s="6" t="s">
        <v>1945</v>
      </c>
      <c r="B99" s="35"/>
      <c r="C99" s="34"/>
      <c r="D99" s="34"/>
      <c r="E99" s="21"/>
      <c r="F99" s="34"/>
      <c r="G99" s="34"/>
      <c r="H99" s="34"/>
      <c r="I99" s="34"/>
      <c r="J99" s="21"/>
      <c r="K99" s="34"/>
      <c r="L99" s="34"/>
      <c r="M99" s="34"/>
      <c r="N99" s="21"/>
      <c r="O99" s="21"/>
      <c r="P99" s="21"/>
      <c r="Q99" s="34"/>
      <c r="R99" s="34"/>
      <c r="S99" s="33" t="str">
        <f aca="false">IF(OR(B99="",L99=""),"",INDEX(Lists!$AB$4:$AB$8,MATCH(L99,Lists!$AA$4:$AA$8,0)))</f>
        <v/>
      </c>
      <c r="T99" s="43" t="str">
        <f aca="false">IF(OR(S99="",ISERROR(S99)),"",B99+S99)</f>
        <v/>
      </c>
      <c r="U99" s="34"/>
      <c r="V99" s="35"/>
      <c r="W99" s="33" t="str">
        <f aca="true">IF(B99="","",IF(V99&lt;&gt;"",V99-B99,TODAY()-B99))</f>
        <v/>
      </c>
      <c r="X99" s="38" t="str">
        <f aca="true">IF(OR(B99="",T99="",U99="False Positive",U99="Risk Accepted"),"",IF(V99&lt;&gt;"",IF(V99&gt;T99,"Closed Late","Met"),IF(TODAY()&gt;T99,"SLA BREACH",IF(T99-TODAY()&lt;=7,"Due ≤7d","Within SLA"))))</f>
        <v/>
      </c>
      <c r="Y99" s="34"/>
      <c r="Z99" s="34"/>
      <c r="AA99" s="21"/>
    </row>
    <row r="100" customFormat="false" ht="15" hidden="false" customHeight="false" outlineLevel="0" collapsed="false">
      <c r="A100" s="6" t="s">
        <v>1946</v>
      </c>
      <c r="B100" s="35"/>
      <c r="C100" s="34"/>
      <c r="D100" s="34"/>
      <c r="E100" s="21"/>
      <c r="F100" s="34"/>
      <c r="G100" s="34"/>
      <c r="H100" s="34"/>
      <c r="I100" s="34"/>
      <c r="J100" s="21"/>
      <c r="K100" s="34"/>
      <c r="L100" s="34"/>
      <c r="M100" s="34"/>
      <c r="N100" s="21"/>
      <c r="O100" s="21"/>
      <c r="P100" s="21"/>
      <c r="Q100" s="34"/>
      <c r="R100" s="34"/>
      <c r="S100" s="33" t="str">
        <f aca="false">IF(OR(B100="",L100=""),"",INDEX(Lists!$AB$4:$AB$8,MATCH(L100,Lists!$AA$4:$AA$8,0)))</f>
        <v/>
      </c>
      <c r="T100" s="43" t="str">
        <f aca="false">IF(OR(S100="",ISERROR(S100)),"",B100+S100)</f>
        <v/>
      </c>
      <c r="U100" s="34"/>
      <c r="V100" s="35"/>
      <c r="W100" s="33" t="str">
        <f aca="true">IF(B100="","",IF(V100&lt;&gt;"",V100-B100,TODAY()-B100))</f>
        <v/>
      </c>
      <c r="X100" s="38" t="str">
        <f aca="true">IF(OR(B100="",T100="",U100="False Positive",U100="Risk Accepted"),"",IF(V100&lt;&gt;"",IF(V100&gt;T100,"Closed Late","Met"),IF(TODAY()&gt;T100,"SLA BREACH",IF(T100-TODAY()&lt;=7,"Due ≤7d","Within SLA"))))</f>
        <v/>
      </c>
      <c r="Y100" s="34"/>
      <c r="Z100" s="34"/>
      <c r="AA100" s="21"/>
    </row>
    <row r="101" customFormat="false" ht="15" hidden="false" customHeight="false" outlineLevel="0" collapsed="false">
      <c r="A101" s="6" t="s">
        <v>1947</v>
      </c>
      <c r="B101" s="35"/>
      <c r="C101" s="34"/>
      <c r="D101" s="34"/>
      <c r="E101" s="21"/>
      <c r="F101" s="34"/>
      <c r="G101" s="34"/>
      <c r="H101" s="34"/>
      <c r="I101" s="34"/>
      <c r="J101" s="21"/>
      <c r="K101" s="34"/>
      <c r="L101" s="34"/>
      <c r="M101" s="34"/>
      <c r="N101" s="21"/>
      <c r="O101" s="21"/>
      <c r="P101" s="21"/>
      <c r="Q101" s="34"/>
      <c r="R101" s="34"/>
      <c r="S101" s="33" t="str">
        <f aca="false">IF(OR(B101="",L101=""),"",INDEX(Lists!$AB$4:$AB$8,MATCH(L101,Lists!$AA$4:$AA$8,0)))</f>
        <v/>
      </c>
      <c r="T101" s="43" t="str">
        <f aca="false">IF(OR(S101="",ISERROR(S101)),"",B101+S101)</f>
        <v/>
      </c>
      <c r="U101" s="34"/>
      <c r="V101" s="35"/>
      <c r="W101" s="33" t="str">
        <f aca="true">IF(B101="","",IF(V101&lt;&gt;"",V101-B101,TODAY()-B101))</f>
        <v/>
      </c>
      <c r="X101" s="38" t="str">
        <f aca="true">IF(OR(B101="",T101="",U101="False Positive",U101="Risk Accepted"),"",IF(V101&lt;&gt;"",IF(V101&gt;T101,"Closed Late","Met"),IF(TODAY()&gt;T101,"SLA BREACH",IF(T101-TODAY()&lt;=7,"Due ≤7d","Within SLA"))))</f>
        <v/>
      </c>
      <c r="Y101" s="34"/>
      <c r="Z101" s="34"/>
      <c r="AA101" s="21"/>
    </row>
    <row r="102" customFormat="false" ht="15" hidden="false" customHeight="false" outlineLevel="0" collapsed="false">
      <c r="A102" s="6" t="s">
        <v>1948</v>
      </c>
      <c r="B102" s="35"/>
      <c r="C102" s="34"/>
      <c r="D102" s="34"/>
      <c r="E102" s="21"/>
      <c r="F102" s="34"/>
      <c r="G102" s="34"/>
      <c r="H102" s="34"/>
      <c r="I102" s="34"/>
      <c r="J102" s="21"/>
      <c r="K102" s="34"/>
      <c r="L102" s="34"/>
      <c r="M102" s="34"/>
      <c r="N102" s="21"/>
      <c r="O102" s="21"/>
      <c r="P102" s="21"/>
      <c r="Q102" s="34"/>
      <c r="R102" s="34"/>
      <c r="S102" s="33" t="str">
        <f aca="false">IF(OR(B102="",L102=""),"",INDEX(Lists!$AB$4:$AB$8,MATCH(L102,Lists!$AA$4:$AA$8,0)))</f>
        <v/>
      </c>
      <c r="T102" s="43" t="str">
        <f aca="false">IF(OR(S102="",ISERROR(S102)),"",B102+S102)</f>
        <v/>
      </c>
      <c r="U102" s="34"/>
      <c r="V102" s="35"/>
      <c r="W102" s="33" t="str">
        <f aca="true">IF(B102="","",IF(V102&lt;&gt;"",V102-B102,TODAY()-B102))</f>
        <v/>
      </c>
      <c r="X102" s="38" t="str">
        <f aca="true">IF(OR(B102="",T102="",U102="False Positive",U102="Risk Accepted"),"",IF(V102&lt;&gt;"",IF(V102&gt;T102,"Closed Late","Met"),IF(TODAY()&gt;T102,"SLA BREACH",IF(T102-TODAY()&lt;=7,"Due ≤7d","Within SLA"))))</f>
        <v/>
      </c>
      <c r="Y102" s="34"/>
      <c r="Z102" s="34"/>
      <c r="AA102" s="21"/>
    </row>
    <row r="103" customFormat="false" ht="15" hidden="false" customHeight="false" outlineLevel="0" collapsed="false">
      <c r="A103" s="6" t="s">
        <v>1949</v>
      </c>
      <c r="B103" s="35"/>
      <c r="C103" s="34"/>
      <c r="D103" s="34"/>
      <c r="E103" s="21"/>
      <c r="F103" s="34"/>
      <c r="G103" s="34"/>
      <c r="H103" s="34"/>
      <c r="I103" s="34"/>
      <c r="J103" s="21"/>
      <c r="K103" s="34"/>
      <c r="L103" s="34"/>
      <c r="M103" s="34"/>
      <c r="N103" s="21"/>
      <c r="O103" s="21"/>
      <c r="P103" s="21"/>
      <c r="Q103" s="34"/>
      <c r="R103" s="34"/>
      <c r="S103" s="33" t="str">
        <f aca="false">IF(OR(B103="",L103=""),"",INDEX(Lists!$AB$4:$AB$8,MATCH(L103,Lists!$AA$4:$AA$8,0)))</f>
        <v/>
      </c>
      <c r="T103" s="43" t="str">
        <f aca="false">IF(OR(S103="",ISERROR(S103)),"",B103+S103)</f>
        <v/>
      </c>
      <c r="U103" s="34"/>
      <c r="V103" s="35"/>
      <c r="W103" s="33" t="str">
        <f aca="true">IF(B103="","",IF(V103&lt;&gt;"",V103-B103,TODAY()-B103))</f>
        <v/>
      </c>
      <c r="X103" s="38" t="str">
        <f aca="true">IF(OR(B103="",T103="",U103="False Positive",U103="Risk Accepted"),"",IF(V103&lt;&gt;"",IF(V103&gt;T103,"Closed Late","Met"),IF(TODAY()&gt;T103,"SLA BREACH",IF(T103-TODAY()&lt;=7,"Due ≤7d","Within SLA"))))</f>
        <v/>
      </c>
      <c r="Y103" s="34"/>
      <c r="Z103" s="34"/>
      <c r="AA103" s="21"/>
    </row>
    <row r="104" customFormat="false" ht="15" hidden="false" customHeight="false" outlineLevel="0" collapsed="false">
      <c r="A104" s="6" t="s">
        <v>1950</v>
      </c>
      <c r="B104" s="35"/>
      <c r="C104" s="34"/>
      <c r="D104" s="34"/>
      <c r="E104" s="21"/>
      <c r="F104" s="34"/>
      <c r="G104" s="34"/>
      <c r="H104" s="34"/>
      <c r="I104" s="34"/>
      <c r="J104" s="21"/>
      <c r="K104" s="34"/>
      <c r="L104" s="34"/>
      <c r="M104" s="34"/>
      <c r="N104" s="21"/>
      <c r="O104" s="21"/>
      <c r="P104" s="21"/>
      <c r="Q104" s="34"/>
      <c r="R104" s="34"/>
      <c r="S104" s="33" t="str">
        <f aca="false">IF(OR(B104="",L104=""),"",INDEX(Lists!$AB$4:$AB$8,MATCH(L104,Lists!$AA$4:$AA$8,0)))</f>
        <v/>
      </c>
      <c r="T104" s="43" t="str">
        <f aca="false">IF(OR(S104="",ISERROR(S104)),"",B104+S104)</f>
        <v/>
      </c>
      <c r="U104" s="34"/>
      <c r="V104" s="35"/>
      <c r="W104" s="33" t="str">
        <f aca="true">IF(B104="","",IF(V104&lt;&gt;"",V104-B104,TODAY()-B104))</f>
        <v/>
      </c>
      <c r="X104" s="38" t="str">
        <f aca="true">IF(OR(B104="",T104="",U104="False Positive",U104="Risk Accepted"),"",IF(V104&lt;&gt;"",IF(V104&gt;T104,"Closed Late","Met"),IF(TODAY()&gt;T104,"SLA BREACH",IF(T104-TODAY()&lt;=7,"Due ≤7d","Within SLA"))))</f>
        <v/>
      </c>
      <c r="Y104" s="34"/>
      <c r="Z104" s="34"/>
      <c r="AA104" s="21"/>
    </row>
    <row r="105" customFormat="false" ht="15" hidden="false" customHeight="false" outlineLevel="0" collapsed="false">
      <c r="A105" s="6" t="s">
        <v>1951</v>
      </c>
      <c r="B105" s="35"/>
      <c r="C105" s="34"/>
      <c r="D105" s="34"/>
      <c r="E105" s="21"/>
      <c r="F105" s="34"/>
      <c r="G105" s="34"/>
      <c r="H105" s="34"/>
      <c r="I105" s="34"/>
      <c r="J105" s="21"/>
      <c r="K105" s="34"/>
      <c r="L105" s="34"/>
      <c r="M105" s="34"/>
      <c r="N105" s="21"/>
      <c r="O105" s="21"/>
      <c r="P105" s="21"/>
      <c r="Q105" s="34"/>
      <c r="R105" s="34"/>
      <c r="S105" s="33" t="str">
        <f aca="false">IF(OR(B105="",L105=""),"",INDEX(Lists!$AB$4:$AB$8,MATCH(L105,Lists!$AA$4:$AA$8,0)))</f>
        <v/>
      </c>
      <c r="T105" s="43" t="str">
        <f aca="false">IF(OR(S105="",ISERROR(S105)),"",B105+S105)</f>
        <v/>
      </c>
      <c r="U105" s="34"/>
      <c r="V105" s="35"/>
      <c r="W105" s="33" t="str">
        <f aca="true">IF(B105="","",IF(V105&lt;&gt;"",V105-B105,TODAY()-B105))</f>
        <v/>
      </c>
      <c r="X105" s="38" t="str">
        <f aca="true">IF(OR(B105="",T105="",U105="False Positive",U105="Risk Accepted"),"",IF(V105&lt;&gt;"",IF(V105&gt;T105,"Closed Late","Met"),IF(TODAY()&gt;T105,"SLA BREACH",IF(T105-TODAY()&lt;=7,"Due ≤7d","Within SLA"))))</f>
        <v/>
      </c>
      <c r="Y105" s="34"/>
      <c r="Z105" s="34"/>
      <c r="AA105" s="21"/>
    </row>
    <row r="106" customFormat="false" ht="15" hidden="false" customHeight="false" outlineLevel="0" collapsed="false">
      <c r="A106" s="6" t="s">
        <v>1952</v>
      </c>
      <c r="B106" s="35"/>
      <c r="C106" s="34"/>
      <c r="D106" s="34"/>
      <c r="E106" s="21"/>
      <c r="F106" s="34"/>
      <c r="G106" s="34"/>
      <c r="H106" s="34"/>
      <c r="I106" s="34"/>
      <c r="J106" s="21"/>
      <c r="K106" s="34"/>
      <c r="L106" s="34"/>
      <c r="M106" s="34"/>
      <c r="N106" s="21"/>
      <c r="O106" s="21"/>
      <c r="P106" s="21"/>
      <c r="Q106" s="34"/>
      <c r="R106" s="34"/>
      <c r="S106" s="33" t="str">
        <f aca="false">IF(OR(B106="",L106=""),"",INDEX(Lists!$AB$4:$AB$8,MATCH(L106,Lists!$AA$4:$AA$8,0)))</f>
        <v/>
      </c>
      <c r="T106" s="43" t="str">
        <f aca="false">IF(OR(S106="",ISERROR(S106)),"",B106+S106)</f>
        <v/>
      </c>
      <c r="U106" s="34"/>
      <c r="V106" s="35"/>
      <c r="W106" s="33" t="str">
        <f aca="true">IF(B106="","",IF(V106&lt;&gt;"",V106-B106,TODAY()-B106))</f>
        <v/>
      </c>
      <c r="X106" s="38" t="str">
        <f aca="true">IF(OR(B106="",T106="",U106="False Positive",U106="Risk Accepted"),"",IF(V106&lt;&gt;"",IF(V106&gt;T106,"Closed Late","Met"),IF(TODAY()&gt;T106,"SLA BREACH",IF(T106-TODAY()&lt;=7,"Due ≤7d","Within SLA"))))</f>
        <v/>
      </c>
      <c r="Y106" s="34"/>
      <c r="Z106" s="34"/>
      <c r="AA106" s="21"/>
    </row>
    <row r="107" customFormat="false" ht="15" hidden="false" customHeight="false" outlineLevel="0" collapsed="false">
      <c r="A107" s="6" t="s">
        <v>1953</v>
      </c>
      <c r="B107" s="35"/>
      <c r="C107" s="34"/>
      <c r="D107" s="34"/>
      <c r="E107" s="21"/>
      <c r="F107" s="34"/>
      <c r="G107" s="34"/>
      <c r="H107" s="34"/>
      <c r="I107" s="34"/>
      <c r="J107" s="21"/>
      <c r="K107" s="34"/>
      <c r="L107" s="34"/>
      <c r="M107" s="34"/>
      <c r="N107" s="21"/>
      <c r="O107" s="21"/>
      <c r="P107" s="21"/>
      <c r="Q107" s="34"/>
      <c r="R107" s="34"/>
      <c r="S107" s="33" t="str">
        <f aca="false">IF(OR(B107="",L107=""),"",INDEX(Lists!$AB$4:$AB$8,MATCH(L107,Lists!$AA$4:$AA$8,0)))</f>
        <v/>
      </c>
      <c r="T107" s="43" t="str">
        <f aca="false">IF(OR(S107="",ISERROR(S107)),"",B107+S107)</f>
        <v/>
      </c>
      <c r="U107" s="34"/>
      <c r="V107" s="35"/>
      <c r="W107" s="33" t="str">
        <f aca="true">IF(B107="","",IF(V107&lt;&gt;"",V107-B107,TODAY()-B107))</f>
        <v/>
      </c>
      <c r="X107" s="38" t="str">
        <f aca="true">IF(OR(B107="",T107="",U107="False Positive",U107="Risk Accepted"),"",IF(V107&lt;&gt;"",IF(V107&gt;T107,"Closed Late","Met"),IF(TODAY()&gt;T107,"SLA BREACH",IF(T107-TODAY()&lt;=7,"Due ≤7d","Within SLA"))))</f>
        <v/>
      </c>
      <c r="Y107" s="34"/>
      <c r="Z107" s="34"/>
      <c r="AA107" s="21"/>
    </row>
    <row r="108" customFormat="false" ht="15" hidden="false" customHeight="false" outlineLevel="0" collapsed="false">
      <c r="A108" s="6" t="s">
        <v>1954</v>
      </c>
      <c r="B108" s="35"/>
      <c r="C108" s="34"/>
      <c r="D108" s="34"/>
      <c r="E108" s="21"/>
      <c r="F108" s="34"/>
      <c r="G108" s="34"/>
      <c r="H108" s="34"/>
      <c r="I108" s="34"/>
      <c r="J108" s="21"/>
      <c r="K108" s="34"/>
      <c r="L108" s="34"/>
      <c r="M108" s="34"/>
      <c r="N108" s="21"/>
      <c r="O108" s="21"/>
      <c r="P108" s="21"/>
      <c r="Q108" s="34"/>
      <c r="R108" s="34"/>
      <c r="S108" s="33" t="str">
        <f aca="false">IF(OR(B108="",L108=""),"",INDEX(Lists!$AB$4:$AB$8,MATCH(L108,Lists!$AA$4:$AA$8,0)))</f>
        <v/>
      </c>
      <c r="T108" s="43" t="str">
        <f aca="false">IF(OR(S108="",ISERROR(S108)),"",B108+S108)</f>
        <v/>
      </c>
      <c r="U108" s="34"/>
      <c r="V108" s="35"/>
      <c r="W108" s="33" t="str">
        <f aca="true">IF(B108="","",IF(V108&lt;&gt;"",V108-B108,TODAY()-B108))</f>
        <v/>
      </c>
      <c r="X108" s="38" t="str">
        <f aca="true">IF(OR(B108="",T108="",U108="False Positive",U108="Risk Accepted"),"",IF(V108&lt;&gt;"",IF(V108&gt;T108,"Closed Late","Met"),IF(TODAY()&gt;T108,"SLA BREACH",IF(T108-TODAY()&lt;=7,"Due ≤7d","Within SLA"))))</f>
        <v/>
      </c>
      <c r="Y108" s="34"/>
      <c r="Z108" s="34"/>
      <c r="AA108" s="21"/>
    </row>
    <row r="109" customFormat="false" ht="15" hidden="false" customHeight="false" outlineLevel="0" collapsed="false">
      <c r="A109" s="6" t="s">
        <v>1955</v>
      </c>
      <c r="B109" s="35"/>
      <c r="C109" s="34"/>
      <c r="D109" s="34"/>
      <c r="E109" s="21"/>
      <c r="F109" s="34"/>
      <c r="G109" s="34"/>
      <c r="H109" s="34"/>
      <c r="I109" s="34"/>
      <c r="J109" s="21"/>
      <c r="K109" s="34"/>
      <c r="L109" s="34"/>
      <c r="M109" s="34"/>
      <c r="N109" s="21"/>
      <c r="O109" s="21"/>
      <c r="P109" s="21"/>
      <c r="Q109" s="34"/>
      <c r="R109" s="34"/>
      <c r="S109" s="33" t="str">
        <f aca="false">IF(OR(B109="",L109=""),"",INDEX(Lists!$AB$4:$AB$8,MATCH(L109,Lists!$AA$4:$AA$8,0)))</f>
        <v/>
      </c>
      <c r="T109" s="43" t="str">
        <f aca="false">IF(OR(S109="",ISERROR(S109)),"",B109+S109)</f>
        <v/>
      </c>
      <c r="U109" s="34"/>
      <c r="V109" s="35"/>
      <c r="W109" s="33" t="str">
        <f aca="true">IF(B109="","",IF(V109&lt;&gt;"",V109-B109,TODAY()-B109))</f>
        <v/>
      </c>
      <c r="X109" s="38" t="str">
        <f aca="true">IF(OR(B109="",T109="",U109="False Positive",U109="Risk Accepted"),"",IF(V109&lt;&gt;"",IF(V109&gt;T109,"Closed Late","Met"),IF(TODAY()&gt;T109,"SLA BREACH",IF(T109-TODAY()&lt;=7,"Due ≤7d","Within SLA"))))</f>
        <v/>
      </c>
      <c r="Y109" s="34"/>
      <c r="Z109" s="34"/>
      <c r="AA109" s="21"/>
    </row>
    <row r="110" customFormat="false" ht="15" hidden="false" customHeight="false" outlineLevel="0" collapsed="false">
      <c r="A110" s="6" t="s">
        <v>1956</v>
      </c>
      <c r="B110" s="35"/>
      <c r="C110" s="34"/>
      <c r="D110" s="34"/>
      <c r="E110" s="21"/>
      <c r="F110" s="34"/>
      <c r="G110" s="34"/>
      <c r="H110" s="34"/>
      <c r="I110" s="34"/>
      <c r="J110" s="21"/>
      <c r="K110" s="34"/>
      <c r="L110" s="34"/>
      <c r="M110" s="34"/>
      <c r="N110" s="21"/>
      <c r="O110" s="21"/>
      <c r="P110" s="21"/>
      <c r="Q110" s="34"/>
      <c r="R110" s="34"/>
      <c r="S110" s="33" t="str">
        <f aca="false">IF(OR(B110="",L110=""),"",INDEX(Lists!$AB$4:$AB$8,MATCH(L110,Lists!$AA$4:$AA$8,0)))</f>
        <v/>
      </c>
      <c r="T110" s="43" t="str">
        <f aca="false">IF(OR(S110="",ISERROR(S110)),"",B110+S110)</f>
        <v/>
      </c>
      <c r="U110" s="34"/>
      <c r="V110" s="35"/>
      <c r="W110" s="33" t="str">
        <f aca="true">IF(B110="","",IF(V110&lt;&gt;"",V110-B110,TODAY()-B110))</f>
        <v/>
      </c>
      <c r="X110" s="38" t="str">
        <f aca="true">IF(OR(B110="",T110="",U110="False Positive",U110="Risk Accepted"),"",IF(V110&lt;&gt;"",IF(V110&gt;T110,"Closed Late","Met"),IF(TODAY()&gt;T110,"SLA BREACH",IF(T110-TODAY()&lt;=7,"Due ≤7d","Within SLA"))))</f>
        <v/>
      </c>
      <c r="Y110" s="34"/>
      <c r="Z110" s="34"/>
      <c r="AA110" s="21"/>
    </row>
    <row r="111" customFormat="false" ht="15" hidden="false" customHeight="false" outlineLevel="0" collapsed="false">
      <c r="A111" s="6" t="s">
        <v>1957</v>
      </c>
      <c r="B111" s="35"/>
      <c r="C111" s="34"/>
      <c r="D111" s="34"/>
      <c r="E111" s="21"/>
      <c r="F111" s="34"/>
      <c r="G111" s="34"/>
      <c r="H111" s="34"/>
      <c r="I111" s="34"/>
      <c r="J111" s="21"/>
      <c r="K111" s="34"/>
      <c r="L111" s="34"/>
      <c r="M111" s="34"/>
      <c r="N111" s="21"/>
      <c r="O111" s="21"/>
      <c r="P111" s="21"/>
      <c r="Q111" s="34"/>
      <c r="R111" s="34"/>
      <c r="S111" s="33" t="str">
        <f aca="false">IF(OR(B111="",L111=""),"",INDEX(Lists!$AB$4:$AB$8,MATCH(L111,Lists!$AA$4:$AA$8,0)))</f>
        <v/>
      </c>
      <c r="T111" s="43" t="str">
        <f aca="false">IF(OR(S111="",ISERROR(S111)),"",B111+S111)</f>
        <v/>
      </c>
      <c r="U111" s="34"/>
      <c r="V111" s="35"/>
      <c r="W111" s="33" t="str">
        <f aca="true">IF(B111="","",IF(V111&lt;&gt;"",V111-B111,TODAY()-B111))</f>
        <v/>
      </c>
      <c r="X111" s="38" t="str">
        <f aca="true">IF(OR(B111="",T111="",U111="False Positive",U111="Risk Accepted"),"",IF(V111&lt;&gt;"",IF(V111&gt;T111,"Closed Late","Met"),IF(TODAY()&gt;T111,"SLA BREACH",IF(T111-TODAY()&lt;=7,"Due ≤7d","Within SLA"))))</f>
        <v/>
      </c>
      <c r="Y111" s="34"/>
      <c r="Z111" s="34"/>
      <c r="AA111" s="21"/>
    </row>
    <row r="112" customFormat="false" ht="15" hidden="false" customHeight="false" outlineLevel="0" collapsed="false">
      <c r="A112" s="6" t="s">
        <v>1958</v>
      </c>
      <c r="B112" s="35"/>
      <c r="C112" s="34"/>
      <c r="D112" s="34"/>
      <c r="E112" s="21"/>
      <c r="F112" s="34"/>
      <c r="G112" s="34"/>
      <c r="H112" s="34"/>
      <c r="I112" s="34"/>
      <c r="J112" s="21"/>
      <c r="K112" s="34"/>
      <c r="L112" s="34"/>
      <c r="M112" s="34"/>
      <c r="N112" s="21"/>
      <c r="O112" s="21"/>
      <c r="P112" s="21"/>
      <c r="Q112" s="34"/>
      <c r="R112" s="34"/>
      <c r="S112" s="33" t="str">
        <f aca="false">IF(OR(B112="",L112=""),"",INDEX(Lists!$AB$4:$AB$8,MATCH(L112,Lists!$AA$4:$AA$8,0)))</f>
        <v/>
      </c>
      <c r="T112" s="43" t="str">
        <f aca="false">IF(OR(S112="",ISERROR(S112)),"",B112+S112)</f>
        <v/>
      </c>
      <c r="U112" s="34"/>
      <c r="V112" s="35"/>
      <c r="W112" s="33" t="str">
        <f aca="true">IF(B112="","",IF(V112&lt;&gt;"",V112-B112,TODAY()-B112))</f>
        <v/>
      </c>
      <c r="X112" s="38" t="str">
        <f aca="true">IF(OR(B112="",T112="",U112="False Positive",U112="Risk Accepted"),"",IF(V112&lt;&gt;"",IF(V112&gt;T112,"Closed Late","Met"),IF(TODAY()&gt;T112,"SLA BREACH",IF(T112-TODAY()&lt;=7,"Due ≤7d","Within SLA"))))</f>
        <v/>
      </c>
      <c r="Y112" s="34"/>
      <c r="Z112" s="34"/>
      <c r="AA112" s="21"/>
    </row>
    <row r="113" customFormat="false" ht="15" hidden="false" customHeight="false" outlineLevel="0" collapsed="false">
      <c r="A113" s="6" t="s">
        <v>1959</v>
      </c>
      <c r="B113" s="35"/>
      <c r="C113" s="34"/>
      <c r="D113" s="34"/>
      <c r="E113" s="21"/>
      <c r="F113" s="34"/>
      <c r="G113" s="34"/>
      <c r="H113" s="34"/>
      <c r="I113" s="34"/>
      <c r="J113" s="21"/>
      <c r="K113" s="34"/>
      <c r="L113" s="34"/>
      <c r="M113" s="34"/>
      <c r="N113" s="21"/>
      <c r="O113" s="21"/>
      <c r="P113" s="21"/>
      <c r="Q113" s="34"/>
      <c r="R113" s="34"/>
      <c r="S113" s="33" t="str">
        <f aca="false">IF(OR(B113="",L113=""),"",INDEX(Lists!$AB$4:$AB$8,MATCH(L113,Lists!$AA$4:$AA$8,0)))</f>
        <v/>
      </c>
      <c r="T113" s="43" t="str">
        <f aca="false">IF(OR(S113="",ISERROR(S113)),"",B113+S113)</f>
        <v/>
      </c>
      <c r="U113" s="34"/>
      <c r="V113" s="35"/>
      <c r="W113" s="33" t="str">
        <f aca="true">IF(B113="","",IF(V113&lt;&gt;"",V113-B113,TODAY()-B113))</f>
        <v/>
      </c>
      <c r="X113" s="38" t="str">
        <f aca="true">IF(OR(B113="",T113="",U113="False Positive",U113="Risk Accepted"),"",IF(V113&lt;&gt;"",IF(V113&gt;T113,"Closed Late","Met"),IF(TODAY()&gt;T113,"SLA BREACH",IF(T113-TODAY()&lt;=7,"Due ≤7d","Within SLA"))))</f>
        <v/>
      </c>
      <c r="Y113" s="34"/>
      <c r="Z113" s="34"/>
      <c r="AA113" s="21"/>
    </row>
    <row r="114" customFormat="false" ht="15" hidden="false" customHeight="false" outlineLevel="0" collapsed="false">
      <c r="A114" s="6" t="s">
        <v>1960</v>
      </c>
      <c r="B114" s="35"/>
      <c r="C114" s="34"/>
      <c r="D114" s="34"/>
      <c r="E114" s="21"/>
      <c r="F114" s="34"/>
      <c r="G114" s="34"/>
      <c r="H114" s="34"/>
      <c r="I114" s="34"/>
      <c r="J114" s="21"/>
      <c r="K114" s="34"/>
      <c r="L114" s="34"/>
      <c r="M114" s="34"/>
      <c r="N114" s="21"/>
      <c r="O114" s="21"/>
      <c r="P114" s="21"/>
      <c r="Q114" s="34"/>
      <c r="R114" s="34"/>
      <c r="S114" s="33" t="str">
        <f aca="false">IF(OR(B114="",L114=""),"",INDEX(Lists!$AB$4:$AB$8,MATCH(L114,Lists!$AA$4:$AA$8,0)))</f>
        <v/>
      </c>
      <c r="T114" s="43" t="str">
        <f aca="false">IF(OR(S114="",ISERROR(S114)),"",B114+S114)</f>
        <v/>
      </c>
      <c r="U114" s="34"/>
      <c r="V114" s="35"/>
      <c r="W114" s="33" t="str">
        <f aca="true">IF(B114="","",IF(V114&lt;&gt;"",V114-B114,TODAY()-B114))</f>
        <v/>
      </c>
      <c r="X114" s="38" t="str">
        <f aca="true">IF(OR(B114="",T114="",U114="False Positive",U114="Risk Accepted"),"",IF(V114&lt;&gt;"",IF(V114&gt;T114,"Closed Late","Met"),IF(TODAY()&gt;T114,"SLA BREACH",IF(T114-TODAY()&lt;=7,"Due ≤7d","Within SLA"))))</f>
        <v/>
      </c>
      <c r="Y114" s="34"/>
      <c r="Z114" s="34"/>
      <c r="AA114" s="21"/>
    </row>
    <row r="115" customFormat="false" ht="15" hidden="false" customHeight="false" outlineLevel="0" collapsed="false">
      <c r="A115" s="6" t="s">
        <v>1961</v>
      </c>
      <c r="B115" s="35"/>
      <c r="C115" s="34"/>
      <c r="D115" s="34"/>
      <c r="E115" s="21"/>
      <c r="F115" s="34"/>
      <c r="G115" s="34"/>
      <c r="H115" s="34"/>
      <c r="I115" s="34"/>
      <c r="J115" s="21"/>
      <c r="K115" s="34"/>
      <c r="L115" s="34"/>
      <c r="M115" s="34"/>
      <c r="N115" s="21"/>
      <c r="O115" s="21"/>
      <c r="P115" s="21"/>
      <c r="Q115" s="34"/>
      <c r="R115" s="34"/>
      <c r="S115" s="33" t="str">
        <f aca="false">IF(OR(B115="",L115=""),"",INDEX(Lists!$AB$4:$AB$8,MATCH(L115,Lists!$AA$4:$AA$8,0)))</f>
        <v/>
      </c>
      <c r="T115" s="43" t="str">
        <f aca="false">IF(OR(S115="",ISERROR(S115)),"",B115+S115)</f>
        <v/>
      </c>
      <c r="U115" s="34"/>
      <c r="V115" s="35"/>
      <c r="W115" s="33" t="str">
        <f aca="true">IF(B115="","",IF(V115&lt;&gt;"",V115-B115,TODAY()-B115))</f>
        <v/>
      </c>
      <c r="X115" s="38" t="str">
        <f aca="true">IF(OR(B115="",T115="",U115="False Positive",U115="Risk Accepted"),"",IF(V115&lt;&gt;"",IF(V115&gt;T115,"Closed Late","Met"),IF(TODAY()&gt;T115,"SLA BREACH",IF(T115-TODAY()&lt;=7,"Due ≤7d","Within SLA"))))</f>
        <v/>
      </c>
      <c r="Y115" s="34"/>
      <c r="Z115" s="34"/>
      <c r="AA115" s="21"/>
    </row>
    <row r="116" customFormat="false" ht="15" hidden="false" customHeight="false" outlineLevel="0" collapsed="false">
      <c r="A116" s="6" t="s">
        <v>1962</v>
      </c>
      <c r="B116" s="35"/>
      <c r="C116" s="34"/>
      <c r="D116" s="34"/>
      <c r="E116" s="21"/>
      <c r="F116" s="34"/>
      <c r="G116" s="34"/>
      <c r="H116" s="34"/>
      <c r="I116" s="34"/>
      <c r="J116" s="21"/>
      <c r="K116" s="34"/>
      <c r="L116" s="34"/>
      <c r="M116" s="34"/>
      <c r="N116" s="21"/>
      <c r="O116" s="21"/>
      <c r="P116" s="21"/>
      <c r="Q116" s="34"/>
      <c r="R116" s="34"/>
      <c r="S116" s="33" t="str">
        <f aca="false">IF(OR(B116="",L116=""),"",INDEX(Lists!$AB$4:$AB$8,MATCH(L116,Lists!$AA$4:$AA$8,0)))</f>
        <v/>
      </c>
      <c r="T116" s="43" t="str">
        <f aca="false">IF(OR(S116="",ISERROR(S116)),"",B116+S116)</f>
        <v/>
      </c>
      <c r="U116" s="34"/>
      <c r="V116" s="35"/>
      <c r="W116" s="33" t="str">
        <f aca="true">IF(B116="","",IF(V116&lt;&gt;"",V116-B116,TODAY()-B116))</f>
        <v/>
      </c>
      <c r="X116" s="38" t="str">
        <f aca="true">IF(OR(B116="",T116="",U116="False Positive",U116="Risk Accepted"),"",IF(V116&lt;&gt;"",IF(V116&gt;T116,"Closed Late","Met"),IF(TODAY()&gt;T116,"SLA BREACH",IF(T116-TODAY()&lt;=7,"Due ≤7d","Within SLA"))))</f>
        <v/>
      </c>
      <c r="Y116" s="34"/>
      <c r="Z116" s="34"/>
      <c r="AA116" s="21"/>
    </row>
    <row r="117" customFormat="false" ht="15" hidden="false" customHeight="false" outlineLevel="0" collapsed="false">
      <c r="A117" s="6" t="s">
        <v>1963</v>
      </c>
      <c r="B117" s="35"/>
      <c r="C117" s="34"/>
      <c r="D117" s="34"/>
      <c r="E117" s="21"/>
      <c r="F117" s="34"/>
      <c r="G117" s="34"/>
      <c r="H117" s="34"/>
      <c r="I117" s="34"/>
      <c r="J117" s="21"/>
      <c r="K117" s="34"/>
      <c r="L117" s="34"/>
      <c r="M117" s="34"/>
      <c r="N117" s="21"/>
      <c r="O117" s="21"/>
      <c r="P117" s="21"/>
      <c r="Q117" s="34"/>
      <c r="R117" s="34"/>
      <c r="S117" s="33" t="str">
        <f aca="false">IF(OR(B117="",L117=""),"",INDEX(Lists!$AB$4:$AB$8,MATCH(L117,Lists!$AA$4:$AA$8,0)))</f>
        <v/>
      </c>
      <c r="T117" s="43" t="str">
        <f aca="false">IF(OR(S117="",ISERROR(S117)),"",B117+S117)</f>
        <v/>
      </c>
      <c r="U117" s="34"/>
      <c r="V117" s="35"/>
      <c r="W117" s="33" t="str">
        <f aca="true">IF(B117="","",IF(V117&lt;&gt;"",V117-B117,TODAY()-B117))</f>
        <v/>
      </c>
      <c r="X117" s="38" t="str">
        <f aca="true">IF(OR(B117="",T117="",U117="False Positive",U117="Risk Accepted"),"",IF(V117&lt;&gt;"",IF(V117&gt;T117,"Closed Late","Met"),IF(TODAY()&gt;T117,"SLA BREACH",IF(T117-TODAY()&lt;=7,"Due ≤7d","Within SLA"))))</f>
        <v/>
      </c>
      <c r="Y117" s="34"/>
      <c r="Z117" s="34"/>
      <c r="AA117" s="21"/>
    </row>
    <row r="118" customFormat="false" ht="15" hidden="false" customHeight="false" outlineLevel="0" collapsed="false">
      <c r="A118" s="6" t="s">
        <v>1964</v>
      </c>
      <c r="B118" s="35"/>
      <c r="C118" s="34"/>
      <c r="D118" s="34"/>
      <c r="E118" s="21"/>
      <c r="F118" s="34"/>
      <c r="G118" s="34"/>
      <c r="H118" s="34"/>
      <c r="I118" s="34"/>
      <c r="J118" s="21"/>
      <c r="K118" s="34"/>
      <c r="L118" s="34"/>
      <c r="M118" s="34"/>
      <c r="N118" s="21"/>
      <c r="O118" s="21"/>
      <c r="P118" s="21"/>
      <c r="Q118" s="34"/>
      <c r="R118" s="34"/>
      <c r="S118" s="33" t="str">
        <f aca="false">IF(OR(B118="",L118=""),"",INDEX(Lists!$AB$4:$AB$8,MATCH(L118,Lists!$AA$4:$AA$8,0)))</f>
        <v/>
      </c>
      <c r="T118" s="43" t="str">
        <f aca="false">IF(OR(S118="",ISERROR(S118)),"",B118+S118)</f>
        <v/>
      </c>
      <c r="U118" s="34"/>
      <c r="V118" s="35"/>
      <c r="W118" s="33" t="str">
        <f aca="true">IF(B118="","",IF(V118&lt;&gt;"",V118-B118,TODAY()-B118))</f>
        <v/>
      </c>
      <c r="X118" s="38" t="str">
        <f aca="true">IF(OR(B118="",T118="",U118="False Positive",U118="Risk Accepted"),"",IF(V118&lt;&gt;"",IF(V118&gt;T118,"Closed Late","Met"),IF(TODAY()&gt;T118,"SLA BREACH",IF(T118-TODAY()&lt;=7,"Due ≤7d","Within SLA"))))</f>
        <v/>
      </c>
      <c r="Y118" s="34"/>
      <c r="Z118" s="34"/>
      <c r="AA118" s="21"/>
    </row>
    <row r="119" customFormat="false" ht="15" hidden="false" customHeight="false" outlineLevel="0" collapsed="false">
      <c r="A119" s="6" t="s">
        <v>1965</v>
      </c>
      <c r="B119" s="35"/>
      <c r="C119" s="34"/>
      <c r="D119" s="34"/>
      <c r="E119" s="21"/>
      <c r="F119" s="34"/>
      <c r="G119" s="34"/>
      <c r="H119" s="34"/>
      <c r="I119" s="34"/>
      <c r="J119" s="21"/>
      <c r="K119" s="34"/>
      <c r="L119" s="34"/>
      <c r="M119" s="34"/>
      <c r="N119" s="21"/>
      <c r="O119" s="21"/>
      <c r="P119" s="21"/>
      <c r="Q119" s="34"/>
      <c r="R119" s="34"/>
      <c r="S119" s="33" t="str">
        <f aca="false">IF(OR(B119="",L119=""),"",INDEX(Lists!$AB$4:$AB$8,MATCH(L119,Lists!$AA$4:$AA$8,0)))</f>
        <v/>
      </c>
      <c r="T119" s="43" t="str">
        <f aca="false">IF(OR(S119="",ISERROR(S119)),"",B119+S119)</f>
        <v/>
      </c>
      <c r="U119" s="34"/>
      <c r="V119" s="35"/>
      <c r="W119" s="33" t="str">
        <f aca="true">IF(B119="","",IF(V119&lt;&gt;"",V119-B119,TODAY()-B119))</f>
        <v/>
      </c>
      <c r="X119" s="38" t="str">
        <f aca="true">IF(OR(B119="",T119="",U119="False Positive",U119="Risk Accepted"),"",IF(V119&lt;&gt;"",IF(V119&gt;T119,"Closed Late","Met"),IF(TODAY()&gt;T119,"SLA BREACH",IF(T119-TODAY()&lt;=7,"Due ≤7d","Within SLA"))))</f>
        <v/>
      </c>
      <c r="Y119" s="34"/>
      <c r="Z119" s="34"/>
      <c r="AA119" s="21"/>
    </row>
    <row r="120" customFormat="false" ht="15" hidden="false" customHeight="false" outlineLevel="0" collapsed="false">
      <c r="A120" s="6" t="s">
        <v>1966</v>
      </c>
      <c r="B120" s="35"/>
      <c r="C120" s="34"/>
      <c r="D120" s="34"/>
      <c r="E120" s="21"/>
      <c r="F120" s="34"/>
      <c r="G120" s="34"/>
      <c r="H120" s="34"/>
      <c r="I120" s="34"/>
      <c r="J120" s="21"/>
      <c r="K120" s="34"/>
      <c r="L120" s="34"/>
      <c r="M120" s="34"/>
      <c r="N120" s="21"/>
      <c r="O120" s="21"/>
      <c r="P120" s="21"/>
      <c r="Q120" s="34"/>
      <c r="R120" s="34"/>
      <c r="S120" s="33" t="str">
        <f aca="false">IF(OR(B120="",L120=""),"",INDEX(Lists!$AB$4:$AB$8,MATCH(L120,Lists!$AA$4:$AA$8,0)))</f>
        <v/>
      </c>
      <c r="T120" s="43" t="str">
        <f aca="false">IF(OR(S120="",ISERROR(S120)),"",B120+S120)</f>
        <v/>
      </c>
      <c r="U120" s="34"/>
      <c r="V120" s="35"/>
      <c r="W120" s="33" t="str">
        <f aca="true">IF(B120="","",IF(V120&lt;&gt;"",V120-B120,TODAY()-B120))</f>
        <v/>
      </c>
      <c r="X120" s="38" t="str">
        <f aca="true">IF(OR(B120="",T120="",U120="False Positive",U120="Risk Accepted"),"",IF(V120&lt;&gt;"",IF(V120&gt;T120,"Closed Late","Met"),IF(TODAY()&gt;T120,"SLA BREACH",IF(T120-TODAY()&lt;=7,"Due ≤7d","Within SLA"))))</f>
        <v/>
      </c>
      <c r="Y120" s="34"/>
      <c r="Z120" s="34"/>
      <c r="AA120" s="21"/>
    </row>
    <row r="121" customFormat="false" ht="15" hidden="false" customHeight="false" outlineLevel="0" collapsed="false">
      <c r="A121" s="6" t="s">
        <v>1967</v>
      </c>
      <c r="B121" s="35"/>
      <c r="C121" s="34"/>
      <c r="D121" s="34"/>
      <c r="E121" s="21"/>
      <c r="F121" s="34"/>
      <c r="G121" s="34"/>
      <c r="H121" s="34"/>
      <c r="I121" s="34"/>
      <c r="J121" s="21"/>
      <c r="K121" s="34"/>
      <c r="L121" s="34"/>
      <c r="M121" s="34"/>
      <c r="N121" s="21"/>
      <c r="O121" s="21"/>
      <c r="P121" s="21"/>
      <c r="Q121" s="34"/>
      <c r="R121" s="34"/>
      <c r="S121" s="33" t="str">
        <f aca="false">IF(OR(B121="",L121=""),"",INDEX(Lists!$AB$4:$AB$8,MATCH(L121,Lists!$AA$4:$AA$8,0)))</f>
        <v/>
      </c>
      <c r="T121" s="43" t="str">
        <f aca="false">IF(OR(S121="",ISERROR(S121)),"",B121+S121)</f>
        <v/>
      </c>
      <c r="U121" s="34"/>
      <c r="V121" s="35"/>
      <c r="W121" s="33" t="str">
        <f aca="true">IF(B121="","",IF(V121&lt;&gt;"",V121-B121,TODAY()-B121))</f>
        <v/>
      </c>
      <c r="X121" s="38" t="str">
        <f aca="true">IF(OR(B121="",T121="",U121="False Positive",U121="Risk Accepted"),"",IF(V121&lt;&gt;"",IF(V121&gt;T121,"Closed Late","Met"),IF(TODAY()&gt;T121,"SLA BREACH",IF(T121-TODAY()&lt;=7,"Due ≤7d","Within SLA"))))</f>
        <v/>
      </c>
      <c r="Y121" s="34"/>
      <c r="Z121" s="34"/>
      <c r="AA121" s="21"/>
    </row>
    <row r="122" customFormat="false" ht="15" hidden="false" customHeight="false" outlineLevel="0" collapsed="false">
      <c r="A122" s="6" t="s">
        <v>1968</v>
      </c>
      <c r="B122" s="35"/>
      <c r="C122" s="34"/>
      <c r="D122" s="34"/>
      <c r="E122" s="21"/>
      <c r="F122" s="34"/>
      <c r="G122" s="34"/>
      <c r="H122" s="34"/>
      <c r="I122" s="34"/>
      <c r="J122" s="21"/>
      <c r="K122" s="34"/>
      <c r="L122" s="34"/>
      <c r="M122" s="34"/>
      <c r="N122" s="21"/>
      <c r="O122" s="21"/>
      <c r="P122" s="21"/>
      <c r="Q122" s="34"/>
      <c r="R122" s="34"/>
      <c r="S122" s="33" t="str">
        <f aca="false">IF(OR(B122="",L122=""),"",INDEX(Lists!$AB$4:$AB$8,MATCH(L122,Lists!$AA$4:$AA$8,0)))</f>
        <v/>
      </c>
      <c r="T122" s="43" t="str">
        <f aca="false">IF(OR(S122="",ISERROR(S122)),"",B122+S122)</f>
        <v/>
      </c>
      <c r="U122" s="34"/>
      <c r="V122" s="35"/>
      <c r="W122" s="33" t="str">
        <f aca="true">IF(B122="","",IF(V122&lt;&gt;"",V122-B122,TODAY()-B122))</f>
        <v/>
      </c>
      <c r="X122" s="38" t="str">
        <f aca="true">IF(OR(B122="",T122="",U122="False Positive",U122="Risk Accepted"),"",IF(V122&lt;&gt;"",IF(V122&gt;T122,"Closed Late","Met"),IF(TODAY()&gt;T122,"SLA BREACH",IF(T122-TODAY()&lt;=7,"Due ≤7d","Within SLA"))))</f>
        <v/>
      </c>
      <c r="Y122" s="34"/>
      <c r="Z122" s="34"/>
      <c r="AA122" s="21"/>
    </row>
    <row r="123" customFormat="false" ht="15" hidden="false" customHeight="false" outlineLevel="0" collapsed="false">
      <c r="A123" s="6" t="s">
        <v>1969</v>
      </c>
      <c r="B123" s="35"/>
      <c r="C123" s="34"/>
      <c r="D123" s="34"/>
      <c r="E123" s="21"/>
      <c r="F123" s="34"/>
      <c r="G123" s="34"/>
      <c r="H123" s="34"/>
      <c r="I123" s="34"/>
      <c r="J123" s="21"/>
      <c r="K123" s="34"/>
      <c r="L123" s="34"/>
      <c r="M123" s="34"/>
      <c r="N123" s="21"/>
      <c r="O123" s="21"/>
      <c r="P123" s="21"/>
      <c r="Q123" s="34"/>
      <c r="R123" s="34"/>
      <c r="S123" s="33" t="str">
        <f aca="false">IF(OR(B123="",L123=""),"",INDEX(Lists!$AB$4:$AB$8,MATCH(L123,Lists!$AA$4:$AA$8,0)))</f>
        <v/>
      </c>
      <c r="T123" s="43" t="str">
        <f aca="false">IF(OR(S123="",ISERROR(S123)),"",B123+S123)</f>
        <v/>
      </c>
      <c r="U123" s="34"/>
      <c r="V123" s="35"/>
      <c r="W123" s="33" t="str">
        <f aca="true">IF(B123="","",IF(V123&lt;&gt;"",V123-B123,TODAY()-B123))</f>
        <v/>
      </c>
      <c r="X123" s="38" t="str">
        <f aca="true">IF(OR(B123="",T123="",U123="False Positive",U123="Risk Accepted"),"",IF(V123&lt;&gt;"",IF(V123&gt;T123,"Closed Late","Met"),IF(TODAY()&gt;T123,"SLA BREACH",IF(T123-TODAY()&lt;=7,"Due ≤7d","Within SLA"))))</f>
        <v/>
      </c>
      <c r="Y123" s="34"/>
      <c r="Z123" s="34"/>
      <c r="AA123" s="21"/>
    </row>
    <row r="124" customFormat="false" ht="15" hidden="false" customHeight="false" outlineLevel="0" collapsed="false">
      <c r="A124" s="6" t="s">
        <v>1970</v>
      </c>
      <c r="B124" s="35"/>
      <c r="C124" s="34"/>
      <c r="D124" s="34"/>
      <c r="E124" s="21"/>
      <c r="F124" s="34"/>
      <c r="G124" s="34"/>
      <c r="H124" s="34"/>
      <c r="I124" s="34"/>
      <c r="J124" s="21"/>
      <c r="K124" s="34"/>
      <c r="L124" s="34"/>
      <c r="M124" s="34"/>
      <c r="N124" s="21"/>
      <c r="O124" s="21"/>
      <c r="P124" s="21"/>
      <c r="Q124" s="34"/>
      <c r="R124" s="34"/>
      <c r="S124" s="33" t="str">
        <f aca="false">IF(OR(B124="",L124=""),"",INDEX(Lists!$AB$4:$AB$8,MATCH(L124,Lists!$AA$4:$AA$8,0)))</f>
        <v/>
      </c>
      <c r="T124" s="43" t="str">
        <f aca="false">IF(OR(S124="",ISERROR(S124)),"",B124+S124)</f>
        <v/>
      </c>
      <c r="U124" s="34"/>
      <c r="V124" s="35"/>
      <c r="W124" s="33" t="str">
        <f aca="true">IF(B124="","",IF(V124&lt;&gt;"",V124-B124,TODAY()-B124))</f>
        <v/>
      </c>
      <c r="X124" s="38" t="str">
        <f aca="true">IF(OR(B124="",T124="",U124="False Positive",U124="Risk Accepted"),"",IF(V124&lt;&gt;"",IF(V124&gt;T124,"Closed Late","Met"),IF(TODAY()&gt;T124,"SLA BREACH",IF(T124-TODAY()&lt;=7,"Due ≤7d","Within SLA"))))</f>
        <v/>
      </c>
      <c r="Y124" s="34"/>
      <c r="Z124" s="34"/>
      <c r="AA124" s="21"/>
    </row>
    <row r="125" customFormat="false" ht="15" hidden="false" customHeight="false" outlineLevel="0" collapsed="false">
      <c r="A125" s="6" t="s">
        <v>1971</v>
      </c>
      <c r="B125" s="35"/>
      <c r="C125" s="34"/>
      <c r="D125" s="34"/>
      <c r="E125" s="21"/>
      <c r="F125" s="34"/>
      <c r="G125" s="34"/>
      <c r="H125" s="34"/>
      <c r="I125" s="34"/>
      <c r="J125" s="21"/>
      <c r="K125" s="34"/>
      <c r="L125" s="34"/>
      <c r="M125" s="34"/>
      <c r="N125" s="21"/>
      <c r="O125" s="21"/>
      <c r="P125" s="21"/>
      <c r="Q125" s="34"/>
      <c r="R125" s="34"/>
      <c r="S125" s="33" t="str">
        <f aca="false">IF(OR(B125="",L125=""),"",INDEX(Lists!$AB$4:$AB$8,MATCH(L125,Lists!$AA$4:$AA$8,0)))</f>
        <v/>
      </c>
      <c r="T125" s="43" t="str">
        <f aca="false">IF(OR(S125="",ISERROR(S125)),"",B125+S125)</f>
        <v/>
      </c>
      <c r="U125" s="34"/>
      <c r="V125" s="35"/>
      <c r="W125" s="33" t="str">
        <f aca="true">IF(B125="","",IF(V125&lt;&gt;"",V125-B125,TODAY()-B125))</f>
        <v/>
      </c>
      <c r="X125" s="38" t="str">
        <f aca="true">IF(OR(B125="",T125="",U125="False Positive",U125="Risk Accepted"),"",IF(V125&lt;&gt;"",IF(V125&gt;T125,"Closed Late","Met"),IF(TODAY()&gt;T125,"SLA BREACH",IF(T125-TODAY()&lt;=7,"Due ≤7d","Within SLA"))))</f>
        <v/>
      </c>
      <c r="Y125" s="34"/>
      <c r="Z125" s="34"/>
      <c r="AA125" s="21"/>
    </row>
    <row r="126" customFormat="false" ht="15" hidden="false" customHeight="false" outlineLevel="0" collapsed="false">
      <c r="A126" s="6" t="s">
        <v>1972</v>
      </c>
      <c r="B126" s="35"/>
      <c r="C126" s="34"/>
      <c r="D126" s="34"/>
      <c r="E126" s="21"/>
      <c r="F126" s="34"/>
      <c r="G126" s="34"/>
      <c r="H126" s="34"/>
      <c r="I126" s="34"/>
      <c r="J126" s="21"/>
      <c r="K126" s="34"/>
      <c r="L126" s="34"/>
      <c r="M126" s="34"/>
      <c r="N126" s="21"/>
      <c r="O126" s="21"/>
      <c r="P126" s="21"/>
      <c r="Q126" s="34"/>
      <c r="R126" s="34"/>
      <c r="S126" s="33" t="str">
        <f aca="false">IF(OR(B126="",L126=""),"",INDEX(Lists!$AB$4:$AB$8,MATCH(L126,Lists!$AA$4:$AA$8,0)))</f>
        <v/>
      </c>
      <c r="T126" s="43" t="str">
        <f aca="false">IF(OR(S126="",ISERROR(S126)),"",B126+S126)</f>
        <v/>
      </c>
      <c r="U126" s="34"/>
      <c r="V126" s="35"/>
      <c r="W126" s="33" t="str">
        <f aca="true">IF(B126="","",IF(V126&lt;&gt;"",V126-B126,TODAY()-B126))</f>
        <v/>
      </c>
      <c r="X126" s="38" t="str">
        <f aca="true">IF(OR(B126="",T126="",U126="False Positive",U126="Risk Accepted"),"",IF(V126&lt;&gt;"",IF(V126&gt;T126,"Closed Late","Met"),IF(TODAY()&gt;T126,"SLA BREACH",IF(T126-TODAY()&lt;=7,"Due ≤7d","Within SLA"))))</f>
        <v/>
      </c>
      <c r="Y126" s="34"/>
      <c r="Z126" s="34"/>
      <c r="AA126" s="21"/>
    </row>
    <row r="127" customFormat="false" ht="15" hidden="false" customHeight="false" outlineLevel="0" collapsed="false">
      <c r="A127" s="6" t="s">
        <v>1973</v>
      </c>
      <c r="B127" s="35"/>
      <c r="C127" s="34"/>
      <c r="D127" s="34"/>
      <c r="E127" s="21"/>
      <c r="F127" s="34"/>
      <c r="G127" s="34"/>
      <c r="H127" s="34"/>
      <c r="I127" s="34"/>
      <c r="J127" s="21"/>
      <c r="K127" s="34"/>
      <c r="L127" s="34"/>
      <c r="M127" s="34"/>
      <c r="N127" s="21"/>
      <c r="O127" s="21"/>
      <c r="P127" s="21"/>
      <c r="Q127" s="34"/>
      <c r="R127" s="34"/>
      <c r="S127" s="33" t="str">
        <f aca="false">IF(OR(B127="",L127=""),"",INDEX(Lists!$AB$4:$AB$8,MATCH(L127,Lists!$AA$4:$AA$8,0)))</f>
        <v/>
      </c>
      <c r="T127" s="43" t="str">
        <f aca="false">IF(OR(S127="",ISERROR(S127)),"",B127+S127)</f>
        <v/>
      </c>
      <c r="U127" s="34"/>
      <c r="V127" s="35"/>
      <c r="W127" s="33" t="str">
        <f aca="true">IF(B127="","",IF(V127&lt;&gt;"",V127-B127,TODAY()-B127))</f>
        <v/>
      </c>
      <c r="X127" s="38" t="str">
        <f aca="true">IF(OR(B127="",T127="",U127="False Positive",U127="Risk Accepted"),"",IF(V127&lt;&gt;"",IF(V127&gt;T127,"Closed Late","Met"),IF(TODAY()&gt;T127,"SLA BREACH",IF(T127-TODAY()&lt;=7,"Due ≤7d","Within SLA"))))</f>
        <v/>
      </c>
      <c r="Y127" s="34"/>
      <c r="Z127" s="34"/>
      <c r="AA127" s="21"/>
    </row>
    <row r="128" customFormat="false" ht="15" hidden="false" customHeight="false" outlineLevel="0" collapsed="false">
      <c r="A128" s="6" t="s">
        <v>1974</v>
      </c>
      <c r="B128" s="35"/>
      <c r="C128" s="34"/>
      <c r="D128" s="34"/>
      <c r="E128" s="21"/>
      <c r="F128" s="34"/>
      <c r="G128" s="34"/>
      <c r="H128" s="34"/>
      <c r="I128" s="34"/>
      <c r="J128" s="21"/>
      <c r="K128" s="34"/>
      <c r="L128" s="34"/>
      <c r="M128" s="34"/>
      <c r="N128" s="21"/>
      <c r="O128" s="21"/>
      <c r="P128" s="21"/>
      <c r="Q128" s="34"/>
      <c r="R128" s="34"/>
      <c r="S128" s="33" t="str">
        <f aca="false">IF(OR(B128="",L128=""),"",INDEX(Lists!$AB$4:$AB$8,MATCH(L128,Lists!$AA$4:$AA$8,0)))</f>
        <v/>
      </c>
      <c r="T128" s="43" t="str">
        <f aca="false">IF(OR(S128="",ISERROR(S128)),"",B128+S128)</f>
        <v/>
      </c>
      <c r="U128" s="34"/>
      <c r="V128" s="35"/>
      <c r="W128" s="33" t="str">
        <f aca="true">IF(B128="","",IF(V128&lt;&gt;"",V128-B128,TODAY()-B128))</f>
        <v/>
      </c>
      <c r="X128" s="38" t="str">
        <f aca="true">IF(OR(B128="",T128="",U128="False Positive",U128="Risk Accepted"),"",IF(V128&lt;&gt;"",IF(V128&gt;T128,"Closed Late","Met"),IF(TODAY()&gt;T128,"SLA BREACH",IF(T128-TODAY()&lt;=7,"Due ≤7d","Within SLA"))))</f>
        <v/>
      </c>
      <c r="Y128" s="34"/>
      <c r="Z128" s="34"/>
      <c r="AA128" s="21"/>
    </row>
    <row r="129" customFormat="false" ht="15" hidden="false" customHeight="false" outlineLevel="0" collapsed="false">
      <c r="A129" s="6" t="s">
        <v>1975</v>
      </c>
      <c r="B129" s="35"/>
      <c r="C129" s="34"/>
      <c r="D129" s="34"/>
      <c r="E129" s="21"/>
      <c r="F129" s="34"/>
      <c r="G129" s="34"/>
      <c r="H129" s="34"/>
      <c r="I129" s="34"/>
      <c r="J129" s="21"/>
      <c r="K129" s="34"/>
      <c r="L129" s="34"/>
      <c r="M129" s="34"/>
      <c r="N129" s="21"/>
      <c r="O129" s="21"/>
      <c r="P129" s="21"/>
      <c r="Q129" s="34"/>
      <c r="R129" s="34"/>
      <c r="S129" s="33" t="str">
        <f aca="false">IF(OR(B129="",L129=""),"",INDEX(Lists!$AB$4:$AB$8,MATCH(L129,Lists!$AA$4:$AA$8,0)))</f>
        <v/>
      </c>
      <c r="T129" s="43" t="str">
        <f aca="false">IF(OR(S129="",ISERROR(S129)),"",B129+S129)</f>
        <v/>
      </c>
      <c r="U129" s="34"/>
      <c r="V129" s="35"/>
      <c r="W129" s="33" t="str">
        <f aca="true">IF(B129="","",IF(V129&lt;&gt;"",V129-B129,TODAY()-B129))</f>
        <v/>
      </c>
      <c r="X129" s="38" t="str">
        <f aca="true">IF(OR(B129="",T129="",U129="False Positive",U129="Risk Accepted"),"",IF(V129&lt;&gt;"",IF(V129&gt;T129,"Closed Late","Met"),IF(TODAY()&gt;T129,"SLA BREACH",IF(T129-TODAY()&lt;=7,"Due ≤7d","Within SLA"))))</f>
        <v/>
      </c>
      <c r="Y129" s="34"/>
      <c r="Z129" s="34"/>
      <c r="AA129" s="21"/>
    </row>
    <row r="130" customFormat="false" ht="15" hidden="false" customHeight="false" outlineLevel="0" collapsed="false">
      <c r="A130" s="6" t="s">
        <v>1976</v>
      </c>
      <c r="B130" s="35"/>
      <c r="C130" s="34"/>
      <c r="D130" s="34"/>
      <c r="E130" s="21"/>
      <c r="F130" s="34"/>
      <c r="G130" s="34"/>
      <c r="H130" s="34"/>
      <c r="I130" s="34"/>
      <c r="J130" s="21"/>
      <c r="K130" s="34"/>
      <c r="L130" s="34"/>
      <c r="M130" s="34"/>
      <c r="N130" s="21"/>
      <c r="O130" s="21"/>
      <c r="P130" s="21"/>
      <c r="Q130" s="34"/>
      <c r="R130" s="34"/>
      <c r="S130" s="33" t="str">
        <f aca="false">IF(OR(B130="",L130=""),"",INDEX(Lists!$AB$4:$AB$8,MATCH(L130,Lists!$AA$4:$AA$8,0)))</f>
        <v/>
      </c>
      <c r="T130" s="43" t="str">
        <f aca="false">IF(OR(S130="",ISERROR(S130)),"",B130+S130)</f>
        <v/>
      </c>
      <c r="U130" s="34"/>
      <c r="V130" s="35"/>
      <c r="W130" s="33" t="str">
        <f aca="true">IF(B130="","",IF(V130&lt;&gt;"",V130-B130,TODAY()-B130))</f>
        <v/>
      </c>
      <c r="X130" s="38" t="str">
        <f aca="true">IF(OR(B130="",T130="",U130="False Positive",U130="Risk Accepted"),"",IF(V130&lt;&gt;"",IF(V130&gt;T130,"Closed Late","Met"),IF(TODAY()&gt;T130,"SLA BREACH",IF(T130-TODAY()&lt;=7,"Due ≤7d","Within SLA"))))</f>
        <v/>
      </c>
      <c r="Y130" s="34"/>
      <c r="Z130" s="34"/>
      <c r="AA130" s="21"/>
    </row>
    <row r="131" customFormat="false" ht="15" hidden="false" customHeight="false" outlineLevel="0" collapsed="false">
      <c r="A131" s="6" t="s">
        <v>1977</v>
      </c>
      <c r="B131" s="35"/>
      <c r="C131" s="34"/>
      <c r="D131" s="34"/>
      <c r="E131" s="21"/>
      <c r="F131" s="34"/>
      <c r="G131" s="34"/>
      <c r="H131" s="34"/>
      <c r="I131" s="34"/>
      <c r="J131" s="21"/>
      <c r="K131" s="34"/>
      <c r="L131" s="34"/>
      <c r="M131" s="34"/>
      <c r="N131" s="21"/>
      <c r="O131" s="21"/>
      <c r="P131" s="21"/>
      <c r="Q131" s="34"/>
      <c r="R131" s="34"/>
      <c r="S131" s="33" t="str">
        <f aca="false">IF(OR(B131="",L131=""),"",INDEX(Lists!$AB$4:$AB$8,MATCH(L131,Lists!$AA$4:$AA$8,0)))</f>
        <v/>
      </c>
      <c r="T131" s="43" t="str">
        <f aca="false">IF(OR(S131="",ISERROR(S131)),"",B131+S131)</f>
        <v/>
      </c>
      <c r="U131" s="34"/>
      <c r="V131" s="35"/>
      <c r="W131" s="33" t="str">
        <f aca="true">IF(B131="","",IF(V131&lt;&gt;"",V131-B131,TODAY()-B131))</f>
        <v/>
      </c>
      <c r="X131" s="38" t="str">
        <f aca="true">IF(OR(B131="",T131="",U131="False Positive",U131="Risk Accepted"),"",IF(V131&lt;&gt;"",IF(V131&gt;T131,"Closed Late","Met"),IF(TODAY()&gt;T131,"SLA BREACH",IF(T131-TODAY()&lt;=7,"Due ≤7d","Within SLA"))))</f>
        <v/>
      </c>
      <c r="Y131" s="34"/>
      <c r="Z131" s="34"/>
      <c r="AA131" s="21"/>
    </row>
    <row r="132" customFormat="false" ht="15" hidden="false" customHeight="false" outlineLevel="0" collapsed="false">
      <c r="A132" s="6" t="s">
        <v>1978</v>
      </c>
      <c r="B132" s="35"/>
      <c r="C132" s="34"/>
      <c r="D132" s="34"/>
      <c r="E132" s="21"/>
      <c r="F132" s="34"/>
      <c r="G132" s="34"/>
      <c r="H132" s="34"/>
      <c r="I132" s="34"/>
      <c r="J132" s="21"/>
      <c r="K132" s="34"/>
      <c r="L132" s="34"/>
      <c r="M132" s="34"/>
      <c r="N132" s="21"/>
      <c r="O132" s="21"/>
      <c r="P132" s="21"/>
      <c r="Q132" s="34"/>
      <c r="R132" s="34"/>
      <c r="S132" s="33" t="str">
        <f aca="false">IF(OR(B132="",L132=""),"",INDEX(Lists!$AB$4:$AB$8,MATCH(L132,Lists!$AA$4:$AA$8,0)))</f>
        <v/>
      </c>
      <c r="T132" s="43" t="str">
        <f aca="false">IF(OR(S132="",ISERROR(S132)),"",B132+S132)</f>
        <v/>
      </c>
      <c r="U132" s="34"/>
      <c r="V132" s="35"/>
      <c r="W132" s="33" t="str">
        <f aca="true">IF(B132="","",IF(V132&lt;&gt;"",V132-B132,TODAY()-B132))</f>
        <v/>
      </c>
      <c r="X132" s="38" t="str">
        <f aca="true">IF(OR(B132="",T132="",U132="False Positive",U132="Risk Accepted"),"",IF(V132&lt;&gt;"",IF(V132&gt;T132,"Closed Late","Met"),IF(TODAY()&gt;T132,"SLA BREACH",IF(T132-TODAY()&lt;=7,"Due ≤7d","Within SLA"))))</f>
        <v/>
      </c>
      <c r="Y132" s="34"/>
      <c r="Z132" s="34"/>
      <c r="AA132" s="21"/>
    </row>
    <row r="133" customFormat="false" ht="15" hidden="false" customHeight="false" outlineLevel="0" collapsed="false">
      <c r="A133" s="6" t="s">
        <v>1979</v>
      </c>
      <c r="B133" s="35"/>
      <c r="C133" s="34"/>
      <c r="D133" s="34"/>
      <c r="E133" s="21"/>
      <c r="F133" s="34"/>
      <c r="G133" s="34"/>
      <c r="H133" s="34"/>
      <c r="I133" s="34"/>
      <c r="J133" s="21"/>
      <c r="K133" s="34"/>
      <c r="L133" s="34"/>
      <c r="M133" s="34"/>
      <c r="N133" s="21"/>
      <c r="O133" s="21"/>
      <c r="P133" s="21"/>
      <c r="Q133" s="34"/>
      <c r="R133" s="34"/>
      <c r="S133" s="33" t="str">
        <f aca="false">IF(OR(B133="",L133=""),"",INDEX(Lists!$AB$4:$AB$8,MATCH(L133,Lists!$AA$4:$AA$8,0)))</f>
        <v/>
      </c>
      <c r="T133" s="43" t="str">
        <f aca="false">IF(OR(S133="",ISERROR(S133)),"",B133+S133)</f>
        <v/>
      </c>
      <c r="U133" s="34"/>
      <c r="V133" s="35"/>
      <c r="W133" s="33" t="str">
        <f aca="true">IF(B133="","",IF(V133&lt;&gt;"",V133-B133,TODAY()-B133))</f>
        <v/>
      </c>
      <c r="X133" s="38" t="str">
        <f aca="true">IF(OR(B133="",T133="",U133="False Positive",U133="Risk Accepted"),"",IF(V133&lt;&gt;"",IF(V133&gt;T133,"Closed Late","Met"),IF(TODAY()&gt;T133,"SLA BREACH",IF(T133-TODAY()&lt;=7,"Due ≤7d","Within SLA"))))</f>
        <v/>
      </c>
      <c r="Y133" s="34"/>
      <c r="Z133" s="34"/>
      <c r="AA133" s="21"/>
    </row>
    <row r="134" customFormat="false" ht="15" hidden="false" customHeight="false" outlineLevel="0" collapsed="false">
      <c r="A134" s="6" t="s">
        <v>1980</v>
      </c>
      <c r="B134" s="35"/>
      <c r="C134" s="34"/>
      <c r="D134" s="34"/>
      <c r="E134" s="21"/>
      <c r="F134" s="34"/>
      <c r="G134" s="34"/>
      <c r="H134" s="34"/>
      <c r="I134" s="34"/>
      <c r="J134" s="21"/>
      <c r="K134" s="34"/>
      <c r="L134" s="34"/>
      <c r="M134" s="34"/>
      <c r="N134" s="21"/>
      <c r="O134" s="21"/>
      <c r="P134" s="21"/>
      <c r="Q134" s="34"/>
      <c r="R134" s="34"/>
      <c r="S134" s="33" t="str">
        <f aca="false">IF(OR(B134="",L134=""),"",INDEX(Lists!$AB$4:$AB$8,MATCH(L134,Lists!$AA$4:$AA$8,0)))</f>
        <v/>
      </c>
      <c r="T134" s="43" t="str">
        <f aca="false">IF(OR(S134="",ISERROR(S134)),"",B134+S134)</f>
        <v/>
      </c>
      <c r="U134" s="34"/>
      <c r="V134" s="35"/>
      <c r="W134" s="33" t="str">
        <f aca="true">IF(B134="","",IF(V134&lt;&gt;"",V134-B134,TODAY()-B134))</f>
        <v/>
      </c>
      <c r="X134" s="38" t="str">
        <f aca="true">IF(OR(B134="",T134="",U134="False Positive",U134="Risk Accepted"),"",IF(V134&lt;&gt;"",IF(V134&gt;T134,"Closed Late","Met"),IF(TODAY()&gt;T134,"SLA BREACH",IF(T134-TODAY()&lt;=7,"Due ≤7d","Within SLA"))))</f>
        <v/>
      </c>
      <c r="Y134" s="34"/>
      <c r="Z134" s="34"/>
      <c r="AA134" s="21"/>
    </row>
    <row r="135" customFormat="false" ht="15" hidden="false" customHeight="false" outlineLevel="0" collapsed="false">
      <c r="A135" s="6" t="s">
        <v>1981</v>
      </c>
      <c r="B135" s="35"/>
      <c r="C135" s="34"/>
      <c r="D135" s="34"/>
      <c r="E135" s="21"/>
      <c r="F135" s="34"/>
      <c r="G135" s="34"/>
      <c r="H135" s="34"/>
      <c r="I135" s="34"/>
      <c r="J135" s="21"/>
      <c r="K135" s="34"/>
      <c r="L135" s="34"/>
      <c r="M135" s="34"/>
      <c r="N135" s="21"/>
      <c r="O135" s="21"/>
      <c r="P135" s="21"/>
      <c r="Q135" s="34"/>
      <c r="R135" s="34"/>
      <c r="S135" s="33" t="str">
        <f aca="false">IF(OR(B135="",L135=""),"",INDEX(Lists!$AB$4:$AB$8,MATCH(L135,Lists!$AA$4:$AA$8,0)))</f>
        <v/>
      </c>
      <c r="T135" s="43" t="str">
        <f aca="false">IF(OR(S135="",ISERROR(S135)),"",B135+S135)</f>
        <v/>
      </c>
      <c r="U135" s="34"/>
      <c r="V135" s="35"/>
      <c r="W135" s="33" t="str">
        <f aca="true">IF(B135="","",IF(V135&lt;&gt;"",V135-B135,TODAY()-B135))</f>
        <v/>
      </c>
      <c r="X135" s="38" t="str">
        <f aca="true">IF(OR(B135="",T135="",U135="False Positive",U135="Risk Accepted"),"",IF(V135&lt;&gt;"",IF(V135&gt;T135,"Closed Late","Met"),IF(TODAY()&gt;T135,"SLA BREACH",IF(T135-TODAY()&lt;=7,"Due ≤7d","Within SLA"))))</f>
        <v/>
      </c>
      <c r="Y135" s="34"/>
      <c r="Z135" s="34"/>
      <c r="AA135" s="21"/>
    </row>
    <row r="136" customFormat="false" ht="15" hidden="false" customHeight="false" outlineLevel="0" collapsed="false">
      <c r="A136" s="6" t="s">
        <v>1982</v>
      </c>
      <c r="B136" s="35"/>
      <c r="C136" s="34"/>
      <c r="D136" s="34"/>
      <c r="E136" s="21"/>
      <c r="F136" s="34"/>
      <c r="G136" s="34"/>
      <c r="H136" s="34"/>
      <c r="I136" s="34"/>
      <c r="J136" s="21"/>
      <c r="K136" s="34"/>
      <c r="L136" s="34"/>
      <c r="M136" s="34"/>
      <c r="N136" s="21"/>
      <c r="O136" s="21"/>
      <c r="P136" s="21"/>
      <c r="Q136" s="34"/>
      <c r="R136" s="34"/>
      <c r="S136" s="33" t="str">
        <f aca="false">IF(OR(B136="",L136=""),"",INDEX(Lists!$AB$4:$AB$8,MATCH(L136,Lists!$AA$4:$AA$8,0)))</f>
        <v/>
      </c>
      <c r="T136" s="43" t="str">
        <f aca="false">IF(OR(S136="",ISERROR(S136)),"",B136+S136)</f>
        <v/>
      </c>
      <c r="U136" s="34"/>
      <c r="V136" s="35"/>
      <c r="W136" s="33" t="str">
        <f aca="true">IF(B136="","",IF(V136&lt;&gt;"",V136-B136,TODAY()-B136))</f>
        <v/>
      </c>
      <c r="X136" s="38" t="str">
        <f aca="true">IF(OR(B136="",T136="",U136="False Positive",U136="Risk Accepted"),"",IF(V136&lt;&gt;"",IF(V136&gt;T136,"Closed Late","Met"),IF(TODAY()&gt;T136,"SLA BREACH",IF(T136-TODAY()&lt;=7,"Due ≤7d","Within SLA"))))</f>
        <v/>
      </c>
      <c r="Y136" s="34"/>
      <c r="Z136" s="34"/>
      <c r="AA136" s="21"/>
    </row>
    <row r="137" customFormat="false" ht="15" hidden="false" customHeight="false" outlineLevel="0" collapsed="false">
      <c r="A137" s="6" t="s">
        <v>1983</v>
      </c>
      <c r="B137" s="35"/>
      <c r="C137" s="34"/>
      <c r="D137" s="34"/>
      <c r="E137" s="21"/>
      <c r="F137" s="34"/>
      <c r="G137" s="34"/>
      <c r="H137" s="34"/>
      <c r="I137" s="34"/>
      <c r="J137" s="21"/>
      <c r="K137" s="34"/>
      <c r="L137" s="34"/>
      <c r="M137" s="34"/>
      <c r="N137" s="21"/>
      <c r="O137" s="21"/>
      <c r="P137" s="21"/>
      <c r="Q137" s="34"/>
      <c r="R137" s="34"/>
      <c r="S137" s="33" t="str">
        <f aca="false">IF(OR(B137="",L137=""),"",INDEX(Lists!$AB$4:$AB$8,MATCH(L137,Lists!$AA$4:$AA$8,0)))</f>
        <v/>
      </c>
      <c r="T137" s="43" t="str">
        <f aca="false">IF(OR(S137="",ISERROR(S137)),"",B137+S137)</f>
        <v/>
      </c>
      <c r="U137" s="34"/>
      <c r="V137" s="35"/>
      <c r="W137" s="33" t="str">
        <f aca="true">IF(B137="","",IF(V137&lt;&gt;"",V137-B137,TODAY()-B137))</f>
        <v/>
      </c>
      <c r="X137" s="38" t="str">
        <f aca="true">IF(OR(B137="",T137="",U137="False Positive",U137="Risk Accepted"),"",IF(V137&lt;&gt;"",IF(V137&gt;T137,"Closed Late","Met"),IF(TODAY()&gt;T137,"SLA BREACH",IF(T137-TODAY()&lt;=7,"Due ≤7d","Within SLA"))))</f>
        <v/>
      </c>
      <c r="Y137" s="34"/>
      <c r="Z137" s="34"/>
      <c r="AA137" s="21"/>
    </row>
    <row r="138" customFormat="false" ht="15" hidden="false" customHeight="false" outlineLevel="0" collapsed="false">
      <c r="A138" s="6" t="s">
        <v>1984</v>
      </c>
      <c r="B138" s="35"/>
      <c r="C138" s="34"/>
      <c r="D138" s="34"/>
      <c r="E138" s="21"/>
      <c r="F138" s="34"/>
      <c r="G138" s="34"/>
      <c r="H138" s="34"/>
      <c r="I138" s="34"/>
      <c r="J138" s="21"/>
      <c r="K138" s="34"/>
      <c r="L138" s="34"/>
      <c r="M138" s="34"/>
      <c r="N138" s="21"/>
      <c r="O138" s="21"/>
      <c r="P138" s="21"/>
      <c r="Q138" s="34"/>
      <c r="R138" s="34"/>
      <c r="S138" s="33" t="str">
        <f aca="false">IF(OR(B138="",L138=""),"",INDEX(Lists!$AB$4:$AB$8,MATCH(L138,Lists!$AA$4:$AA$8,0)))</f>
        <v/>
      </c>
      <c r="T138" s="43" t="str">
        <f aca="false">IF(OR(S138="",ISERROR(S138)),"",B138+S138)</f>
        <v/>
      </c>
      <c r="U138" s="34"/>
      <c r="V138" s="35"/>
      <c r="W138" s="33" t="str">
        <f aca="true">IF(B138="","",IF(V138&lt;&gt;"",V138-B138,TODAY()-B138))</f>
        <v/>
      </c>
      <c r="X138" s="38" t="str">
        <f aca="true">IF(OR(B138="",T138="",U138="False Positive",U138="Risk Accepted"),"",IF(V138&lt;&gt;"",IF(V138&gt;T138,"Closed Late","Met"),IF(TODAY()&gt;T138,"SLA BREACH",IF(T138-TODAY()&lt;=7,"Due ≤7d","Within SLA"))))</f>
        <v/>
      </c>
      <c r="Y138" s="34"/>
      <c r="Z138" s="34"/>
      <c r="AA138" s="21"/>
    </row>
    <row r="139" customFormat="false" ht="15" hidden="false" customHeight="false" outlineLevel="0" collapsed="false">
      <c r="A139" s="6" t="s">
        <v>1985</v>
      </c>
      <c r="B139" s="35"/>
      <c r="C139" s="34"/>
      <c r="D139" s="34"/>
      <c r="E139" s="21"/>
      <c r="F139" s="34"/>
      <c r="G139" s="34"/>
      <c r="H139" s="34"/>
      <c r="I139" s="34"/>
      <c r="J139" s="21"/>
      <c r="K139" s="34"/>
      <c r="L139" s="34"/>
      <c r="M139" s="34"/>
      <c r="N139" s="21"/>
      <c r="O139" s="21"/>
      <c r="P139" s="21"/>
      <c r="Q139" s="34"/>
      <c r="R139" s="34"/>
      <c r="S139" s="33" t="str">
        <f aca="false">IF(OR(B139="",L139=""),"",INDEX(Lists!$AB$4:$AB$8,MATCH(L139,Lists!$AA$4:$AA$8,0)))</f>
        <v/>
      </c>
      <c r="T139" s="43" t="str">
        <f aca="false">IF(OR(S139="",ISERROR(S139)),"",B139+S139)</f>
        <v/>
      </c>
      <c r="U139" s="34"/>
      <c r="V139" s="35"/>
      <c r="W139" s="33" t="str">
        <f aca="true">IF(B139="","",IF(V139&lt;&gt;"",V139-B139,TODAY()-B139))</f>
        <v/>
      </c>
      <c r="X139" s="38" t="str">
        <f aca="true">IF(OR(B139="",T139="",U139="False Positive",U139="Risk Accepted"),"",IF(V139&lt;&gt;"",IF(V139&gt;T139,"Closed Late","Met"),IF(TODAY()&gt;T139,"SLA BREACH",IF(T139-TODAY()&lt;=7,"Due ≤7d","Within SLA"))))</f>
        <v/>
      </c>
      <c r="Y139" s="34"/>
      <c r="Z139" s="34"/>
      <c r="AA139" s="21"/>
    </row>
    <row r="140" customFormat="false" ht="15" hidden="false" customHeight="false" outlineLevel="0" collapsed="false">
      <c r="A140" s="6" t="s">
        <v>1986</v>
      </c>
      <c r="B140" s="35"/>
      <c r="C140" s="34"/>
      <c r="D140" s="34"/>
      <c r="E140" s="21"/>
      <c r="F140" s="34"/>
      <c r="G140" s="34"/>
      <c r="H140" s="34"/>
      <c r="I140" s="34"/>
      <c r="J140" s="21"/>
      <c r="K140" s="34"/>
      <c r="L140" s="34"/>
      <c r="M140" s="34"/>
      <c r="N140" s="21"/>
      <c r="O140" s="21"/>
      <c r="P140" s="21"/>
      <c r="Q140" s="34"/>
      <c r="R140" s="34"/>
      <c r="S140" s="33" t="str">
        <f aca="false">IF(OR(B140="",L140=""),"",INDEX(Lists!$AB$4:$AB$8,MATCH(L140,Lists!$AA$4:$AA$8,0)))</f>
        <v/>
      </c>
      <c r="T140" s="43" t="str">
        <f aca="false">IF(OR(S140="",ISERROR(S140)),"",B140+S140)</f>
        <v/>
      </c>
      <c r="U140" s="34"/>
      <c r="V140" s="35"/>
      <c r="W140" s="33" t="str">
        <f aca="true">IF(B140="","",IF(V140&lt;&gt;"",V140-B140,TODAY()-B140))</f>
        <v/>
      </c>
      <c r="X140" s="38" t="str">
        <f aca="true">IF(OR(B140="",T140="",U140="False Positive",U140="Risk Accepted"),"",IF(V140&lt;&gt;"",IF(V140&gt;T140,"Closed Late","Met"),IF(TODAY()&gt;T140,"SLA BREACH",IF(T140-TODAY()&lt;=7,"Due ≤7d","Within SLA"))))</f>
        <v/>
      </c>
      <c r="Y140" s="34"/>
      <c r="Z140" s="34"/>
      <c r="AA140" s="21"/>
    </row>
    <row r="141" customFormat="false" ht="15" hidden="false" customHeight="false" outlineLevel="0" collapsed="false">
      <c r="A141" s="6" t="s">
        <v>1987</v>
      </c>
      <c r="B141" s="35"/>
      <c r="C141" s="34"/>
      <c r="D141" s="34"/>
      <c r="E141" s="21"/>
      <c r="F141" s="34"/>
      <c r="G141" s="34"/>
      <c r="H141" s="34"/>
      <c r="I141" s="34"/>
      <c r="J141" s="21"/>
      <c r="K141" s="34"/>
      <c r="L141" s="34"/>
      <c r="M141" s="34"/>
      <c r="N141" s="21"/>
      <c r="O141" s="21"/>
      <c r="P141" s="21"/>
      <c r="Q141" s="34"/>
      <c r="R141" s="34"/>
      <c r="S141" s="33" t="str">
        <f aca="false">IF(OR(B141="",L141=""),"",INDEX(Lists!$AB$4:$AB$8,MATCH(L141,Lists!$AA$4:$AA$8,0)))</f>
        <v/>
      </c>
      <c r="T141" s="43" t="str">
        <f aca="false">IF(OR(S141="",ISERROR(S141)),"",B141+S141)</f>
        <v/>
      </c>
      <c r="U141" s="34"/>
      <c r="V141" s="35"/>
      <c r="W141" s="33" t="str">
        <f aca="true">IF(B141="","",IF(V141&lt;&gt;"",V141-B141,TODAY()-B141))</f>
        <v/>
      </c>
      <c r="X141" s="38" t="str">
        <f aca="true">IF(OR(B141="",T141="",U141="False Positive",U141="Risk Accepted"),"",IF(V141&lt;&gt;"",IF(V141&gt;T141,"Closed Late","Met"),IF(TODAY()&gt;T141,"SLA BREACH",IF(T141-TODAY()&lt;=7,"Due ≤7d","Within SLA"))))</f>
        <v/>
      </c>
      <c r="Y141" s="34"/>
      <c r="Z141" s="34"/>
      <c r="AA141" s="21"/>
    </row>
    <row r="142" customFormat="false" ht="15" hidden="false" customHeight="false" outlineLevel="0" collapsed="false">
      <c r="A142" s="6" t="s">
        <v>1988</v>
      </c>
      <c r="B142" s="35"/>
      <c r="C142" s="34"/>
      <c r="D142" s="34"/>
      <c r="E142" s="21"/>
      <c r="F142" s="34"/>
      <c r="G142" s="34"/>
      <c r="H142" s="34"/>
      <c r="I142" s="34"/>
      <c r="J142" s="21"/>
      <c r="K142" s="34"/>
      <c r="L142" s="34"/>
      <c r="M142" s="34"/>
      <c r="N142" s="21"/>
      <c r="O142" s="21"/>
      <c r="P142" s="21"/>
      <c r="Q142" s="34"/>
      <c r="R142" s="34"/>
      <c r="S142" s="33" t="str">
        <f aca="false">IF(OR(B142="",L142=""),"",INDEX(Lists!$AB$4:$AB$8,MATCH(L142,Lists!$AA$4:$AA$8,0)))</f>
        <v/>
      </c>
      <c r="T142" s="43" t="str">
        <f aca="false">IF(OR(S142="",ISERROR(S142)),"",B142+S142)</f>
        <v/>
      </c>
      <c r="U142" s="34"/>
      <c r="V142" s="35"/>
      <c r="W142" s="33" t="str">
        <f aca="true">IF(B142="","",IF(V142&lt;&gt;"",V142-B142,TODAY()-B142))</f>
        <v/>
      </c>
      <c r="X142" s="38" t="str">
        <f aca="true">IF(OR(B142="",T142="",U142="False Positive",U142="Risk Accepted"),"",IF(V142&lt;&gt;"",IF(V142&gt;T142,"Closed Late","Met"),IF(TODAY()&gt;T142,"SLA BREACH",IF(T142-TODAY()&lt;=7,"Due ≤7d","Within SLA"))))</f>
        <v/>
      </c>
      <c r="Y142" s="34"/>
      <c r="Z142" s="34"/>
      <c r="AA142" s="21"/>
    </row>
    <row r="143" customFormat="false" ht="15" hidden="false" customHeight="false" outlineLevel="0" collapsed="false">
      <c r="A143" s="6" t="s">
        <v>1989</v>
      </c>
      <c r="B143" s="35"/>
      <c r="C143" s="34"/>
      <c r="D143" s="34"/>
      <c r="E143" s="21"/>
      <c r="F143" s="34"/>
      <c r="G143" s="34"/>
      <c r="H143" s="34"/>
      <c r="I143" s="34"/>
      <c r="J143" s="21"/>
      <c r="K143" s="34"/>
      <c r="L143" s="34"/>
      <c r="M143" s="34"/>
      <c r="N143" s="21"/>
      <c r="O143" s="21"/>
      <c r="P143" s="21"/>
      <c r="Q143" s="34"/>
      <c r="R143" s="34"/>
      <c r="S143" s="33" t="str">
        <f aca="false">IF(OR(B143="",L143=""),"",INDEX(Lists!$AB$4:$AB$8,MATCH(L143,Lists!$AA$4:$AA$8,0)))</f>
        <v/>
      </c>
      <c r="T143" s="43" t="str">
        <f aca="false">IF(OR(S143="",ISERROR(S143)),"",B143+S143)</f>
        <v/>
      </c>
      <c r="U143" s="34"/>
      <c r="V143" s="35"/>
      <c r="W143" s="33" t="str">
        <f aca="true">IF(B143="","",IF(V143&lt;&gt;"",V143-B143,TODAY()-B143))</f>
        <v/>
      </c>
      <c r="X143" s="38" t="str">
        <f aca="true">IF(OR(B143="",T143="",U143="False Positive",U143="Risk Accepted"),"",IF(V143&lt;&gt;"",IF(V143&gt;T143,"Closed Late","Met"),IF(TODAY()&gt;T143,"SLA BREACH",IF(T143-TODAY()&lt;=7,"Due ≤7d","Within SLA"))))</f>
        <v/>
      </c>
      <c r="Y143" s="34"/>
      <c r="Z143" s="34"/>
      <c r="AA143" s="21"/>
    </row>
    <row r="144" customFormat="false" ht="15" hidden="false" customHeight="false" outlineLevel="0" collapsed="false">
      <c r="A144" s="6" t="s">
        <v>1990</v>
      </c>
      <c r="B144" s="35"/>
      <c r="C144" s="34"/>
      <c r="D144" s="34"/>
      <c r="E144" s="21"/>
      <c r="F144" s="34"/>
      <c r="G144" s="34"/>
      <c r="H144" s="34"/>
      <c r="I144" s="34"/>
      <c r="J144" s="21"/>
      <c r="K144" s="34"/>
      <c r="L144" s="34"/>
      <c r="M144" s="34"/>
      <c r="N144" s="21"/>
      <c r="O144" s="21"/>
      <c r="P144" s="21"/>
      <c r="Q144" s="34"/>
      <c r="R144" s="34"/>
      <c r="S144" s="33" t="str">
        <f aca="false">IF(OR(B144="",L144=""),"",INDEX(Lists!$AB$4:$AB$8,MATCH(L144,Lists!$AA$4:$AA$8,0)))</f>
        <v/>
      </c>
      <c r="T144" s="43" t="str">
        <f aca="false">IF(OR(S144="",ISERROR(S144)),"",B144+S144)</f>
        <v/>
      </c>
      <c r="U144" s="34"/>
      <c r="V144" s="35"/>
      <c r="W144" s="33" t="str">
        <f aca="true">IF(B144="","",IF(V144&lt;&gt;"",V144-B144,TODAY()-B144))</f>
        <v/>
      </c>
      <c r="X144" s="38" t="str">
        <f aca="true">IF(OR(B144="",T144="",U144="False Positive",U144="Risk Accepted"),"",IF(V144&lt;&gt;"",IF(V144&gt;T144,"Closed Late","Met"),IF(TODAY()&gt;T144,"SLA BREACH",IF(T144-TODAY()&lt;=7,"Due ≤7d","Within SLA"))))</f>
        <v/>
      </c>
      <c r="Y144" s="34"/>
      <c r="Z144" s="34"/>
      <c r="AA144" s="21"/>
    </row>
    <row r="145" customFormat="false" ht="15" hidden="false" customHeight="false" outlineLevel="0" collapsed="false">
      <c r="A145" s="6" t="s">
        <v>1991</v>
      </c>
      <c r="B145" s="35"/>
      <c r="C145" s="34"/>
      <c r="D145" s="34"/>
      <c r="E145" s="21"/>
      <c r="F145" s="34"/>
      <c r="G145" s="34"/>
      <c r="H145" s="34"/>
      <c r="I145" s="34"/>
      <c r="J145" s="21"/>
      <c r="K145" s="34"/>
      <c r="L145" s="34"/>
      <c r="M145" s="34"/>
      <c r="N145" s="21"/>
      <c r="O145" s="21"/>
      <c r="P145" s="21"/>
      <c r="Q145" s="34"/>
      <c r="R145" s="34"/>
      <c r="S145" s="33" t="str">
        <f aca="false">IF(OR(B145="",L145=""),"",INDEX(Lists!$AB$4:$AB$8,MATCH(L145,Lists!$AA$4:$AA$8,0)))</f>
        <v/>
      </c>
      <c r="T145" s="43" t="str">
        <f aca="false">IF(OR(S145="",ISERROR(S145)),"",B145+S145)</f>
        <v/>
      </c>
      <c r="U145" s="34"/>
      <c r="V145" s="35"/>
      <c r="W145" s="33" t="str">
        <f aca="true">IF(B145="","",IF(V145&lt;&gt;"",V145-B145,TODAY()-B145))</f>
        <v/>
      </c>
      <c r="X145" s="38" t="str">
        <f aca="true">IF(OR(B145="",T145="",U145="False Positive",U145="Risk Accepted"),"",IF(V145&lt;&gt;"",IF(V145&gt;T145,"Closed Late","Met"),IF(TODAY()&gt;T145,"SLA BREACH",IF(T145-TODAY()&lt;=7,"Due ≤7d","Within SLA"))))</f>
        <v/>
      </c>
      <c r="Y145" s="34"/>
      <c r="Z145" s="34"/>
      <c r="AA145" s="21"/>
    </row>
    <row r="146" customFormat="false" ht="15" hidden="false" customHeight="false" outlineLevel="0" collapsed="false">
      <c r="A146" s="6" t="s">
        <v>1992</v>
      </c>
      <c r="B146" s="35"/>
      <c r="C146" s="34"/>
      <c r="D146" s="34"/>
      <c r="E146" s="21"/>
      <c r="F146" s="34"/>
      <c r="G146" s="34"/>
      <c r="H146" s="34"/>
      <c r="I146" s="34"/>
      <c r="J146" s="21"/>
      <c r="K146" s="34"/>
      <c r="L146" s="34"/>
      <c r="M146" s="34"/>
      <c r="N146" s="21"/>
      <c r="O146" s="21"/>
      <c r="P146" s="21"/>
      <c r="Q146" s="34"/>
      <c r="R146" s="34"/>
      <c r="S146" s="33" t="str">
        <f aca="false">IF(OR(B146="",L146=""),"",INDEX(Lists!$AB$4:$AB$8,MATCH(L146,Lists!$AA$4:$AA$8,0)))</f>
        <v/>
      </c>
      <c r="T146" s="43" t="str">
        <f aca="false">IF(OR(S146="",ISERROR(S146)),"",B146+S146)</f>
        <v/>
      </c>
      <c r="U146" s="34"/>
      <c r="V146" s="35"/>
      <c r="W146" s="33" t="str">
        <f aca="true">IF(B146="","",IF(V146&lt;&gt;"",V146-B146,TODAY()-B146))</f>
        <v/>
      </c>
      <c r="X146" s="38" t="str">
        <f aca="true">IF(OR(B146="",T146="",U146="False Positive",U146="Risk Accepted"),"",IF(V146&lt;&gt;"",IF(V146&gt;T146,"Closed Late","Met"),IF(TODAY()&gt;T146,"SLA BREACH",IF(T146-TODAY()&lt;=7,"Due ≤7d","Within SLA"))))</f>
        <v/>
      </c>
      <c r="Y146" s="34"/>
      <c r="Z146" s="34"/>
      <c r="AA146" s="21"/>
    </row>
    <row r="147" customFormat="false" ht="15" hidden="false" customHeight="false" outlineLevel="0" collapsed="false">
      <c r="A147" s="6" t="s">
        <v>1993</v>
      </c>
      <c r="B147" s="35"/>
      <c r="C147" s="34"/>
      <c r="D147" s="34"/>
      <c r="E147" s="21"/>
      <c r="F147" s="34"/>
      <c r="G147" s="34"/>
      <c r="H147" s="34"/>
      <c r="I147" s="34"/>
      <c r="J147" s="21"/>
      <c r="K147" s="34"/>
      <c r="L147" s="34"/>
      <c r="M147" s="34"/>
      <c r="N147" s="21"/>
      <c r="O147" s="21"/>
      <c r="P147" s="21"/>
      <c r="Q147" s="34"/>
      <c r="R147" s="34"/>
      <c r="S147" s="33" t="str">
        <f aca="false">IF(OR(B147="",L147=""),"",INDEX(Lists!$AB$4:$AB$8,MATCH(L147,Lists!$AA$4:$AA$8,0)))</f>
        <v/>
      </c>
      <c r="T147" s="43" t="str">
        <f aca="false">IF(OR(S147="",ISERROR(S147)),"",B147+S147)</f>
        <v/>
      </c>
      <c r="U147" s="34"/>
      <c r="V147" s="35"/>
      <c r="W147" s="33" t="str">
        <f aca="true">IF(B147="","",IF(V147&lt;&gt;"",V147-B147,TODAY()-B147))</f>
        <v/>
      </c>
      <c r="X147" s="38" t="str">
        <f aca="true">IF(OR(B147="",T147="",U147="False Positive",U147="Risk Accepted"),"",IF(V147&lt;&gt;"",IF(V147&gt;T147,"Closed Late","Met"),IF(TODAY()&gt;T147,"SLA BREACH",IF(T147-TODAY()&lt;=7,"Due ≤7d","Within SLA"))))</f>
        <v/>
      </c>
      <c r="Y147" s="34"/>
      <c r="Z147" s="34"/>
      <c r="AA147" s="21"/>
    </row>
    <row r="148" customFormat="false" ht="15" hidden="false" customHeight="false" outlineLevel="0" collapsed="false">
      <c r="A148" s="6" t="s">
        <v>1994</v>
      </c>
      <c r="B148" s="35"/>
      <c r="C148" s="34"/>
      <c r="D148" s="34"/>
      <c r="E148" s="21"/>
      <c r="F148" s="34"/>
      <c r="G148" s="34"/>
      <c r="H148" s="34"/>
      <c r="I148" s="34"/>
      <c r="J148" s="21"/>
      <c r="K148" s="34"/>
      <c r="L148" s="34"/>
      <c r="M148" s="34"/>
      <c r="N148" s="21"/>
      <c r="O148" s="21"/>
      <c r="P148" s="21"/>
      <c r="Q148" s="34"/>
      <c r="R148" s="34"/>
      <c r="S148" s="33" t="str">
        <f aca="false">IF(OR(B148="",L148=""),"",INDEX(Lists!$AB$4:$AB$8,MATCH(L148,Lists!$AA$4:$AA$8,0)))</f>
        <v/>
      </c>
      <c r="T148" s="43" t="str">
        <f aca="false">IF(OR(S148="",ISERROR(S148)),"",B148+S148)</f>
        <v/>
      </c>
      <c r="U148" s="34"/>
      <c r="V148" s="35"/>
      <c r="W148" s="33" t="str">
        <f aca="true">IF(B148="","",IF(V148&lt;&gt;"",V148-B148,TODAY()-B148))</f>
        <v/>
      </c>
      <c r="X148" s="38" t="str">
        <f aca="true">IF(OR(B148="",T148="",U148="False Positive",U148="Risk Accepted"),"",IF(V148&lt;&gt;"",IF(V148&gt;T148,"Closed Late","Met"),IF(TODAY()&gt;T148,"SLA BREACH",IF(T148-TODAY()&lt;=7,"Due ≤7d","Within SLA"))))</f>
        <v/>
      </c>
      <c r="Y148" s="34"/>
      <c r="Z148" s="34"/>
      <c r="AA148" s="21"/>
    </row>
    <row r="149" customFormat="false" ht="15" hidden="false" customHeight="false" outlineLevel="0" collapsed="false">
      <c r="A149" s="6" t="s">
        <v>1995</v>
      </c>
      <c r="B149" s="35"/>
      <c r="C149" s="34"/>
      <c r="D149" s="34"/>
      <c r="E149" s="21"/>
      <c r="F149" s="34"/>
      <c r="G149" s="34"/>
      <c r="H149" s="34"/>
      <c r="I149" s="34"/>
      <c r="J149" s="21"/>
      <c r="K149" s="34"/>
      <c r="L149" s="34"/>
      <c r="M149" s="34"/>
      <c r="N149" s="21"/>
      <c r="O149" s="21"/>
      <c r="P149" s="21"/>
      <c r="Q149" s="34"/>
      <c r="R149" s="34"/>
      <c r="S149" s="33" t="str">
        <f aca="false">IF(OR(B149="",L149=""),"",INDEX(Lists!$AB$4:$AB$8,MATCH(L149,Lists!$AA$4:$AA$8,0)))</f>
        <v/>
      </c>
      <c r="T149" s="43" t="str">
        <f aca="false">IF(OR(S149="",ISERROR(S149)),"",B149+S149)</f>
        <v/>
      </c>
      <c r="U149" s="34"/>
      <c r="V149" s="35"/>
      <c r="W149" s="33" t="str">
        <f aca="true">IF(B149="","",IF(V149&lt;&gt;"",V149-B149,TODAY()-B149))</f>
        <v/>
      </c>
      <c r="X149" s="38" t="str">
        <f aca="true">IF(OR(B149="",T149="",U149="False Positive",U149="Risk Accepted"),"",IF(V149&lt;&gt;"",IF(V149&gt;T149,"Closed Late","Met"),IF(TODAY()&gt;T149,"SLA BREACH",IF(T149-TODAY()&lt;=7,"Due ≤7d","Within SLA"))))</f>
        <v/>
      </c>
      <c r="Y149" s="34"/>
      <c r="Z149" s="34"/>
      <c r="AA149" s="21"/>
    </row>
    <row r="150" customFormat="false" ht="15" hidden="false" customHeight="false" outlineLevel="0" collapsed="false">
      <c r="A150" s="6" t="s">
        <v>1996</v>
      </c>
      <c r="B150" s="35"/>
      <c r="C150" s="34"/>
      <c r="D150" s="34"/>
      <c r="E150" s="21"/>
      <c r="F150" s="34"/>
      <c r="G150" s="34"/>
      <c r="H150" s="34"/>
      <c r="I150" s="34"/>
      <c r="J150" s="21"/>
      <c r="K150" s="34"/>
      <c r="L150" s="34"/>
      <c r="M150" s="34"/>
      <c r="N150" s="21"/>
      <c r="O150" s="21"/>
      <c r="P150" s="21"/>
      <c r="Q150" s="34"/>
      <c r="R150" s="34"/>
      <c r="S150" s="33" t="str">
        <f aca="false">IF(OR(B150="",L150=""),"",INDEX(Lists!$AB$4:$AB$8,MATCH(L150,Lists!$AA$4:$AA$8,0)))</f>
        <v/>
      </c>
      <c r="T150" s="43" t="str">
        <f aca="false">IF(OR(S150="",ISERROR(S150)),"",B150+S150)</f>
        <v/>
      </c>
      <c r="U150" s="34"/>
      <c r="V150" s="35"/>
      <c r="W150" s="33" t="str">
        <f aca="true">IF(B150="","",IF(V150&lt;&gt;"",V150-B150,TODAY()-B150))</f>
        <v/>
      </c>
      <c r="X150" s="38" t="str">
        <f aca="true">IF(OR(B150="",T150="",U150="False Positive",U150="Risk Accepted"),"",IF(V150&lt;&gt;"",IF(V150&gt;T150,"Closed Late","Met"),IF(TODAY()&gt;T150,"SLA BREACH",IF(T150-TODAY()&lt;=7,"Due ≤7d","Within SLA"))))</f>
        <v/>
      </c>
      <c r="Y150" s="34"/>
      <c r="Z150" s="34"/>
      <c r="AA150" s="21"/>
    </row>
    <row r="151" customFormat="false" ht="15" hidden="false" customHeight="false" outlineLevel="0" collapsed="false">
      <c r="A151" s="6" t="s">
        <v>1997</v>
      </c>
      <c r="B151" s="35"/>
      <c r="C151" s="34"/>
      <c r="D151" s="34"/>
      <c r="E151" s="21"/>
      <c r="F151" s="34"/>
      <c r="G151" s="34"/>
      <c r="H151" s="34"/>
      <c r="I151" s="34"/>
      <c r="J151" s="21"/>
      <c r="K151" s="34"/>
      <c r="L151" s="34"/>
      <c r="M151" s="34"/>
      <c r="N151" s="21"/>
      <c r="O151" s="21"/>
      <c r="P151" s="21"/>
      <c r="Q151" s="34"/>
      <c r="R151" s="34"/>
      <c r="S151" s="33" t="str">
        <f aca="false">IF(OR(B151="",L151=""),"",INDEX(Lists!$AB$4:$AB$8,MATCH(L151,Lists!$AA$4:$AA$8,0)))</f>
        <v/>
      </c>
      <c r="T151" s="43" t="str">
        <f aca="false">IF(OR(S151="",ISERROR(S151)),"",B151+S151)</f>
        <v/>
      </c>
      <c r="U151" s="34"/>
      <c r="V151" s="35"/>
      <c r="W151" s="33" t="str">
        <f aca="true">IF(B151="","",IF(V151&lt;&gt;"",V151-B151,TODAY()-B151))</f>
        <v/>
      </c>
      <c r="X151" s="38" t="str">
        <f aca="true">IF(OR(B151="",T151="",U151="False Positive",U151="Risk Accepted"),"",IF(V151&lt;&gt;"",IF(V151&gt;T151,"Closed Late","Met"),IF(TODAY()&gt;T151,"SLA BREACH",IF(T151-TODAY()&lt;=7,"Due ≤7d","Within SLA"))))</f>
        <v/>
      </c>
      <c r="Y151" s="34"/>
      <c r="Z151" s="34"/>
      <c r="AA151" s="21"/>
    </row>
    <row r="152" customFormat="false" ht="15" hidden="false" customHeight="false" outlineLevel="0" collapsed="false">
      <c r="A152" s="6" t="s">
        <v>1998</v>
      </c>
      <c r="B152" s="35"/>
      <c r="C152" s="34"/>
      <c r="D152" s="34"/>
      <c r="E152" s="21"/>
      <c r="F152" s="34"/>
      <c r="G152" s="34"/>
      <c r="H152" s="34"/>
      <c r="I152" s="34"/>
      <c r="J152" s="21"/>
      <c r="K152" s="34"/>
      <c r="L152" s="34"/>
      <c r="M152" s="34"/>
      <c r="N152" s="21"/>
      <c r="O152" s="21"/>
      <c r="P152" s="21"/>
      <c r="Q152" s="34"/>
      <c r="R152" s="34"/>
      <c r="S152" s="33" t="str">
        <f aca="false">IF(OR(B152="",L152=""),"",INDEX(Lists!$AB$4:$AB$8,MATCH(L152,Lists!$AA$4:$AA$8,0)))</f>
        <v/>
      </c>
      <c r="T152" s="43" t="str">
        <f aca="false">IF(OR(S152="",ISERROR(S152)),"",B152+S152)</f>
        <v/>
      </c>
      <c r="U152" s="34"/>
      <c r="V152" s="35"/>
      <c r="W152" s="33" t="str">
        <f aca="true">IF(B152="","",IF(V152&lt;&gt;"",V152-B152,TODAY()-B152))</f>
        <v/>
      </c>
      <c r="X152" s="38" t="str">
        <f aca="true">IF(OR(B152="",T152="",U152="False Positive",U152="Risk Accepted"),"",IF(V152&lt;&gt;"",IF(V152&gt;T152,"Closed Late","Met"),IF(TODAY()&gt;T152,"SLA BREACH",IF(T152-TODAY()&lt;=7,"Due ≤7d","Within SLA"))))</f>
        <v/>
      </c>
      <c r="Y152" s="34"/>
      <c r="Z152" s="34"/>
      <c r="AA152" s="21"/>
    </row>
    <row r="153" customFormat="false" ht="15" hidden="false" customHeight="false" outlineLevel="0" collapsed="false">
      <c r="A153" s="6" t="s">
        <v>1999</v>
      </c>
      <c r="B153" s="35"/>
      <c r="C153" s="34"/>
      <c r="D153" s="34"/>
      <c r="E153" s="21"/>
      <c r="F153" s="34"/>
      <c r="G153" s="34"/>
      <c r="H153" s="34"/>
      <c r="I153" s="34"/>
      <c r="J153" s="21"/>
      <c r="K153" s="34"/>
      <c r="L153" s="34"/>
      <c r="M153" s="34"/>
      <c r="N153" s="21"/>
      <c r="O153" s="21"/>
      <c r="P153" s="21"/>
      <c r="Q153" s="34"/>
      <c r="R153" s="34"/>
      <c r="S153" s="33" t="str">
        <f aca="false">IF(OR(B153="",L153=""),"",INDEX(Lists!$AB$4:$AB$8,MATCH(L153,Lists!$AA$4:$AA$8,0)))</f>
        <v/>
      </c>
      <c r="T153" s="43" t="str">
        <f aca="false">IF(OR(S153="",ISERROR(S153)),"",B153+S153)</f>
        <v/>
      </c>
      <c r="U153" s="34"/>
      <c r="V153" s="35"/>
      <c r="W153" s="33" t="str">
        <f aca="true">IF(B153="","",IF(V153&lt;&gt;"",V153-B153,TODAY()-B153))</f>
        <v/>
      </c>
      <c r="X153" s="38" t="str">
        <f aca="true">IF(OR(B153="",T153="",U153="False Positive",U153="Risk Accepted"),"",IF(V153&lt;&gt;"",IF(V153&gt;T153,"Closed Late","Met"),IF(TODAY()&gt;T153,"SLA BREACH",IF(T153-TODAY()&lt;=7,"Due ≤7d","Within SLA"))))</f>
        <v/>
      </c>
      <c r="Y153" s="34"/>
      <c r="Z153" s="34"/>
      <c r="AA153" s="21"/>
    </row>
    <row r="154" customFormat="false" ht="15" hidden="false" customHeight="false" outlineLevel="0" collapsed="false">
      <c r="A154" s="6" t="s">
        <v>2000</v>
      </c>
      <c r="B154" s="35"/>
      <c r="C154" s="34"/>
      <c r="D154" s="34"/>
      <c r="E154" s="21"/>
      <c r="F154" s="34"/>
      <c r="G154" s="34"/>
      <c r="H154" s="34"/>
      <c r="I154" s="34"/>
      <c r="J154" s="21"/>
      <c r="K154" s="34"/>
      <c r="L154" s="34"/>
      <c r="M154" s="34"/>
      <c r="N154" s="21"/>
      <c r="O154" s="21"/>
      <c r="P154" s="21"/>
      <c r="Q154" s="34"/>
      <c r="R154" s="34"/>
      <c r="S154" s="33" t="str">
        <f aca="false">IF(OR(B154="",L154=""),"",INDEX(Lists!$AB$4:$AB$8,MATCH(L154,Lists!$AA$4:$AA$8,0)))</f>
        <v/>
      </c>
      <c r="T154" s="43" t="str">
        <f aca="false">IF(OR(S154="",ISERROR(S154)),"",B154+S154)</f>
        <v/>
      </c>
      <c r="U154" s="34"/>
      <c r="V154" s="35"/>
      <c r="W154" s="33" t="str">
        <f aca="true">IF(B154="","",IF(V154&lt;&gt;"",V154-B154,TODAY()-B154))</f>
        <v/>
      </c>
      <c r="X154" s="38" t="str">
        <f aca="true">IF(OR(B154="",T154="",U154="False Positive",U154="Risk Accepted"),"",IF(V154&lt;&gt;"",IF(V154&gt;T154,"Closed Late","Met"),IF(TODAY()&gt;T154,"SLA BREACH",IF(T154-TODAY()&lt;=7,"Due ≤7d","Within SLA"))))</f>
        <v/>
      </c>
      <c r="Y154" s="34"/>
      <c r="Z154" s="34"/>
      <c r="AA154" s="21"/>
    </row>
    <row r="155" customFormat="false" ht="15" hidden="false" customHeight="false" outlineLevel="0" collapsed="false">
      <c r="A155" s="6" t="s">
        <v>2001</v>
      </c>
      <c r="B155" s="35"/>
      <c r="C155" s="34"/>
      <c r="D155" s="34"/>
      <c r="E155" s="21"/>
      <c r="F155" s="34"/>
      <c r="G155" s="34"/>
      <c r="H155" s="34"/>
      <c r="I155" s="34"/>
      <c r="J155" s="21"/>
      <c r="K155" s="34"/>
      <c r="L155" s="34"/>
      <c r="M155" s="34"/>
      <c r="N155" s="21"/>
      <c r="O155" s="21"/>
      <c r="P155" s="21"/>
      <c r="Q155" s="34"/>
      <c r="R155" s="34"/>
      <c r="S155" s="33" t="str">
        <f aca="false">IF(OR(B155="",L155=""),"",INDEX(Lists!$AB$4:$AB$8,MATCH(L155,Lists!$AA$4:$AA$8,0)))</f>
        <v/>
      </c>
      <c r="T155" s="43" t="str">
        <f aca="false">IF(OR(S155="",ISERROR(S155)),"",B155+S155)</f>
        <v/>
      </c>
      <c r="U155" s="34"/>
      <c r="V155" s="35"/>
      <c r="W155" s="33" t="str">
        <f aca="true">IF(B155="","",IF(V155&lt;&gt;"",V155-B155,TODAY()-B155))</f>
        <v/>
      </c>
      <c r="X155" s="38" t="str">
        <f aca="true">IF(OR(B155="",T155="",U155="False Positive",U155="Risk Accepted"),"",IF(V155&lt;&gt;"",IF(V155&gt;T155,"Closed Late","Met"),IF(TODAY()&gt;T155,"SLA BREACH",IF(T155-TODAY()&lt;=7,"Due ≤7d","Within SLA"))))</f>
        <v/>
      </c>
      <c r="Y155" s="34"/>
      <c r="Z155" s="34"/>
      <c r="AA155" s="21"/>
    </row>
    <row r="156" customFormat="false" ht="15" hidden="false" customHeight="false" outlineLevel="0" collapsed="false">
      <c r="A156" s="6" t="s">
        <v>2002</v>
      </c>
      <c r="B156" s="35"/>
      <c r="C156" s="34"/>
      <c r="D156" s="34"/>
      <c r="E156" s="21"/>
      <c r="F156" s="34"/>
      <c r="G156" s="34"/>
      <c r="H156" s="34"/>
      <c r="I156" s="34"/>
      <c r="J156" s="21"/>
      <c r="K156" s="34"/>
      <c r="L156" s="34"/>
      <c r="M156" s="34"/>
      <c r="N156" s="21"/>
      <c r="O156" s="21"/>
      <c r="P156" s="21"/>
      <c r="Q156" s="34"/>
      <c r="R156" s="34"/>
      <c r="S156" s="33" t="str">
        <f aca="false">IF(OR(B156="",L156=""),"",INDEX(Lists!$AB$4:$AB$8,MATCH(L156,Lists!$AA$4:$AA$8,0)))</f>
        <v/>
      </c>
      <c r="T156" s="43" t="str">
        <f aca="false">IF(OR(S156="",ISERROR(S156)),"",B156+S156)</f>
        <v/>
      </c>
      <c r="U156" s="34"/>
      <c r="V156" s="35"/>
      <c r="W156" s="33" t="str">
        <f aca="true">IF(B156="","",IF(V156&lt;&gt;"",V156-B156,TODAY()-B156))</f>
        <v/>
      </c>
      <c r="X156" s="38" t="str">
        <f aca="true">IF(OR(B156="",T156="",U156="False Positive",U156="Risk Accepted"),"",IF(V156&lt;&gt;"",IF(V156&gt;T156,"Closed Late","Met"),IF(TODAY()&gt;T156,"SLA BREACH",IF(T156-TODAY()&lt;=7,"Due ≤7d","Within SLA"))))</f>
        <v/>
      </c>
      <c r="Y156" s="34"/>
      <c r="Z156" s="34"/>
      <c r="AA156" s="21"/>
    </row>
    <row r="157" customFormat="false" ht="15" hidden="false" customHeight="false" outlineLevel="0" collapsed="false">
      <c r="A157" s="6" t="s">
        <v>2003</v>
      </c>
      <c r="B157" s="35"/>
      <c r="C157" s="34"/>
      <c r="D157" s="34"/>
      <c r="E157" s="21"/>
      <c r="F157" s="34"/>
      <c r="G157" s="34"/>
      <c r="H157" s="34"/>
      <c r="I157" s="34"/>
      <c r="J157" s="21"/>
      <c r="K157" s="34"/>
      <c r="L157" s="34"/>
      <c r="M157" s="34"/>
      <c r="N157" s="21"/>
      <c r="O157" s="21"/>
      <c r="P157" s="21"/>
      <c r="Q157" s="34"/>
      <c r="R157" s="34"/>
      <c r="S157" s="33" t="str">
        <f aca="false">IF(OR(B157="",L157=""),"",INDEX(Lists!$AB$4:$AB$8,MATCH(L157,Lists!$AA$4:$AA$8,0)))</f>
        <v/>
      </c>
      <c r="T157" s="43" t="str">
        <f aca="false">IF(OR(S157="",ISERROR(S157)),"",B157+S157)</f>
        <v/>
      </c>
      <c r="U157" s="34"/>
      <c r="V157" s="35"/>
      <c r="W157" s="33" t="str">
        <f aca="true">IF(B157="","",IF(V157&lt;&gt;"",V157-B157,TODAY()-B157))</f>
        <v/>
      </c>
      <c r="X157" s="38" t="str">
        <f aca="true">IF(OR(B157="",T157="",U157="False Positive",U157="Risk Accepted"),"",IF(V157&lt;&gt;"",IF(V157&gt;T157,"Closed Late","Met"),IF(TODAY()&gt;T157,"SLA BREACH",IF(T157-TODAY()&lt;=7,"Due ≤7d","Within SLA"))))</f>
        <v/>
      </c>
      <c r="Y157" s="34"/>
      <c r="Z157" s="34"/>
      <c r="AA157" s="21"/>
    </row>
    <row r="158" customFormat="false" ht="15" hidden="false" customHeight="false" outlineLevel="0" collapsed="false">
      <c r="A158" s="6" t="s">
        <v>2004</v>
      </c>
      <c r="B158" s="35"/>
      <c r="C158" s="34"/>
      <c r="D158" s="34"/>
      <c r="E158" s="21"/>
      <c r="F158" s="34"/>
      <c r="G158" s="34"/>
      <c r="H158" s="34"/>
      <c r="I158" s="34"/>
      <c r="J158" s="21"/>
      <c r="K158" s="34"/>
      <c r="L158" s="34"/>
      <c r="M158" s="34"/>
      <c r="N158" s="21"/>
      <c r="O158" s="21"/>
      <c r="P158" s="21"/>
      <c r="Q158" s="34"/>
      <c r="R158" s="34"/>
      <c r="S158" s="33" t="str">
        <f aca="false">IF(OR(B158="",L158=""),"",INDEX(Lists!$AB$4:$AB$8,MATCH(L158,Lists!$AA$4:$AA$8,0)))</f>
        <v/>
      </c>
      <c r="T158" s="43" t="str">
        <f aca="false">IF(OR(S158="",ISERROR(S158)),"",B158+S158)</f>
        <v/>
      </c>
      <c r="U158" s="34"/>
      <c r="V158" s="35"/>
      <c r="W158" s="33" t="str">
        <f aca="true">IF(B158="","",IF(V158&lt;&gt;"",V158-B158,TODAY()-B158))</f>
        <v/>
      </c>
      <c r="X158" s="38" t="str">
        <f aca="true">IF(OR(B158="",T158="",U158="False Positive",U158="Risk Accepted"),"",IF(V158&lt;&gt;"",IF(V158&gt;T158,"Closed Late","Met"),IF(TODAY()&gt;T158,"SLA BREACH",IF(T158-TODAY()&lt;=7,"Due ≤7d","Within SLA"))))</f>
        <v/>
      </c>
      <c r="Y158" s="34"/>
      <c r="Z158" s="34"/>
      <c r="AA158" s="21"/>
    </row>
    <row r="159" customFormat="false" ht="15" hidden="false" customHeight="false" outlineLevel="0" collapsed="false">
      <c r="A159" s="6" t="s">
        <v>2005</v>
      </c>
      <c r="B159" s="35"/>
      <c r="C159" s="34"/>
      <c r="D159" s="34"/>
      <c r="E159" s="21"/>
      <c r="F159" s="34"/>
      <c r="G159" s="34"/>
      <c r="H159" s="34"/>
      <c r="I159" s="34"/>
      <c r="J159" s="21"/>
      <c r="K159" s="34"/>
      <c r="L159" s="34"/>
      <c r="M159" s="34"/>
      <c r="N159" s="21"/>
      <c r="O159" s="21"/>
      <c r="P159" s="21"/>
      <c r="Q159" s="34"/>
      <c r="R159" s="34"/>
      <c r="S159" s="33" t="str">
        <f aca="false">IF(OR(B159="",L159=""),"",INDEX(Lists!$AB$4:$AB$8,MATCH(L159,Lists!$AA$4:$AA$8,0)))</f>
        <v/>
      </c>
      <c r="T159" s="43" t="str">
        <f aca="false">IF(OR(S159="",ISERROR(S159)),"",B159+S159)</f>
        <v/>
      </c>
      <c r="U159" s="34"/>
      <c r="V159" s="35"/>
      <c r="W159" s="33" t="str">
        <f aca="true">IF(B159="","",IF(V159&lt;&gt;"",V159-B159,TODAY()-B159))</f>
        <v/>
      </c>
      <c r="X159" s="38" t="str">
        <f aca="true">IF(OR(B159="",T159="",U159="False Positive",U159="Risk Accepted"),"",IF(V159&lt;&gt;"",IF(V159&gt;T159,"Closed Late","Met"),IF(TODAY()&gt;T159,"SLA BREACH",IF(T159-TODAY()&lt;=7,"Due ≤7d","Within SLA"))))</f>
        <v/>
      </c>
      <c r="Y159" s="34"/>
      <c r="Z159" s="34"/>
      <c r="AA159" s="21"/>
    </row>
    <row r="160" customFormat="false" ht="15" hidden="false" customHeight="false" outlineLevel="0" collapsed="false">
      <c r="A160" s="6" t="s">
        <v>2006</v>
      </c>
      <c r="B160" s="35"/>
      <c r="C160" s="34"/>
      <c r="D160" s="34"/>
      <c r="E160" s="21"/>
      <c r="F160" s="34"/>
      <c r="G160" s="34"/>
      <c r="H160" s="34"/>
      <c r="I160" s="34"/>
      <c r="J160" s="21"/>
      <c r="K160" s="34"/>
      <c r="L160" s="34"/>
      <c r="M160" s="34"/>
      <c r="N160" s="21"/>
      <c r="O160" s="21"/>
      <c r="P160" s="21"/>
      <c r="Q160" s="34"/>
      <c r="R160" s="34"/>
      <c r="S160" s="33" t="str">
        <f aca="false">IF(OR(B160="",L160=""),"",INDEX(Lists!$AB$4:$AB$8,MATCH(L160,Lists!$AA$4:$AA$8,0)))</f>
        <v/>
      </c>
      <c r="T160" s="43" t="str">
        <f aca="false">IF(OR(S160="",ISERROR(S160)),"",B160+S160)</f>
        <v/>
      </c>
      <c r="U160" s="34"/>
      <c r="V160" s="35"/>
      <c r="W160" s="33" t="str">
        <f aca="true">IF(B160="","",IF(V160&lt;&gt;"",V160-B160,TODAY()-B160))</f>
        <v/>
      </c>
      <c r="X160" s="38" t="str">
        <f aca="true">IF(OR(B160="",T160="",U160="False Positive",U160="Risk Accepted"),"",IF(V160&lt;&gt;"",IF(V160&gt;T160,"Closed Late","Met"),IF(TODAY()&gt;T160,"SLA BREACH",IF(T160-TODAY()&lt;=7,"Due ≤7d","Within SLA"))))</f>
        <v/>
      </c>
      <c r="Y160" s="34"/>
      <c r="Z160" s="34"/>
      <c r="AA160" s="21"/>
    </row>
    <row r="161" customFormat="false" ht="15" hidden="false" customHeight="false" outlineLevel="0" collapsed="false">
      <c r="A161" s="6" t="s">
        <v>2007</v>
      </c>
      <c r="B161" s="35"/>
      <c r="C161" s="34"/>
      <c r="D161" s="34"/>
      <c r="E161" s="21"/>
      <c r="F161" s="34"/>
      <c r="G161" s="34"/>
      <c r="H161" s="34"/>
      <c r="I161" s="34"/>
      <c r="J161" s="21"/>
      <c r="K161" s="34"/>
      <c r="L161" s="34"/>
      <c r="M161" s="34"/>
      <c r="N161" s="21"/>
      <c r="O161" s="21"/>
      <c r="P161" s="21"/>
      <c r="Q161" s="34"/>
      <c r="R161" s="34"/>
      <c r="S161" s="33" t="str">
        <f aca="false">IF(OR(B161="",L161=""),"",INDEX(Lists!$AB$4:$AB$8,MATCH(L161,Lists!$AA$4:$AA$8,0)))</f>
        <v/>
      </c>
      <c r="T161" s="43" t="str">
        <f aca="false">IF(OR(S161="",ISERROR(S161)),"",B161+S161)</f>
        <v/>
      </c>
      <c r="U161" s="34"/>
      <c r="V161" s="35"/>
      <c r="W161" s="33" t="str">
        <f aca="true">IF(B161="","",IF(V161&lt;&gt;"",V161-B161,TODAY()-B161))</f>
        <v/>
      </c>
      <c r="X161" s="38" t="str">
        <f aca="true">IF(OR(B161="",T161="",U161="False Positive",U161="Risk Accepted"),"",IF(V161&lt;&gt;"",IF(V161&gt;T161,"Closed Late","Met"),IF(TODAY()&gt;T161,"SLA BREACH",IF(T161-TODAY()&lt;=7,"Due ≤7d","Within SLA"))))</f>
        <v/>
      </c>
      <c r="Y161" s="34"/>
      <c r="Z161" s="34"/>
      <c r="AA161" s="21"/>
    </row>
    <row r="162" customFormat="false" ht="15" hidden="false" customHeight="false" outlineLevel="0" collapsed="false">
      <c r="A162" s="6" t="s">
        <v>2008</v>
      </c>
      <c r="B162" s="35"/>
      <c r="C162" s="34"/>
      <c r="D162" s="34"/>
      <c r="E162" s="21"/>
      <c r="F162" s="34"/>
      <c r="G162" s="34"/>
      <c r="H162" s="34"/>
      <c r="I162" s="34"/>
      <c r="J162" s="21"/>
      <c r="K162" s="34"/>
      <c r="L162" s="34"/>
      <c r="M162" s="34"/>
      <c r="N162" s="21"/>
      <c r="O162" s="21"/>
      <c r="P162" s="21"/>
      <c r="Q162" s="34"/>
      <c r="R162" s="34"/>
      <c r="S162" s="33" t="str">
        <f aca="false">IF(OR(B162="",L162=""),"",INDEX(Lists!$AB$4:$AB$8,MATCH(L162,Lists!$AA$4:$AA$8,0)))</f>
        <v/>
      </c>
      <c r="T162" s="43" t="str">
        <f aca="false">IF(OR(S162="",ISERROR(S162)),"",B162+S162)</f>
        <v/>
      </c>
      <c r="U162" s="34"/>
      <c r="V162" s="35"/>
      <c r="W162" s="33" t="str">
        <f aca="true">IF(B162="","",IF(V162&lt;&gt;"",V162-B162,TODAY()-B162))</f>
        <v/>
      </c>
      <c r="X162" s="38" t="str">
        <f aca="true">IF(OR(B162="",T162="",U162="False Positive",U162="Risk Accepted"),"",IF(V162&lt;&gt;"",IF(V162&gt;T162,"Closed Late","Met"),IF(TODAY()&gt;T162,"SLA BREACH",IF(T162-TODAY()&lt;=7,"Due ≤7d","Within SLA"))))</f>
        <v/>
      </c>
      <c r="Y162" s="34"/>
      <c r="Z162" s="34"/>
      <c r="AA162" s="21"/>
    </row>
    <row r="163" customFormat="false" ht="15" hidden="false" customHeight="false" outlineLevel="0" collapsed="false">
      <c r="A163" s="6" t="s">
        <v>2009</v>
      </c>
      <c r="B163" s="35"/>
      <c r="C163" s="34"/>
      <c r="D163" s="34"/>
      <c r="E163" s="21"/>
      <c r="F163" s="34"/>
      <c r="G163" s="34"/>
      <c r="H163" s="34"/>
      <c r="I163" s="34"/>
      <c r="J163" s="21"/>
      <c r="K163" s="34"/>
      <c r="L163" s="34"/>
      <c r="M163" s="34"/>
      <c r="N163" s="21"/>
      <c r="O163" s="21"/>
      <c r="P163" s="21"/>
      <c r="Q163" s="34"/>
      <c r="R163" s="34"/>
      <c r="S163" s="33" t="str">
        <f aca="false">IF(OR(B163="",L163=""),"",INDEX(Lists!$AB$4:$AB$8,MATCH(L163,Lists!$AA$4:$AA$8,0)))</f>
        <v/>
      </c>
      <c r="T163" s="43" t="str">
        <f aca="false">IF(OR(S163="",ISERROR(S163)),"",B163+S163)</f>
        <v/>
      </c>
      <c r="U163" s="34"/>
      <c r="V163" s="35"/>
      <c r="W163" s="33" t="str">
        <f aca="true">IF(B163="","",IF(V163&lt;&gt;"",V163-B163,TODAY()-B163))</f>
        <v/>
      </c>
      <c r="X163" s="38" t="str">
        <f aca="true">IF(OR(B163="",T163="",U163="False Positive",U163="Risk Accepted"),"",IF(V163&lt;&gt;"",IF(V163&gt;T163,"Closed Late","Met"),IF(TODAY()&gt;T163,"SLA BREACH",IF(T163-TODAY()&lt;=7,"Due ≤7d","Within SLA"))))</f>
        <v/>
      </c>
      <c r="Y163" s="34"/>
      <c r="Z163" s="34"/>
      <c r="AA163" s="21"/>
    </row>
    <row r="164" customFormat="false" ht="15" hidden="false" customHeight="false" outlineLevel="0" collapsed="false">
      <c r="A164" s="6" t="s">
        <v>2010</v>
      </c>
      <c r="B164" s="35"/>
      <c r="C164" s="34"/>
      <c r="D164" s="34"/>
      <c r="E164" s="21"/>
      <c r="F164" s="34"/>
      <c r="G164" s="34"/>
      <c r="H164" s="34"/>
      <c r="I164" s="34"/>
      <c r="J164" s="21"/>
      <c r="K164" s="34"/>
      <c r="L164" s="34"/>
      <c r="M164" s="34"/>
      <c r="N164" s="21"/>
      <c r="O164" s="21"/>
      <c r="P164" s="21"/>
      <c r="Q164" s="34"/>
      <c r="R164" s="34"/>
      <c r="S164" s="33" t="str">
        <f aca="false">IF(OR(B164="",L164=""),"",INDEX(Lists!$AB$4:$AB$8,MATCH(L164,Lists!$AA$4:$AA$8,0)))</f>
        <v/>
      </c>
      <c r="T164" s="43" t="str">
        <f aca="false">IF(OR(S164="",ISERROR(S164)),"",B164+S164)</f>
        <v/>
      </c>
      <c r="U164" s="34"/>
      <c r="V164" s="35"/>
      <c r="W164" s="33" t="str">
        <f aca="true">IF(B164="","",IF(V164&lt;&gt;"",V164-B164,TODAY()-B164))</f>
        <v/>
      </c>
      <c r="X164" s="38" t="str">
        <f aca="true">IF(OR(B164="",T164="",U164="False Positive",U164="Risk Accepted"),"",IF(V164&lt;&gt;"",IF(V164&gt;T164,"Closed Late","Met"),IF(TODAY()&gt;T164,"SLA BREACH",IF(T164-TODAY()&lt;=7,"Due ≤7d","Within SLA"))))</f>
        <v/>
      </c>
      <c r="Y164" s="34"/>
      <c r="Z164" s="34"/>
      <c r="AA164" s="21"/>
    </row>
    <row r="165" customFormat="false" ht="15" hidden="false" customHeight="false" outlineLevel="0" collapsed="false">
      <c r="A165" s="6" t="s">
        <v>2011</v>
      </c>
      <c r="B165" s="35"/>
      <c r="C165" s="34"/>
      <c r="D165" s="34"/>
      <c r="E165" s="21"/>
      <c r="F165" s="34"/>
      <c r="G165" s="34"/>
      <c r="H165" s="34"/>
      <c r="I165" s="34"/>
      <c r="J165" s="21"/>
      <c r="K165" s="34"/>
      <c r="L165" s="34"/>
      <c r="M165" s="34"/>
      <c r="N165" s="21"/>
      <c r="O165" s="21"/>
      <c r="P165" s="21"/>
      <c r="Q165" s="34"/>
      <c r="R165" s="34"/>
      <c r="S165" s="33" t="str">
        <f aca="false">IF(OR(B165="",L165=""),"",INDEX(Lists!$AB$4:$AB$8,MATCH(L165,Lists!$AA$4:$AA$8,0)))</f>
        <v/>
      </c>
      <c r="T165" s="43" t="str">
        <f aca="false">IF(OR(S165="",ISERROR(S165)),"",B165+S165)</f>
        <v/>
      </c>
      <c r="U165" s="34"/>
      <c r="V165" s="35"/>
      <c r="W165" s="33" t="str">
        <f aca="true">IF(B165="","",IF(V165&lt;&gt;"",V165-B165,TODAY()-B165))</f>
        <v/>
      </c>
      <c r="X165" s="38" t="str">
        <f aca="true">IF(OR(B165="",T165="",U165="False Positive",U165="Risk Accepted"),"",IF(V165&lt;&gt;"",IF(V165&gt;T165,"Closed Late","Met"),IF(TODAY()&gt;T165,"SLA BREACH",IF(T165-TODAY()&lt;=7,"Due ≤7d","Within SLA"))))</f>
        <v/>
      </c>
      <c r="Y165" s="34"/>
      <c r="Z165" s="34"/>
      <c r="AA165" s="21"/>
    </row>
    <row r="166" customFormat="false" ht="15" hidden="false" customHeight="false" outlineLevel="0" collapsed="false">
      <c r="A166" s="6" t="s">
        <v>2012</v>
      </c>
      <c r="B166" s="35"/>
      <c r="C166" s="34"/>
      <c r="D166" s="34"/>
      <c r="E166" s="21"/>
      <c r="F166" s="34"/>
      <c r="G166" s="34"/>
      <c r="H166" s="34"/>
      <c r="I166" s="34"/>
      <c r="J166" s="21"/>
      <c r="K166" s="34"/>
      <c r="L166" s="34"/>
      <c r="M166" s="34"/>
      <c r="N166" s="21"/>
      <c r="O166" s="21"/>
      <c r="P166" s="21"/>
      <c r="Q166" s="34"/>
      <c r="R166" s="34"/>
      <c r="S166" s="33" t="str">
        <f aca="false">IF(OR(B166="",L166=""),"",INDEX(Lists!$AB$4:$AB$8,MATCH(L166,Lists!$AA$4:$AA$8,0)))</f>
        <v/>
      </c>
      <c r="T166" s="43" t="str">
        <f aca="false">IF(OR(S166="",ISERROR(S166)),"",B166+S166)</f>
        <v/>
      </c>
      <c r="U166" s="34"/>
      <c r="V166" s="35"/>
      <c r="W166" s="33" t="str">
        <f aca="true">IF(B166="","",IF(V166&lt;&gt;"",V166-B166,TODAY()-B166))</f>
        <v/>
      </c>
      <c r="X166" s="38" t="str">
        <f aca="true">IF(OR(B166="",T166="",U166="False Positive",U166="Risk Accepted"),"",IF(V166&lt;&gt;"",IF(V166&gt;T166,"Closed Late","Met"),IF(TODAY()&gt;T166,"SLA BREACH",IF(T166-TODAY()&lt;=7,"Due ≤7d","Within SLA"))))</f>
        <v/>
      </c>
      <c r="Y166" s="34"/>
      <c r="Z166" s="34"/>
      <c r="AA166" s="21"/>
    </row>
    <row r="167" customFormat="false" ht="15" hidden="false" customHeight="false" outlineLevel="0" collapsed="false">
      <c r="A167" s="6" t="s">
        <v>2013</v>
      </c>
      <c r="B167" s="35"/>
      <c r="C167" s="34"/>
      <c r="D167" s="34"/>
      <c r="E167" s="21"/>
      <c r="F167" s="34"/>
      <c r="G167" s="34"/>
      <c r="H167" s="34"/>
      <c r="I167" s="34"/>
      <c r="J167" s="21"/>
      <c r="K167" s="34"/>
      <c r="L167" s="34"/>
      <c r="M167" s="34"/>
      <c r="N167" s="21"/>
      <c r="O167" s="21"/>
      <c r="P167" s="21"/>
      <c r="Q167" s="34"/>
      <c r="R167" s="34"/>
      <c r="S167" s="33" t="str">
        <f aca="false">IF(OR(B167="",L167=""),"",INDEX(Lists!$AB$4:$AB$8,MATCH(L167,Lists!$AA$4:$AA$8,0)))</f>
        <v/>
      </c>
      <c r="T167" s="43" t="str">
        <f aca="false">IF(OR(S167="",ISERROR(S167)),"",B167+S167)</f>
        <v/>
      </c>
      <c r="U167" s="34"/>
      <c r="V167" s="35"/>
      <c r="W167" s="33" t="str">
        <f aca="true">IF(B167="","",IF(V167&lt;&gt;"",V167-B167,TODAY()-B167))</f>
        <v/>
      </c>
      <c r="X167" s="38" t="str">
        <f aca="true">IF(OR(B167="",T167="",U167="False Positive",U167="Risk Accepted"),"",IF(V167&lt;&gt;"",IF(V167&gt;T167,"Closed Late","Met"),IF(TODAY()&gt;T167,"SLA BREACH",IF(T167-TODAY()&lt;=7,"Due ≤7d","Within SLA"))))</f>
        <v/>
      </c>
      <c r="Y167" s="34"/>
      <c r="Z167" s="34"/>
      <c r="AA167" s="21"/>
    </row>
    <row r="168" customFormat="false" ht="15" hidden="false" customHeight="false" outlineLevel="0" collapsed="false">
      <c r="A168" s="6" t="s">
        <v>2014</v>
      </c>
      <c r="B168" s="35"/>
      <c r="C168" s="34"/>
      <c r="D168" s="34"/>
      <c r="E168" s="21"/>
      <c r="F168" s="34"/>
      <c r="G168" s="34"/>
      <c r="H168" s="34"/>
      <c r="I168" s="34"/>
      <c r="J168" s="21"/>
      <c r="K168" s="34"/>
      <c r="L168" s="34"/>
      <c r="M168" s="34"/>
      <c r="N168" s="21"/>
      <c r="O168" s="21"/>
      <c r="P168" s="21"/>
      <c r="Q168" s="34"/>
      <c r="R168" s="34"/>
      <c r="S168" s="33" t="str">
        <f aca="false">IF(OR(B168="",L168=""),"",INDEX(Lists!$AB$4:$AB$8,MATCH(L168,Lists!$AA$4:$AA$8,0)))</f>
        <v/>
      </c>
      <c r="T168" s="43" t="str">
        <f aca="false">IF(OR(S168="",ISERROR(S168)),"",B168+S168)</f>
        <v/>
      </c>
      <c r="U168" s="34"/>
      <c r="V168" s="35"/>
      <c r="W168" s="33" t="str">
        <f aca="true">IF(B168="","",IF(V168&lt;&gt;"",V168-B168,TODAY()-B168))</f>
        <v/>
      </c>
      <c r="X168" s="38" t="str">
        <f aca="true">IF(OR(B168="",T168="",U168="False Positive",U168="Risk Accepted"),"",IF(V168&lt;&gt;"",IF(V168&gt;T168,"Closed Late","Met"),IF(TODAY()&gt;T168,"SLA BREACH",IF(T168-TODAY()&lt;=7,"Due ≤7d","Within SLA"))))</f>
        <v/>
      </c>
      <c r="Y168" s="34"/>
      <c r="Z168" s="34"/>
      <c r="AA168" s="21"/>
    </row>
    <row r="169" customFormat="false" ht="15" hidden="false" customHeight="false" outlineLevel="0" collapsed="false">
      <c r="A169" s="6" t="s">
        <v>2015</v>
      </c>
      <c r="B169" s="35"/>
      <c r="C169" s="34"/>
      <c r="D169" s="34"/>
      <c r="E169" s="21"/>
      <c r="F169" s="34"/>
      <c r="G169" s="34"/>
      <c r="H169" s="34"/>
      <c r="I169" s="34"/>
      <c r="J169" s="21"/>
      <c r="K169" s="34"/>
      <c r="L169" s="34"/>
      <c r="M169" s="34"/>
      <c r="N169" s="21"/>
      <c r="O169" s="21"/>
      <c r="P169" s="21"/>
      <c r="Q169" s="34"/>
      <c r="R169" s="34"/>
      <c r="S169" s="33" t="str">
        <f aca="false">IF(OR(B169="",L169=""),"",INDEX(Lists!$AB$4:$AB$8,MATCH(L169,Lists!$AA$4:$AA$8,0)))</f>
        <v/>
      </c>
      <c r="T169" s="43" t="str">
        <f aca="false">IF(OR(S169="",ISERROR(S169)),"",B169+S169)</f>
        <v/>
      </c>
      <c r="U169" s="34"/>
      <c r="V169" s="35"/>
      <c r="W169" s="33" t="str">
        <f aca="true">IF(B169="","",IF(V169&lt;&gt;"",V169-B169,TODAY()-B169))</f>
        <v/>
      </c>
      <c r="X169" s="38" t="str">
        <f aca="true">IF(OR(B169="",T169="",U169="False Positive",U169="Risk Accepted"),"",IF(V169&lt;&gt;"",IF(V169&gt;T169,"Closed Late","Met"),IF(TODAY()&gt;T169,"SLA BREACH",IF(T169-TODAY()&lt;=7,"Due ≤7d","Within SLA"))))</f>
        <v/>
      </c>
      <c r="Y169" s="34"/>
      <c r="Z169" s="34"/>
      <c r="AA169" s="21"/>
    </row>
    <row r="170" customFormat="false" ht="15" hidden="false" customHeight="false" outlineLevel="0" collapsed="false">
      <c r="A170" s="6" t="s">
        <v>2016</v>
      </c>
      <c r="B170" s="35"/>
      <c r="C170" s="34"/>
      <c r="D170" s="34"/>
      <c r="E170" s="21"/>
      <c r="F170" s="34"/>
      <c r="G170" s="34"/>
      <c r="H170" s="34"/>
      <c r="I170" s="34"/>
      <c r="J170" s="21"/>
      <c r="K170" s="34"/>
      <c r="L170" s="34"/>
      <c r="M170" s="34"/>
      <c r="N170" s="21"/>
      <c r="O170" s="21"/>
      <c r="P170" s="21"/>
      <c r="Q170" s="34"/>
      <c r="R170" s="34"/>
      <c r="S170" s="33" t="str">
        <f aca="false">IF(OR(B170="",L170=""),"",INDEX(Lists!$AB$4:$AB$8,MATCH(L170,Lists!$AA$4:$AA$8,0)))</f>
        <v/>
      </c>
      <c r="T170" s="43" t="str">
        <f aca="false">IF(OR(S170="",ISERROR(S170)),"",B170+S170)</f>
        <v/>
      </c>
      <c r="U170" s="34"/>
      <c r="V170" s="35"/>
      <c r="W170" s="33" t="str">
        <f aca="true">IF(B170="","",IF(V170&lt;&gt;"",V170-B170,TODAY()-B170))</f>
        <v/>
      </c>
      <c r="X170" s="38" t="str">
        <f aca="true">IF(OR(B170="",T170="",U170="False Positive",U170="Risk Accepted"),"",IF(V170&lt;&gt;"",IF(V170&gt;T170,"Closed Late","Met"),IF(TODAY()&gt;T170,"SLA BREACH",IF(T170-TODAY()&lt;=7,"Due ≤7d","Within SLA"))))</f>
        <v/>
      </c>
      <c r="Y170" s="34"/>
      <c r="Z170" s="34"/>
      <c r="AA170" s="21"/>
    </row>
    <row r="171" customFormat="false" ht="15" hidden="false" customHeight="false" outlineLevel="0" collapsed="false">
      <c r="A171" s="6" t="s">
        <v>2017</v>
      </c>
      <c r="B171" s="35"/>
      <c r="C171" s="34"/>
      <c r="D171" s="34"/>
      <c r="E171" s="21"/>
      <c r="F171" s="34"/>
      <c r="G171" s="34"/>
      <c r="H171" s="34"/>
      <c r="I171" s="34"/>
      <c r="J171" s="21"/>
      <c r="K171" s="34"/>
      <c r="L171" s="34"/>
      <c r="M171" s="34"/>
      <c r="N171" s="21"/>
      <c r="O171" s="21"/>
      <c r="P171" s="21"/>
      <c r="Q171" s="34"/>
      <c r="R171" s="34"/>
      <c r="S171" s="33" t="str">
        <f aca="false">IF(OR(B171="",L171=""),"",INDEX(Lists!$AB$4:$AB$8,MATCH(L171,Lists!$AA$4:$AA$8,0)))</f>
        <v/>
      </c>
      <c r="T171" s="43" t="str">
        <f aca="false">IF(OR(S171="",ISERROR(S171)),"",B171+S171)</f>
        <v/>
      </c>
      <c r="U171" s="34"/>
      <c r="V171" s="35"/>
      <c r="W171" s="33" t="str">
        <f aca="true">IF(B171="","",IF(V171&lt;&gt;"",V171-B171,TODAY()-B171))</f>
        <v/>
      </c>
      <c r="X171" s="38" t="str">
        <f aca="true">IF(OR(B171="",T171="",U171="False Positive",U171="Risk Accepted"),"",IF(V171&lt;&gt;"",IF(V171&gt;T171,"Closed Late","Met"),IF(TODAY()&gt;T171,"SLA BREACH",IF(T171-TODAY()&lt;=7,"Due ≤7d","Within SLA"))))</f>
        <v/>
      </c>
      <c r="Y171" s="34"/>
      <c r="Z171" s="34"/>
      <c r="AA171" s="21"/>
    </row>
    <row r="172" customFormat="false" ht="15" hidden="false" customHeight="false" outlineLevel="0" collapsed="false">
      <c r="A172" s="6" t="s">
        <v>2018</v>
      </c>
      <c r="B172" s="35"/>
      <c r="C172" s="34"/>
      <c r="D172" s="34"/>
      <c r="E172" s="21"/>
      <c r="F172" s="34"/>
      <c r="G172" s="34"/>
      <c r="H172" s="34"/>
      <c r="I172" s="34"/>
      <c r="J172" s="21"/>
      <c r="K172" s="34"/>
      <c r="L172" s="34"/>
      <c r="M172" s="34"/>
      <c r="N172" s="21"/>
      <c r="O172" s="21"/>
      <c r="P172" s="21"/>
      <c r="Q172" s="34"/>
      <c r="R172" s="34"/>
      <c r="S172" s="33" t="str">
        <f aca="false">IF(OR(B172="",L172=""),"",INDEX(Lists!$AB$4:$AB$8,MATCH(L172,Lists!$AA$4:$AA$8,0)))</f>
        <v/>
      </c>
      <c r="T172" s="43" t="str">
        <f aca="false">IF(OR(S172="",ISERROR(S172)),"",B172+S172)</f>
        <v/>
      </c>
      <c r="U172" s="34"/>
      <c r="V172" s="35"/>
      <c r="W172" s="33" t="str">
        <f aca="true">IF(B172="","",IF(V172&lt;&gt;"",V172-B172,TODAY()-B172))</f>
        <v/>
      </c>
      <c r="X172" s="38" t="str">
        <f aca="true">IF(OR(B172="",T172="",U172="False Positive",U172="Risk Accepted"),"",IF(V172&lt;&gt;"",IF(V172&gt;T172,"Closed Late","Met"),IF(TODAY()&gt;T172,"SLA BREACH",IF(T172-TODAY()&lt;=7,"Due ≤7d","Within SLA"))))</f>
        <v/>
      </c>
      <c r="Y172" s="34"/>
      <c r="Z172" s="34"/>
      <c r="AA172" s="21"/>
    </row>
    <row r="173" customFormat="false" ht="15" hidden="false" customHeight="false" outlineLevel="0" collapsed="false">
      <c r="A173" s="6" t="s">
        <v>2019</v>
      </c>
      <c r="B173" s="35"/>
      <c r="C173" s="34"/>
      <c r="D173" s="34"/>
      <c r="E173" s="21"/>
      <c r="F173" s="34"/>
      <c r="G173" s="34"/>
      <c r="H173" s="34"/>
      <c r="I173" s="34"/>
      <c r="J173" s="21"/>
      <c r="K173" s="34"/>
      <c r="L173" s="34"/>
      <c r="M173" s="34"/>
      <c r="N173" s="21"/>
      <c r="O173" s="21"/>
      <c r="P173" s="21"/>
      <c r="Q173" s="34"/>
      <c r="R173" s="34"/>
      <c r="S173" s="33" t="str">
        <f aca="false">IF(OR(B173="",L173=""),"",INDEX(Lists!$AB$4:$AB$8,MATCH(L173,Lists!$AA$4:$AA$8,0)))</f>
        <v/>
      </c>
      <c r="T173" s="43" t="str">
        <f aca="false">IF(OR(S173="",ISERROR(S173)),"",B173+S173)</f>
        <v/>
      </c>
      <c r="U173" s="34"/>
      <c r="V173" s="35"/>
      <c r="W173" s="33" t="str">
        <f aca="true">IF(B173="","",IF(V173&lt;&gt;"",V173-B173,TODAY()-B173))</f>
        <v/>
      </c>
      <c r="X173" s="38" t="str">
        <f aca="true">IF(OR(B173="",T173="",U173="False Positive",U173="Risk Accepted"),"",IF(V173&lt;&gt;"",IF(V173&gt;T173,"Closed Late","Met"),IF(TODAY()&gt;T173,"SLA BREACH",IF(T173-TODAY()&lt;=7,"Due ≤7d","Within SLA"))))</f>
        <v/>
      </c>
      <c r="Y173" s="34"/>
      <c r="Z173" s="34"/>
      <c r="AA173" s="21"/>
    </row>
    <row r="174" customFormat="false" ht="15" hidden="false" customHeight="false" outlineLevel="0" collapsed="false">
      <c r="A174" s="6" t="s">
        <v>2020</v>
      </c>
      <c r="B174" s="35"/>
      <c r="C174" s="34"/>
      <c r="D174" s="34"/>
      <c r="E174" s="21"/>
      <c r="F174" s="34"/>
      <c r="G174" s="34"/>
      <c r="H174" s="34"/>
      <c r="I174" s="34"/>
      <c r="J174" s="21"/>
      <c r="K174" s="34"/>
      <c r="L174" s="34"/>
      <c r="M174" s="34"/>
      <c r="N174" s="21"/>
      <c r="O174" s="21"/>
      <c r="P174" s="21"/>
      <c r="Q174" s="34"/>
      <c r="R174" s="34"/>
      <c r="S174" s="33" t="str">
        <f aca="false">IF(OR(B174="",L174=""),"",INDEX(Lists!$AB$4:$AB$8,MATCH(L174,Lists!$AA$4:$AA$8,0)))</f>
        <v/>
      </c>
      <c r="T174" s="43" t="str">
        <f aca="false">IF(OR(S174="",ISERROR(S174)),"",B174+S174)</f>
        <v/>
      </c>
      <c r="U174" s="34"/>
      <c r="V174" s="35"/>
      <c r="W174" s="33" t="str">
        <f aca="true">IF(B174="","",IF(V174&lt;&gt;"",V174-B174,TODAY()-B174))</f>
        <v/>
      </c>
      <c r="X174" s="38" t="str">
        <f aca="true">IF(OR(B174="",T174="",U174="False Positive",U174="Risk Accepted"),"",IF(V174&lt;&gt;"",IF(V174&gt;T174,"Closed Late","Met"),IF(TODAY()&gt;T174,"SLA BREACH",IF(T174-TODAY()&lt;=7,"Due ≤7d","Within SLA"))))</f>
        <v/>
      </c>
      <c r="Y174" s="34"/>
      <c r="Z174" s="34"/>
      <c r="AA174" s="21"/>
    </row>
    <row r="175" customFormat="false" ht="15" hidden="false" customHeight="false" outlineLevel="0" collapsed="false">
      <c r="A175" s="6" t="s">
        <v>2021</v>
      </c>
      <c r="B175" s="35"/>
      <c r="C175" s="34"/>
      <c r="D175" s="34"/>
      <c r="E175" s="21"/>
      <c r="F175" s="34"/>
      <c r="G175" s="34"/>
      <c r="H175" s="34"/>
      <c r="I175" s="34"/>
      <c r="J175" s="21"/>
      <c r="K175" s="34"/>
      <c r="L175" s="34"/>
      <c r="M175" s="34"/>
      <c r="N175" s="21"/>
      <c r="O175" s="21"/>
      <c r="P175" s="21"/>
      <c r="Q175" s="34"/>
      <c r="R175" s="34"/>
      <c r="S175" s="33" t="str">
        <f aca="false">IF(OR(B175="",L175=""),"",INDEX(Lists!$AB$4:$AB$8,MATCH(L175,Lists!$AA$4:$AA$8,0)))</f>
        <v/>
      </c>
      <c r="T175" s="43" t="str">
        <f aca="false">IF(OR(S175="",ISERROR(S175)),"",B175+S175)</f>
        <v/>
      </c>
      <c r="U175" s="34"/>
      <c r="V175" s="35"/>
      <c r="W175" s="33" t="str">
        <f aca="true">IF(B175="","",IF(V175&lt;&gt;"",V175-B175,TODAY()-B175))</f>
        <v/>
      </c>
      <c r="X175" s="38" t="str">
        <f aca="true">IF(OR(B175="",T175="",U175="False Positive",U175="Risk Accepted"),"",IF(V175&lt;&gt;"",IF(V175&gt;T175,"Closed Late","Met"),IF(TODAY()&gt;T175,"SLA BREACH",IF(T175-TODAY()&lt;=7,"Due ≤7d","Within SLA"))))</f>
        <v/>
      </c>
      <c r="Y175" s="34"/>
      <c r="Z175" s="34"/>
      <c r="AA175" s="21"/>
    </row>
    <row r="176" customFormat="false" ht="15" hidden="false" customHeight="false" outlineLevel="0" collapsed="false">
      <c r="A176" s="6" t="s">
        <v>2022</v>
      </c>
      <c r="B176" s="35"/>
      <c r="C176" s="34"/>
      <c r="D176" s="34"/>
      <c r="E176" s="21"/>
      <c r="F176" s="34"/>
      <c r="G176" s="34"/>
      <c r="H176" s="34"/>
      <c r="I176" s="34"/>
      <c r="J176" s="21"/>
      <c r="K176" s="34"/>
      <c r="L176" s="34"/>
      <c r="M176" s="34"/>
      <c r="N176" s="21"/>
      <c r="O176" s="21"/>
      <c r="P176" s="21"/>
      <c r="Q176" s="34"/>
      <c r="R176" s="34"/>
      <c r="S176" s="33" t="str">
        <f aca="false">IF(OR(B176="",L176=""),"",INDEX(Lists!$AB$4:$AB$8,MATCH(L176,Lists!$AA$4:$AA$8,0)))</f>
        <v/>
      </c>
      <c r="T176" s="43" t="str">
        <f aca="false">IF(OR(S176="",ISERROR(S176)),"",B176+S176)</f>
        <v/>
      </c>
      <c r="U176" s="34"/>
      <c r="V176" s="35"/>
      <c r="W176" s="33" t="str">
        <f aca="true">IF(B176="","",IF(V176&lt;&gt;"",V176-B176,TODAY()-B176))</f>
        <v/>
      </c>
      <c r="X176" s="38" t="str">
        <f aca="true">IF(OR(B176="",T176="",U176="False Positive",U176="Risk Accepted"),"",IF(V176&lt;&gt;"",IF(V176&gt;T176,"Closed Late","Met"),IF(TODAY()&gt;T176,"SLA BREACH",IF(T176-TODAY()&lt;=7,"Due ≤7d","Within SLA"))))</f>
        <v/>
      </c>
      <c r="Y176" s="34"/>
      <c r="Z176" s="34"/>
      <c r="AA176" s="21"/>
    </row>
    <row r="177" customFormat="false" ht="15" hidden="false" customHeight="false" outlineLevel="0" collapsed="false">
      <c r="A177" s="6" t="s">
        <v>2023</v>
      </c>
      <c r="B177" s="35"/>
      <c r="C177" s="34"/>
      <c r="D177" s="34"/>
      <c r="E177" s="21"/>
      <c r="F177" s="34"/>
      <c r="G177" s="34"/>
      <c r="H177" s="34"/>
      <c r="I177" s="34"/>
      <c r="J177" s="21"/>
      <c r="K177" s="34"/>
      <c r="L177" s="34"/>
      <c r="M177" s="34"/>
      <c r="N177" s="21"/>
      <c r="O177" s="21"/>
      <c r="P177" s="21"/>
      <c r="Q177" s="34"/>
      <c r="R177" s="34"/>
      <c r="S177" s="33" t="str">
        <f aca="false">IF(OR(B177="",L177=""),"",INDEX(Lists!$AB$4:$AB$8,MATCH(L177,Lists!$AA$4:$AA$8,0)))</f>
        <v/>
      </c>
      <c r="T177" s="43" t="str">
        <f aca="false">IF(OR(S177="",ISERROR(S177)),"",B177+S177)</f>
        <v/>
      </c>
      <c r="U177" s="34"/>
      <c r="V177" s="35"/>
      <c r="W177" s="33" t="str">
        <f aca="true">IF(B177="","",IF(V177&lt;&gt;"",V177-B177,TODAY()-B177))</f>
        <v/>
      </c>
      <c r="X177" s="38" t="str">
        <f aca="true">IF(OR(B177="",T177="",U177="False Positive",U177="Risk Accepted"),"",IF(V177&lt;&gt;"",IF(V177&gt;T177,"Closed Late","Met"),IF(TODAY()&gt;T177,"SLA BREACH",IF(T177-TODAY()&lt;=7,"Due ≤7d","Within SLA"))))</f>
        <v/>
      </c>
      <c r="Y177" s="34"/>
      <c r="Z177" s="34"/>
      <c r="AA177" s="21"/>
    </row>
    <row r="178" customFormat="false" ht="15" hidden="false" customHeight="false" outlineLevel="0" collapsed="false">
      <c r="A178" s="6" t="s">
        <v>2024</v>
      </c>
      <c r="B178" s="35"/>
      <c r="C178" s="34"/>
      <c r="D178" s="34"/>
      <c r="E178" s="21"/>
      <c r="F178" s="34"/>
      <c r="G178" s="34"/>
      <c r="H178" s="34"/>
      <c r="I178" s="34"/>
      <c r="J178" s="21"/>
      <c r="K178" s="34"/>
      <c r="L178" s="34"/>
      <c r="M178" s="34"/>
      <c r="N178" s="21"/>
      <c r="O178" s="21"/>
      <c r="P178" s="21"/>
      <c r="Q178" s="34"/>
      <c r="R178" s="34"/>
      <c r="S178" s="33" t="str">
        <f aca="false">IF(OR(B178="",L178=""),"",INDEX(Lists!$AB$4:$AB$8,MATCH(L178,Lists!$AA$4:$AA$8,0)))</f>
        <v/>
      </c>
      <c r="T178" s="43" t="str">
        <f aca="false">IF(OR(S178="",ISERROR(S178)),"",B178+S178)</f>
        <v/>
      </c>
      <c r="U178" s="34"/>
      <c r="V178" s="35"/>
      <c r="W178" s="33" t="str">
        <f aca="true">IF(B178="","",IF(V178&lt;&gt;"",V178-B178,TODAY()-B178))</f>
        <v/>
      </c>
      <c r="X178" s="38" t="str">
        <f aca="true">IF(OR(B178="",T178="",U178="False Positive",U178="Risk Accepted"),"",IF(V178&lt;&gt;"",IF(V178&gt;T178,"Closed Late","Met"),IF(TODAY()&gt;T178,"SLA BREACH",IF(T178-TODAY()&lt;=7,"Due ≤7d","Within SLA"))))</f>
        <v/>
      </c>
      <c r="Y178" s="34"/>
      <c r="Z178" s="34"/>
      <c r="AA178" s="21"/>
    </row>
    <row r="179" customFormat="false" ht="15" hidden="false" customHeight="false" outlineLevel="0" collapsed="false">
      <c r="A179" s="6" t="s">
        <v>2025</v>
      </c>
      <c r="B179" s="35"/>
      <c r="C179" s="34"/>
      <c r="D179" s="34"/>
      <c r="E179" s="21"/>
      <c r="F179" s="34"/>
      <c r="G179" s="34"/>
      <c r="H179" s="34"/>
      <c r="I179" s="34"/>
      <c r="J179" s="21"/>
      <c r="K179" s="34"/>
      <c r="L179" s="34"/>
      <c r="M179" s="34"/>
      <c r="N179" s="21"/>
      <c r="O179" s="21"/>
      <c r="P179" s="21"/>
      <c r="Q179" s="34"/>
      <c r="R179" s="34"/>
      <c r="S179" s="33" t="str">
        <f aca="false">IF(OR(B179="",L179=""),"",INDEX(Lists!$AB$4:$AB$8,MATCH(L179,Lists!$AA$4:$AA$8,0)))</f>
        <v/>
      </c>
      <c r="T179" s="43" t="str">
        <f aca="false">IF(OR(S179="",ISERROR(S179)),"",B179+S179)</f>
        <v/>
      </c>
      <c r="U179" s="34"/>
      <c r="V179" s="35"/>
      <c r="W179" s="33" t="str">
        <f aca="true">IF(B179="","",IF(V179&lt;&gt;"",V179-B179,TODAY()-B179))</f>
        <v/>
      </c>
      <c r="X179" s="38" t="str">
        <f aca="true">IF(OR(B179="",T179="",U179="False Positive",U179="Risk Accepted"),"",IF(V179&lt;&gt;"",IF(V179&gt;T179,"Closed Late","Met"),IF(TODAY()&gt;T179,"SLA BREACH",IF(T179-TODAY()&lt;=7,"Due ≤7d","Within SLA"))))</f>
        <v/>
      </c>
      <c r="Y179" s="34"/>
      <c r="Z179" s="34"/>
      <c r="AA179" s="21"/>
    </row>
    <row r="180" customFormat="false" ht="15" hidden="false" customHeight="false" outlineLevel="0" collapsed="false">
      <c r="A180" s="6" t="s">
        <v>2026</v>
      </c>
      <c r="B180" s="35"/>
      <c r="C180" s="34"/>
      <c r="D180" s="34"/>
      <c r="E180" s="21"/>
      <c r="F180" s="34"/>
      <c r="G180" s="34"/>
      <c r="H180" s="34"/>
      <c r="I180" s="34"/>
      <c r="J180" s="21"/>
      <c r="K180" s="34"/>
      <c r="L180" s="34"/>
      <c r="M180" s="34"/>
      <c r="N180" s="21"/>
      <c r="O180" s="21"/>
      <c r="P180" s="21"/>
      <c r="Q180" s="34"/>
      <c r="R180" s="34"/>
      <c r="S180" s="33" t="str">
        <f aca="false">IF(OR(B180="",L180=""),"",INDEX(Lists!$AB$4:$AB$8,MATCH(L180,Lists!$AA$4:$AA$8,0)))</f>
        <v/>
      </c>
      <c r="T180" s="43" t="str">
        <f aca="false">IF(OR(S180="",ISERROR(S180)),"",B180+S180)</f>
        <v/>
      </c>
      <c r="U180" s="34"/>
      <c r="V180" s="35"/>
      <c r="W180" s="33" t="str">
        <f aca="true">IF(B180="","",IF(V180&lt;&gt;"",V180-B180,TODAY()-B180))</f>
        <v/>
      </c>
      <c r="X180" s="38" t="str">
        <f aca="true">IF(OR(B180="",T180="",U180="False Positive",U180="Risk Accepted"),"",IF(V180&lt;&gt;"",IF(V180&gt;T180,"Closed Late","Met"),IF(TODAY()&gt;T180,"SLA BREACH",IF(T180-TODAY()&lt;=7,"Due ≤7d","Within SLA"))))</f>
        <v/>
      </c>
      <c r="Y180" s="34"/>
      <c r="Z180" s="34"/>
      <c r="AA180" s="21"/>
    </row>
    <row r="181" customFormat="false" ht="15" hidden="false" customHeight="false" outlineLevel="0" collapsed="false">
      <c r="A181" s="6" t="s">
        <v>2027</v>
      </c>
      <c r="B181" s="35"/>
      <c r="C181" s="34"/>
      <c r="D181" s="34"/>
      <c r="E181" s="21"/>
      <c r="F181" s="34"/>
      <c r="G181" s="34"/>
      <c r="H181" s="34"/>
      <c r="I181" s="34"/>
      <c r="J181" s="21"/>
      <c r="K181" s="34"/>
      <c r="L181" s="34"/>
      <c r="M181" s="34"/>
      <c r="N181" s="21"/>
      <c r="O181" s="21"/>
      <c r="P181" s="21"/>
      <c r="Q181" s="34"/>
      <c r="R181" s="34"/>
      <c r="S181" s="33" t="str">
        <f aca="false">IF(OR(B181="",L181=""),"",INDEX(Lists!$AB$4:$AB$8,MATCH(L181,Lists!$AA$4:$AA$8,0)))</f>
        <v/>
      </c>
      <c r="T181" s="43" t="str">
        <f aca="false">IF(OR(S181="",ISERROR(S181)),"",B181+S181)</f>
        <v/>
      </c>
      <c r="U181" s="34"/>
      <c r="V181" s="35"/>
      <c r="W181" s="33" t="str">
        <f aca="true">IF(B181="","",IF(V181&lt;&gt;"",V181-B181,TODAY()-B181))</f>
        <v/>
      </c>
      <c r="X181" s="38" t="str">
        <f aca="true">IF(OR(B181="",T181="",U181="False Positive",U181="Risk Accepted"),"",IF(V181&lt;&gt;"",IF(V181&gt;T181,"Closed Late","Met"),IF(TODAY()&gt;T181,"SLA BREACH",IF(T181-TODAY()&lt;=7,"Due ≤7d","Within SLA"))))</f>
        <v/>
      </c>
      <c r="Y181" s="34"/>
      <c r="Z181" s="34"/>
      <c r="AA181" s="21"/>
    </row>
    <row r="182" customFormat="false" ht="15" hidden="false" customHeight="false" outlineLevel="0" collapsed="false">
      <c r="A182" s="6" t="s">
        <v>2028</v>
      </c>
      <c r="B182" s="35"/>
      <c r="C182" s="34"/>
      <c r="D182" s="34"/>
      <c r="E182" s="21"/>
      <c r="F182" s="34"/>
      <c r="G182" s="34"/>
      <c r="H182" s="34"/>
      <c r="I182" s="34"/>
      <c r="J182" s="21"/>
      <c r="K182" s="34"/>
      <c r="L182" s="34"/>
      <c r="M182" s="34"/>
      <c r="N182" s="21"/>
      <c r="O182" s="21"/>
      <c r="P182" s="21"/>
      <c r="Q182" s="34"/>
      <c r="R182" s="34"/>
      <c r="S182" s="33" t="str">
        <f aca="false">IF(OR(B182="",L182=""),"",INDEX(Lists!$AB$4:$AB$8,MATCH(L182,Lists!$AA$4:$AA$8,0)))</f>
        <v/>
      </c>
      <c r="T182" s="43" t="str">
        <f aca="false">IF(OR(S182="",ISERROR(S182)),"",B182+S182)</f>
        <v/>
      </c>
      <c r="U182" s="34"/>
      <c r="V182" s="35"/>
      <c r="W182" s="33" t="str">
        <f aca="true">IF(B182="","",IF(V182&lt;&gt;"",V182-B182,TODAY()-B182))</f>
        <v/>
      </c>
      <c r="X182" s="38" t="str">
        <f aca="true">IF(OR(B182="",T182="",U182="False Positive",U182="Risk Accepted"),"",IF(V182&lt;&gt;"",IF(V182&gt;T182,"Closed Late","Met"),IF(TODAY()&gt;T182,"SLA BREACH",IF(T182-TODAY()&lt;=7,"Due ≤7d","Within SLA"))))</f>
        <v/>
      </c>
      <c r="Y182" s="34"/>
      <c r="Z182" s="34"/>
      <c r="AA182" s="21"/>
    </row>
    <row r="183" customFormat="false" ht="15" hidden="false" customHeight="false" outlineLevel="0" collapsed="false">
      <c r="A183" s="6" t="s">
        <v>2029</v>
      </c>
      <c r="B183" s="35"/>
      <c r="C183" s="34"/>
      <c r="D183" s="34"/>
      <c r="E183" s="21"/>
      <c r="F183" s="34"/>
      <c r="G183" s="34"/>
      <c r="H183" s="34"/>
      <c r="I183" s="34"/>
      <c r="J183" s="21"/>
      <c r="K183" s="34"/>
      <c r="L183" s="34"/>
      <c r="M183" s="34"/>
      <c r="N183" s="21"/>
      <c r="O183" s="21"/>
      <c r="P183" s="21"/>
      <c r="Q183" s="34"/>
      <c r="R183" s="34"/>
      <c r="S183" s="33" t="str">
        <f aca="false">IF(OR(B183="",L183=""),"",INDEX(Lists!$AB$4:$AB$8,MATCH(L183,Lists!$AA$4:$AA$8,0)))</f>
        <v/>
      </c>
      <c r="T183" s="43" t="str">
        <f aca="false">IF(OR(S183="",ISERROR(S183)),"",B183+S183)</f>
        <v/>
      </c>
      <c r="U183" s="34"/>
      <c r="V183" s="35"/>
      <c r="W183" s="33" t="str">
        <f aca="true">IF(B183="","",IF(V183&lt;&gt;"",V183-B183,TODAY()-B183))</f>
        <v/>
      </c>
      <c r="X183" s="38" t="str">
        <f aca="true">IF(OR(B183="",T183="",U183="False Positive",U183="Risk Accepted"),"",IF(V183&lt;&gt;"",IF(V183&gt;T183,"Closed Late","Met"),IF(TODAY()&gt;T183,"SLA BREACH",IF(T183-TODAY()&lt;=7,"Due ≤7d","Within SLA"))))</f>
        <v/>
      </c>
      <c r="Y183" s="34"/>
      <c r="Z183" s="34"/>
      <c r="AA183" s="21"/>
    </row>
    <row r="184" customFormat="false" ht="15" hidden="false" customHeight="false" outlineLevel="0" collapsed="false">
      <c r="A184" s="6" t="s">
        <v>2030</v>
      </c>
      <c r="B184" s="35"/>
      <c r="C184" s="34"/>
      <c r="D184" s="34"/>
      <c r="E184" s="21"/>
      <c r="F184" s="34"/>
      <c r="G184" s="34"/>
      <c r="H184" s="34"/>
      <c r="I184" s="34"/>
      <c r="J184" s="21"/>
      <c r="K184" s="34"/>
      <c r="L184" s="34"/>
      <c r="M184" s="34"/>
      <c r="N184" s="21"/>
      <c r="O184" s="21"/>
      <c r="P184" s="21"/>
      <c r="Q184" s="34"/>
      <c r="R184" s="34"/>
      <c r="S184" s="33" t="str">
        <f aca="false">IF(OR(B184="",L184=""),"",INDEX(Lists!$AB$4:$AB$8,MATCH(L184,Lists!$AA$4:$AA$8,0)))</f>
        <v/>
      </c>
      <c r="T184" s="43" t="str">
        <f aca="false">IF(OR(S184="",ISERROR(S184)),"",B184+S184)</f>
        <v/>
      </c>
      <c r="U184" s="34"/>
      <c r="V184" s="35"/>
      <c r="W184" s="33" t="str">
        <f aca="true">IF(B184="","",IF(V184&lt;&gt;"",V184-B184,TODAY()-B184))</f>
        <v/>
      </c>
      <c r="X184" s="38" t="str">
        <f aca="true">IF(OR(B184="",T184="",U184="False Positive",U184="Risk Accepted"),"",IF(V184&lt;&gt;"",IF(V184&gt;T184,"Closed Late","Met"),IF(TODAY()&gt;T184,"SLA BREACH",IF(T184-TODAY()&lt;=7,"Due ≤7d","Within SLA"))))</f>
        <v/>
      </c>
      <c r="Y184" s="34"/>
      <c r="Z184" s="34"/>
      <c r="AA184" s="21"/>
    </row>
    <row r="185" customFormat="false" ht="15" hidden="false" customHeight="false" outlineLevel="0" collapsed="false">
      <c r="A185" s="6" t="s">
        <v>2031</v>
      </c>
      <c r="B185" s="35"/>
      <c r="C185" s="34"/>
      <c r="D185" s="34"/>
      <c r="E185" s="21"/>
      <c r="F185" s="34"/>
      <c r="G185" s="34"/>
      <c r="H185" s="34"/>
      <c r="I185" s="34"/>
      <c r="J185" s="21"/>
      <c r="K185" s="34"/>
      <c r="L185" s="34"/>
      <c r="M185" s="34"/>
      <c r="N185" s="21"/>
      <c r="O185" s="21"/>
      <c r="P185" s="21"/>
      <c r="Q185" s="34"/>
      <c r="R185" s="34"/>
      <c r="S185" s="33" t="str">
        <f aca="false">IF(OR(B185="",L185=""),"",INDEX(Lists!$AB$4:$AB$8,MATCH(L185,Lists!$AA$4:$AA$8,0)))</f>
        <v/>
      </c>
      <c r="T185" s="43" t="str">
        <f aca="false">IF(OR(S185="",ISERROR(S185)),"",B185+S185)</f>
        <v/>
      </c>
      <c r="U185" s="34"/>
      <c r="V185" s="35"/>
      <c r="W185" s="33" t="str">
        <f aca="true">IF(B185="","",IF(V185&lt;&gt;"",V185-B185,TODAY()-B185))</f>
        <v/>
      </c>
      <c r="X185" s="38" t="str">
        <f aca="true">IF(OR(B185="",T185="",U185="False Positive",U185="Risk Accepted"),"",IF(V185&lt;&gt;"",IF(V185&gt;T185,"Closed Late","Met"),IF(TODAY()&gt;T185,"SLA BREACH",IF(T185-TODAY()&lt;=7,"Due ≤7d","Within SLA"))))</f>
        <v/>
      </c>
      <c r="Y185" s="34"/>
      <c r="Z185" s="34"/>
      <c r="AA185" s="21"/>
    </row>
    <row r="186" customFormat="false" ht="15" hidden="false" customHeight="false" outlineLevel="0" collapsed="false">
      <c r="A186" s="6" t="s">
        <v>2032</v>
      </c>
      <c r="B186" s="35"/>
      <c r="C186" s="34"/>
      <c r="D186" s="34"/>
      <c r="E186" s="21"/>
      <c r="F186" s="34"/>
      <c r="G186" s="34"/>
      <c r="H186" s="34"/>
      <c r="I186" s="34"/>
      <c r="J186" s="21"/>
      <c r="K186" s="34"/>
      <c r="L186" s="34"/>
      <c r="M186" s="34"/>
      <c r="N186" s="21"/>
      <c r="O186" s="21"/>
      <c r="P186" s="21"/>
      <c r="Q186" s="34"/>
      <c r="R186" s="34"/>
      <c r="S186" s="33" t="str">
        <f aca="false">IF(OR(B186="",L186=""),"",INDEX(Lists!$AB$4:$AB$8,MATCH(L186,Lists!$AA$4:$AA$8,0)))</f>
        <v/>
      </c>
      <c r="T186" s="43" t="str">
        <f aca="false">IF(OR(S186="",ISERROR(S186)),"",B186+S186)</f>
        <v/>
      </c>
      <c r="U186" s="34"/>
      <c r="V186" s="35"/>
      <c r="W186" s="33" t="str">
        <f aca="true">IF(B186="","",IF(V186&lt;&gt;"",V186-B186,TODAY()-B186))</f>
        <v/>
      </c>
      <c r="X186" s="38" t="str">
        <f aca="true">IF(OR(B186="",T186="",U186="False Positive",U186="Risk Accepted"),"",IF(V186&lt;&gt;"",IF(V186&gt;T186,"Closed Late","Met"),IF(TODAY()&gt;T186,"SLA BREACH",IF(T186-TODAY()&lt;=7,"Due ≤7d","Within SLA"))))</f>
        <v/>
      </c>
      <c r="Y186" s="34"/>
      <c r="Z186" s="34"/>
      <c r="AA186" s="21"/>
    </row>
    <row r="187" customFormat="false" ht="15" hidden="false" customHeight="false" outlineLevel="0" collapsed="false">
      <c r="A187" s="6" t="s">
        <v>2033</v>
      </c>
      <c r="B187" s="35"/>
      <c r="C187" s="34"/>
      <c r="D187" s="34"/>
      <c r="E187" s="21"/>
      <c r="F187" s="34"/>
      <c r="G187" s="34"/>
      <c r="H187" s="34"/>
      <c r="I187" s="34"/>
      <c r="J187" s="21"/>
      <c r="K187" s="34"/>
      <c r="L187" s="34"/>
      <c r="M187" s="34"/>
      <c r="N187" s="21"/>
      <c r="O187" s="21"/>
      <c r="P187" s="21"/>
      <c r="Q187" s="34"/>
      <c r="R187" s="34"/>
      <c r="S187" s="33" t="str">
        <f aca="false">IF(OR(B187="",L187=""),"",INDEX(Lists!$AB$4:$AB$8,MATCH(L187,Lists!$AA$4:$AA$8,0)))</f>
        <v/>
      </c>
      <c r="T187" s="43" t="str">
        <f aca="false">IF(OR(S187="",ISERROR(S187)),"",B187+S187)</f>
        <v/>
      </c>
      <c r="U187" s="34"/>
      <c r="V187" s="35"/>
      <c r="W187" s="33" t="str">
        <f aca="true">IF(B187="","",IF(V187&lt;&gt;"",V187-B187,TODAY()-B187))</f>
        <v/>
      </c>
      <c r="X187" s="38" t="str">
        <f aca="true">IF(OR(B187="",T187="",U187="False Positive",U187="Risk Accepted"),"",IF(V187&lt;&gt;"",IF(V187&gt;T187,"Closed Late","Met"),IF(TODAY()&gt;T187,"SLA BREACH",IF(T187-TODAY()&lt;=7,"Due ≤7d","Within SLA"))))</f>
        <v/>
      </c>
      <c r="Y187" s="34"/>
      <c r="Z187" s="34"/>
      <c r="AA187" s="21"/>
    </row>
    <row r="188" customFormat="false" ht="15" hidden="false" customHeight="false" outlineLevel="0" collapsed="false">
      <c r="A188" s="6" t="s">
        <v>2034</v>
      </c>
      <c r="B188" s="35"/>
      <c r="C188" s="34"/>
      <c r="D188" s="34"/>
      <c r="E188" s="21"/>
      <c r="F188" s="34"/>
      <c r="G188" s="34"/>
      <c r="H188" s="34"/>
      <c r="I188" s="34"/>
      <c r="J188" s="21"/>
      <c r="K188" s="34"/>
      <c r="L188" s="34"/>
      <c r="M188" s="34"/>
      <c r="N188" s="21"/>
      <c r="O188" s="21"/>
      <c r="P188" s="21"/>
      <c r="Q188" s="34"/>
      <c r="R188" s="34"/>
      <c r="S188" s="33" t="str">
        <f aca="false">IF(OR(B188="",L188=""),"",INDEX(Lists!$AB$4:$AB$8,MATCH(L188,Lists!$AA$4:$AA$8,0)))</f>
        <v/>
      </c>
      <c r="T188" s="43" t="str">
        <f aca="false">IF(OR(S188="",ISERROR(S188)),"",B188+S188)</f>
        <v/>
      </c>
      <c r="U188" s="34"/>
      <c r="V188" s="35"/>
      <c r="W188" s="33" t="str">
        <f aca="true">IF(B188="","",IF(V188&lt;&gt;"",V188-B188,TODAY()-B188))</f>
        <v/>
      </c>
      <c r="X188" s="38" t="str">
        <f aca="true">IF(OR(B188="",T188="",U188="False Positive",U188="Risk Accepted"),"",IF(V188&lt;&gt;"",IF(V188&gt;T188,"Closed Late","Met"),IF(TODAY()&gt;T188,"SLA BREACH",IF(T188-TODAY()&lt;=7,"Due ≤7d","Within SLA"))))</f>
        <v/>
      </c>
      <c r="Y188" s="34"/>
      <c r="Z188" s="34"/>
      <c r="AA188" s="21"/>
    </row>
    <row r="189" customFormat="false" ht="15" hidden="false" customHeight="false" outlineLevel="0" collapsed="false">
      <c r="A189" s="6" t="s">
        <v>2035</v>
      </c>
      <c r="B189" s="35"/>
      <c r="C189" s="34"/>
      <c r="D189" s="34"/>
      <c r="E189" s="21"/>
      <c r="F189" s="34"/>
      <c r="G189" s="34"/>
      <c r="H189" s="34"/>
      <c r="I189" s="34"/>
      <c r="J189" s="21"/>
      <c r="K189" s="34"/>
      <c r="L189" s="34"/>
      <c r="M189" s="34"/>
      <c r="N189" s="21"/>
      <c r="O189" s="21"/>
      <c r="P189" s="21"/>
      <c r="Q189" s="34"/>
      <c r="R189" s="34"/>
      <c r="S189" s="33" t="str">
        <f aca="false">IF(OR(B189="",L189=""),"",INDEX(Lists!$AB$4:$AB$8,MATCH(L189,Lists!$AA$4:$AA$8,0)))</f>
        <v/>
      </c>
      <c r="T189" s="43" t="str">
        <f aca="false">IF(OR(S189="",ISERROR(S189)),"",B189+S189)</f>
        <v/>
      </c>
      <c r="U189" s="34"/>
      <c r="V189" s="35"/>
      <c r="W189" s="33" t="str">
        <f aca="true">IF(B189="","",IF(V189&lt;&gt;"",V189-B189,TODAY()-B189))</f>
        <v/>
      </c>
      <c r="X189" s="38" t="str">
        <f aca="true">IF(OR(B189="",T189="",U189="False Positive",U189="Risk Accepted"),"",IF(V189&lt;&gt;"",IF(V189&gt;T189,"Closed Late","Met"),IF(TODAY()&gt;T189,"SLA BREACH",IF(T189-TODAY()&lt;=7,"Due ≤7d","Within SLA"))))</f>
        <v/>
      </c>
      <c r="Y189" s="34"/>
      <c r="Z189" s="34"/>
      <c r="AA189" s="21"/>
    </row>
    <row r="190" customFormat="false" ht="15" hidden="false" customHeight="false" outlineLevel="0" collapsed="false">
      <c r="A190" s="6" t="s">
        <v>2036</v>
      </c>
      <c r="B190" s="35"/>
      <c r="C190" s="34"/>
      <c r="D190" s="34"/>
      <c r="E190" s="21"/>
      <c r="F190" s="34"/>
      <c r="G190" s="34"/>
      <c r="H190" s="34"/>
      <c r="I190" s="34"/>
      <c r="J190" s="21"/>
      <c r="K190" s="34"/>
      <c r="L190" s="34"/>
      <c r="M190" s="34"/>
      <c r="N190" s="21"/>
      <c r="O190" s="21"/>
      <c r="P190" s="21"/>
      <c r="Q190" s="34"/>
      <c r="R190" s="34"/>
      <c r="S190" s="33" t="str">
        <f aca="false">IF(OR(B190="",L190=""),"",INDEX(Lists!$AB$4:$AB$8,MATCH(L190,Lists!$AA$4:$AA$8,0)))</f>
        <v/>
      </c>
      <c r="T190" s="43" t="str">
        <f aca="false">IF(OR(S190="",ISERROR(S190)),"",B190+S190)</f>
        <v/>
      </c>
      <c r="U190" s="34"/>
      <c r="V190" s="35"/>
      <c r="W190" s="33" t="str">
        <f aca="true">IF(B190="","",IF(V190&lt;&gt;"",V190-B190,TODAY()-B190))</f>
        <v/>
      </c>
      <c r="X190" s="38" t="str">
        <f aca="true">IF(OR(B190="",T190="",U190="False Positive",U190="Risk Accepted"),"",IF(V190&lt;&gt;"",IF(V190&gt;T190,"Closed Late","Met"),IF(TODAY()&gt;T190,"SLA BREACH",IF(T190-TODAY()&lt;=7,"Due ≤7d","Within SLA"))))</f>
        <v/>
      </c>
      <c r="Y190" s="34"/>
      <c r="Z190" s="34"/>
      <c r="AA190" s="21"/>
    </row>
    <row r="191" customFormat="false" ht="15" hidden="false" customHeight="false" outlineLevel="0" collapsed="false">
      <c r="A191" s="6" t="s">
        <v>2037</v>
      </c>
      <c r="B191" s="35"/>
      <c r="C191" s="34"/>
      <c r="D191" s="34"/>
      <c r="E191" s="21"/>
      <c r="F191" s="34"/>
      <c r="G191" s="34"/>
      <c r="H191" s="34"/>
      <c r="I191" s="34"/>
      <c r="J191" s="21"/>
      <c r="K191" s="34"/>
      <c r="L191" s="34"/>
      <c r="M191" s="34"/>
      <c r="N191" s="21"/>
      <c r="O191" s="21"/>
      <c r="P191" s="21"/>
      <c r="Q191" s="34"/>
      <c r="R191" s="34"/>
      <c r="S191" s="33" t="str">
        <f aca="false">IF(OR(B191="",L191=""),"",INDEX(Lists!$AB$4:$AB$8,MATCH(L191,Lists!$AA$4:$AA$8,0)))</f>
        <v/>
      </c>
      <c r="T191" s="43" t="str">
        <f aca="false">IF(OR(S191="",ISERROR(S191)),"",B191+S191)</f>
        <v/>
      </c>
      <c r="U191" s="34"/>
      <c r="V191" s="35"/>
      <c r="W191" s="33" t="str">
        <f aca="true">IF(B191="","",IF(V191&lt;&gt;"",V191-B191,TODAY()-B191))</f>
        <v/>
      </c>
      <c r="X191" s="38" t="str">
        <f aca="true">IF(OR(B191="",T191="",U191="False Positive",U191="Risk Accepted"),"",IF(V191&lt;&gt;"",IF(V191&gt;T191,"Closed Late","Met"),IF(TODAY()&gt;T191,"SLA BREACH",IF(T191-TODAY()&lt;=7,"Due ≤7d","Within SLA"))))</f>
        <v/>
      </c>
      <c r="Y191" s="34"/>
      <c r="Z191" s="34"/>
      <c r="AA191" s="21"/>
    </row>
    <row r="192" customFormat="false" ht="15" hidden="false" customHeight="false" outlineLevel="0" collapsed="false">
      <c r="A192" s="6" t="s">
        <v>2038</v>
      </c>
      <c r="B192" s="35"/>
      <c r="C192" s="34"/>
      <c r="D192" s="34"/>
      <c r="E192" s="21"/>
      <c r="F192" s="34"/>
      <c r="G192" s="34"/>
      <c r="H192" s="34"/>
      <c r="I192" s="34"/>
      <c r="J192" s="21"/>
      <c r="K192" s="34"/>
      <c r="L192" s="34"/>
      <c r="M192" s="34"/>
      <c r="N192" s="21"/>
      <c r="O192" s="21"/>
      <c r="P192" s="21"/>
      <c r="Q192" s="34"/>
      <c r="R192" s="34"/>
      <c r="S192" s="33" t="str">
        <f aca="false">IF(OR(B192="",L192=""),"",INDEX(Lists!$AB$4:$AB$8,MATCH(L192,Lists!$AA$4:$AA$8,0)))</f>
        <v/>
      </c>
      <c r="T192" s="43" t="str">
        <f aca="false">IF(OR(S192="",ISERROR(S192)),"",B192+S192)</f>
        <v/>
      </c>
      <c r="U192" s="34"/>
      <c r="V192" s="35"/>
      <c r="W192" s="33" t="str">
        <f aca="true">IF(B192="","",IF(V192&lt;&gt;"",V192-B192,TODAY()-B192))</f>
        <v/>
      </c>
      <c r="X192" s="38" t="str">
        <f aca="true">IF(OR(B192="",T192="",U192="False Positive",U192="Risk Accepted"),"",IF(V192&lt;&gt;"",IF(V192&gt;T192,"Closed Late","Met"),IF(TODAY()&gt;T192,"SLA BREACH",IF(T192-TODAY()&lt;=7,"Due ≤7d","Within SLA"))))</f>
        <v/>
      </c>
      <c r="Y192" s="34"/>
      <c r="Z192" s="34"/>
      <c r="AA192" s="21"/>
    </row>
    <row r="193" customFormat="false" ht="15" hidden="false" customHeight="false" outlineLevel="0" collapsed="false">
      <c r="A193" s="6" t="s">
        <v>2039</v>
      </c>
      <c r="B193" s="35"/>
      <c r="C193" s="34"/>
      <c r="D193" s="34"/>
      <c r="E193" s="21"/>
      <c r="F193" s="34"/>
      <c r="G193" s="34"/>
      <c r="H193" s="34"/>
      <c r="I193" s="34"/>
      <c r="J193" s="21"/>
      <c r="K193" s="34"/>
      <c r="L193" s="34"/>
      <c r="M193" s="34"/>
      <c r="N193" s="21"/>
      <c r="O193" s="21"/>
      <c r="P193" s="21"/>
      <c r="Q193" s="34"/>
      <c r="R193" s="34"/>
      <c r="S193" s="33" t="str">
        <f aca="false">IF(OR(B193="",L193=""),"",INDEX(Lists!$AB$4:$AB$8,MATCH(L193,Lists!$AA$4:$AA$8,0)))</f>
        <v/>
      </c>
      <c r="T193" s="43" t="str">
        <f aca="false">IF(OR(S193="",ISERROR(S193)),"",B193+S193)</f>
        <v/>
      </c>
      <c r="U193" s="34"/>
      <c r="V193" s="35"/>
      <c r="W193" s="33" t="str">
        <f aca="true">IF(B193="","",IF(V193&lt;&gt;"",V193-B193,TODAY()-B193))</f>
        <v/>
      </c>
      <c r="X193" s="38" t="str">
        <f aca="true">IF(OR(B193="",T193="",U193="False Positive",U193="Risk Accepted"),"",IF(V193&lt;&gt;"",IF(V193&gt;T193,"Closed Late","Met"),IF(TODAY()&gt;T193,"SLA BREACH",IF(T193-TODAY()&lt;=7,"Due ≤7d","Within SLA"))))</f>
        <v/>
      </c>
      <c r="Y193" s="34"/>
      <c r="Z193" s="34"/>
      <c r="AA193" s="21"/>
    </row>
    <row r="194" customFormat="false" ht="15" hidden="false" customHeight="false" outlineLevel="0" collapsed="false">
      <c r="A194" s="6" t="s">
        <v>2040</v>
      </c>
      <c r="B194" s="35"/>
      <c r="C194" s="34"/>
      <c r="D194" s="34"/>
      <c r="E194" s="21"/>
      <c r="F194" s="34"/>
      <c r="G194" s="34"/>
      <c r="H194" s="34"/>
      <c r="I194" s="34"/>
      <c r="J194" s="21"/>
      <c r="K194" s="34"/>
      <c r="L194" s="34"/>
      <c r="M194" s="34"/>
      <c r="N194" s="21"/>
      <c r="O194" s="21"/>
      <c r="P194" s="21"/>
      <c r="Q194" s="34"/>
      <c r="R194" s="34"/>
      <c r="S194" s="33" t="str">
        <f aca="false">IF(OR(B194="",L194=""),"",INDEX(Lists!$AB$4:$AB$8,MATCH(L194,Lists!$AA$4:$AA$8,0)))</f>
        <v/>
      </c>
      <c r="T194" s="43" t="str">
        <f aca="false">IF(OR(S194="",ISERROR(S194)),"",B194+S194)</f>
        <v/>
      </c>
      <c r="U194" s="34"/>
      <c r="V194" s="35"/>
      <c r="W194" s="33" t="str">
        <f aca="true">IF(B194="","",IF(V194&lt;&gt;"",V194-B194,TODAY()-B194))</f>
        <v/>
      </c>
      <c r="X194" s="38" t="str">
        <f aca="true">IF(OR(B194="",T194="",U194="False Positive",U194="Risk Accepted"),"",IF(V194&lt;&gt;"",IF(V194&gt;T194,"Closed Late","Met"),IF(TODAY()&gt;T194,"SLA BREACH",IF(T194-TODAY()&lt;=7,"Due ≤7d","Within SLA"))))</f>
        <v/>
      </c>
      <c r="Y194" s="34"/>
      <c r="Z194" s="34"/>
      <c r="AA194" s="21"/>
    </row>
    <row r="195" customFormat="false" ht="15" hidden="false" customHeight="false" outlineLevel="0" collapsed="false">
      <c r="A195" s="6" t="s">
        <v>2041</v>
      </c>
      <c r="B195" s="35"/>
      <c r="C195" s="34"/>
      <c r="D195" s="34"/>
      <c r="E195" s="21"/>
      <c r="F195" s="34"/>
      <c r="G195" s="34"/>
      <c r="H195" s="34"/>
      <c r="I195" s="34"/>
      <c r="J195" s="21"/>
      <c r="K195" s="34"/>
      <c r="L195" s="34"/>
      <c r="M195" s="34"/>
      <c r="N195" s="21"/>
      <c r="O195" s="21"/>
      <c r="P195" s="21"/>
      <c r="Q195" s="34"/>
      <c r="R195" s="34"/>
      <c r="S195" s="33" t="str">
        <f aca="false">IF(OR(B195="",L195=""),"",INDEX(Lists!$AB$4:$AB$8,MATCH(L195,Lists!$AA$4:$AA$8,0)))</f>
        <v/>
      </c>
      <c r="T195" s="43" t="str">
        <f aca="false">IF(OR(S195="",ISERROR(S195)),"",B195+S195)</f>
        <v/>
      </c>
      <c r="U195" s="34"/>
      <c r="V195" s="35"/>
      <c r="W195" s="33" t="str">
        <f aca="true">IF(B195="","",IF(V195&lt;&gt;"",V195-B195,TODAY()-B195))</f>
        <v/>
      </c>
      <c r="X195" s="38" t="str">
        <f aca="true">IF(OR(B195="",T195="",U195="False Positive",U195="Risk Accepted"),"",IF(V195&lt;&gt;"",IF(V195&gt;T195,"Closed Late","Met"),IF(TODAY()&gt;T195,"SLA BREACH",IF(T195-TODAY()&lt;=7,"Due ≤7d","Within SLA"))))</f>
        <v/>
      </c>
      <c r="Y195" s="34"/>
      <c r="Z195" s="34"/>
      <c r="AA195" s="21"/>
    </row>
    <row r="196" customFormat="false" ht="15" hidden="false" customHeight="false" outlineLevel="0" collapsed="false">
      <c r="A196" s="6" t="s">
        <v>2042</v>
      </c>
      <c r="B196" s="35"/>
      <c r="C196" s="34"/>
      <c r="D196" s="34"/>
      <c r="E196" s="21"/>
      <c r="F196" s="34"/>
      <c r="G196" s="34"/>
      <c r="H196" s="34"/>
      <c r="I196" s="34"/>
      <c r="J196" s="21"/>
      <c r="K196" s="34"/>
      <c r="L196" s="34"/>
      <c r="M196" s="34"/>
      <c r="N196" s="21"/>
      <c r="O196" s="21"/>
      <c r="P196" s="21"/>
      <c r="Q196" s="34"/>
      <c r="R196" s="34"/>
      <c r="S196" s="33" t="str">
        <f aca="false">IF(OR(B196="",L196=""),"",INDEX(Lists!$AB$4:$AB$8,MATCH(L196,Lists!$AA$4:$AA$8,0)))</f>
        <v/>
      </c>
      <c r="T196" s="43" t="str">
        <f aca="false">IF(OR(S196="",ISERROR(S196)),"",B196+S196)</f>
        <v/>
      </c>
      <c r="U196" s="34"/>
      <c r="V196" s="35"/>
      <c r="W196" s="33" t="str">
        <f aca="true">IF(B196="","",IF(V196&lt;&gt;"",V196-B196,TODAY()-B196))</f>
        <v/>
      </c>
      <c r="X196" s="38" t="str">
        <f aca="true">IF(OR(B196="",T196="",U196="False Positive",U196="Risk Accepted"),"",IF(V196&lt;&gt;"",IF(V196&gt;T196,"Closed Late","Met"),IF(TODAY()&gt;T196,"SLA BREACH",IF(T196-TODAY()&lt;=7,"Due ≤7d","Within SLA"))))</f>
        <v/>
      </c>
      <c r="Y196" s="34"/>
      <c r="Z196" s="34"/>
      <c r="AA196" s="21"/>
    </row>
    <row r="197" customFormat="false" ht="15" hidden="false" customHeight="false" outlineLevel="0" collapsed="false">
      <c r="A197" s="6" t="s">
        <v>2043</v>
      </c>
      <c r="B197" s="35"/>
      <c r="C197" s="34"/>
      <c r="D197" s="34"/>
      <c r="E197" s="21"/>
      <c r="F197" s="34"/>
      <c r="G197" s="34"/>
      <c r="H197" s="34"/>
      <c r="I197" s="34"/>
      <c r="J197" s="21"/>
      <c r="K197" s="34"/>
      <c r="L197" s="34"/>
      <c r="M197" s="34"/>
      <c r="N197" s="21"/>
      <c r="O197" s="21"/>
      <c r="P197" s="21"/>
      <c r="Q197" s="34"/>
      <c r="R197" s="34"/>
      <c r="S197" s="33" t="str">
        <f aca="false">IF(OR(B197="",L197=""),"",INDEX(Lists!$AB$4:$AB$8,MATCH(L197,Lists!$AA$4:$AA$8,0)))</f>
        <v/>
      </c>
      <c r="T197" s="43" t="str">
        <f aca="false">IF(OR(S197="",ISERROR(S197)),"",B197+S197)</f>
        <v/>
      </c>
      <c r="U197" s="34"/>
      <c r="V197" s="35"/>
      <c r="W197" s="33" t="str">
        <f aca="true">IF(B197="","",IF(V197&lt;&gt;"",V197-B197,TODAY()-B197))</f>
        <v/>
      </c>
      <c r="X197" s="38" t="str">
        <f aca="true">IF(OR(B197="",T197="",U197="False Positive",U197="Risk Accepted"),"",IF(V197&lt;&gt;"",IF(V197&gt;T197,"Closed Late","Met"),IF(TODAY()&gt;T197,"SLA BREACH",IF(T197-TODAY()&lt;=7,"Due ≤7d","Within SLA"))))</f>
        <v/>
      </c>
      <c r="Y197" s="34"/>
      <c r="Z197" s="34"/>
      <c r="AA197" s="21"/>
    </row>
    <row r="198" customFormat="false" ht="15" hidden="false" customHeight="false" outlineLevel="0" collapsed="false">
      <c r="A198" s="6" t="s">
        <v>2044</v>
      </c>
      <c r="B198" s="35"/>
      <c r="C198" s="34"/>
      <c r="D198" s="34"/>
      <c r="E198" s="21"/>
      <c r="F198" s="34"/>
      <c r="G198" s="34"/>
      <c r="H198" s="34"/>
      <c r="I198" s="34"/>
      <c r="J198" s="21"/>
      <c r="K198" s="34"/>
      <c r="L198" s="34"/>
      <c r="M198" s="34"/>
      <c r="N198" s="21"/>
      <c r="O198" s="21"/>
      <c r="P198" s="21"/>
      <c r="Q198" s="34"/>
      <c r="R198" s="34"/>
      <c r="S198" s="33" t="str">
        <f aca="false">IF(OR(B198="",L198=""),"",INDEX(Lists!$AB$4:$AB$8,MATCH(L198,Lists!$AA$4:$AA$8,0)))</f>
        <v/>
      </c>
      <c r="T198" s="43" t="str">
        <f aca="false">IF(OR(S198="",ISERROR(S198)),"",B198+S198)</f>
        <v/>
      </c>
      <c r="U198" s="34"/>
      <c r="V198" s="35"/>
      <c r="W198" s="33" t="str">
        <f aca="true">IF(B198="","",IF(V198&lt;&gt;"",V198-B198,TODAY()-B198))</f>
        <v/>
      </c>
      <c r="X198" s="38" t="str">
        <f aca="true">IF(OR(B198="",T198="",U198="False Positive",U198="Risk Accepted"),"",IF(V198&lt;&gt;"",IF(V198&gt;T198,"Closed Late","Met"),IF(TODAY()&gt;T198,"SLA BREACH",IF(T198-TODAY()&lt;=7,"Due ≤7d","Within SLA"))))</f>
        <v/>
      </c>
      <c r="Y198" s="34"/>
      <c r="Z198" s="34"/>
      <c r="AA198" s="21"/>
    </row>
    <row r="199" customFormat="false" ht="15" hidden="false" customHeight="false" outlineLevel="0" collapsed="false">
      <c r="A199" s="6" t="s">
        <v>2045</v>
      </c>
      <c r="B199" s="35"/>
      <c r="C199" s="34"/>
      <c r="D199" s="34"/>
      <c r="E199" s="21"/>
      <c r="F199" s="34"/>
      <c r="G199" s="34"/>
      <c r="H199" s="34"/>
      <c r="I199" s="34"/>
      <c r="J199" s="21"/>
      <c r="K199" s="34"/>
      <c r="L199" s="34"/>
      <c r="M199" s="34"/>
      <c r="N199" s="21"/>
      <c r="O199" s="21"/>
      <c r="P199" s="21"/>
      <c r="Q199" s="34"/>
      <c r="R199" s="34"/>
      <c r="S199" s="33" t="str">
        <f aca="false">IF(OR(B199="",L199=""),"",INDEX(Lists!$AB$4:$AB$8,MATCH(L199,Lists!$AA$4:$AA$8,0)))</f>
        <v/>
      </c>
      <c r="T199" s="43" t="str">
        <f aca="false">IF(OR(S199="",ISERROR(S199)),"",B199+S199)</f>
        <v/>
      </c>
      <c r="U199" s="34"/>
      <c r="V199" s="35"/>
      <c r="W199" s="33" t="str">
        <f aca="true">IF(B199="","",IF(V199&lt;&gt;"",V199-B199,TODAY()-B199))</f>
        <v/>
      </c>
      <c r="X199" s="38" t="str">
        <f aca="true">IF(OR(B199="",T199="",U199="False Positive",U199="Risk Accepted"),"",IF(V199&lt;&gt;"",IF(V199&gt;T199,"Closed Late","Met"),IF(TODAY()&gt;T199,"SLA BREACH",IF(T199-TODAY()&lt;=7,"Due ≤7d","Within SLA"))))</f>
        <v/>
      </c>
      <c r="Y199" s="34"/>
      <c r="Z199" s="34"/>
      <c r="AA199" s="21"/>
    </row>
    <row r="200" customFormat="false" ht="15" hidden="false" customHeight="false" outlineLevel="0" collapsed="false">
      <c r="A200" s="6" t="s">
        <v>2046</v>
      </c>
      <c r="B200" s="35"/>
      <c r="C200" s="34"/>
      <c r="D200" s="34"/>
      <c r="E200" s="21"/>
      <c r="F200" s="34"/>
      <c r="G200" s="34"/>
      <c r="H200" s="34"/>
      <c r="I200" s="34"/>
      <c r="J200" s="21"/>
      <c r="K200" s="34"/>
      <c r="L200" s="34"/>
      <c r="M200" s="34"/>
      <c r="N200" s="21"/>
      <c r="O200" s="21"/>
      <c r="P200" s="21"/>
      <c r="Q200" s="34"/>
      <c r="R200" s="34"/>
      <c r="S200" s="33" t="str">
        <f aca="false">IF(OR(B200="",L200=""),"",INDEX(Lists!$AB$4:$AB$8,MATCH(L200,Lists!$AA$4:$AA$8,0)))</f>
        <v/>
      </c>
      <c r="T200" s="43" t="str">
        <f aca="false">IF(OR(S200="",ISERROR(S200)),"",B200+S200)</f>
        <v/>
      </c>
      <c r="U200" s="34"/>
      <c r="V200" s="35"/>
      <c r="W200" s="33" t="str">
        <f aca="true">IF(B200="","",IF(V200&lt;&gt;"",V200-B200,TODAY()-B200))</f>
        <v/>
      </c>
      <c r="X200" s="38" t="str">
        <f aca="true">IF(OR(B200="",T200="",U200="False Positive",U200="Risk Accepted"),"",IF(V200&lt;&gt;"",IF(V200&gt;T200,"Closed Late","Met"),IF(TODAY()&gt;T200,"SLA BREACH",IF(T200-TODAY()&lt;=7,"Due ≤7d","Within SLA"))))</f>
        <v/>
      </c>
      <c r="Y200" s="34"/>
      <c r="Z200" s="34"/>
      <c r="AA200" s="21"/>
    </row>
    <row r="201" customFormat="false" ht="15" hidden="false" customHeight="false" outlineLevel="0" collapsed="false">
      <c r="A201" s="6" t="s">
        <v>2047</v>
      </c>
      <c r="B201" s="35"/>
      <c r="C201" s="34"/>
      <c r="D201" s="34"/>
      <c r="E201" s="21"/>
      <c r="F201" s="34"/>
      <c r="G201" s="34"/>
      <c r="H201" s="34"/>
      <c r="I201" s="34"/>
      <c r="J201" s="21"/>
      <c r="K201" s="34"/>
      <c r="L201" s="34"/>
      <c r="M201" s="34"/>
      <c r="N201" s="21"/>
      <c r="O201" s="21"/>
      <c r="P201" s="21"/>
      <c r="Q201" s="34"/>
      <c r="R201" s="34"/>
      <c r="S201" s="33" t="str">
        <f aca="false">IF(OR(B201="",L201=""),"",INDEX(Lists!$AB$4:$AB$8,MATCH(L201,Lists!$AA$4:$AA$8,0)))</f>
        <v/>
      </c>
      <c r="T201" s="43" t="str">
        <f aca="false">IF(OR(S201="",ISERROR(S201)),"",B201+S201)</f>
        <v/>
      </c>
      <c r="U201" s="34"/>
      <c r="V201" s="35"/>
      <c r="W201" s="33" t="str">
        <f aca="true">IF(B201="","",IF(V201&lt;&gt;"",V201-B201,TODAY()-B201))</f>
        <v/>
      </c>
      <c r="X201" s="38" t="str">
        <f aca="true">IF(OR(B201="",T201="",U201="False Positive",U201="Risk Accepted"),"",IF(V201&lt;&gt;"",IF(V201&gt;T201,"Closed Late","Met"),IF(TODAY()&gt;T201,"SLA BREACH",IF(T201-TODAY()&lt;=7,"Due ≤7d","Within SLA"))))</f>
        <v/>
      </c>
      <c r="Y201" s="34"/>
      <c r="Z201" s="34"/>
      <c r="AA201" s="21"/>
    </row>
    <row r="202" customFormat="false" ht="15" hidden="false" customHeight="false" outlineLevel="0" collapsed="false">
      <c r="A202" s="6" t="s">
        <v>2048</v>
      </c>
      <c r="B202" s="35"/>
      <c r="C202" s="34"/>
      <c r="D202" s="34"/>
      <c r="E202" s="21"/>
      <c r="F202" s="34"/>
      <c r="G202" s="34"/>
      <c r="H202" s="34"/>
      <c r="I202" s="34"/>
      <c r="J202" s="21"/>
      <c r="K202" s="34"/>
      <c r="L202" s="34"/>
      <c r="M202" s="34"/>
      <c r="N202" s="21"/>
      <c r="O202" s="21"/>
      <c r="P202" s="21"/>
      <c r="Q202" s="34"/>
      <c r="R202" s="34"/>
      <c r="S202" s="33" t="str">
        <f aca="false">IF(OR(B202="",L202=""),"",INDEX(Lists!$AB$4:$AB$8,MATCH(L202,Lists!$AA$4:$AA$8,0)))</f>
        <v/>
      </c>
      <c r="T202" s="43" t="str">
        <f aca="false">IF(OR(S202="",ISERROR(S202)),"",B202+S202)</f>
        <v/>
      </c>
      <c r="U202" s="34"/>
      <c r="V202" s="35"/>
      <c r="W202" s="33" t="str">
        <f aca="true">IF(B202="","",IF(V202&lt;&gt;"",V202-B202,TODAY()-B202))</f>
        <v/>
      </c>
      <c r="X202" s="38" t="str">
        <f aca="true">IF(OR(B202="",T202="",U202="False Positive",U202="Risk Accepted"),"",IF(V202&lt;&gt;"",IF(V202&gt;T202,"Closed Late","Met"),IF(TODAY()&gt;T202,"SLA BREACH",IF(T202-TODAY()&lt;=7,"Due ≤7d","Within SLA"))))</f>
        <v/>
      </c>
      <c r="Y202" s="34"/>
      <c r="Z202" s="34"/>
      <c r="AA202" s="21"/>
    </row>
    <row r="203" customFormat="false" ht="15" hidden="false" customHeight="false" outlineLevel="0" collapsed="false">
      <c r="A203" s="6" t="s">
        <v>2049</v>
      </c>
      <c r="B203" s="35"/>
      <c r="C203" s="34"/>
      <c r="D203" s="34"/>
      <c r="E203" s="21"/>
      <c r="F203" s="34"/>
      <c r="G203" s="34"/>
      <c r="H203" s="34"/>
      <c r="I203" s="34"/>
      <c r="J203" s="21"/>
      <c r="K203" s="34"/>
      <c r="L203" s="34"/>
      <c r="M203" s="34"/>
      <c r="N203" s="21"/>
      <c r="O203" s="21"/>
      <c r="P203" s="21"/>
      <c r="Q203" s="34"/>
      <c r="R203" s="34"/>
      <c r="S203" s="33" t="str">
        <f aca="false">IF(OR(B203="",L203=""),"",INDEX(Lists!$AB$4:$AB$8,MATCH(L203,Lists!$AA$4:$AA$8,0)))</f>
        <v/>
      </c>
      <c r="T203" s="43" t="str">
        <f aca="false">IF(OR(S203="",ISERROR(S203)),"",B203+S203)</f>
        <v/>
      </c>
      <c r="U203" s="34"/>
      <c r="V203" s="35"/>
      <c r="W203" s="33" t="str">
        <f aca="true">IF(B203="","",IF(V203&lt;&gt;"",V203-B203,TODAY()-B203))</f>
        <v/>
      </c>
      <c r="X203" s="38" t="str">
        <f aca="true">IF(OR(B203="",T203="",U203="False Positive",U203="Risk Accepted"),"",IF(V203&lt;&gt;"",IF(V203&gt;T203,"Closed Late","Met"),IF(TODAY()&gt;T203,"SLA BREACH",IF(T203-TODAY()&lt;=7,"Due ≤7d","Within SLA"))))</f>
        <v/>
      </c>
      <c r="Y203" s="34"/>
      <c r="Z203" s="34"/>
      <c r="AA203" s="21"/>
    </row>
    <row r="204" customFormat="false" ht="15" hidden="false" customHeight="false" outlineLevel="0" collapsed="false">
      <c r="A204" s="6" t="s">
        <v>2050</v>
      </c>
      <c r="B204" s="35"/>
      <c r="C204" s="34"/>
      <c r="D204" s="34"/>
      <c r="E204" s="21"/>
      <c r="F204" s="34"/>
      <c r="G204" s="34"/>
      <c r="H204" s="34"/>
      <c r="I204" s="34"/>
      <c r="J204" s="21"/>
      <c r="K204" s="34"/>
      <c r="L204" s="34"/>
      <c r="M204" s="34"/>
      <c r="N204" s="21"/>
      <c r="O204" s="21"/>
      <c r="P204" s="21"/>
      <c r="Q204" s="34"/>
      <c r="R204" s="34"/>
      <c r="S204" s="33" t="str">
        <f aca="false">IF(OR(B204="",L204=""),"",INDEX(Lists!$AB$4:$AB$8,MATCH(L204,Lists!$AA$4:$AA$8,0)))</f>
        <v/>
      </c>
      <c r="T204" s="43" t="str">
        <f aca="false">IF(OR(S204="",ISERROR(S204)),"",B204+S204)</f>
        <v/>
      </c>
      <c r="U204" s="34"/>
      <c r="V204" s="35"/>
      <c r="W204" s="33" t="str">
        <f aca="true">IF(B204="","",IF(V204&lt;&gt;"",V204-B204,TODAY()-B204))</f>
        <v/>
      </c>
      <c r="X204" s="38" t="str">
        <f aca="true">IF(OR(B204="",T204="",U204="False Positive",U204="Risk Accepted"),"",IF(V204&lt;&gt;"",IF(V204&gt;T204,"Closed Late","Met"),IF(TODAY()&gt;T204,"SLA BREACH",IF(T204-TODAY()&lt;=7,"Due ≤7d","Within SLA"))))</f>
        <v/>
      </c>
      <c r="Y204" s="34"/>
      <c r="Z204" s="34"/>
      <c r="AA204" s="21"/>
    </row>
    <row r="205" customFormat="false" ht="15" hidden="false" customHeight="false" outlineLevel="0" collapsed="false">
      <c r="A205" s="6" t="s">
        <v>2051</v>
      </c>
      <c r="B205" s="35"/>
      <c r="C205" s="34"/>
      <c r="D205" s="34"/>
      <c r="E205" s="21"/>
      <c r="F205" s="34"/>
      <c r="G205" s="34"/>
      <c r="H205" s="34"/>
      <c r="I205" s="34"/>
      <c r="J205" s="21"/>
      <c r="K205" s="34"/>
      <c r="L205" s="34"/>
      <c r="M205" s="34"/>
      <c r="N205" s="21"/>
      <c r="O205" s="21"/>
      <c r="P205" s="21"/>
      <c r="Q205" s="34"/>
      <c r="R205" s="34"/>
      <c r="S205" s="33" t="str">
        <f aca="false">IF(OR(B205="",L205=""),"",INDEX(Lists!$AB$4:$AB$8,MATCH(L205,Lists!$AA$4:$AA$8,0)))</f>
        <v/>
      </c>
      <c r="T205" s="43" t="str">
        <f aca="false">IF(OR(S205="",ISERROR(S205)),"",B205+S205)</f>
        <v/>
      </c>
      <c r="U205" s="34"/>
      <c r="V205" s="35"/>
      <c r="W205" s="33" t="str">
        <f aca="true">IF(B205="","",IF(V205&lt;&gt;"",V205-B205,TODAY()-B205))</f>
        <v/>
      </c>
      <c r="X205" s="38" t="str">
        <f aca="true">IF(OR(B205="",T205="",U205="False Positive",U205="Risk Accepted"),"",IF(V205&lt;&gt;"",IF(V205&gt;T205,"Closed Late","Met"),IF(TODAY()&gt;T205,"SLA BREACH",IF(T205-TODAY()&lt;=7,"Due ≤7d","Within SLA"))))</f>
        <v/>
      </c>
      <c r="Y205" s="34"/>
      <c r="Z205" s="34"/>
      <c r="AA205" s="21"/>
    </row>
    <row r="206" customFormat="false" ht="15" hidden="false" customHeight="false" outlineLevel="0" collapsed="false">
      <c r="A206" s="6" t="s">
        <v>2052</v>
      </c>
      <c r="B206" s="35"/>
      <c r="C206" s="34"/>
      <c r="D206" s="34"/>
      <c r="E206" s="21"/>
      <c r="F206" s="34"/>
      <c r="G206" s="34"/>
      <c r="H206" s="34"/>
      <c r="I206" s="34"/>
      <c r="J206" s="21"/>
      <c r="K206" s="34"/>
      <c r="L206" s="34"/>
      <c r="M206" s="34"/>
      <c r="N206" s="21"/>
      <c r="O206" s="21"/>
      <c r="P206" s="21"/>
      <c r="Q206" s="34"/>
      <c r="R206" s="34"/>
      <c r="S206" s="33" t="str">
        <f aca="false">IF(OR(B206="",L206=""),"",INDEX(Lists!$AB$4:$AB$8,MATCH(L206,Lists!$AA$4:$AA$8,0)))</f>
        <v/>
      </c>
      <c r="T206" s="43" t="str">
        <f aca="false">IF(OR(S206="",ISERROR(S206)),"",B206+S206)</f>
        <v/>
      </c>
      <c r="U206" s="34"/>
      <c r="V206" s="35"/>
      <c r="W206" s="33" t="str">
        <f aca="true">IF(B206="","",IF(V206&lt;&gt;"",V206-B206,TODAY()-B206))</f>
        <v/>
      </c>
      <c r="X206" s="38" t="str">
        <f aca="true">IF(OR(B206="",T206="",U206="False Positive",U206="Risk Accepted"),"",IF(V206&lt;&gt;"",IF(V206&gt;T206,"Closed Late","Met"),IF(TODAY()&gt;T206,"SLA BREACH",IF(T206-TODAY()&lt;=7,"Due ≤7d","Within SLA"))))</f>
        <v/>
      </c>
      <c r="Y206" s="34"/>
      <c r="Z206" s="34"/>
      <c r="AA206" s="21"/>
    </row>
    <row r="207" customFormat="false" ht="15" hidden="false" customHeight="false" outlineLevel="0" collapsed="false">
      <c r="A207" s="6" t="s">
        <v>2053</v>
      </c>
      <c r="B207" s="35"/>
      <c r="C207" s="34"/>
      <c r="D207" s="34"/>
      <c r="E207" s="21"/>
      <c r="F207" s="34"/>
      <c r="G207" s="34"/>
      <c r="H207" s="34"/>
      <c r="I207" s="34"/>
      <c r="J207" s="21"/>
      <c r="K207" s="34"/>
      <c r="L207" s="34"/>
      <c r="M207" s="34"/>
      <c r="N207" s="21"/>
      <c r="O207" s="21"/>
      <c r="P207" s="21"/>
      <c r="Q207" s="34"/>
      <c r="R207" s="34"/>
      <c r="S207" s="33" t="str">
        <f aca="false">IF(OR(B207="",L207=""),"",INDEX(Lists!$AB$4:$AB$8,MATCH(L207,Lists!$AA$4:$AA$8,0)))</f>
        <v/>
      </c>
      <c r="T207" s="43" t="str">
        <f aca="false">IF(OR(S207="",ISERROR(S207)),"",B207+S207)</f>
        <v/>
      </c>
      <c r="U207" s="34"/>
      <c r="V207" s="35"/>
      <c r="W207" s="33" t="str">
        <f aca="true">IF(B207="","",IF(V207&lt;&gt;"",V207-B207,TODAY()-B207))</f>
        <v/>
      </c>
      <c r="X207" s="38" t="str">
        <f aca="true">IF(OR(B207="",T207="",U207="False Positive",U207="Risk Accepted"),"",IF(V207&lt;&gt;"",IF(V207&gt;T207,"Closed Late","Met"),IF(TODAY()&gt;T207,"SLA BREACH",IF(T207-TODAY()&lt;=7,"Due ≤7d","Within SLA"))))</f>
        <v/>
      </c>
      <c r="Y207" s="34"/>
      <c r="Z207" s="34"/>
      <c r="AA207" s="21"/>
    </row>
    <row r="208" customFormat="false" ht="15" hidden="false" customHeight="false" outlineLevel="0" collapsed="false">
      <c r="A208" s="6" t="s">
        <v>2054</v>
      </c>
      <c r="B208" s="35"/>
      <c r="C208" s="34"/>
      <c r="D208" s="34"/>
      <c r="E208" s="21"/>
      <c r="F208" s="34"/>
      <c r="G208" s="34"/>
      <c r="H208" s="34"/>
      <c r="I208" s="34"/>
      <c r="J208" s="21"/>
      <c r="K208" s="34"/>
      <c r="L208" s="34"/>
      <c r="M208" s="34"/>
      <c r="N208" s="21"/>
      <c r="O208" s="21"/>
      <c r="P208" s="21"/>
      <c r="Q208" s="34"/>
      <c r="R208" s="34"/>
      <c r="S208" s="33" t="str">
        <f aca="false">IF(OR(B208="",L208=""),"",INDEX(Lists!$AB$4:$AB$8,MATCH(L208,Lists!$AA$4:$AA$8,0)))</f>
        <v/>
      </c>
      <c r="T208" s="43" t="str">
        <f aca="false">IF(OR(S208="",ISERROR(S208)),"",B208+S208)</f>
        <v/>
      </c>
      <c r="U208" s="34"/>
      <c r="V208" s="35"/>
      <c r="W208" s="33" t="str">
        <f aca="true">IF(B208="","",IF(V208&lt;&gt;"",V208-B208,TODAY()-B208))</f>
        <v/>
      </c>
      <c r="X208" s="38" t="str">
        <f aca="true">IF(OR(B208="",T208="",U208="False Positive",U208="Risk Accepted"),"",IF(V208&lt;&gt;"",IF(V208&gt;T208,"Closed Late","Met"),IF(TODAY()&gt;T208,"SLA BREACH",IF(T208-TODAY()&lt;=7,"Due ≤7d","Within SLA"))))</f>
        <v/>
      </c>
      <c r="Y208" s="34"/>
      <c r="Z208" s="34"/>
      <c r="AA208" s="21"/>
    </row>
    <row r="209" customFormat="false" ht="15" hidden="false" customHeight="false" outlineLevel="0" collapsed="false">
      <c r="A209" s="6" t="s">
        <v>2055</v>
      </c>
      <c r="B209" s="35"/>
      <c r="C209" s="34"/>
      <c r="D209" s="34"/>
      <c r="E209" s="21"/>
      <c r="F209" s="34"/>
      <c r="G209" s="34"/>
      <c r="H209" s="34"/>
      <c r="I209" s="34"/>
      <c r="J209" s="21"/>
      <c r="K209" s="34"/>
      <c r="L209" s="34"/>
      <c r="M209" s="34"/>
      <c r="N209" s="21"/>
      <c r="O209" s="21"/>
      <c r="P209" s="21"/>
      <c r="Q209" s="34"/>
      <c r="R209" s="34"/>
      <c r="S209" s="33" t="str">
        <f aca="false">IF(OR(B209="",L209=""),"",INDEX(Lists!$AB$4:$AB$8,MATCH(L209,Lists!$AA$4:$AA$8,0)))</f>
        <v/>
      </c>
      <c r="T209" s="43" t="str">
        <f aca="false">IF(OR(S209="",ISERROR(S209)),"",B209+S209)</f>
        <v/>
      </c>
      <c r="U209" s="34"/>
      <c r="V209" s="35"/>
      <c r="W209" s="33" t="str">
        <f aca="true">IF(B209="","",IF(V209&lt;&gt;"",V209-B209,TODAY()-B209))</f>
        <v/>
      </c>
      <c r="X209" s="38" t="str">
        <f aca="true">IF(OR(B209="",T209="",U209="False Positive",U209="Risk Accepted"),"",IF(V209&lt;&gt;"",IF(V209&gt;T209,"Closed Late","Met"),IF(TODAY()&gt;T209,"SLA BREACH",IF(T209-TODAY()&lt;=7,"Due ≤7d","Within SLA"))))</f>
        <v/>
      </c>
      <c r="Y209" s="34"/>
      <c r="Z209" s="34"/>
      <c r="AA209" s="21"/>
    </row>
    <row r="210" customFormat="false" ht="15" hidden="false" customHeight="false" outlineLevel="0" collapsed="false">
      <c r="A210" s="6" t="s">
        <v>2056</v>
      </c>
      <c r="B210" s="35"/>
      <c r="C210" s="34"/>
      <c r="D210" s="34"/>
      <c r="E210" s="21"/>
      <c r="F210" s="34"/>
      <c r="G210" s="34"/>
      <c r="H210" s="34"/>
      <c r="I210" s="34"/>
      <c r="J210" s="21"/>
      <c r="K210" s="34"/>
      <c r="L210" s="34"/>
      <c r="M210" s="34"/>
      <c r="N210" s="21"/>
      <c r="O210" s="21"/>
      <c r="P210" s="21"/>
      <c r="Q210" s="34"/>
      <c r="R210" s="34"/>
      <c r="S210" s="33" t="str">
        <f aca="false">IF(OR(B210="",L210=""),"",INDEX(Lists!$AB$4:$AB$8,MATCH(L210,Lists!$AA$4:$AA$8,0)))</f>
        <v/>
      </c>
      <c r="T210" s="43" t="str">
        <f aca="false">IF(OR(S210="",ISERROR(S210)),"",B210+S210)</f>
        <v/>
      </c>
      <c r="U210" s="34"/>
      <c r="V210" s="35"/>
      <c r="W210" s="33" t="str">
        <f aca="true">IF(B210="","",IF(V210&lt;&gt;"",V210-B210,TODAY()-B210))</f>
        <v/>
      </c>
      <c r="X210" s="38" t="str">
        <f aca="true">IF(OR(B210="",T210="",U210="False Positive",U210="Risk Accepted"),"",IF(V210&lt;&gt;"",IF(V210&gt;T210,"Closed Late","Met"),IF(TODAY()&gt;T210,"SLA BREACH",IF(T210-TODAY()&lt;=7,"Due ≤7d","Within SLA"))))</f>
        <v/>
      </c>
      <c r="Y210" s="34"/>
      <c r="Z210" s="34"/>
      <c r="AA210" s="21"/>
    </row>
    <row r="211" customFormat="false" ht="15" hidden="false" customHeight="false" outlineLevel="0" collapsed="false">
      <c r="A211" s="6" t="s">
        <v>2057</v>
      </c>
      <c r="B211" s="35"/>
      <c r="C211" s="34"/>
      <c r="D211" s="34"/>
      <c r="E211" s="21"/>
      <c r="F211" s="34"/>
      <c r="G211" s="34"/>
      <c r="H211" s="34"/>
      <c r="I211" s="34"/>
      <c r="J211" s="21"/>
      <c r="K211" s="34"/>
      <c r="L211" s="34"/>
      <c r="M211" s="34"/>
      <c r="N211" s="21"/>
      <c r="O211" s="21"/>
      <c r="P211" s="21"/>
      <c r="Q211" s="34"/>
      <c r="R211" s="34"/>
      <c r="S211" s="33" t="str">
        <f aca="false">IF(OR(B211="",L211=""),"",INDEX(Lists!$AB$4:$AB$8,MATCH(L211,Lists!$AA$4:$AA$8,0)))</f>
        <v/>
      </c>
      <c r="T211" s="43" t="str">
        <f aca="false">IF(OR(S211="",ISERROR(S211)),"",B211+S211)</f>
        <v/>
      </c>
      <c r="U211" s="34"/>
      <c r="V211" s="35"/>
      <c r="W211" s="33" t="str">
        <f aca="true">IF(B211="","",IF(V211&lt;&gt;"",V211-B211,TODAY()-B211))</f>
        <v/>
      </c>
      <c r="X211" s="38" t="str">
        <f aca="true">IF(OR(B211="",T211="",U211="False Positive",U211="Risk Accepted"),"",IF(V211&lt;&gt;"",IF(V211&gt;T211,"Closed Late","Met"),IF(TODAY()&gt;T211,"SLA BREACH",IF(T211-TODAY()&lt;=7,"Due ≤7d","Within SLA"))))</f>
        <v/>
      </c>
      <c r="Y211" s="34"/>
      <c r="Z211" s="34"/>
      <c r="AA211" s="21"/>
    </row>
    <row r="212" customFormat="false" ht="15" hidden="false" customHeight="false" outlineLevel="0" collapsed="false">
      <c r="A212" s="6" t="s">
        <v>2058</v>
      </c>
      <c r="B212" s="35"/>
      <c r="C212" s="34"/>
      <c r="D212" s="34"/>
      <c r="E212" s="21"/>
      <c r="F212" s="34"/>
      <c r="G212" s="34"/>
      <c r="H212" s="34"/>
      <c r="I212" s="34"/>
      <c r="J212" s="21"/>
      <c r="K212" s="34"/>
      <c r="L212" s="34"/>
      <c r="M212" s="34"/>
      <c r="N212" s="21"/>
      <c r="O212" s="21"/>
      <c r="P212" s="21"/>
      <c r="Q212" s="34"/>
      <c r="R212" s="34"/>
      <c r="S212" s="33" t="str">
        <f aca="false">IF(OR(B212="",L212=""),"",INDEX(Lists!$AB$4:$AB$8,MATCH(L212,Lists!$AA$4:$AA$8,0)))</f>
        <v/>
      </c>
      <c r="T212" s="43" t="str">
        <f aca="false">IF(OR(S212="",ISERROR(S212)),"",B212+S212)</f>
        <v/>
      </c>
      <c r="U212" s="34"/>
      <c r="V212" s="35"/>
      <c r="W212" s="33" t="str">
        <f aca="true">IF(B212="","",IF(V212&lt;&gt;"",V212-B212,TODAY()-B212))</f>
        <v/>
      </c>
      <c r="X212" s="38" t="str">
        <f aca="true">IF(OR(B212="",T212="",U212="False Positive",U212="Risk Accepted"),"",IF(V212&lt;&gt;"",IF(V212&gt;T212,"Closed Late","Met"),IF(TODAY()&gt;T212,"SLA BREACH",IF(T212-TODAY()&lt;=7,"Due ≤7d","Within SLA"))))</f>
        <v/>
      </c>
      <c r="Y212" s="34"/>
      <c r="Z212" s="34"/>
      <c r="AA212" s="21"/>
    </row>
    <row r="213" customFormat="false" ht="15" hidden="false" customHeight="false" outlineLevel="0" collapsed="false">
      <c r="A213" s="6" t="s">
        <v>2059</v>
      </c>
      <c r="B213" s="35"/>
      <c r="C213" s="34"/>
      <c r="D213" s="34"/>
      <c r="E213" s="21"/>
      <c r="F213" s="34"/>
      <c r="G213" s="34"/>
      <c r="H213" s="34"/>
      <c r="I213" s="34"/>
      <c r="J213" s="21"/>
      <c r="K213" s="34"/>
      <c r="L213" s="34"/>
      <c r="M213" s="34"/>
      <c r="N213" s="21"/>
      <c r="O213" s="21"/>
      <c r="P213" s="21"/>
      <c r="Q213" s="34"/>
      <c r="R213" s="34"/>
      <c r="S213" s="33" t="str">
        <f aca="false">IF(OR(B213="",L213=""),"",INDEX(Lists!$AB$4:$AB$8,MATCH(L213,Lists!$AA$4:$AA$8,0)))</f>
        <v/>
      </c>
      <c r="T213" s="43" t="str">
        <f aca="false">IF(OR(S213="",ISERROR(S213)),"",B213+S213)</f>
        <v/>
      </c>
      <c r="U213" s="34"/>
      <c r="V213" s="35"/>
      <c r="W213" s="33" t="str">
        <f aca="true">IF(B213="","",IF(V213&lt;&gt;"",V213-B213,TODAY()-B213))</f>
        <v/>
      </c>
      <c r="X213" s="38" t="str">
        <f aca="true">IF(OR(B213="",T213="",U213="False Positive",U213="Risk Accepted"),"",IF(V213&lt;&gt;"",IF(V213&gt;T213,"Closed Late","Met"),IF(TODAY()&gt;T213,"SLA BREACH",IF(T213-TODAY()&lt;=7,"Due ≤7d","Within SLA"))))</f>
        <v/>
      </c>
      <c r="Y213" s="34"/>
      <c r="Z213" s="34"/>
      <c r="AA213" s="21"/>
    </row>
    <row r="214" customFormat="false" ht="15" hidden="false" customHeight="false" outlineLevel="0" collapsed="false">
      <c r="A214" s="6" t="s">
        <v>2060</v>
      </c>
      <c r="B214" s="35"/>
      <c r="C214" s="34"/>
      <c r="D214" s="34"/>
      <c r="E214" s="21"/>
      <c r="F214" s="34"/>
      <c r="G214" s="34"/>
      <c r="H214" s="34"/>
      <c r="I214" s="34"/>
      <c r="J214" s="21"/>
      <c r="K214" s="34"/>
      <c r="L214" s="34"/>
      <c r="M214" s="34"/>
      <c r="N214" s="21"/>
      <c r="O214" s="21"/>
      <c r="P214" s="21"/>
      <c r="Q214" s="34"/>
      <c r="R214" s="34"/>
      <c r="S214" s="33" t="str">
        <f aca="false">IF(OR(B214="",L214=""),"",INDEX(Lists!$AB$4:$AB$8,MATCH(L214,Lists!$AA$4:$AA$8,0)))</f>
        <v/>
      </c>
      <c r="T214" s="43" t="str">
        <f aca="false">IF(OR(S214="",ISERROR(S214)),"",B214+S214)</f>
        <v/>
      </c>
      <c r="U214" s="34"/>
      <c r="V214" s="35"/>
      <c r="W214" s="33" t="str">
        <f aca="true">IF(B214="","",IF(V214&lt;&gt;"",V214-B214,TODAY()-B214))</f>
        <v/>
      </c>
      <c r="X214" s="38" t="str">
        <f aca="true">IF(OR(B214="",T214="",U214="False Positive",U214="Risk Accepted"),"",IF(V214&lt;&gt;"",IF(V214&gt;T214,"Closed Late","Met"),IF(TODAY()&gt;T214,"SLA BREACH",IF(T214-TODAY()&lt;=7,"Due ≤7d","Within SLA"))))</f>
        <v/>
      </c>
      <c r="Y214" s="34"/>
      <c r="Z214" s="34"/>
      <c r="AA214" s="21"/>
    </row>
    <row r="215" customFormat="false" ht="15" hidden="false" customHeight="false" outlineLevel="0" collapsed="false">
      <c r="A215" s="6" t="s">
        <v>2061</v>
      </c>
      <c r="B215" s="35"/>
      <c r="C215" s="34"/>
      <c r="D215" s="34"/>
      <c r="E215" s="21"/>
      <c r="F215" s="34"/>
      <c r="G215" s="34"/>
      <c r="H215" s="34"/>
      <c r="I215" s="34"/>
      <c r="J215" s="21"/>
      <c r="K215" s="34"/>
      <c r="L215" s="34"/>
      <c r="M215" s="34"/>
      <c r="N215" s="21"/>
      <c r="O215" s="21"/>
      <c r="P215" s="21"/>
      <c r="Q215" s="34"/>
      <c r="R215" s="34"/>
      <c r="S215" s="33" t="str">
        <f aca="false">IF(OR(B215="",L215=""),"",INDEX(Lists!$AB$4:$AB$8,MATCH(L215,Lists!$AA$4:$AA$8,0)))</f>
        <v/>
      </c>
      <c r="T215" s="43" t="str">
        <f aca="false">IF(OR(S215="",ISERROR(S215)),"",B215+S215)</f>
        <v/>
      </c>
      <c r="U215" s="34"/>
      <c r="V215" s="35"/>
      <c r="W215" s="33" t="str">
        <f aca="true">IF(B215="","",IF(V215&lt;&gt;"",V215-B215,TODAY()-B215))</f>
        <v/>
      </c>
      <c r="X215" s="38" t="str">
        <f aca="true">IF(OR(B215="",T215="",U215="False Positive",U215="Risk Accepted"),"",IF(V215&lt;&gt;"",IF(V215&gt;T215,"Closed Late","Met"),IF(TODAY()&gt;T215,"SLA BREACH",IF(T215-TODAY()&lt;=7,"Due ≤7d","Within SLA"))))</f>
        <v/>
      </c>
      <c r="Y215" s="34"/>
      <c r="Z215" s="34"/>
      <c r="AA215" s="21"/>
    </row>
    <row r="216" customFormat="false" ht="15" hidden="false" customHeight="false" outlineLevel="0" collapsed="false">
      <c r="A216" s="6" t="s">
        <v>2062</v>
      </c>
      <c r="B216" s="35"/>
      <c r="C216" s="34"/>
      <c r="D216" s="34"/>
      <c r="E216" s="21"/>
      <c r="F216" s="34"/>
      <c r="G216" s="34"/>
      <c r="H216" s="34"/>
      <c r="I216" s="34"/>
      <c r="J216" s="21"/>
      <c r="K216" s="34"/>
      <c r="L216" s="34"/>
      <c r="M216" s="34"/>
      <c r="N216" s="21"/>
      <c r="O216" s="21"/>
      <c r="P216" s="21"/>
      <c r="Q216" s="34"/>
      <c r="R216" s="34"/>
      <c r="S216" s="33" t="str">
        <f aca="false">IF(OR(B216="",L216=""),"",INDEX(Lists!$AB$4:$AB$8,MATCH(L216,Lists!$AA$4:$AA$8,0)))</f>
        <v/>
      </c>
      <c r="T216" s="43" t="str">
        <f aca="false">IF(OR(S216="",ISERROR(S216)),"",B216+S216)</f>
        <v/>
      </c>
      <c r="U216" s="34"/>
      <c r="V216" s="35"/>
      <c r="W216" s="33" t="str">
        <f aca="true">IF(B216="","",IF(V216&lt;&gt;"",V216-B216,TODAY()-B216))</f>
        <v/>
      </c>
      <c r="X216" s="38" t="str">
        <f aca="true">IF(OR(B216="",T216="",U216="False Positive",U216="Risk Accepted"),"",IF(V216&lt;&gt;"",IF(V216&gt;T216,"Closed Late","Met"),IF(TODAY()&gt;T216,"SLA BREACH",IF(T216-TODAY()&lt;=7,"Due ≤7d","Within SLA"))))</f>
        <v/>
      </c>
      <c r="Y216" s="34"/>
      <c r="Z216" s="34"/>
      <c r="AA216" s="21"/>
    </row>
    <row r="217" customFormat="false" ht="15" hidden="false" customHeight="false" outlineLevel="0" collapsed="false">
      <c r="A217" s="6" t="s">
        <v>2063</v>
      </c>
      <c r="B217" s="35"/>
      <c r="C217" s="34"/>
      <c r="D217" s="34"/>
      <c r="E217" s="21"/>
      <c r="F217" s="34"/>
      <c r="G217" s="34"/>
      <c r="H217" s="34"/>
      <c r="I217" s="34"/>
      <c r="J217" s="21"/>
      <c r="K217" s="34"/>
      <c r="L217" s="34"/>
      <c r="M217" s="34"/>
      <c r="N217" s="21"/>
      <c r="O217" s="21"/>
      <c r="P217" s="21"/>
      <c r="Q217" s="34"/>
      <c r="R217" s="34"/>
      <c r="S217" s="33" t="str">
        <f aca="false">IF(OR(B217="",L217=""),"",INDEX(Lists!$AB$4:$AB$8,MATCH(L217,Lists!$AA$4:$AA$8,0)))</f>
        <v/>
      </c>
      <c r="T217" s="43" t="str">
        <f aca="false">IF(OR(S217="",ISERROR(S217)),"",B217+S217)</f>
        <v/>
      </c>
      <c r="U217" s="34"/>
      <c r="V217" s="35"/>
      <c r="W217" s="33" t="str">
        <f aca="true">IF(B217="","",IF(V217&lt;&gt;"",V217-B217,TODAY()-B217))</f>
        <v/>
      </c>
      <c r="X217" s="38" t="str">
        <f aca="true">IF(OR(B217="",T217="",U217="False Positive",U217="Risk Accepted"),"",IF(V217&lt;&gt;"",IF(V217&gt;T217,"Closed Late","Met"),IF(TODAY()&gt;T217,"SLA BREACH",IF(T217-TODAY()&lt;=7,"Due ≤7d","Within SLA"))))</f>
        <v/>
      </c>
      <c r="Y217" s="34"/>
      <c r="Z217" s="34"/>
      <c r="AA217" s="21"/>
    </row>
    <row r="218" customFormat="false" ht="15" hidden="false" customHeight="false" outlineLevel="0" collapsed="false">
      <c r="A218" s="6" t="s">
        <v>2064</v>
      </c>
      <c r="B218" s="35"/>
      <c r="C218" s="34"/>
      <c r="D218" s="34"/>
      <c r="E218" s="21"/>
      <c r="F218" s="34"/>
      <c r="G218" s="34"/>
      <c r="H218" s="34"/>
      <c r="I218" s="34"/>
      <c r="J218" s="21"/>
      <c r="K218" s="34"/>
      <c r="L218" s="34"/>
      <c r="M218" s="34"/>
      <c r="N218" s="21"/>
      <c r="O218" s="21"/>
      <c r="P218" s="21"/>
      <c r="Q218" s="34"/>
      <c r="R218" s="34"/>
      <c r="S218" s="33" t="str">
        <f aca="false">IF(OR(B218="",L218=""),"",INDEX(Lists!$AB$4:$AB$8,MATCH(L218,Lists!$AA$4:$AA$8,0)))</f>
        <v/>
      </c>
      <c r="T218" s="43" t="str">
        <f aca="false">IF(OR(S218="",ISERROR(S218)),"",B218+S218)</f>
        <v/>
      </c>
      <c r="U218" s="34"/>
      <c r="V218" s="35"/>
      <c r="W218" s="33" t="str">
        <f aca="true">IF(B218="","",IF(V218&lt;&gt;"",V218-B218,TODAY()-B218))</f>
        <v/>
      </c>
      <c r="X218" s="38" t="str">
        <f aca="true">IF(OR(B218="",T218="",U218="False Positive",U218="Risk Accepted"),"",IF(V218&lt;&gt;"",IF(V218&gt;T218,"Closed Late","Met"),IF(TODAY()&gt;T218,"SLA BREACH",IF(T218-TODAY()&lt;=7,"Due ≤7d","Within SLA"))))</f>
        <v/>
      </c>
      <c r="Y218" s="34"/>
      <c r="Z218" s="34"/>
      <c r="AA218" s="21"/>
    </row>
    <row r="219" customFormat="false" ht="15" hidden="false" customHeight="false" outlineLevel="0" collapsed="false">
      <c r="A219" s="6" t="s">
        <v>2065</v>
      </c>
      <c r="B219" s="35"/>
      <c r="C219" s="34"/>
      <c r="D219" s="34"/>
      <c r="E219" s="21"/>
      <c r="F219" s="34"/>
      <c r="G219" s="34"/>
      <c r="H219" s="34"/>
      <c r="I219" s="34"/>
      <c r="J219" s="21"/>
      <c r="K219" s="34"/>
      <c r="L219" s="34"/>
      <c r="M219" s="34"/>
      <c r="N219" s="21"/>
      <c r="O219" s="21"/>
      <c r="P219" s="21"/>
      <c r="Q219" s="34"/>
      <c r="R219" s="34"/>
      <c r="S219" s="33" t="str">
        <f aca="false">IF(OR(B219="",L219=""),"",INDEX(Lists!$AB$4:$AB$8,MATCH(L219,Lists!$AA$4:$AA$8,0)))</f>
        <v/>
      </c>
      <c r="T219" s="43" t="str">
        <f aca="false">IF(OR(S219="",ISERROR(S219)),"",B219+S219)</f>
        <v/>
      </c>
      <c r="U219" s="34"/>
      <c r="V219" s="35"/>
      <c r="W219" s="33" t="str">
        <f aca="true">IF(B219="","",IF(V219&lt;&gt;"",V219-B219,TODAY()-B219))</f>
        <v/>
      </c>
      <c r="X219" s="38" t="str">
        <f aca="true">IF(OR(B219="",T219="",U219="False Positive",U219="Risk Accepted"),"",IF(V219&lt;&gt;"",IF(V219&gt;T219,"Closed Late","Met"),IF(TODAY()&gt;T219,"SLA BREACH",IF(T219-TODAY()&lt;=7,"Due ≤7d","Within SLA"))))</f>
        <v/>
      </c>
      <c r="Y219" s="34"/>
      <c r="Z219" s="34"/>
      <c r="AA219" s="21"/>
    </row>
    <row r="220" customFormat="false" ht="15" hidden="false" customHeight="false" outlineLevel="0" collapsed="false">
      <c r="A220" s="6" t="s">
        <v>2066</v>
      </c>
      <c r="B220" s="35"/>
      <c r="C220" s="34"/>
      <c r="D220" s="34"/>
      <c r="E220" s="21"/>
      <c r="F220" s="34"/>
      <c r="G220" s="34"/>
      <c r="H220" s="34"/>
      <c r="I220" s="34"/>
      <c r="J220" s="21"/>
      <c r="K220" s="34"/>
      <c r="L220" s="34"/>
      <c r="M220" s="34"/>
      <c r="N220" s="21"/>
      <c r="O220" s="21"/>
      <c r="P220" s="21"/>
      <c r="Q220" s="34"/>
      <c r="R220" s="34"/>
      <c r="S220" s="33" t="str">
        <f aca="false">IF(OR(B220="",L220=""),"",INDEX(Lists!$AB$4:$AB$8,MATCH(L220,Lists!$AA$4:$AA$8,0)))</f>
        <v/>
      </c>
      <c r="T220" s="43" t="str">
        <f aca="false">IF(OR(S220="",ISERROR(S220)),"",B220+S220)</f>
        <v/>
      </c>
      <c r="U220" s="34"/>
      <c r="V220" s="35"/>
      <c r="W220" s="33" t="str">
        <f aca="true">IF(B220="","",IF(V220&lt;&gt;"",V220-B220,TODAY()-B220))</f>
        <v/>
      </c>
      <c r="X220" s="38" t="str">
        <f aca="true">IF(OR(B220="",T220="",U220="False Positive",U220="Risk Accepted"),"",IF(V220&lt;&gt;"",IF(V220&gt;T220,"Closed Late","Met"),IF(TODAY()&gt;T220,"SLA BREACH",IF(T220-TODAY()&lt;=7,"Due ≤7d","Within SLA"))))</f>
        <v/>
      </c>
      <c r="Y220" s="34"/>
      <c r="Z220" s="34"/>
      <c r="AA220" s="21"/>
    </row>
    <row r="221" customFormat="false" ht="15" hidden="false" customHeight="false" outlineLevel="0" collapsed="false">
      <c r="A221" s="6" t="s">
        <v>2067</v>
      </c>
      <c r="B221" s="35"/>
      <c r="C221" s="34"/>
      <c r="D221" s="34"/>
      <c r="E221" s="21"/>
      <c r="F221" s="34"/>
      <c r="G221" s="34"/>
      <c r="H221" s="34"/>
      <c r="I221" s="34"/>
      <c r="J221" s="21"/>
      <c r="K221" s="34"/>
      <c r="L221" s="34"/>
      <c r="M221" s="34"/>
      <c r="N221" s="21"/>
      <c r="O221" s="21"/>
      <c r="P221" s="21"/>
      <c r="Q221" s="34"/>
      <c r="R221" s="34"/>
      <c r="S221" s="33" t="str">
        <f aca="false">IF(OR(B221="",L221=""),"",INDEX(Lists!$AB$4:$AB$8,MATCH(L221,Lists!$AA$4:$AA$8,0)))</f>
        <v/>
      </c>
      <c r="T221" s="43" t="str">
        <f aca="false">IF(OR(S221="",ISERROR(S221)),"",B221+S221)</f>
        <v/>
      </c>
      <c r="U221" s="34"/>
      <c r="V221" s="35"/>
      <c r="W221" s="33" t="str">
        <f aca="true">IF(B221="","",IF(V221&lt;&gt;"",V221-B221,TODAY()-B221))</f>
        <v/>
      </c>
      <c r="X221" s="38" t="str">
        <f aca="true">IF(OR(B221="",T221="",U221="False Positive",U221="Risk Accepted"),"",IF(V221&lt;&gt;"",IF(V221&gt;T221,"Closed Late","Met"),IF(TODAY()&gt;T221,"SLA BREACH",IF(T221-TODAY()&lt;=7,"Due ≤7d","Within SLA"))))</f>
        <v/>
      </c>
      <c r="Y221" s="34"/>
      <c r="Z221" s="34"/>
      <c r="AA221" s="21"/>
    </row>
    <row r="222" customFormat="false" ht="15" hidden="false" customHeight="false" outlineLevel="0" collapsed="false">
      <c r="A222" s="6" t="s">
        <v>2068</v>
      </c>
      <c r="B222" s="35"/>
      <c r="C222" s="34"/>
      <c r="D222" s="34"/>
      <c r="E222" s="21"/>
      <c r="F222" s="34"/>
      <c r="G222" s="34"/>
      <c r="H222" s="34"/>
      <c r="I222" s="34"/>
      <c r="J222" s="21"/>
      <c r="K222" s="34"/>
      <c r="L222" s="34"/>
      <c r="M222" s="34"/>
      <c r="N222" s="21"/>
      <c r="O222" s="21"/>
      <c r="P222" s="21"/>
      <c r="Q222" s="34"/>
      <c r="R222" s="34"/>
      <c r="S222" s="33" t="str">
        <f aca="false">IF(OR(B222="",L222=""),"",INDEX(Lists!$AB$4:$AB$8,MATCH(L222,Lists!$AA$4:$AA$8,0)))</f>
        <v/>
      </c>
      <c r="T222" s="43" t="str">
        <f aca="false">IF(OR(S222="",ISERROR(S222)),"",B222+S222)</f>
        <v/>
      </c>
      <c r="U222" s="34"/>
      <c r="V222" s="35"/>
      <c r="W222" s="33" t="str">
        <f aca="true">IF(B222="","",IF(V222&lt;&gt;"",V222-B222,TODAY()-B222))</f>
        <v/>
      </c>
      <c r="X222" s="38" t="str">
        <f aca="true">IF(OR(B222="",T222="",U222="False Positive",U222="Risk Accepted"),"",IF(V222&lt;&gt;"",IF(V222&gt;T222,"Closed Late","Met"),IF(TODAY()&gt;T222,"SLA BREACH",IF(T222-TODAY()&lt;=7,"Due ≤7d","Within SLA"))))</f>
        <v/>
      </c>
      <c r="Y222" s="34"/>
      <c r="Z222" s="34"/>
      <c r="AA222" s="21"/>
    </row>
    <row r="223" customFormat="false" ht="15" hidden="false" customHeight="false" outlineLevel="0" collapsed="false">
      <c r="A223" s="6" t="s">
        <v>2069</v>
      </c>
      <c r="B223" s="35"/>
      <c r="C223" s="34"/>
      <c r="D223" s="34"/>
      <c r="E223" s="21"/>
      <c r="F223" s="34"/>
      <c r="G223" s="34"/>
      <c r="H223" s="34"/>
      <c r="I223" s="34"/>
      <c r="J223" s="21"/>
      <c r="K223" s="34"/>
      <c r="L223" s="34"/>
      <c r="M223" s="34"/>
      <c r="N223" s="21"/>
      <c r="O223" s="21"/>
      <c r="P223" s="21"/>
      <c r="Q223" s="34"/>
      <c r="R223" s="34"/>
      <c r="S223" s="33" t="str">
        <f aca="false">IF(OR(B223="",L223=""),"",INDEX(Lists!$AB$4:$AB$8,MATCH(L223,Lists!$AA$4:$AA$8,0)))</f>
        <v/>
      </c>
      <c r="T223" s="43" t="str">
        <f aca="false">IF(OR(S223="",ISERROR(S223)),"",B223+S223)</f>
        <v/>
      </c>
      <c r="U223" s="34"/>
      <c r="V223" s="35"/>
      <c r="W223" s="33" t="str">
        <f aca="true">IF(B223="","",IF(V223&lt;&gt;"",V223-B223,TODAY()-B223))</f>
        <v/>
      </c>
      <c r="X223" s="38" t="str">
        <f aca="true">IF(OR(B223="",T223="",U223="False Positive",U223="Risk Accepted"),"",IF(V223&lt;&gt;"",IF(V223&gt;T223,"Closed Late","Met"),IF(TODAY()&gt;T223,"SLA BREACH",IF(T223-TODAY()&lt;=7,"Due ≤7d","Within SLA"))))</f>
        <v/>
      </c>
      <c r="Y223" s="34"/>
      <c r="Z223" s="34"/>
      <c r="AA223" s="21"/>
    </row>
    <row r="224" customFormat="false" ht="15" hidden="false" customHeight="false" outlineLevel="0" collapsed="false">
      <c r="A224" s="6" t="s">
        <v>2070</v>
      </c>
      <c r="B224" s="35"/>
      <c r="C224" s="34"/>
      <c r="D224" s="34"/>
      <c r="E224" s="21"/>
      <c r="F224" s="34"/>
      <c r="G224" s="34"/>
      <c r="H224" s="34"/>
      <c r="I224" s="34"/>
      <c r="J224" s="21"/>
      <c r="K224" s="34"/>
      <c r="L224" s="34"/>
      <c r="M224" s="34"/>
      <c r="N224" s="21"/>
      <c r="O224" s="21"/>
      <c r="P224" s="21"/>
      <c r="Q224" s="34"/>
      <c r="R224" s="34"/>
      <c r="S224" s="33" t="str">
        <f aca="false">IF(OR(B224="",L224=""),"",INDEX(Lists!$AB$4:$AB$8,MATCH(L224,Lists!$AA$4:$AA$8,0)))</f>
        <v/>
      </c>
      <c r="T224" s="43" t="str">
        <f aca="false">IF(OR(S224="",ISERROR(S224)),"",B224+S224)</f>
        <v/>
      </c>
      <c r="U224" s="34"/>
      <c r="V224" s="35"/>
      <c r="W224" s="33" t="str">
        <f aca="true">IF(B224="","",IF(V224&lt;&gt;"",V224-B224,TODAY()-B224))</f>
        <v/>
      </c>
      <c r="X224" s="38" t="str">
        <f aca="true">IF(OR(B224="",T224="",U224="False Positive",U224="Risk Accepted"),"",IF(V224&lt;&gt;"",IF(V224&gt;T224,"Closed Late","Met"),IF(TODAY()&gt;T224,"SLA BREACH",IF(T224-TODAY()&lt;=7,"Due ≤7d","Within SLA"))))</f>
        <v/>
      </c>
      <c r="Y224" s="34"/>
      <c r="Z224" s="34"/>
      <c r="AA224" s="21"/>
    </row>
    <row r="225" customFormat="false" ht="15" hidden="false" customHeight="false" outlineLevel="0" collapsed="false">
      <c r="A225" s="6" t="s">
        <v>2071</v>
      </c>
      <c r="B225" s="35"/>
      <c r="C225" s="34"/>
      <c r="D225" s="34"/>
      <c r="E225" s="21"/>
      <c r="F225" s="34"/>
      <c r="G225" s="34"/>
      <c r="H225" s="34"/>
      <c r="I225" s="34"/>
      <c r="J225" s="21"/>
      <c r="K225" s="34"/>
      <c r="L225" s="34"/>
      <c r="M225" s="34"/>
      <c r="N225" s="21"/>
      <c r="O225" s="21"/>
      <c r="P225" s="21"/>
      <c r="Q225" s="34"/>
      <c r="R225" s="34"/>
      <c r="S225" s="33" t="str">
        <f aca="false">IF(OR(B225="",L225=""),"",INDEX(Lists!$AB$4:$AB$8,MATCH(L225,Lists!$AA$4:$AA$8,0)))</f>
        <v/>
      </c>
      <c r="T225" s="43" t="str">
        <f aca="false">IF(OR(S225="",ISERROR(S225)),"",B225+S225)</f>
        <v/>
      </c>
      <c r="U225" s="34"/>
      <c r="V225" s="35"/>
      <c r="W225" s="33" t="str">
        <f aca="true">IF(B225="","",IF(V225&lt;&gt;"",V225-B225,TODAY()-B225))</f>
        <v/>
      </c>
      <c r="X225" s="38" t="str">
        <f aca="true">IF(OR(B225="",T225="",U225="False Positive",U225="Risk Accepted"),"",IF(V225&lt;&gt;"",IF(V225&gt;T225,"Closed Late","Met"),IF(TODAY()&gt;T225,"SLA BREACH",IF(T225-TODAY()&lt;=7,"Due ≤7d","Within SLA"))))</f>
        <v/>
      </c>
      <c r="Y225" s="34"/>
      <c r="Z225" s="34"/>
      <c r="AA225" s="21"/>
    </row>
    <row r="226" customFormat="false" ht="15" hidden="false" customHeight="false" outlineLevel="0" collapsed="false">
      <c r="A226" s="6" t="s">
        <v>2072</v>
      </c>
      <c r="B226" s="35"/>
      <c r="C226" s="34"/>
      <c r="D226" s="34"/>
      <c r="E226" s="21"/>
      <c r="F226" s="34"/>
      <c r="G226" s="34"/>
      <c r="H226" s="34"/>
      <c r="I226" s="34"/>
      <c r="J226" s="21"/>
      <c r="K226" s="34"/>
      <c r="L226" s="34"/>
      <c r="M226" s="34"/>
      <c r="N226" s="21"/>
      <c r="O226" s="21"/>
      <c r="P226" s="21"/>
      <c r="Q226" s="34"/>
      <c r="R226" s="34"/>
      <c r="S226" s="33" t="str">
        <f aca="false">IF(OR(B226="",L226=""),"",INDEX(Lists!$AB$4:$AB$8,MATCH(L226,Lists!$AA$4:$AA$8,0)))</f>
        <v/>
      </c>
      <c r="T226" s="43" t="str">
        <f aca="false">IF(OR(S226="",ISERROR(S226)),"",B226+S226)</f>
        <v/>
      </c>
      <c r="U226" s="34"/>
      <c r="V226" s="35"/>
      <c r="W226" s="33" t="str">
        <f aca="true">IF(B226="","",IF(V226&lt;&gt;"",V226-B226,TODAY()-B226))</f>
        <v/>
      </c>
      <c r="X226" s="38" t="str">
        <f aca="true">IF(OR(B226="",T226="",U226="False Positive",U226="Risk Accepted"),"",IF(V226&lt;&gt;"",IF(V226&gt;T226,"Closed Late","Met"),IF(TODAY()&gt;T226,"SLA BREACH",IF(T226-TODAY()&lt;=7,"Due ≤7d","Within SLA"))))</f>
        <v/>
      </c>
      <c r="Y226" s="34"/>
      <c r="Z226" s="34"/>
      <c r="AA226" s="21"/>
    </row>
    <row r="227" customFormat="false" ht="15" hidden="false" customHeight="false" outlineLevel="0" collapsed="false">
      <c r="A227" s="6" t="s">
        <v>2073</v>
      </c>
      <c r="B227" s="35"/>
      <c r="C227" s="34"/>
      <c r="D227" s="34"/>
      <c r="E227" s="21"/>
      <c r="F227" s="34"/>
      <c r="G227" s="34"/>
      <c r="H227" s="34"/>
      <c r="I227" s="34"/>
      <c r="J227" s="21"/>
      <c r="K227" s="34"/>
      <c r="L227" s="34"/>
      <c r="M227" s="34"/>
      <c r="N227" s="21"/>
      <c r="O227" s="21"/>
      <c r="P227" s="21"/>
      <c r="Q227" s="34"/>
      <c r="R227" s="34"/>
      <c r="S227" s="33" t="str">
        <f aca="false">IF(OR(B227="",L227=""),"",INDEX(Lists!$AB$4:$AB$8,MATCH(L227,Lists!$AA$4:$AA$8,0)))</f>
        <v/>
      </c>
      <c r="T227" s="43" t="str">
        <f aca="false">IF(OR(S227="",ISERROR(S227)),"",B227+S227)</f>
        <v/>
      </c>
      <c r="U227" s="34"/>
      <c r="V227" s="35"/>
      <c r="W227" s="33" t="str">
        <f aca="true">IF(B227="","",IF(V227&lt;&gt;"",V227-B227,TODAY()-B227))</f>
        <v/>
      </c>
      <c r="X227" s="38" t="str">
        <f aca="true">IF(OR(B227="",T227="",U227="False Positive",U227="Risk Accepted"),"",IF(V227&lt;&gt;"",IF(V227&gt;T227,"Closed Late","Met"),IF(TODAY()&gt;T227,"SLA BREACH",IF(T227-TODAY()&lt;=7,"Due ≤7d","Within SLA"))))</f>
        <v/>
      </c>
      <c r="Y227" s="34"/>
      <c r="Z227" s="34"/>
      <c r="AA227" s="21"/>
    </row>
    <row r="228" customFormat="false" ht="15" hidden="false" customHeight="false" outlineLevel="0" collapsed="false">
      <c r="A228" s="6" t="s">
        <v>2074</v>
      </c>
      <c r="B228" s="35"/>
      <c r="C228" s="34"/>
      <c r="D228" s="34"/>
      <c r="E228" s="21"/>
      <c r="F228" s="34"/>
      <c r="G228" s="34"/>
      <c r="H228" s="34"/>
      <c r="I228" s="34"/>
      <c r="J228" s="21"/>
      <c r="K228" s="34"/>
      <c r="L228" s="34"/>
      <c r="M228" s="34"/>
      <c r="N228" s="21"/>
      <c r="O228" s="21"/>
      <c r="P228" s="21"/>
      <c r="Q228" s="34"/>
      <c r="R228" s="34"/>
      <c r="S228" s="33" t="str">
        <f aca="false">IF(OR(B228="",L228=""),"",INDEX(Lists!$AB$4:$AB$8,MATCH(L228,Lists!$AA$4:$AA$8,0)))</f>
        <v/>
      </c>
      <c r="T228" s="43" t="str">
        <f aca="false">IF(OR(S228="",ISERROR(S228)),"",B228+S228)</f>
        <v/>
      </c>
      <c r="U228" s="34"/>
      <c r="V228" s="35"/>
      <c r="W228" s="33" t="str">
        <f aca="true">IF(B228="","",IF(V228&lt;&gt;"",V228-B228,TODAY()-B228))</f>
        <v/>
      </c>
      <c r="X228" s="38" t="str">
        <f aca="true">IF(OR(B228="",T228="",U228="False Positive",U228="Risk Accepted"),"",IF(V228&lt;&gt;"",IF(V228&gt;T228,"Closed Late","Met"),IF(TODAY()&gt;T228,"SLA BREACH",IF(T228-TODAY()&lt;=7,"Due ≤7d","Within SLA"))))</f>
        <v/>
      </c>
      <c r="Y228" s="34"/>
      <c r="Z228" s="34"/>
      <c r="AA228" s="21"/>
    </row>
    <row r="229" customFormat="false" ht="15" hidden="false" customHeight="false" outlineLevel="0" collapsed="false">
      <c r="A229" s="6" t="s">
        <v>2075</v>
      </c>
      <c r="B229" s="35"/>
      <c r="C229" s="34"/>
      <c r="D229" s="34"/>
      <c r="E229" s="21"/>
      <c r="F229" s="34"/>
      <c r="G229" s="34"/>
      <c r="H229" s="34"/>
      <c r="I229" s="34"/>
      <c r="J229" s="21"/>
      <c r="K229" s="34"/>
      <c r="L229" s="34"/>
      <c r="M229" s="34"/>
      <c r="N229" s="21"/>
      <c r="O229" s="21"/>
      <c r="P229" s="21"/>
      <c r="Q229" s="34"/>
      <c r="R229" s="34"/>
      <c r="S229" s="33" t="str">
        <f aca="false">IF(OR(B229="",L229=""),"",INDEX(Lists!$AB$4:$AB$8,MATCH(L229,Lists!$AA$4:$AA$8,0)))</f>
        <v/>
      </c>
      <c r="T229" s="43" t="str">
        <f aca="false">IF(OR(S229="",ISERROR(S229)),"",B229+S229)</f>
        <v/>
      </c>
      <c r="U229" s="34"/>
      <c r="V229" s="35"/>
      <c r="W229" s="33" t="str">
        <f aca="true">IF(B229="","",IF(V229&lt;&gt;"",V229-B229,TODAY()-B229))</f>
        <v/>
      </c>
      <c r="X229" s="38" t="str">
        <f aca="true">IF(OR(B229="",T229="",U229="False Positive",U229="Risk Accepted"),"",IF(V229&lt;&gt;"",IF(V229&gt;T229,"Closed Late","Met"),IF(TODAY()&gt;T229,"SLA BREACH",IF(T229-TODAY()&lt;=7,"Due ≤7d","Within SLA"))))</f>
        <v/>
      </c>
      <c r="Y229" s="34"/>
      <c r="Z229" s="34"/>
      <c r="AA229" s="21"/>
    </row>
    <row r="230" customFormat="false" ht="15" hidden="false" customHeight="false" outlineLevel="0" collapsed="false">
      <c r="A230" s="6" t="s">
        <v>2076</v>
      </c>
      <c r="B230" s="35"/>
      <c r="C230" s="34"/>
      <c r="D230" s="34"/>
      <c r="E230" s="21"/>
      <c r="F230" s="34"/>
      <c r="G230" s="34"/>
      <c r="H230" s="34"/>
      <c r="I230" s="34"/>
      <c r="J230" s="21"/>
      <c r="K230" s="34"/>
      <c r="L230" s="34"/>
      <c r="M230" s="34"/>
      <c r="N230" s="21"/>
      <c r="O230" s="21"/>
      <c r="P230" s="21"/>
      <c r="Q230" s="34"/>
      <c r="R230" s="34"/>
      <c r="S230" s="33" t="str">
        <f aca="false">IF(OR(B230="",L230=""),"",INDEX(Lists!$AB$4:$AB$8,MATCH(L230,Lists!$AA$4:$AA$8,0)))</f>
        <v/>
      </c>
      <c r="T230" s="43" t="str">
        <f aca="false">IF(OR(S230="",ISERROR(S230)),"",B230+S230)</f>
        <v/>
      </c>
      <c r="U230" s="34"/>
      <c r="V230" s="35"/>
      <c r="W230" s="33" t="str">
        <f aca="true">IF(B230="","",IF(V230&lt;&gt;"",V230-B230,TODAY()-B230))</f>
        <v/>
      </c>
      <c r="X230" s="38" t="str">
        <f aca="true">IF(OR(B230="",T230="",U230="False Positive",U230="Risk Accepted"),"",IF(V230&lt;&gt;"",IF(V230&gt;T230,"Closed Late","Met"),IF(TODAY()&gt;T230,"SLA BREACH",IF(T230-TODAY()&lt;=7,"Due ≤7d","Within SLA"))))</f>
        <v/>
      </c>
      <c r="Y230" s="34"/>
      <c r="Z230" s="34"/>
      <c r="AA230" s="21"/>
    </row>
    <row r="231" customFormat="false" ht="15" hidden="false" customHeight="false" outlineLevel="0" collapsed="false">
      <c r="A231" s="6" t="s">
        <v>2077</v>
      </c>
      <c r="B231" s="35"/>
      <c r="C231" s="34"/>
      <c r="D231" s="34"/>
      <c r="E231" s="21"/>
      <c r="F231" s="34"/>
      <c r="G231" s="34"/>
      <c r="H231" s="34"/>
      <c r="I231" s="34"/>
      <c r="J231" s="21"/>
      <c r="K231" s="34"/>
      <c r="L231" s="34"/>
      <c r="M231" s="34"/>
      <c r="N231" s="21"/>
      <c r="O231" s="21"/>
      <c r="P231" s="21"/>
      <c r="Q231" s="34"/>
      <c r="R231" s="34"/>
      <c r="S231" s="33" t="str">
        <f aca="false">IF(OR(B231="",L231=""),"",INDEX(Lists!$AB$4:$AB$8,MATCH(L231,Lists!$AA$4:$AA$8,0)))</f>
        <v/>
      </c>
      <c r="T231" s="43" t="str">
        <f aca="false">IF(OR(S231="",ISERROR(S231)),"",B231+S231)</f>
        <v/>
      </c>
      <c r="U231" s="34"/>
      <c r="V231" s="35"/>
      <c r="W231" s="33" t="str">
        <f aca="true">IF(B231="","",IF(V231&lt;&gt;"",V231-B231,TODAY()-B231))</f>
        <v/>
      </c>
      <c r="X231" s="38" t="str">
        <f aca="true">IF(OR(B231="",T231="",U231="False Positive",U231="Risk Accepted"),"",IF(V231&lt;&gt;"",IF(V231&gt;T231,"Closed Late","Met"),IF(TODAY()&gt;T231,"SLA BREACH",IF(T231-TODAY()&lt;=7,"Due ≤7d","Within SLA"))))</f>
        <v/>
      </c>
      <c r="Y231" s="34"/>
      <c r="Z231" s="34"/>
      <c r="AA231" s="21"/>
    </row>
    <row r="232" customFormat="false" ht="15" hidden="false" customHeight="false" outlineLevel="0" collapsed="false">
      <c r="A232" s="6" t="s">
        <v>2078</v>
      </c>
      <c r="B232" s="35"/>
      <c r="C232" s="34"/>
      <c r="D232" s="34"/>
      <c r="E232" s="21"/>
      <c r="F232" s="34"/>
      <c r="G232" s="34"/>
      <c r="H232" s="34"/>
      <c r="I232" s="34"/>
      <c r="J232" s="21"/>
      <c r="K232" s="34"/>
      <c r="L232" s="34"/>
      <c r="M232" s="34"/>
      <c r="N232" s="21"/>
      <c r="O232" s="21"/>
      <c r="P232" s="21"/>
      <c r="Q232" s="34"/>
      <c r="R232" s="34"/>
      <c r="S232" s="33" t="str">
        <f aca="false">IF(OR(B232="",L232=""),"",INDEX(Lists!$AB$4:$AB$8,MATCH(L232,Lists!$AA$4:$AA$8,0)))</f>
        <v/>
      </c>
      <c r="T232" s="43" t="str">
        <f aca="false">IF(OR(S232="",ISERROR(S232)),"",B232+S232)</f>
        <v/>
      </c>
      <c r="U232" s="34"/>
      <c r="V232" s="35"/>
      <c r="W232" s="33" t="str">
        <f aca="true">IF(B232="","",IF(V232&lt;&gt;"",V232-B232,TODAY()-B232))</f>
        <v/>
      </c>
      <c r="X232" s="38" t="str">
        <f aca="true">IF(OR(B232="",T232="",U232="False Positive",U232="Risk Accepted"),"",IF(V232&lt;&gt;"",IF(V232&gt;T232,"Closed Late","Met"),IF(TODAY()&gt;T232,"SLA BREACH",IF(T232-TODAY()&lt;=7,"Due ≤7d","Within SLA"))))</f>
        <v/>
      </c>
      <c r="Y232" s="34"/>
      <c r="Z232" s="34"/>
      <c r="AA232" s="21"/>
    </row>
    <row r="233" customFormat="false" ht="15" hidden="false" customHeight="false" outlineLevel="0" collapsed="false">
      <c r="A233" s="6" t="s">
        <v>2079</v>
      </c>
      <c r="B233" s="35"/>
      <c r="C233" s="34"/>
      <c r="D233" s="34"/>
      <c r="E233" s="21"/>
      <c r="F233" s="34"/>
      <c r="G233" s="34"/>
      <c r="H233" s="34"/>
      <c r="I233" s="34"/>
      <c r="J233" s="21"/>
      <c r="K233" s="34"/>
      <c r="L233" s="34"/>
      <c r="M233" s="34"/>
      <c r="N233" s="21"/>
      <c r="O233" s="21"/>
      <c r="P233" s="21"/>
      <c r="Q233" s="34"/>
      <c r="R233" s="34"/>
      <c r="S233" s="33" t="str">
        <f aca="false">IF(OR(B233="",L233=""),"",INDEX(Lists!$AB$4:$AB$8,MATCH(L233,Lists!$AA$4:$AA$8,0)))</f>
        <v/>
      </c>
      <c r="T233" s="43" t="str">
        <f aca="false">IF(OR(S233="",ISERROR(S233)),"",B233+S233)</f>
        <v/>
      </c>
      <c r="U233" s="34"/>
      <c r="V233" s="35"/>
      <c r="W233" s="33" t="str">
        <f aca="true">IF(B233="","",IF(V233&lt;&gt;"",V233-B233,TODAY()-B233))</f>
        <v/>
      </c>
      <c r="X233" s="38" t="str">
        <f aca="true">IF(OR(B233="",T233="",U233="False Positive",U233="Risk Accepted"),"",IF(V233&lt;&gt;"",IF(V233&gt;T233,"Closed Late","Met"),IF(TODAY()&gt;T233,"SLA BREACH",IF(T233-TODAY()&lt;=7,"Due ≤7d","Within SLA"))))</f>
        <v/>
      </c>
      <c r="Y233" s="34"/>
      <c r="Z233" s="34"/>
      <c r="AA233" s="21"/>
    </row>
    <row r="234" customFormat="false" ht="15" hidden="false" customHeight="false" outlineLevel="0" collapsed="false">
      <c r="A234" s="6" t="s">
        <v>2080</v>
      </c>
      <c r="B234" s="35"/>
      <c r="C234" s="34"/>
      <c r="D234" s="34"/>
      <c r="E234" s="21"/>
      <c r="F234" s="34"/>
      <c r="G234" s="34"/>
      <c r="H234" s="34"/>
      <c r="I234" s="34"/>
      <c r="J234" s="21"/>
      <c r="K234" s="34"/>
      <c r="L234" s="34"/>
      <c r="M234" s="34"/>
      <c r="N234" s="21"/>
      <c r="O234" s="21"/>
      <c r="P234" s="21"/>
      <c r="Q234" s="34"/>
      <c r="R234" s="34"/>
      <c r="S234" s="33" t="str">
        <f aca="false">IF(OR(B234="",L234=""),"",INDEX(Lists!$AB$4:$AB$8,MATCH(L234,Lists!$AA$4:$AA$8,0)))</f>
        <v/>
      </c>
      <c r="T234" s="43" t="str">
        <f aca="false">IF(OR(S234="",ISERROR(S234)),"",B234+S234)</f>
        <v/>
      </c>
      <c r="U234" s="34"/>
      <c r="V234" s="35"/>
      <c r="W234" s="33" t="str">
        <f aca="true">IF(B234="","",IF(V234&lt;&gt;"",V234-B234,TODAY()-B234))</f>
        <v/>
      </c>
      <c r="X234" s="38" t="str">
        <f aca="true">IF(OR(B234="",T234="",U234="False Positive",U234="Risk Accepted"),"",IF(V234&lt;&gt;"",IF(V234&gt;T234,"Closed Late","Met"),IF(TODAY()&gt;T234,"SLA BREACH",IF(T234-TODAY()&lt;=7,"Due ≤7d","Within SLA"))))</f>
        <v/>
      </c>
      <c r="Y234" s="34"/>
      <c r="Z234" s="34"/>
      <c r="AA234" s="21"/>
    </row>
    <row r="235" customFormat="false" ht="15" hidden="false" customHeight="false" outlineLevel="0" collapsed="false">
      <c r="A235" s="6" t="s">
        <v>2081</v>
      </c>
      <c r="B235" s="35"/>
      <c r="C235" s="34"/>
      <c r="D235" s="34"/>
      <c r="E235" s="21"/>
      <c r="F235" s="34"/>
      <c r="G235" s="34"/>
      <c r="H235" s="34"/>
      <c r="I235" s="34"/>
      <c r="J235" s="21"/>
      <c r="K235" s="34"/>
      <c r="L235" s="34"/>
      <c r="M235" s="34"/>
      <c r="N235" s="21"/>
      <c r="O235" s="21"/>
      <c r="P235" s="21"/>
      <c r="Q235" s="34"/>
      <c r="R235" s="34"/>
      <c r="S235" s="33" t="str">
        <f aca="false">IF(OR(B235="",L235=""),"",INDEX(Lists!$AB$4:$AB$8,MATCH(L235,Lists!$AA$4:$AA$8,0)))</f>
        <v/>
      </c>
      <c r="T235" s="43" t="str">
        <f aca="false">IF(OR(S235="",ISERROR(S235)),"",B235+S235)</f>
        <v/>
      </c>
      <c r="U235" s="34"/>
      <c r="V235" s="35"/>
      <c r="W235" s="33" t="str">
        <f aca="true">IF(B235="","",IF(V235&lt;&gt;"",V235-B235,TODAY()-B235))</f>
        <v/>
      </c>
      <c r="X235" s="38" t="str">
        <f aca="true">IF(OR(B235="",T235="",U235="False Positive",U235="Risk Accepted"),"",IF(V235&lt;&gt;"",IF(V235&gt;T235,"Closed Late","Met"),IF(TODAY()&gt;T235,"SLA BREACH",IF(T235-TODAY()&lt;=7,"Due ≤7d","Within SLA"))))</f>
        <v/>
      </c>
      <c r="Y235" s="34"/>
      <c r="Z235" s="34"/>
      <c r="AA235" s="21"/>
    </row>
    <row r="236" customFormat="false" ht="15" hidden="false" customHeight="false" outlineLevel="0" collapsed="false">
      <c r="A236" s="6" t="s">
        <v>2082</v>
      </c>
      <c r="B236" s="35"/>
      <c r="C236" s="34"/>
      <c r="D236" s="34"/>
      <c r="E236" s="21"/>
      <c r="F236" s="34"/>
      <c r="G236" s="34"/>
      <c r="H236" s="34"/>
      <c r="I236" s="34"/>
      <c r="J236" s="21"/>
      <c r="K236" s="34"/>
      <c r="L236" s="34"/>
      <c r="M236" s="34"/>
      <c r="N236" s="21"/>
      <c r="O236" s="21"/>
      <c r="P236" s="21"/>
      <c r="Q236" s="34"/>
      <c r="R236" s="34"/>
      <c r="S236" s="33" t="str">
        <f aca="false">IF(OR(B236="",L236=""),"",INDEX(Lists!$AB$4:$AB$8,MATCH(L236,Lists!$AA$4:$AA$8,0)))</f>
        <v/>
      </c>
      <c r="T236" s="43" t="str">
        <f aca="false">IF(OR(S236="",ISERROR(S236)),"",B236+S236)</f>
        <v/>
      </c>
      <c r="U236" s="34"/>
      <c r="V236" s="35"/>
      <c r="W236" s="33" t="str">
        <f aca="true">IF(B236="","",IF(V236&lt;&gt;"",V236-B236,TODAY()-B236))</f>
        <v/>
      </c>
      <c r="X236" s="38" t="str">
        <f aca="true">IF(OR(B236="",T236="",U236="False Positive",U236="Risk Accepted"),"",IF(V236&lt;&gt;"",IF(V236&gt;T236,"Closed Late","Met"),IF(TODAY()&gt;T236,"SLA BREACH",IF(T236-TODAY()&lt;=7,"Due ≤7d","Within SLA"))))</f>
        <v/>
      </c>
      <c r="Y236" s="34"/>
      <c r="Z236" s="34"/>
      <c r="AA236" s="21"/>
    </row>
    <row r="237" customFormat="false" ht="15" hidden="false" customHeight="false" outlineLevel="0" collapsed="false">
      <c r="A237" s="6" t="s">
        <v>2083</v>
      </c>
      <c r="B237" s="35"/>
      <c r="C237" s="34"/>
      <c r="D237" s="34"/>
      <c r="E237" s="21"/>
      <c r="F237" s="34"/>
      <c r="G237" s="34"/>
      <c r="H237" s="34"/>
      <c r="I237" s="34"/>
      <c r="J237" s="21"/>
      <c r="K237" s="34"/>
      <c r="L237" s="34"/>
      <c r="M237" s="34"/>
      <c r="N237" s="21"/>
      <c r="O237" s="21"/>
      <c r="P237" s="21"/>
      <c r="Q237" s="34"/>
      <c r="R237" s="34"/>
      <c r="S237" s="33" t="str">
        <f aca="false">IF(OR(B237="",L237=""),"",INDEX(Lists!$AB$4:$AB$8,MATCH(L237,Lists!$AA$4:$AA$8,0)))</f>
        <v/>
      </c>
      <c r="T237" s="43" t="str">
        <f aca="false">IF(OR(S237="",ISERROR(S237)),"",B237+S237)</f>
        <v/>
      </c>
      <c r="U237" s="34"/>
      <c r="V237" s="35"/>
      <c r="W237" s="33" t="str">
        <f aca="true">IF(B237="","",IF(V237&lt;&gt;"",V237-B237,TODAY()-B237))</f>
        <v/>
      </c>
      <c r="X237" s="38" t="str">
        <f aca="true">IF(OR(B237="",T237="",U237="False Positive",U237="Risk Accepted"),"",IF(V237&lt;&gt;"",IF(V237&gt;T237,"Closed Late","Met"),IF(TODAY()&gt;T237,"SLA BREACH",IF(T237-TODAY()&lt;=7,"Due ≤7d","Within SLA"))))</f>
        <v/>
      </c>
      <c r="Y237" s="34"/>
      <c r="Z237" s="34"/>
      <c r="AA237" s="21"/>
    </row>
    <row r="238" customFormat="false" ht="15" hidden="false" customHeight="false" outlineLevel="0" collapsed="false">
      <c r="A238" s="6" t="s">
        <v>2084</v>
      </c>
      <c r="B238" s="35"/>
      <c r="C238" s="34"/>
      <c r="D238" s="34"/>
      <c r="E238" s="21"/>
      <c r="F238" s="34"/>
      <c r="G238" s="34"/>
      <c r="H238" s="34"/>
      <c r="I238" s="34"/>
      <c r="J238" s="21"/>
      <c r="K238" s="34"/>
      <c r="L238" s="34"/>
      <c r="M238" s="34"/>
      <c r="N238" s="21"/>
      <c r="O238" s="21"/>
      <c r="P238" s="21"/>
      <c r="Q238" s="34"/>
      <c r="R238" s="34"/>
      <c r="S238" s="33" t="str">
        <f aca="false">IF(OR(B238="",L238=""),"",INDEX(Lists!$AB$4:$AB$8,MATCH(L238,Lists!$AA$4:$AA$8,0)))</f>
        <v/>
      </c>
      <c r="T238" s="43" t="str">
        <f aca="false">IF(OR(S238="",ISERROR(S238)),"",B238+S238)</f>
        <v/>
      </c>
      <c r="U238" s="34"/>
      <c r="V238" s="35"/>
      <c r="W238" s="33" t="str">
        <f aca="true">IF(B238="","",IF(V238&lt;&gt;"",V238-B238,TODAY()-B238))</f>
        <v/>
      </c>
      <c r="X238" s="38" t="str">
        <f aca="true">IF(OR(B238="",T238="",U238="False Positive",U238="Risk Accepted"),"",IF(V238&lt;&gt;"",IF(V238&gt;T238,"Closed Late","Met"),IF(TODAY()&gt;T238,"SLA BREACH",IF(T238-TODAY()&lt;=7,"Due ≤7d","Within SLA"))))</f>
        <v/>
      </c>
      <c r="Y238" s="34"/>
      <c r="Z238" s="34"/>
      <c r="AA238" s="21"/>
    </row>
    <row r="239" customFormat="false" ht="15" hidden="false" customHeight="false" outlineLevel="0" collapsed="false">
      <c r="A239" s="6" t="s">
        <v>2085</v>
      </c>
      <c r="B239" s="35"/>
      <c r="C239" s="34"/>
      <c r="D239" s="34"/>
      <c r="E239" s="21"/>
      <c r="F239" s="34"/>
      <c r="G239" s="34"/>
      <c r="H239" s="34"/>
      <c r="I239" s="34"/>
      <c r="J239" s="21"/>
      <c r="K239" s="34"/>
      <c r="L239" s="34"/>
      <c r="M239" s="34"/>
      <c r="N239" s="21"/>
      <c r="O239" s="21"/>
      <c r="P239" s="21"/>
      <c r="Q239" s="34"/>
      <c r="R239" s="34"/>
      <c r="S239" s="33" t="str">
        <f aca="false">IF(OR(B239="",L239=""),"",INDEX(Lists!$AB$4:$AB$8,MATCH(L239,Lists!$AA$4:$AA$8,0)))</f>
        <v/>
      </c>
      <c r="T239" s="43" t="str">
        <f aca="false">IF(OR(S239="",ISERROR(S239)),"",B239+S239)</f>
        <v/>
      </c>
      <c r="U239" s="34"/>
      <c r="V239" s="35"/>
      <c r="W239" s="33" t="str">
        <f aca="true">IF(B239="","",IF(V239&lt;&gt;"",V239-B239,TODAY()-B239))</f>
        <v/>
      </c>
      <c r="X239" s="38" t="str">
        <f aca="true">IF(OR(B239="",T239="",U239="False Positive",U239="Risk Accepted"),"",IF(V239&lt;&gt;"",IF(V239&gt;T239,"Closed Late","Met"),IF(TODAY()&gt;T239,"SLA BREACH",IF(T239-TODAY()&lt;=7,"Due ≤7d","Within SLA"))))</f>
        <v/>
      </c>
      <c r="Y239" s="34"/>
      <c r="Z239" s="34"/>
      <c r="AA239" s="21"/>
    </row>
    <row r="240" customFormat="false" ht="15" hidden="false" customHeight="false" outlineLevel="0" collapsed="false">
      <c r="A240" s="6" t="s">
        <v>2086</v>
      </c>
      <c r="B240" s="35"/>
      <c r="C240" s="34"/>
      <c r="D240" s="34"/>
      <c r="E240" s="21"/>
      <c r="F240" s="34"/>
      <c r="G240" s="34"/>
      <c r="H240" s="34"/>
      <c r="I240" s="34"/>
      <c r="J240" s="21"/>
      <c r="K240" s="34"/>
      <c r="L240" s="34"/>
      <c r="M240" s="34"/>
      <c r="N240" s="21"/>
      <c r="O240" s="21"/>
      <c r="P240" s="21"/>
      <c r="Q240" s="34"/>
      <c r="R240" s="34"/>
      <c r="S240" s="33" t="str">
        <f aca="false">IF(OR(B240="",L240=""),"",INDEX(Lists!$AB$4:$AB$8,MATCH(L240,Lists!$AA$4:$AA$8,0)))</f>
        <v/>
      </c>
      <c r="T240" s="43" t="str">
        <f aca="false">IF(OR(S240="",ISERROR(S240)),"",B240+S240)</f>
        <v/>
      </c>
      <c r="U240" s="34"/>
      <c r="V240" s="35"/>
      <c r="W240" s="33" t="str">
        <f aca="true">IF(B240="","",IF(V240&lt;&gt;"",V240-B240,TODAY()-B240))</f>
        <v/>
      </c>
      <c r="X240" s="38" t="str">
        <f aca="true">IF(OR(B240="",T240="",U240="False Positive",U240="Risk Accepted"),"",IF(V240&lt;&gt;"",IF(V240&gt;T240,"Closed Late","Met"),IF(TODAY()&gt;T240,"SLA BREACH",IF(T240-TODAY()&lt;=7,"Due ≤7d","Within SLA"))))</f>
        <v/>
      </c>
      <c r="Y240" s="34"/>
      <c r="Z240" s="34"/>
      <c r="AA240" s="21"/>
    </row>
    <row r="241" customFormat="false" ht="15" hidden="false" customHeight="false" outlineLevel="0" collapsed="false">
      <c r="A241" s="6" t="s">
        <v>2087</v>
      </c>
      <c r="B241" s="35"/>
      <c r="C241" s="34"/>
      <c r="D241" s="34"/>
      <c r="E241" s="21"/>
      <c r="F241" s="34"/>
      <c r="G241" s="34"/>
      <c r="H241" s="34"/>
      <c r="I241" s="34"/>
      <c r="J241" s="21"/>
      <c r="K241" s="34"/>
      <c r="L241" s="34"/>
      <c r="M241" s="34"/>
      <c r="N241" s="21"/>
      <c r="O241" s="21"/>
      <c r="P241" s="21"/>
      <c r="Q241" s="34"/>
      <c r="R241" s="34"/>
      <c r="S241" s="33" t="str">
        <f aca="false">IF(OR(B241="",L241=""),"",INDEX(Lists!$AB$4:$AB$8,MATCH(L241,Lists!$AA$4:$AA$8,0)))</f>
        <v/>
      </c>
      <c r="T241" s="43" t="str">
        <f aca="false">IF(OR(S241="",ISERROR(S241)),"",B241+S241)</f>
        <v/>
      </c>
      <c r="U241" s="34"/>
      <c r="V241" s="35"/>
      <c r="W241" s="33" t="str">
        <f aca="true">IF(B241="","",IF(V241&lt;&gt;"",V241-B241,TODAY()-B241))</f>
        <v/>
      </c>
      <c r="X241" s="38" t="str">
        <f aca="true">IF(OR(B241="",T241="",U241="False Positive",U241="Risk Accepted"),"",IF(V241&lt;&gt;"",IF(V241&gt;T241,"Closed Late","Met"),IF(TODAY()&gt;T241,"SLA BREACH",IF(T241-TODAY()&lt;=7,"Due ≤7d","Within SLA"))))</f>
        <v/>
      </c>
      <c r="Y241" s="34"/>
      <c r="Z241" s="34"/>
      <c r="AA241" s="21"/>
    </row>
    <row r="242" customFormat="false" ht="15" hidden="false" customHeight="false" outlineLevel="0" collapsed="false">
      <c r="A242" s="6" t="s">
        <v>2088</v>
      </c>
      <c r="B242" s="35"/>
      <c r="C242" s="34"/>
      <c r="D242" s="34"/>
      <c r="E242" s="21"/>
      <c r="F242" s="34"/>
      <c r="G242" s="34"/>
      <c r="H242" s="34"/>
      <c r="I242" s="34"/>
      <c r="J242" s="21"/>
      <c r="K242" s="34"/>
      <c r="L242" s="34"/>
      <c r="M242" s="34"/>
      <c r="N242" s="21"/>
      <c r="O242" s="21"/>
      <c r="P242" s="21"/>
      <c r="Q242" s="34"/>
      <c r="R242" s="34"/>
      <c r="S242" s="33" t="str">
        <f aca="false">IF(OR(B242="",L242=""),"",INDEX(Lists!$AB$4:$AB$8,MATCH(L242,Lists!$AA$4:$AA$8,0)))</f>
        <v/>
      </c>
      <c r="T242" s="43" t="str">
        <f aca="false">IF(OR(S242="",ISERROR(S242)),"",B242+S242)</f>
        <v/>
      </c>
      <c r="U242" s="34"/>
      <c r="V242" s="35"/>
      <c r="W242" s="33" t="str">
        <f aca="true">IF(B242="","",IF(V242&lt;&gt;"",V242-B242,TODAY()-B242))</f>
        <v/>
      </c>
      <c r="X242" s="38" t="str">
        <f aca="true">IF(OR(B242="",T242="",U242="False Positive",U242="Risk Accepted"),"",IF(V242&lt;&gt;"",IF(V242&gt;T242,"Closed Late","Met"),IF(TODAY()&gt;T242,"SLA BREACH",IF(T242-TODAY()&lt;=7,"Due ≤7d","Within SLA"))))</f>
        <v/>
      </c>
      <c r="Y242" s="34"/>
      <c r="Z242" s="34"/>
      <c r="AA242" s="21"/>
    </row>
    <row r="243" customFormat="false" ht="15" hidden="false" customHeight="false" outlineLevel="0" collapsed="false">
      <c r="A243" s="6" t="s">
        <v>2089</v>
      </c>
      <c r="B243" s="35"/>
      <c r="C243" s="34"/>
      <c r="D243" s="34"/>
      <c r="E243" s="21"/>
      <c r="F243" s="34"/>
      <c r="G243" s="34"/>
      <c r="H243" s="34"/>
      <c r="I243" s="34"/>
      <c r="J243" s="21"/>
      <c r="K243" s="34"/>
      <c r="L243" s="34"/>
      <c r="M243" s="34"/>
      <c r="N243" s="21"/>
      <c r="O243" s="21"/>
      <c r="P243" s="21"/>
      <c r="Q243" s="34"/>
      <c r="R243" s="34"/>
      <c r="S243" s="33" t="str">
        <f aca="false">IF(OR(B243="",L243=""),"",INDEX(Lists!$AB$4:$AB$8,MATCH(L243,Lists!$AA$4:$AA$8,0)))</f>
        <v/>
      </c>
      <c r="T243" s="43" t="str">
        <f aca="false">IF(OR(S243="",ISERROR(S243)),"",B243+S243)</f>
        <v/>
      </c>
      <c r="U243" s="34"/>
      <c r="V243" s="35"/>
      <c r="W243" s="33" t="str">
        <f aca="true">IF(B243="","",IF(V243&lt;&gt;"",V243-B243,TODAY()-B243))</f>
        <v/>
      </c>
      <c r="X243" s="38" t="str">
        <f aca="true">IF(OR(B243="",T243="",U243="False Positive",U243="Risk Accepted"),"",IF(V243&lt;&gt;"",IF(V243&gt;T243,"Closed Late","Met"),IF(TODAY()&gt;T243,"SLA BREACH",IF(T243-TODAY()&lt;=7,"Due ≤7d","Within SLA"))))</f>
        <v/>
      </c>
      <c r="Y243" s="34"/>
      <c r="Z243" s="34"/>
      <c r="AA243" s="21"/>
    </row>
    <row r="244" customFormat="false" ht="15" hidden="false" customHeight="false" outlineLevel="0" collapsed="false">
      <c r="A244" s="6" t="s">
        <v>2090</v>
      </c>
      <c r="B244" s="35"/>
      <c r="C244" s="34"/>
      <c r="D244" s="34"/>
      <c r="E244" s="21"/>
      <c r="F244" s="34"/>
      <c r="G244" s="34"/>
      <c r="H244" s="34"/>
      <c r="I244" s="34"/>
      <c r="J244" s="21"/>
      <c r="K244" s="34"/>
      <c r="L244" s="34"/>
      <c r="M244" s="34"/>
      <c r="N244" s="21"/>
      <c r="O244" s="21"/>
      <c r="P244" s="21"/>
      <c r="Q244" s="34"/>
      <c r="R244" s="34"/>
      <c r="S244" s="33" t="str">
        <f aca="false">IF(OR(B244="",L244=""),"",INDEX(Lists!$AB$4:$AB$8,MATCH(L244,Lists!$AA$4:$AA$8,0)))</f>
        <v/>
      </c>
      <c r="T244" s="43" t="str">
        <f aca="false">IF(OR(S244="",ISERROR(S244)),"",B244+S244)</f>
        <v/>
      </c>
      <c r="U244" s="34"/>
      <c r="V244" s="35"/>
      <c r="W244" s="33" t="str">
        <f aca="true">IF(B244="","",IF(V244&lt;&gt;"",V244-B244,TODAY()-B244))</f>
        <v/>
      </c>
      <c r="X244" s="38" t="str">
        <f aca="true">IF(OR(B244="",T244="",U244="False Positive",U244="Risk Accepted"),"",IF(V244&lt;&gt;"",IF(V244&gt;T244,"Closed Late","Met"),IF(TODAY()&gt;T244,"SLA BREACH",IF(T244-TODAY()&lt;=7,"Due ≤7d","Within SLA"))))</f>
        <v/>
      </c>
      <c r="Y244" s="34"/>
      <c r="Z244" s="34"/>
      <c r="AA244" s="21"/>
    </row>
    <row r="245" customFormat="false" ht="15" hidden="false" customHeight="false" outlineLevel="0" collapsed="false">
      <c r="A245" s="6" t="s">
        <v>2091</v>
      </c>
      <c r="B245" s="35"/>
      <c r="C245" s="34"/>
      <c r="D245" s="34"/>
      <c r="E245" s="21"/>
      <c r="F245" s="34"/>
      <c r="G245" s="34"/>
      <c r="H245" s="34"/>
      <c r="I245" s="34"/>
      <c r="J245" s="21"/>
      <c r="K245" s="34"/>
      <c r="L245" s="34"/>
      <c r="M245" s="34"/>
      <c r="N245" s="21"/>
      <c r="O245" s="21"/>
      <c r="P245" s="21"/>
      <c r="Q245" s="34"/>
      <c r="R245" s="34"/>
      <c r="S245" s="33" t="str">
        <f aca="false">IF(OR(B245="",L245=""),"",INDEX(Lists!$AB$4:$AB$8,MATCH(L245,Lists!$AA$4:$AA$8,0)))</f>
        <v/>
      </c>
      <c r="T245" s="43" t="str">
        <f aca="false">IF(OR(S245="",ISERROR(S245)),"",B245+S245)</f>
        <v/>
      </c>
      <c r="U245" s="34"/>
      <c r="V245" s="35"/>
      <c r="W245" s="33" t="str">
        <f aca="true">IF(B245="","",IF(V245&lt;&gt;"",V245-B245,TODAY()-B245))</f>
        <v/>
      </c>
      <c r="X245" s="38" t="str">
        <f aca="true">IF(OR(B245="",T245="",U245="False Positive",U245="Risk Accepted"),"",IF(V245&lt;&gt;"",IF(V245&gt;T245,"Closed Late","Met"),IF(TODAY()&gt;T245,"SLA BREACH",IF(T245-TODAY()&lt;=7,"Due ≤7d","Within SLA"))))</f>
        <v/>
      </c>
      <c r="Y245" s="34"/>
      <c r="Z245" s="34"/>
      <c r="AA245" s="21"/>
    </row>
    <row r="246" customFormat="false" ht="15" hidden="false" customHeight="false" outlineLevel="0" collapsed="false">
      <c r="A246" s="6" t="s">
        <v>2092</v>
      </c>
      <c r="B246" s="35"/>
      <c r="C246" s="34"/>
      <c r="D246" s="34"/>
      <c r="E246" s="21"/>
      <c r="F246" s="34"/>
      <c r="G246" s="34"/>
      <c r="H246" s="34"/>
      <c r="I246" s="34"/>
      <c r="J246" s="21"/>
      <c r="K246" s="34"/>
      <c r="L246" s="34"/>
      <c r="M246" s="34"/>
      <c r="N246" s="21"/>
      <c r="O246" s="21"/>
      <c r="P246" s="21"/>
      <c r="Q246" s="34"/>
      <c r="R246" s="34"/>
      <c r="S246" s="33" t="str">
        <f aca="false">IF(OR(B246="",L246=""),"",INDEX(Lists!$AB$4:$AB$8,MATCH(L246,Lists!$AA$4:$AA$8,0)))</f>
        <v/>
      </c>
      <c r="T246" s="43" t="str">
        <f aca="false">IF(OR(S246="",ISERROR(S246)),"",B246+S246)</f>
        <v/>
      </c>
      <c r="U246" s="34"/>
      <c r="V246" s="35"/>
      <c r="W246" s="33" t="str">
        <f aca="true">IF(B246="","",IF(V246&lt;&gt;"",V246-B246,TODAY()-B246))</f>
        <v/>
      </c>
      <c r="X246" s="38" t="str">
        <f aca="true">IF(OR(B246="",T246="",U246="False Positive",U246="Risk Accepted"),"",IF(V246&lt;&gt;"",IF(V246&gt;T246,"Closed Late","Met"),IF(TODAY()&gt;T246,"SLA BREACH",IF(T246-TODAY()&lt;=7,"Due ≤7d","Within SLA"))))</f>
        <v/>
      </c>
      <c r="Y246" s="34"/>
      <c r="Z246" s="34"/>
      <c r="AA246" s="21"/>
    </row>
    <row r="247" customFormat="false" ht="15" hidden="false" customHeight="false" outlineLevel="0" collapsed="false">
      <c r="A247" s="6" t="s">
        <v>2093</v>
      </c>
      <c r="B247" s="35"/>
      <c r="C247" s="34"/>
      <c r="D247" s="34"/>
      <c r="E247" s="21"/>
      <c r="F247" s="34"/>
      <c r="G247" s="34"/>
      <c r="H247" s="34"/>
      <c r="I247" s="34"/>
      <c r="J247" s="21"/>
      <c r="K247" s="34"/>
      <c r="L247" s="34"/>
      <c r="M247" s="34"/>
      <c r="N247" s="21"/>
      <c r="O247" s="21"/>
      <c r="P247" s="21"/>
      <c r="Q247" s="34"/>
      <c r="R247" s="34"/>
      <c r="S247" s="33" t="str">
        <f aca="false">IF(OR(B247="",L247=""),"",INDEX(Lists!$AB$4:$AB$8,MATCH(L247,Lists!$AA$4:$AA$8,0)))</f>
        <v/>
      </c>
      <c r="T247" s="43" t="str">
        <f aca="false">IF(OR(S247="",ISERROR(S247)),"",B247+S247)</f>
        <v/>
      </c>
      <c r="U247" s="34"/>
      <c r="V247" s="35"/>
      <c r="W247" s="33" t="str">
        <f aca="true">IF(B247="","",IF(V247&lt;&gt;"",V247-B247,TODAY()-B247))</f>
        <v/>
      </c>
      <c r="X247" s="38" t="str">
        <f aca="true">IF(OR(B247="",T247="",U247="False Positive",U247="Risk Accepted"),"",IF(V247&lt;&gt;"",IF(V247&gt;T247,"Closed Late","Met"),IF(TODAY()&gt;T247,"SLA BREACH",IF(T247-TODAY()&lt;=7,"Due ≤7d","Within SLA"))))</f>
        <v/>
      </c>
      <c r="Y247" s="34"/>
      <c r="Z247" s="34"/>
      <c r="AA247" s="21"/>
    </row>
    <row r="248" customFormat="false" ht="15" hidden="false" customHeight="false" outlineLevel="0" collapsed="false">
      <c r="A248" s="6" t="s">
        <v>2094</v>
      </c>
      <c r="B248" s="35"/>
      <c r="C248" s="34"/>
      <c r="D248" s="34"/>
      <c r="E248" s="21"/>
      <c r="F248" s="34"/>
      <c r="G248" s="34"/>
      <c r="H248" s="34"/>
      <c r="I248" s="34"/>
      <c r="J248" s="21"/>
      <c r="K248" s="34"/>
      <c r="L248" s="34"/>
      <c r="M248" s="34"/>
      <c r="N248" s="21"/>
      <c r="O248" s="21"/>
      <c r="P248" s="21"/>
      <c r="Q248" s="34"/>
      <c r="R248" s="34"/>
      <c r="S248" s="33" t="str">
        <f aca="false">IF(OR(B248="",L248=""),"",INDEX(Lists!$AB$4:$AB$8,MATCH(L248,Lists!$AA$4:$AA$8,0)))</f>
        <v/>
      </c>
      <c r="T248" s="43" t="str">
        <f aca="false">IF(OR(S248="",ISERROR(S248)),"",B248+S248)</f>
        <v/>
      </c>
      <c r="U248" s="34"/>
      <c r="V248" s="35"/>
      <c r="W248" s="33" t="str">
        <f aca="true">IF(B248="","",IF(V248&lt;&gt;"",V248-B248,TODAY()-B248))</f>
        <v/>
      </c>
      <c r="X248" s="38" t="str">
        <f aca="true">IF(OR(B248="",T248="",U248="False Positive",U248="Risk Accepted"),"",IF(V248&lt;&gt;"",IF(V248&gt;T248,"Closed Late","Met"),IF(TODAY()&gt;T248,"SLA BREACH",IF(T248-TODAY()&lt;=7,"Due ≤7d","Within SLA"))))</f>
        <v/>
      </c>
      <c r="Y248" s="34"/>
      <c r="Z248" s="34"/>
      <c r="AA248" s="21"/>
    </row>
    <row r="249" customFormat="false" ht="15" hidden="false" customHeight="false" outlineLevel="0" collapsed="false">
      <c r="A249" s="6" t="s">
        <v>2095</v>
      </c>
      <c r="B249" s="35"/>
      <c r="C249" s="34"/>
      <c r="D249" s="34"/>
      <c r="E249" s="21"/>
      <c r="F249" s="34"/>
      <c r="G249" s="34"/>
      <c r="H249" s="34"/>
      <c r="I249" s="34"/>
      <c r="J249" s="21"/>
      <c r="K249" s="34"/>
      <c r="L249" s="34"/>
      <c r="M249" s="34"/>
      <c r="N249" s="21"/>
      <c r="O249" s="21"/>
      <c r="P249" s="21"/>
      <c r="Q249" s="34"/>
      <c r="R249" s="34"/>
      <c r="S249" s="33" t="str">
        <f aca="false">IF(OR(B249="",L249=""),"",INDEX(Lists!$AB$4:$AB$8,MATCH(L249,Lists!$AA$4:$AA$8,0)))</f>
        <v/>
      </c>
      <c r="T249" s="43" t="str">
        <f aca="false">IF(OR(S249="",ISERROR(S249)),"",B249+S249)</f>
        <v/>
      </c>
      <c r="U249" s="34"/>
      <c r="V249" s="35"/>
      <c r="W249" s="33" t="str">
        <f aca="true">IF(B249="","",IF(V249&lt;&gt;"",V249-B249,TODAY()-B249))</f>
        <v/>
      </c>
      <c r="X249" s="38" t="str">
        <f aca="true">IF(OR(B249="",T249="",U249="False Positive",U249="Risk Accepted"),"",IF(V249&lt;&gt;"",IF(V249&gt;T249,"Closed Late","Met"),IF(TODAY()&gt;T249,"SLA BREACH",IF(T249-TODAY()&lt;=7,"Due ≤7d","Within SLA"))))</f>
        <v/>
      </c>
      <c r="Y249" s="34"/>
      <c r="Z249" s="34"/>
      <c r="AA249" s="21"/>
    </row>
    <row r="250" customFormat="false" ht="15" hidden="false" customHeight="false" outlineLevel="0" collapsed="false">
      <c r="A250" s="6" t="s">
        <v>2096</v>
      </c>
      <c r="B250" s="35"/>
      <c r="C250" s="34"/>
      <c r="D250" s="34"/>
      <c r="E250" s="21"/>
      <c r="F250" s="34"/>
      <c r="G250" s="34"/>
      <c r="H250" s="34"/>
      <c r="I250" s="34"/>
      <c r="J250" s="21"/>
      <c r="K250" s="34"/>
      <c r="L250" s="34"/>
      <c r="M250" s="34"/>
      <c r="N250" s="21"/>
      <c r="O250" s="21"/>
      <c r="P250" s="21"/>
      <c r="Q250" s="34"/>
      <c r="R250" s="34"/>
      <c r="S250" s="33" t="str">
        <f aca="false">IF(OR(B250="",L250=""),"",INDEX(Lists!$AB$4:$AB$8,MATCH(L250,Lists!$AA$4:$AA$8,0)))</f>
        <v/>
      </c>
      <c r="T250" s="43" t="str">
        <f aca="false">IF(OR(S250="",ISERROR(S250)),"",B250+S250)</f>
        <v/>
      </c>
      <c r="U250" s="34"/>
      <c r="V250" s="35"/>
      <c r="W250" s="33" t="str">
        <f aca="true">IF(B250="","",IF(V250&lt;&gt;"",V250-B250,TODAY()-B250))</f>
        <v/>
      </c>
      <c r="X250" s="38" t="str">
        <f aca="true">IF(OR(B250="",T250="",U250="False Positive",U250="Risk Accepted"),"",IF(V250&lt;&gt;"",IF(V250&gt;T250,"Closed Late","Met"),IF(TODAY()&gt;T250,"SLA BREACH",IF(T250-TODAY()&lt;=7,"Due ≤7d","Within SLA"))))</f>
        <v/>
      </c>
      <c r="Y250" s="34"/>
      <c r="Z250" s="34"/>
      <c r="AA250" s="21"/>
    </row>
    <row r="251" customFormat="false" ht="15" hidden="false" customHeight="false" outlineLevel="0" collapsed="false">
      <c r="A251" s="6" t="s">
        <v>2097</v>
      </c>
      <c r="B251" s="35"/>
      <c r="C251" s="34"/>
      <c r="D251" s="34"/>
      <c r="E251" s="21"/>
      <c r="F251" s="34"/>
      <c r="G251" s="34"/>
      <c r="H251" s="34"/>
      <c r="I251" s="34"/>
      <c r="J251" s="21"/>
      <c r="K251" s="34"/>
      <c r="L251" s="34"/>
      <c r="M251" s="34"/>
      <c r="N251" s="21"/>
      <c r="O251" s="21"/>
      <c r="P251" s="21"/>
      <c r="Q251" s="34"/>
      <c r="R251" s="34"/>
      <c r="S251" s="33" t="str">
        <f aca="false">IF(OR(B251="",L251=""),"",INDEX(Lists!$AB$4:$AB$8,MATCH(L251,Lists!$AA$4:$AA$8,0)))</f>
        <v/>
      </c>
      <c r="T251" s="43" t="str">
        <f aca="false">IF(OR(S251="",ISERROR(S251)),"",B251+S251)</f>
        <v/>
      </c>
      <c r="U251" s="34"/>
      <c r="V251" s="35"/>
      <c r="W251" s="33" t="str">
        <f aca="true">IF(B251="","",IF(V251&lt;&gt;"",V251-B251,TODAY()-B251))</f>
        <v/>
      </c>
      <c r="X251" s="38" t="str">
        <f aca="true">IF(OR(B251="",T251="",U251="False Positive",U251="Risk Accepted"),"",IF(V251&lt;&gt;"",IF(V251&gt;T251,"Closed Late","Met"),IF(TODAY()&gt;T251,"SLA BREACH",IF(T251-TODAY()&lt;=7,"Due ≤7d","Within SLA"))))</f>
        <v/>
      </c>
      <c r="Y251" s="34"/>
      <c r="Z251" s="34"/>
      <c r="AA251" s="21"/>
    </row>
    <row r="252" customFormat="false" ht="15" hidden="false" customHeight="false" outlineLevel="0" collapsed="false">
      <c r="A252" s="6" t="s">
        <v>2098</v>
      </c>
      <c r="B252" s="35"/>
      <c r="C252" s="34"/>
      <c r="D252" s="34"/>
      <c r="E252" s="21"/>
      <c r="F252" s="34"/>
      <c r="G252" s="34"/>
      <c r="H252" s="34"/>
      <c r="I252" s="34"/>
      <c r="J252" s="21"/>
      <c r="K252" s="34"/>
      <c r="L252" s="34"/>
      <c r="M252" s="34"/>
      <c r="N252" s="21"/>
      <c r="O252" s="21"/>
      <c r="P252" s="21"/>
      <c r="Q252" s="34"/>
      <c r="R252" s="34"/>
      <c r="S252" s="33" t="str">
        <f aca="false">IF(OR(B252="",L252=""),"",INDEX(Lists!$AB$4:$AB$8,MATCH(L252,Lists!$AA$4:$AA$8,0)))</f>
        <v/>
      </c>
      <c r="T252" s="43" t="str">
        <f aca="false">IF(OR(S252="",ISERROR(S252)),"",B252+S252)</f>
        <v/>
      </c>
      <c r="U252" s="34"/>
      <c r="V252" s="35"/>
      <c r="W252" s="33" t="str">
        <f aca="true">IF(B252="","",IF(V252&lt;&gt;"",V252-B252,TODAY()-B252))</f>
        <v/>
      </c>
      <c r="X252" s="38" t="str">
        <f aca="true">IF(OR(B252="",T252="",U252="False Positive",U252="Risk Accepted"),"",IF(V252&lt;&gt;"",IF(V252&gt;T252,"Closed Late","Met"),IF(TODAY()&gt;T252,"SLA BREACH",IF(T252-TODAY()&lt;=7,"Due ≤7d","Within SLA"))))</f>
        <v/>
      </c>
      <c r="Y252" s="34"/>
      <c r="Z252" s="34"/>
      <c r="AA252" s="21"/>
    </row>
    <row r="253" customFormat="false" ht="15" hidden="false" customHeight="false" outlineLevel="0" collapsed="false">
      <c r="A253" s="6" t="s">
        <v>2099</v>
      </c>
      <c r="B253" s="35"/>
      <c r="C253" s="34"/>
      <c r="D253" s="34"/>
      <c r="E253" s="21"/>
      <c r="F253" s="34"/>
      <c r="G253" s="34"/>
      <c r="H253" s="34"/>
      <c r="I253" s="34"/>
      <c r="J253" s="21"/>
      <c r="K253" s="34"/>
      <c r="L253" s="34"/>
      <c r="M253" s="34"/>
      <c r="N253" s="21"/>
      <c r="O253" s="21"/>
      <c r="P253" s="21"/>
      <c r="Q253" s="34"/>
      <c r="R253" s="34"/>
      <c r="S253" s="33" t="str">
        <f aca="false">IF(OR(B253="",L253=""),"",INDEX(Lists!$AB$4:$AB$8,MATCH(L253,Lists!$AA$4:$AA$8,0)))</f>
        <v/>
      </c>
      <c r="T253" s="43" t="str">
        <f aca="false">IF(OR(S253="",ISERROR(S253)),"",B253+S253)</f>
        <v/>
      </c>
      <c r="U253" s="34"/>
      <c r="V253" s="35"/>
      <c r="W253" s="33" t="str">
        <f aca="true">IF(B253="","",IF(V253&lt;&gt;"",V253-B253,TODAY()-B253))</f>
        <v/>
      </c>
      <c r="X253" s="38" t="str">
        <f aca="true">IF(OR(B253="",T253="",U253="False Positive",U253="Risk Accepted"),"",IF(V253&lt;&gt;"",IF(V253&gt;T253,"Closed Late","Met"),IF(TODAY()&gt;T253,"SLA BREACH",IF(T253-TODAY()&lt;=7,"Due ≤7d","Within SLA"))))</f>
        <v/>
      </c>
      <c r="Y253" s="34"/>
      <c r="Z253" s="34"/>
      <c r="AA253" s="21"/>
    </row>
    <row r="254" customFormat="false" ht="15" hidden="false" customHeight="false" outlineLevel="0" collapsed="false">
      <c r="A254" s="6" t="s">
        <v>2100</v>
      </c>
      <c r="B254" s="35"/>
      <c r="C254" s="34"/>
      <c r="D254" s="34"/>
      <c r="E254" s="21"/>
      <c r="F254" s="34"/>
      <c r="G254" s="34"/>
      <c r="H254" s="34"/>
      <c r="I254" s="34"/>
      <c r="J254" s="21"/>
      <c r="K254" s="34"/>
      <c r="L254" s="34"/>
      <c r="M254" s="34"/>
      <c r="N254" s="21"/>
      <c r="O254" s="21"/>
      <c r="P254" s="21"/>
      <c r="Q254" s="34"/>
      <c r="R254" s="34"/>
      <c r="S254" s="33" t="str">
        <f aca="false">IF(OR(B254="",L254=""),"",INDEX(Lists!$AB$4:$AB$8,MATCH(L254,Lists!$AA$4:$AA$8,0)))</f>
        <v/>
      </c>
      <c r="T254" s="43" t="str">
        <f aca="false">IF(OR(S254="",ISERROR(S254)),"",B254+S254)</f>
        <v/>
      </c>
      <c r="U254" s="34"/>
      <c r="V254" s="35"/>
      <c r="W254" s="33" t="str">
        <f aca="true">IF(B254="","",IF(V254&lt;&gt;"",V254-B254,TODAY()-B254))</f>
        <v/>
      </c>
      <c r="X254" s="38" t="str">
        <f aca="true">IF(OR(B254="",T254="",U254="False Positive",U254="Risk Accepted"),"",IF(V254&lt;&gt;"",IF(V254&gt;T254,"Closed Late","Met"),IF(TODAY()&gt;T254,"SLA BREACH",IF(T254-TODAY()&lt;=7,"Due ≤7d","Within SLA"))))</f>
        <v/>
      </c>
      <c r="Y254" s="34"/>
      <c r="Z254" s="34"/>
      <c r="AA254" s="21"/>
    </row>
    <row r="255" customFormat="false" ht="15" hidden="false" customHeight="false" outlineLevel="0" collapsed="false">
      <c r="A255" s="6" t="s">
        <v>2101</v>
      </c>
      <c r="B255" s="35"/>
      <c r="C255" s="34"/>
      <c r="D255" s="34"/>
      <c r="E255" s="21"/>
      <c r="F255" s="34"/>
      <c r="G255" s="34"/>
      <c r="H255" s="34"/>
      <c r="I255" s="34"/>
      <c r="J255" s="21"/>
      <c r="K255" s="34"/>
      <c r="L255" s="34"/>
      <c r="M255" s="34"/>
      <c r="N255" s="21"/>
      <c r="O255" s="21"/>
      <c r="P255" s="21"/>
      <c r="Q255" s="34"/>
      <c r="R255" s="34"/>
      <c r="S255" s="33" t="str">
        <f aca="false">IF(OR(B255="",L255=""),"",INDEX(Lists!$AB$4:$AB$8,MATCH(L255,Lists!$AA$4:$AA$8,0)))</f>
        <v/>
      </c>
      <c r="T255" s="43" t="str">
        <f aca="false">IF(OR(S255="",ISERROR(S255)),"",B255+S255)</f>
        <v/>
      </c>
      <c r="U255" s="34"/>
      <c r="V255" s="35"/>
      <c r="W255" s="33" t="str">
        <f aca="true">IF(B255="","",IF(V255&lt;&gt;"",V255-B255,TODAY()-B255))</f>
        <v/>
      </c>
      <c r="X255" s="38" t="str">
        <f aca="true">IF(OR(B255="",T255="",U255="False Positive",U255="Risk Accepted"),"",IF(V255&lt;&gt;"",IF(V255&gt;T255,"Closed Late","Met"),IF(TODAY()&gt;T255,"SLA BREACH",IF(T255-TODAY()&lt;=7,"Due ≤7d","Within SLA"))))</f>
        <v/>
      </c>
      <c r="Y255" s="34"/>
      <c r="Z255" s="34"/>
      <c r="AA255" s="21"/>
    </row>
    <row r="256" customFormat="false" ht="15" hidden="false" customHeight="false" outlineLevel="0" collapsed="false">
      <c r="A256" s="6" t="s">
        <v>2102</v>
      </c>
      <c r="B256" s="35"/>
      <c r="C256" s="34"/>
      <c r="D256" s="34"/>
      <c r="E256" s="21"/>
      <c r="F256" s="34"/>
      <c r="G256" s="34"/>
      <c r="H256" s="34"/>
      <c r="I256" s="34"/>
      <c r="J256" s="21"/>
      <c r="K256" s="34"/>
      <c r="L256" s="34"/>
      <c r="M256" s="34"/>
      <c r="N256" s="21"/>
      <c r="O256" s="21"/>
      <c r="P256" s="21"/>
      <c r="Q256" s="34"/>
      <c r="R256" s="34"/>
      <c r="S256" s="33" t="str">
        <f aca="false">IF(OR(B256="",L256=""),"",INDEX(Lists!$AB$4:$AB$8,MATCH(L256,Lists!$AA$4:$AA$8,0)))</f>
        <v/>
      </c>
      <c r="T256" s="43" t="str">
        <f aca="false">IF(OR(S256="",ISERROR(S256)),"",B256+S256)</f>
        <v/>
      </c>
      <c r="U256" s="34"/>
      <c r="V256" s="35"/>
      <c r="W256" s="33" t="str">
        <f aca="true">IF(B256="","",IF(V256&lt;&gt;"",V256-B256,TODAY()-B256))</f>
        <v/>
      </c>
      <c r="X256" s="38" t="str">
        <f aca="true">IF(OR(B256="",T256="",U256="False Positive",U256="Risk Accepted"),"",IF(V256&lt;&gt;"",IF(V256&gt;T256,"Closed Late","Met"),IF(TODAY()&gt;T256,"SLA BREACH",IF(T256-TODAY()&lt;=7,"Due ≤7d","Within SLA"))))</f>
        <v/>
      </c>
      <c r="Y256" s="34"/>
      <c r="Z256" s="34"/>
      <c r="AA256" s="21"/>
    </row>
    <row r="257" customFormat="false" ht="15" hidden="false" customHeight="false" outlineLevel="0" collapsed="false">
      <c r="A257" s="6" t="s">
        <v>2103</v>
      </c>
      <c r="B257" s="35"/>
      <c r="C257" s="34"/>
      <c r="D257" s="34"/>
      <c r="E257" s="21"/>
      <c r="F257" s="34"/>
      <c r="G257" s="34"/>
      <c r="H257" s="34"/>
      <c r="I257" s="34"/>
      <c r="J257" s="21"/>
      <c r="K257" s="34"/>
      <c r="L257" s="34"/>
      <c r="M257" s="34"/>
      <c r="N257" s="21"/>
      <c r="O257" s="21"/>
      <c r="P257" s="21"/>
      <c r="Q257" s="34"/>
      <c r="R257" s="34"/>
      <c r="S257" s="33" t="str">
        <f aca="false">IF(OR(B257="",L257=""),"",INDEX(Lists!$AB$4:$AB$8,MATCH(L257,Lists!$AA$4:$AA$8,0)))</f>
        <v/>
      </c>
      <c r="T257" s="43" t="str">
        <f aca="false">IF(OR(S257="",ISERROR(S257)),"",B257+S257)</f>
        <v/>
      </c>
      <c r="U257" s="34"/>
      <c r="V257" s="35"/>
      <c r="W257" s="33" t="str">
        <f aca="true">IF(B257="","",IF(V257&lt;&gt;"",V257-B257,TODAY()-B257))</f>
        <v/>
      </c>
      <c r="X257" s="38" t="str">
        <f aca="true">IF(OR(B257="",T257="",U257="False Positive",U257="Risk Accepted"),"",IF(V257&lt;&gt;"",IF(V257&gt;T257,"Closed Late","Met"),IF(TODAY()&gt;T257,"SLA BREACH",IF(T257-TODAY()&lt;=7,"Due ≤7d","Within SLA"))))</f>
        <v/>
      </c>
      <c r="Y257" s="34"/>
      <c r="Z257" s="34"/>
      <c r="AA257" s="21"/>
    </row>
    <row r="258" customFormat="false" ht="15" hidden="false" customHeight="false" outlineLevel="0" collapsed="false">
      <c r="A258" s="6" t="s">
        <v>2104</v>
      </c>
      <c r="B258" s="35"/>
      <c r="C258" s="34"/>
      <c r="D258" s="34"/>
      <c r="E258" s="21"/>
      <c r="F258" s="34"/>
      <c r="G258" s="34"/>
      <c r="H258" s="34"/>
      <c r="I258" s="34"/>
      <c r="J258" s="21"/>
      <c r="K258" s="34"/>
      <c r="L258" s="34"/>
      <c r="M258" s="34"/>
      <c r="N258" s="21"/>
      <c r="O258" s="21"/>
      <c r="P258" s="21"/>
      <c r="Q258" s="34"/>
      <c r="R258" s="34"/>
      <c r="S258" s="33" t="str">
        <f aca="false">IF(OR(B258="",L258=""),"",INDEX(Lists!$AB$4:$AB$8,MATCH(L258,Lists!$AA$4:$AA$8,0)))</f>
        <v/>
      </c>
      <c r="T258" s="43" t="str">
        <f aca="false">IF(OR(S258="",ISERROR(S258)),"",B258+S258)</f>
        <v/>
      </c>
      <c r="U258" s="34"/>
      <c r="V258" s="35"/>
      <c r="W258" s="33" t="str">
        <f aca="true">IF(B258="","",IF(V258&lt;&gt;"",V258-B258,TODAY()-B258))</f>
        <v/>
      </c>
      <c r="X258" s="38" t="str">
        <f aca="true">IF(OR(B258="",T258="",U258="False Positive",U258="Risk Accepted"),"",IF(V258&lt;&gt;"",IF(V258&gt;T258,"Closed Late","Met"),IF(TODAY()&gt;T258,"SLA BREACH",IF(T258-TODAY()&lt;=7,"Due ≤7d","Within SLA"))))</f>
        <v/>
      </c>
      <c r="Y258" s="34"/>
      <c r="Z258" s="34"/>
      <c r="AA258" s="21"/>
    </row>
    <row r="259" customFormat="false" ht="15" hidden="false" customHeight="false" outlineLevel="0" collapsed="false">
      <c r="A259" s="6" t="s">
        <v>2105</v>
      </c>
      <c r="B259" s="35"/>
      <c r="C259" s="34"/>
      <c r="D259" s="34"/>
      <c r="E259" s="21"/>
      <c r="F259" s="34"/>
      <c r="G259" s="34"/>
      <c r="H259" s="34"/>
      <c r="I259" s="34"/>
      <c r="J259" s="21"/>
      <c r="K259" s="34"/>
      <c r="L259" s="34"/>
      <c r="M259" s="34"/>
      <c r="N259" s="21"/>
      <c r="O259" s="21"/>
      <c r="P259" s="21"/>
      <c r="Q259" s="34"/>
      <c r="R259" s="34"/>
      <c r="S259" s="33" t="str">
        <f aca="false">IF(OR(B259="",L259=""),"",INDEX(Lists!$AB$4:$AB$8,MATCH(L259,Lists!$AA$4:$AA$8,0)))</f>
        <v/>
      </c>
      <c r="T259" s="43" t="str">
        <f aca="false">IF(OR(S259="",ISERROR(S259)),"",B259+S259)</f>
        <v/>
      </c>
      <c r="U259" s="34"/>
      <c r="V259" s="35"/>
      <c r="W259" s="33" t="str">
        <f aca="true">IF(B259="","",IF(V259&lt;&gt;"",V259-B259,TODAY()-B259))</f>
        <v/>
      </c>
      <c r="X259" s="38" t="str">
        <f aca="true">IF(OR(B259="",T259="",U259="False Positive",U259="Risk Accepted"),"",IF(V259&lt;&gt;"",IF(V259&gt;T259,"Closed Late","Met"),IF(TODAY()&gt;T259,"SLA BREACH",IF(T259-TODAY()&lt;=7,"Due ≤7d","Within SLA"))))</f>
        <v/>
      </c>
      <c r="Y259" s="34"/>
      <c r="Z259" s="34"/>
      <c r="AA259" s="21"/>
    </row>
    <row r="260" customFormat="false" ht="15" hidden="false" customHeight="false" outlineLevel="0" collapsed="false">
      <c r="A260" s="6" t="s">
        <v>2106</v>
      </c>
      <c r="B260" s="35"/>
      <c r="C260" s="34"/>
      <c r="D260" s="34"/>
      <c r="E260" s="21"/>
      <c r="F260" s="34"/>
      <c r="G260" s="34"/>
      <c r="H260" s="34"/>
      <c r="I260" s="34"/>
      <c r="J260" s="21"/>
      <c r="K260" s="34"/>
      <c r="L260" s="34"/>
      <c r="M260" s="34"/>
      <c r="N260" s="21"/>
      <c r="O260" s="21"/>
      <c r="P260" s="21"/>
      <c r="Q260" s="34"/>
      <c r="R260" s="34"/>
      <c r="S260" s="33" t="str">
        <f aca="false">IF(OR(B260="",L260=""),"",INDEX(Lists!$AB$4:$AB$8,MATCH(L260,Lists!$AA$4:$AA$8,0)))</f>
        <v/>
      </c>
      <c r="T260" s="43" t="str">
        <f aca="false">IF(OR(S260="",ISERROR(S260)),"",B260+S260)</f>
        <v/>
      </c>
      <c r="U260" s="34"/>
      <c r="V260" s="35"/>
      <c r="W260" s="33" t="str">
        <f aca="true">IF(B260="","",IF(V260&lt;&gt;"",V260-B260,TODAY()-B260))</f>
        <v/>
      </c>
      <c r="X260" s="38" t="str">
        <f aca="true">IF(OR(B260="",T260="",U260="False Positive",U260="Risk Accepted"),"",IF(V260&lt;&gt;"",IF(V260&gt;T260,"Closed Late","Met"),IF(TODAY()&gt;T260,"SLA BREACH",IF(T260-TODAY()&lt;=7,"Due ≤7d","Within SLA"))))</f>
        <v/>
      </c>
      <c r="Y260" s="34"/>
      <c r="Z260" s="34"/>
      <c r="AA260" s="21"/>
    </row>
    <row r="261" customFormat="false" ht="15" hidden="false" customHeight="false" outlineLevel="0" collapsed="false">
      <c r="A261" s="6" t="s">
        <v>2107</v>
      </c>
      <c r="B261" s="35"/>
      <c r="C261" s="34"/>
      <c r="D261" s="34"/>
      <c r="E261" s="21"/>
      <c r="F261" s="34"/>
      <c r="G261" s="34"/>
      <c r="H261" s="34"/>
      <c r="I261" s="34"/>
      <c r="J261" s="21"/>
      <c r="K261" s="34"/>
      <c r="L261" s="34"/>
      <c r="M261" s="34"/>
      <c r="N261" s="21"/>
      <c r="O261" s="21"/>
      <c r="P261" s="21"/>
      <c r="Q261" s="34"/>
      <c r="R261" s="34"/>
      <c r="S261" s="33" t="str">
        <f aca="false">IF(OR(B261="",L261=""),"",INDEX(Lists!$AB$4:$AB$8,MATCH(L261,Lists!$AA$4:$AA$8,0)))</f>
        <v/>
      </c>
      <c r="T261" s="43" t="str">
        <f aca="false">IF(OR(S261="",ISERROR(S261)),"",B261+S261)</f>
        <v/>
      </c>
      <c r="U261" s="34"/>
      <c r="V261" s="35"/>
      <c r="W261" s="33" t="str">
        <f aca="true">IF(B261="","",IF(V261&lt;&gt;"",V261-B261,TODAY()-B261))</f>
        <v/>
      </c>
      <c r="X261" s="38" t="str">
        <f aca="true">IF(OR(B261="",T261="",U261="False Positive",U261="Risk Accepted"),"",IF(V261&lt;&gt;"",IF(V261&gt;T261,"Closed Late","Met"),IF(TODAY()&gt;T261,"SLA BREACH",IF(T261-TODAY()&lt;=7,"Due ≤7d","Within SLA"))))</f>
        <v/>
      </c>
      <c r="Y261" s="34"/>
      <c r="Z261" s="34"/>
      <c r="AA261" s="21"/>
    </row>
    <row r="262" customFormat="false" ht="15" hidden="false" customHeight="false" outlineLevel="0" collapsed="false">
      <c r="A262" s="6" t="s">
        <v>2108</v>
      </c>
      <c r="B262" s="35"/>
      <c r="C262" s="34"/>
      <c r="D262" s="34"/>
      <c r="E262" s="21"/>
      <c r="F262" s="34"/>
      <c r="G262" s="34"/>
      <c r="H262" s="34"/>
      <c r="I262" s="34"/>
      <c r="J262" s="21"/>
      <c r="K262" s="34"/>
      <c r="L262" s="34"/>
      <c r="M262" s="34"/>
      <c r="N262" s="21"/>
      <c r="O262" s="21"/>
      <c r="P262" s="21"/>
      <c r="Q262" s="34"/>
      <c r="R262" s="34"/>
      <c r="S262" s="33" t="str">
        <f aca="false">IF(OR(B262="",L262=""),"",INDEX(Lists!$AB$4:$AB$8,MATCH(L262,Lists!$AA$4:$AA$8,0)))</f>
        <v/>
      </c>
      <c r="T262" s="43" t="str">
        <f aca="false">IF(OR(S262="",ISERROR(S262)),"",B262+S262)</f>
        <v/>
      </c>
      <c r="U262" s="34"/>
      <c r="V262" s="35"/>
      <c r="W262" s="33" t="str">
        <f aca="true">IF(B262="","",IF(V262&lt;&gt;"",V262-B262,TODAY()-B262))</f>
        <v/>
      </c>
      <c r="X262" s="38" t="str">
        <f aca="true">IF(OR(B262="",T262="",U262="False Positive",U262="Risk Accepted"),"",IF(V262&lt;&gt;"",IF(V262&gt;T262,"Closed Late","Met"),IF(TODAY()&gt;T262,"SLA BREACH",IF(T262-TODAY()&lt;=7,"Due ≤7d","Within SLA"))))</f>
        <v/>
      </c>
      <c r="Y262" s="34"/>
      <c r="Z262" s="34"/>
      <c r="AA262" s="21"/>
    </row>
    <row r="263" customFormat="false" ht="15" hidden="false" customHeight="false" outlineLevel="0" collapsed="false">
      <c r="A263" s="6" t="s">
        <v>2109</v>
      </c>
      <c r="B263" s="35"/>
      <c r="C263" s="34"/>
      <c r="D263" s="34"/>
      <c r="E263" s="21"/>
      <c r="F263" s="34"/>
      <c r="G263" s="34"/>
      <c r="H263" s="34"/>
      <c r="I263" s="34"/>
      <c r="J263" s="21"/>
      <c r="K263" s="34"/>
      <c r="L263" s="34"/>
      <c r="M263" s="34"/>
      <c r="N263" s="21"/>
      <c r="O263" s="21"/>
      <c r="P263" s="21"/>
      <c r="Q263" s="34"/>
      <c r="R263" s="34"/>
      <c r="S263" s="33" t="str">
        <f aca="false">IF(OR(B263="",L263=""),"",INDEX(Lists!$AB$4:$AB$8,MATCH(L263,Lists!$AA$4:$AA$8,0)))</f>
        <v/>
      </c>
      <c r="T263" s="43" t="str">
        <f aca="false">IF(OR(S263="",ISERROR(S263)),"",B263+S263)</f>
        <v/>
      </c>
      <c r="U263" s="34"/>
      <c r="V263" s="35"/>
      <c r="W263" s="33" t="str">
        <f aca="true">IF(B263="","",IF(V263&lt;&gt;"",V263-B263,TODAY()-B263))</f>
        <v/>
      </c>
      <c r="X263" s="38" t="str">
        <f aca="true">IF(OR(B263="",T263="",U263="False Positive",U263="Risk Accepted"),"",IF(V263&lt;&gt;"",IF(V263&gt;T263,"Closed Late","Met"),IF(TODAY()&gt;T263,"SLA BREACH",IF(T263-TODAY()&lt;=7,"Due ≤7d","Within SLA"))))</f>
        <v/>
      </c>
      <c r="Y263" s="34"/>
      <c r="Z263" s="34"/>
      <c r="AA263" s="21"/>
    </row>
    <row r="264" customFormat="false" ht="15" hidden="false" customHeight="false" outlineLevel="0" collapsed="false">
      <c r="A264" s="6" t="s">
        <v>2110</v>
      </c>
      <c r="B264" s="35"/>
      <c r="C264" s="34"/>
      <c r="D264" s="34"/>
      <c r="E264" s="21"/>
      <c r="F264" s="34"/>
      <c r="G264" s="34"/>
      <c r="H264" s="34"/>
      <c r="I264" s="34"/>
      <c r="J264" s="21"/>
      <c r="K264" s="34"/>
      <c r="L264" s="34"/>
      <c r="M264" s="34"/>
      <c r="N264" s="21"/>
      <c r="O264" s="21"/>
      <c r="P264" s="21"/>
      <c r="Q264" s="34"/>
      <c r="R264" s="34"/>
      <c r="S264" s="33" t="str">
        <f aca="false">IF(OR(B264="",L264=""),"",INDEX(Lists!$AB$4:$AB$8,MATCH(L264,Lists!$AA$4:$AA$8,0)))</f>
        <v/>
      </c>
      <c r="T264" s="43" t="str">
        <f aca="false">IF(OR(S264="",ISERROR(S264)),"",B264+S264)</f>
        <v/>
      </c>
      <c r="U264" s="34"/>
      <c r="V264" s="35"/>
      <c r="W264" s="33" t="str">
        <f aca="true">IF(B264="","",IF(V264&lt;&gt;"",V264-B264,TODAY()-B264))</f>
        <v/>
      </c>
      <c r="X264" s="38" t="str">
        <f aca="true">IF(OR(B264="",T264="",U264="False Positive",U264="Risk Accepted"),"",IF(V264&lt;&gt;"",IF(V264&gt;T264,"Closed Late","Met"),IF(TODAY()&gt;T264,"SLA BREACH",IF(T264-TODAY()&lt;=7,"Due ≤7d","Within SLA"))))</f>
        <v/>
      </c>
      <c r="Y264" s="34"/>
      <c r="Z264" s="34"/>
      <c r="AA264" s="21"/>
    </row>
    <row r="265" customFormat="false" ht="15" hidden="false" customHeight="false" outlineLevel="0" collapsed="false">
      <c r="A265" s="6" t="s">
        <v>2111</v>
      </c>
      <c r="B265" s="35"/>
      <c r="C265" s="34"/>
      <c r="D265" s="34"/>
      <c r="E265" s="21"/>
      <c r="F265" s="34"/>
      <c r="G265" s="34"/>
      <c r="H265" s="34"/>
      <c r="I265" s="34"/>
      <c r="J265" s="21"/>
      <c r="K265" s="34"/>
      <c r="L265" s="34"/>
      <c r="M265" s="34"/>
      <c r="N265" s="21"/>
      <c r="O265" s="21"/>
      <c r="P265" s="21"/>
      <c r="Q265" s="34"/>
      <c r="R265" s="34"/>
      <c r="S265" s="33" t="str">
        <f aca="false">IF(OR(B265="",L265=""),"",INDEX(Lists!$AB$4:$AB$8,MATCH(L265,Lists!$AA$4:$AA$8,0)))</f>
        <v/>
      </c>
      <c r="T265" s="43" t="str">
        <f aca="false">IF(OR(S265="",ISERROR(S265)),"",B265+S265)</f>
        <v/>
      </c>
      <c r="U265" s="34"/>
      <c r="V265" s="35"/>
      <c r="W265" s="33" t="str">
        <f aca="true">IF(B265="","",IF(V265&lt;&gt;"",V265-B265,TODAY()-B265))</f>
        <v/>
      </c>
      <c r="X265" s="38" t="str">
        <f aca="true">IF(OR(B265="",T265="",U265="False Positive",U265="Risk Accepted"),"",IF(V265&lt;&gt;"",IF(V265&gt;T265,"Closed Late","Met"),IF(TODAY()&gt;T265,"SLA BREACH",IF(T265-TODAY()&lt;=7,"Due ≤7d","Within SLA"))))</f>
        <v/>
      </c>
      <c r="Y265" s="34"/>
      <c r="Z265" s="34"/>
      <c r="AA265" s="21"/>
    </row>
    <row r="266" customFormat="false" ht="15" hidden="false" customHeight="false" outlineLevel="0" collapsed="false">
      <c r="A266" s="6" t="s">
        <v>2112</v>
      </c>
      <c r="B266" s="35"/>
      <c r="C266" s="34"/>
      <c r="D266" s="34"/>
      <c r="E266" s="21"/>
      <c r="F266" s="34"/>
      <c r="G266" s="34"/>
      <c r="H266" s="34"/>
      <c r="I266" s="34"/>
      <c r="J266" s="21"/>
      <c r="K266" s="34"/>
      <c r="L266" s="34"/>
      <c r="M266" s="34"/>
      <c r="N266" s="21"/>
      <c r="O266" s="21"/>
      <c r="P266" s="21"/>
      <c r="Q266" s="34"/>
      <c r="R266" s="34"/>
      <c r="S266" s="33" t="str">
        <f aca="false">IF(OR(B266="",L266=""),"",INDEX(Lists!$AB$4:$AB$8,MATCH(L266,Lists!$AA$4:$AA$8,0)))</f>
        <v/>
      </c>
      <c r="T266" s="43" t="str">
        <f aca="false">IF(OR(S266="",ISERROR(S266)),"",B266+S266)</f>
        <v/>
      </c>
      <c r="U266" s="34"/>
      <c r="V266" s="35"/>
      <c r="W266" s="33" t="str">
        <f aca="true">IF(B266="","",IF(V266&lt;&gt;"",V266-B266,TODAY()-B266))</f>
        <v/>
      </c>
      <c r="X266" s="38" t="str">
        <f aca="true">IF(OR(B266="",T266="",U266="False Positive",U266="Risk Accepted"),"",IF(V266&lt;&gt;"",IF(V266&gt;T266,"Closed Late","Met"),IF(TODAY()&gt;T266,"SLA BREACH",IF(T266-TODAY()&lt;=7,"Due ≤7d","Within SLA"))))</f>
        <v/>
      </c>
      <c r="Y266" s="34"/>
      <c r="Z266" s="34"/>
      <c r="AA266" s="21"/>
    </row>
    <row r="267" customFormat="false" ht="15" hidden="false" customHeight="false" outlineLevel="0" collapsed="false">
      <c r="A267" s="6" t="s">
        <v>2113</v>
      </c>
      <c r="B267" s="35"/>
      <c r="C267" s="34"/>
      <c r="D267" s="34"/>
      <c r="E267" s="21"/>
      <c r="F267" s="34"/>
      <c r="G267" s="34"/>
      <c r="H267" s="34"/>
      <c r="I267" s="34"/>
      <c r="J267" s="21"/>
      <c r="K267" s="34"/>
      <c r="L267" s="34"/>
      <c r="M267" s="34"/>
      <c r="N267" s="21"/>
      <c r="O267" s="21"/>
      <c r="P267" s="21"/>
      <c r="Q267" s="34"/>
      <c r="R267" s="34"/>
      <c r="S267" s="33" t="str">
        <f aca="false">IF(OR(B267="",L267=""),"",INDEX(Lists!$AB$4:$AB$8,MATCH(L267,Lists!$AA$4:$AA$8,0)))</f>
        <v/>
      </c>
      <c r="T267" s="43" t="str">
        <f aca="false">IF(OR(S267="",ISERROR(S267)),"",B267+S267)</f>
        <v/>
      </c>
      <c r="U267" s="34"/>
      <c r="V267" s="35"/>
      <c r="W267" s="33" t="str">
        <f aca="true">IF(B267="","",IF(V267&lt;&gt;"",V267-B267,TODAY()-B267))</f>
        <v/>
      </c>
      <c r="X267" s="38" t="str">
        <f aca="true">IF(OR(B267="",T267="",U267="False Positive",U267="Risk Accepted"),"",IF(V267&lt;&gt;"",IF(V267&gt;T267,"Closed Late","Met"),IF(TODAY()&gt;T267,"SLA BREACH",IF(T267-TODAY()&lt;=7,"Due ≤7d","Within SLA"))))</f>
        <v/>
      </c>
      <c r="Y267" s="34"/>
      <c r="Z267" s="34"/>
      <c r="AA267" s="21"/>
    </row>
    <row r="268" customFormat="false" ht="15" hidden="false" customHeight="false" outlineLevel="0" collapsed="false">
      <c r="A268" s="6" t="s">
        <v>2114</v>
      </c>
      <c r="B268" s="35"/>
      <c r="C268" s="34"/>
      <c r="D268" s="34"/>
      <c r="E268" s="21"/>
      <c r="F268" s="34"/>
      <c r="G268" s="34"/>
      <c r="H268" s="34"/>
      <c r="I268" s="34"/>
      <c r="J268" s="21"/>
      <c r="K268" s="34"/>
      <c r="L268" s="34"/>
      <c r="M268" s="34"/>
      <c r="N268" s="21"/>
      <c r="O268" s="21"/>
      <c r="P268" s="21"/>
      <c r="Q268" s="34"/>
      <c r="R268" s="34"/>
      <c r="S268" s="33" t="str">
        <f aca="false">IF(OR(B268="",L268=""),"",INDEX(Lists!$AB$4:$AB$8,MATCH(L268,Lists!$AA$4:$AA$8,0)))</f>
        <v/>
      </c>
      <c r="T268" s="43" t="str">
        <f aca="false">IF(OR(S268="",ISERROR(S268)),"",B268+S268)</f>
        <v/>
      </c>
      <c r="U268" s="34"/>
      <c r="V268" s="35"/>
      <c r="W268" s="33" t="str">
        <f aca="true">IF(B268="","",IF(V268&lt;&gt;"",V268-B268,TODAY()-B268))</f>
        <v/>
      </c>
      <c r="X268" s="38" t="str">
        <f aca="true">IF(OR(B268="",T268="",U268="False Positive",U268="Risk Accepted"),"",IF(V268&lt;&gt;"",IF(V268&gt;T268,"Closed Late","Met"),IF(TODAY()&gt;T268,"SLA BREACH",IF(T268-TODAY()&lt;=7,"Due ≤7d","Within SLA"))))</f>
        <v/>
      </c>
      <c r="Y268" s="34"/>
      <c r="Z268" s="34"/>
      <c r="AA268" s="21"/>
    </row>
    <row r="269" customFormat="false" ht="15" hidden="false" customHeight="false" outlineLevel="0" collapsed="false">
      <c r="A269" s="6" t="s">
        <v>2115</v>
      </c>
      <c r="B269" s="35"/>
      <c r="C269" s="34"/>
      <c r="D269" s="34"/>
      <c r="E269" s="21"/>
      <c r="F269" s="34"/>
      <c r="G269" s="34"/>
      <c r="H269" s="34"/>
      <c r="I269" s="34"/>
      <c r="J269" s="21"/>
      <c r="K269" s="34"/>
      <c r="L269" s="34"/>
      <c r="M269" s="34"/>
      <c r="N269" s="21"/>
      <c r="O269" s="21"/>
      <c r="P269" s="21"/>
      <c r="Q269" s="34"/>
      <c r="R269" s="34"/>
      <c r="S269" s="33" t="str">
        <f aca="false">IF(OR(B269="",L269=""),"",INDEX(Lists!$AB$4:$AB$8,MATCH(L269,Lists!$AA$4:$AA$8,0)))</f>
        <v/>
      </c>
      <c r="T269" s="43" t="str">
        <f aca="false">IF(OR(S269="",ISERROR(S269)),"",B269+S269)</f>
        <v/>
      </c>
      <c r="U269" s="34"/>
      <c r="V269" s="35"/>
      <c r="W269" s="33" t="str">
        <f aca="true">IF(B269="","",IF(V269&lt;&gt;"",V269-B269,TODAY()-B269))</f>
        <v/>
      </c>
      <c r="X269" s="38" t="str">
        <f aca="true">IF(OR(B269="",T269="",U269="False Positive",U269="Risk Accepted"),"",IF(V269&lt;&gt;"",IF(V269&gt;T269,"Closed Late","Met"),IF(TODAY()&gt;T269,"SLA BREACH",IF(T269-TODAY()&lt;=7,"Due ≤7d","Within SLA"))))</f>
        <v/>
      </c>
      <c r="Y269" s="34"/>
      <c r="Z269" s="34"/>
      <c r="AA269" s="21"/>
    </row>
    <row r="270" customFormat="false" ht="15" hidden="false" customHeight="false" outlineLevel="0" collapsed="false">
      <c r="A270" s="6" t="s">
        <v>2116</v>
      </c>
      <c r="B270" s="35"/>
      <c r="C270" s="34"/>
      <c r="D270" s="34"/>
      <c r="E270" s="21"/>
      <c r="F270" s="34"/>
      <c r="G270" s="34"/>
      <c r="H270" s="34"/>
      <c r="I270" s="34"/>
      <c r="J270" s="21"/>
      <c r="K270" s="34"/>
      <c r="L270" s="34"/>
      <c r="M270" s="34"/>
      <c r="N270" s="21"/>
      <c r="O270" s="21"/>
      <c r="P270" s="21"/>
      <c r="Q270" s="34"/>
      <c r="R270" s="34"/>
      <c r="S270" s="33" t="str">
        <f aca="false">IF(OR(B270="",L270=""),"",INDEX(Lists!$AB$4:$AB$8,MATCH(L270,Lists!$AA$4:$AA$8,0)))</f>
        <v/>
      </c>
      <c r="T270" s="43" t="str">
        <f aca="false">IF(OR(S270="",ISERROR(S270)),"",B270+S270)</f>
        <v/>
      </c>
      <c r="U270" s="34"/>
      <c r="V270" s="35"/>
      <c r="W270" s="33" t="str">
        <f aca="true">IF(B270="","",IF(V270&lt;&gt;"",V270-B270,TODAY()-B270))</f>
        <v/>
      </c>
      <c r="X270" s="38" t="str">
        <f aca="true">IF(OR(B270="",T270="",U270="False Positive",U270="Risk Accepted"),"",IF(V270&lt;&gt;"",IF(V270&gt;T270,"Closed Late","Met"),IF(TODAY()&gt;T270,"SLA BREACH",IF(T270-TODAY()&lt;=7,"Due ≤7d","Within SLA"))))</f>
        <v/>
      </c>
      <c r="Y270" s="34"/>
      <c r="Z270" s="34"/>
      <c r="AA270" s="21"/>
    </row>
    <row r="271" customFormat="false" ht="15" hidden="false" customHeight="false" outlineLevel="0" collapsed="false">
      <c r="A271" s="6" t="s">
        <v>2117</v>
      </c>
      <c r="B271" s="35"/>
      <c r="C271" s="34"/>
      <c r="D271" s="34"/>
      <c r="E271" s="21"/>
      <c r="F271" s="34"/>
      <c r="G271" s="34"/>
      <c r="H271" s="34"/>
      <c r="I271" s="34"/>
      <c r="J271" s="21"/>
      <c r="K271" s="34"/>
      <c r="L271" s="34"/>
      <c r="M271" s="34"/>
      <c r="N271" s="21"/>
      <c r="O271" s="21"/>
      <c r="P271" s="21"/>
      <c r="Q271" s="34"/>
      <c r="R271" s="34"/>
      <c r="S271" s="33" t="str">
        <f aca="false">IF(OR(B271="",L271=""),"",INDEX(Lists!$AB$4:$AB$8,MATCH(L271,Lists!$AA$4:$AA$8,0)))</f>
        <v/>
      </c>
      <c r="T271" s="43" t="str">
        <f aca="false">IF(OR(S271="",ISERROR(S271)),"",B271+S271)</f>
        <v/>
      </c>
      <c r="U271" s="34"/>
      <c r="V271" s="35"/>
      <c r="W271" s="33" t="str">
        <f aca="true">IF(B271="","",IF(V271&lt;&gt;"",V271-B271,TODAY()-B271))</f>
        <v/>
      </c>
      <c r="X271" s="38" t="str">
        <f aca="true">IF(OR(B271="",T271="",U271="False Positive",U271="Risk Accepted"),"",IF(V271&lt;&gt;"",IF(V271&gt;T271,"Closed Late","Met"),IF(TODAY()&gt;T271,"SLA BREACH",IF(T271-TODAY()&lt;=7,"Due ≤7d","Within SLA"))))</f>
        <v/>
      </c>
      <c r="Y271" s="34"/>
      <c r="Z271" s="34"/>
      <c r="AA271" s="21"/>
    </row>
    <row r="272" customFormat="false" ht="15" hidden="false" customHeight="false" outlineLevel="0" collapsed="false">
      <c r="A272" s="6" t="s">
        <v>2118</v>
      </c>
      <c r="B272" s="35"/>
      <c r="C272" s="34"/>
      <c r="D272" s="34"/>
      <c r="E272" s="21"/>
      <c r="F272" s="34"/>
      <c r="G272" s="34"/>
      <c r="H272" s="34"/>
      <c r="I272" s="34"/>
      <c r="J272" s="21"/>
      <c r="K272" s="34"/>
      <c r="L272" s="34"/>
      <c r="M272" s="34"/>
      <c r="N272" s="21"/>
      <c r="O272" s="21"/>
      <c r="P272" s="21"/>
      <c r="Q272" s="34"/>
      <c r="R272" s="34"/>
      <c r="S272" s="33" t="str">
        <f aca="false">IF(OR(B272="",L272=""),"",INDEX(Lists!$AB$4:$AB$8,MATCH(L272,Lists!$AA$4:$AA$8,0)))</f>
        <v/>
      </c>
      <c r="T272" s="43" t="str">
        <f aca="false">IF(OR(S272="",ISERROR(S272)),"",B272+S272)</f>
        <v/>
      </c>
      <c r="U272" s="34"/>
      <c r="V272" s="35"/>
      <c r="W272" s="33" t="str">
        <f aca="true">IF(B272="","",IF(V272&lt;&gt;"",V272-B272,TODAY()-B272))</f>
        <v/>
      </c>
      <c r="X272" s="38" t="str">
        <f aca="true">IF(OR(B272="",T272="",U272="False Positive",U272="Risk Accepted"),"",IF(V272&lt;&gt;"",IF(V272&gt;T272,"Closed Late","Met"),IF(TODAY()&gt;T272,"SLA BREACH",IF(T272-TODAY()&lt;=7,"Due ≤7d","Within SLA"))))</f>
        <v/>
      </c>
      <c r="Y272" s="34"/>
      <c r="Z272" s="34"/>
      <c r="AA272" s="21"/>
    </row>
    <row r="273" customFormat="false" ht="15" hidden="false" customHeight="false" outlineLevel="0" collapsed="false">
      <c r="A273" s="6" t="s">
        <v>2119</v>
      </c>
      <c r="B273" s="35"/>
      <c r="C273" s="34"/>
      <c r="D273" s="34"/>
      <c r="E273" s="21"/>
      <c r="F273" s="34"/>
      <c r="G273" s="34"/>
      <c r="H273" s="34"/>
      <c r="I273" s="34"/>
      <c r="J273" s="21"/>
      <c r="K273" s="34"/>
      <c r="L273" s="34"/>
      <c r="M273" s="34"/>
      <c r="N273" s="21"/>
      <c r="O273" s="21"/>
      <c r="P273" s="21"/>
      <c r="Q273" s="34"/>
      <c r="R273" s="34"/>
      <c r="S273" s="33" t="str">
        <f aca="false">IF(OR(B273="",L273=""),"",INDEX(Lists!$AB$4:$AB$8,MATCH(L273,Lists!$AA$4:$AA$8,0)))</f>
        <v/>
      </c>
      <c r="T273" s="43" t="str">
        <f aca="false">IF(OR(S273="",ISERROR(S273)),"",B273+S273)</f>
        <v/>
      </c>
      <c r="U273" s="34"/>
      <c r="V273" s="35"/>
      <c r="W273" s="33" t="str">
        <f aca="true">IF(B273="","",IF(V273&lt;&gt;"",V273-B273,TODAY()-B273))</f>
        <v/>
      </c>
      <c r="X273" s="38" t="str">
        <f aca="true">IF(OR(B273="",T273="",U273="False Positive",U273="Risk Accepted"),"",IF(V273&lt;&gt;"",IF(V273&gt;T273,"Closed Late","Met"),IF(TODAY()&gt;T273,"SLA BREACH",IF(T273-TODAY()&lt;=7,"Due ≤7d","Within SLA"))))</f>
        <v/>
      </c>
      <c r="Y273" s="34"/>
      <c r="Z273" s="34"/>
      <c r="AA273" s="21"/>
    </row>
    <row r="274" customFormat="false" ht="15" hidden="false" customHeight="false" outlineLevel="0" collapsed="false">
      <c r="A274" s="6" t="s">
        <v>2120</v>
      </c>
      <c r="B274" s="35"/>
      <c r="C274" s="34"/>
      <c r="D274" s="34"/>
      <c r="E274" s="21"/>
      <c r="F274" s="34"/>
      <c r="G274" s="34"/>
      <c r="H274" s="34"/>
      <c r="I274" s="34"/>
      <c r="J274" s="21"/>
      <c r="K274" s="34"/>
      <c r="L274" s="34"/>
      <c r="M274" s="34"/>
      <c r="N274" s="21"/>
      <c r="O274" s="21"/>
      <c r="P274" s="21"/>
      <c r="Q274" s="34"/>
      <c r="R274" s="34"/>
      <c r="S274" s="33" t="str">
        <f aca="false">IF(OR(B274="",L274=""),"",INDEX(Lists!$AB$4:$AB$8,MATCH(L274,Lists!$AA$4:$AA$8,0)))</f>
        <v/>
      </c>
      <c r="T274" s="43" t="str">
        <f aca="false">IF(OR(S274="",ISERROR(S274)),"",B274+S274)</f>
        <v/>
      </c>
      <c r="U274" s="34"/>
      <c r="V274" s="35"/>
      <c r="W274" s="33" t="str">
        <f aca="true">IF(B274="","",IF(V274&lt;&gt;"",V274-B274,TODAY()-B274))</f>
        <v/>
      </c>
      <c r="X274" s="38" t="str">
        <f aca="true">IF(OR(B274="",T274="",U274="False Positive",U274="Risk Accepted"),"",IF(V274&lt;&gt;"",IF(V274&gt;T274,"Closed Late","Met"),IF(TODAY()&gt;T274,"SLA BREACH",IF(T274-TODAY()&lt;=7,"Due ≤7d","Within SLA"))))</f>
        <v/>
      </c>
      <c r="Y274" s="34"/>
      <c r="Z274" s="34"/>
      <c r="AA274" s="21"/>
    </row>
    <row r="275" customFormat="false" ht="15" hidden="false" customHeight="false" outlineLevel="0" collapsed="false">
      <c r="A275" s="6" t="s">
        <v>2121</v>
      </c>
      <c r="B275" s="35"/>
      <c r="C275" s="34"/>
      <c r="D275" s="34"/>
      <c r="E275" s="21"/>
      <c r="F275" s="34"/>
      <c r="G275" s="34"/>
      <c r="H275" s="34"/>
      <c r="I275" s="34"/>
      <c r="J275" s="21"/>
      <c r="K275" s="34"/>
      <c r="L275" s="34"/>
      <c r="M275" s="34"/>
      <c r="N275" s="21"/>
      <c r="O275" s="21"/>
      <c r="P275" s="21"/>
      <c r="Q275" s="34"/>
      <c r="R275" s="34"/>
      <c r="S275" s="33" t="str">
        <f aca="false">IF(OR(B275="",L275=""),"",INDEX(Lists!$AB$4:$AB$8,MATCH(L275,Lists!$AA$4:$AA$8,0)))</f>
        <v/>
      </c>
      <c r="T275" s="43" t="str">
        <f aca="false">IF(OR(S275="",ISERROR(S275)),"",B275+S275)</f>
        <v/>
      </c>
      <c r="U275" s="34"/>
      <c r="V275" s="35"/>
      <c r="W275" s="33" t="str">
        <f aca="true">IF(B275="","",IF(V275&lt;&gt;"",V275-B275,TODAY()-B275))</f>
        <v/>
      </c>
      <c r="X275" s="38" t="str">
        <f aca="true">IF(OR(B275="",T275="",U275="False Positive",U275="Risk Accepted"),"",IF(V275&lt;&gt;"",IF(V275&gt;T275,"Closed Late","Met"),IF(TODAY()&gt;T275,"SLA BREACH",IF(T275-TODAY()&lt;=7,"Due ≤7d","Within SLA"))))</f>
        <v/>
      </c>
      <c r="Y275" s="34"/>
      <c r="Z275" s="34"/>
      <c r="AA275" s="21"/>
    </row>
    <row r="276" customFormat="false" ht="15" hidden="false" customHeight="false" outlineLevel="0" collapsed="false">
      <c r="A276" s="6" t="s">
        <v>2122</v>
      </c>
      <c r="B276" s="35"/>
      <c r="C276" s="34"/>
      <c r="D276" s="34"/>
      <c r="E276" s="21"/>
      <c r="F276" s="34"/>
      <c r="G276" s="34"/>
      <c r="H276" s="34"/>
      <c r="I276" s="34"/>
      <c r="J276" s="21"/>
      <c r="K276" s="34"/>
      <c r="L276" s="34"/>
      <c r="M276" s="34"/>
      <c r="N276" s="21"/>
      <c r="O276" s="21"/>
      <c r="P276" s="21"/>
      <c r="Q276" s="34"/>
      <c r="R276" s="34"/>
      <c r="S276" s="33" t="str">
        <f aca="false">IF(OR(B276="",L276=""),"",INDEX(Lists!$AB$4:$AB$8,MATCH(L276,Lists!$AA$4:$AA$8,0)))</f>
        <v/>
      </c>
      <c r="T276" s="43" t="str">
        <f aca="false">IF(OR(S276="",ISERROR(S276)),"",B276+S276)</f>
        <v/>
      </c>
      <c r="U276" s="34"/>
      <c r="V276" s="35"/>
      <c r="W276" s="33" t="str">
        <f aca="true">IF(B276="","",IF(V276&lt;&gt;"",V276-B276,TODAY()-B276))</f>
        <v/>
      </c>
      <c r="X276" s="38" t="str">
        <f aca="true">IF(OR(B276="",T276="",U276="False Positive",U276="Risk Accepted"),"",IF(V276&lt;&gt;"",IF(V276&gt;T276,"Closed Late","Met"),IF(TODAY()&gt;T276,"SLA BREACH",IF(T276-TODAY()&lt;=7,"Due ≤7d","Within SLA"))))</f>
        <v/>
      </c>
      <c r="Y276" s="34"/>
      <c r="Z276" s="34"/>
      <c r="AA276" s="21"/>
    </row>
    <row r="277" customFormat="false" ht="15" hidden="false" customHeight="false" outlineLevel="0" collapsed="false">
      <c r="A277" s="6" t="s">
        <v>2123</v>
      </c>
      <c r="B277" s="35"/>
      <c r="C277" s="34"/>
      <c r="D277" s="34"/>
      <c r="E277" s="21"/>
      <c r="F277" s="34"/>
      <c r="G277" s="34"/>
      <c r="H277" s="34"/>
      <c r="I277" s="34"/>
      <c r="J277" s="21"/>
      <c r="K277" s="34"/>
      <c r="L277" s="34"/>
      <c r="M277" s="34"/>
      <c r="N277" s="21"/>
      <c r="O277" s="21"/>
      <c r="P277" s="21"/>
      <c r="Q277" s="34"/>
      <c r="R277" s="34"/>
      <c r="S277" s="33" t="str">
        <f aca="false">IF(OR(B277="",L277=""),"",INDEX(Lists!$AB$4:$AB$8,MATCH(L277,Lists!$AA$4:$AA$8,0)))</f>
        <v/>
      </c>
      <c r="T277" s="43" t="str">
        <f aca="false">IF(OR(S277="",ISERROR(S277)),"",B277+S277)</f>
        <v/>
      </c>
      <c r="U277" s="34"/>
      <c r="V277" s="35"/>
      <c r="W277" s="33" t="str">
        <f aca="true">IF(B277="","",IF(V277&lt;&gt;"",V277-B277,TODAY()-B277))</f>
        <v/>
      </c>
      <c r="X277" s="38" t="str">
        <f aca="true">IF(OR(B277="",T277="",U277="False Positive",U277="Risk Accepted"),"",IF(V277&lt;&gt;"",IF(V277&gt;T277,"Closed Late","Met"),IF(TODAY()&gt;T277,"SLA BREACH",IF(T277-TODAY()&lt;=7,"Due ≤7d","Within SLA"))))</f>
        <v/>
      </c>
      <c r="Y277" s="34"/>
      <c r="Z277" s="34"/>
      <c r="AA277" s="21"/>
    </row>
    <row r="278" customFormat="false" ht="15" hidden="false" customHeight="false" outlineLevel="0" collapsed="false">
      <c r="A278" s="6" t="s">
        <v>2124</v>
      </c>
      <c r="B278" s="35"/>
      <c r="C278" s="34"/>
      <c r="D278" s="34"/>
      <c r="E278" s="21"/>
      <c r="F278" s="34"/>
      <c r="G278" s="34"/>
      <c r="H278" s="34"/>
      <c r="I278" s="34"/>
      <c r="J278" s="21"/>
      <c r="K278" s="34"/>
      <c r="L278" s="34"/>
      <c r="M278" s="34"/>
      <c r="N278" s="21"/>
      <c r="O278" s="21"/>
      <c r="P278" s="21"/>
      <c r="Q278" s="34"/>
      <c r="R278" s="34"/>
      <c r="S278" s="33" t="str">
        <f aca="false">IF(OR(B278="",L278=""),"",INDEX(Lists!$AB$4:$AB$8,MATCH(L278,Lists!$AA$4:$AA$8,0)))</f>
        <v/>
      </c>
      <c r="T278" s="43" t="str">
        <f aca="false">IF(OR(S278="",ISERROR(S278)),"",B278+S278)</f>
        <v/>
      </c>
      <c r="U278" s="34"/>
      <c r="V278" s="35"/>
      <c r="W278" s="33" t="str">
        <f aca="true">IF(B278="","",IF(V278&lt;&gt;"",V278-B278,TODAY()-B278))</f>
        <v/>
      </c>
      <c r="X278" s="38" t="str">
        <f aca="true">IF(OR(B278="",T278="",U278="False Positive",U278="Risk Accepted"),"",IF(V278&lt;&gt;"",IF(V278&gt;T278,"Closed Late","Met"),IF(TODAY()&gt;T278,"SLA BREACH",IF(T278-TODAY()&lt;=7,"Due ≤7d","Within SLA"))))</f>
        <v/>
      </c>
      <c r="Y278" s="34"/>
      <c r="Z278" s="34"/>
      <c r="AA278" s="21"/>
    </row>
    <row r="279" customFormat="false" ht="15" hidden="false" customHeight="false" outlineLevel="0" collapsed="false">
      <c r="A279" s="6" t="s">
        <v>2125</v>
      </c>
      <c r="B279" s="35"/>
      <c r="C279" s="34"/>
      <c r="D279" s="34"/>
      <c r="E279" s="21"/>
      <c r="F279" s="34"/>
      <c r="G279" s="34"/>
      <c r="H279" s="34"/>
      <c r="I279" s="34"/>
      <c r="J279" s="21"/>
      <c r="K279" s="34"/>
      <c r="L279" s="34"/>
      <c r="M279" s="34"/>
      <c r="N279" s="21"/>
      <c r="O279" s="21"/>
      <c r="P279" s="21"/>
      <c r="Q279" s="34"/>
      <c r="R279" s="34"/>
      <c r="S279" s="33" t="str">
        <f aca="false">IF(OR(B279="",L279=""),"",INDEX(Lists!$AB$4:$AB$8,MATCH(L279,Lists!$AA$4:$AA$8,0)))</f>
        <v/>
      </c>
      <c r="T279" s="43" t="str">
        <f aca="false">IF(OR(S279="",ISERROR(S279)),"",B279+S279)</f>
        <v/>
      </c>
      <c r="U279" s="34"/>
      <c r="V279" s="35"/>
      <c r="W279" s="33" t="str">
        <f aca="true">IF(B279="","",IF(V279&lt;&gt;"",V279-B279,TODAY()-B279))</f>
        <v/>
      </c>
      <c r="X279" s="38" t="str">
        <f aca="true">IF(OR(B279="",T279="",U279="False Positive",U279="Risk Accepted"),"",IF(V279&lt;&gt;"",IF(V279&gt;T279,"Closed Late","Met"),IF(TODAY()&gt;T279,"SLA BREACH",IF(T279-TODAY()&lt;=7,"Due ≤7d","Within SLA"))))</f>
        <v/>
      </c>
      <c r="Y279" s="34"/>
      <c r="Z279" s="34"/>
      <c r="AA279" s="21"/>
    </row>
    <row r="280" customFormat="false" ht="15" hidden="false" customHeight="false" outlineLevel="0" collapsed="false">
      <c r="A280" s="6" t="s">
        <v>2126</v>
      </c>
      <c r="B280" s="35"/>
      <c r="C280" s="34"/>
      <c r="D280" s="34"/>
      <c r="E280" s="21"/>
      <c r="F280" s="34"/>
      <c r="G280" s="34"/>
      <c r="H280" s="34"/>
      <c r="I280" s="34"/>
      <c r="J280" s="21"/>
      <c r="K280" s="34"/>
      <c r="L280" s="34"/>
      <c r="M280" s="34"/>
      <c r="N280" s="21"/>
      <c r="O280" s="21"/>
      <c r="P280" s="21"/>
      <c r="Q280" s="34"/>
      <c r="R280" s="34"/>
      <c r="S280" s="33" t="str">
        <f aca="false">IF(OR(B280="",L280=""),"",INDEX(Lists!$AB$4:$AB$8,MATCH(L280,Lists!$AA$4:$AA$8,0)))</f>
        <v/>
      </c>
      <c r="T280" s="43" t="str">
        <f aca="false">IF(OR(S280="",ISERROR(S280)),"",B280+S280)</f>
        <v/>
      </c>
      <c r="U280" s="34"/>
      <c r="V280" s="35"/>
      <c r="W280" s="33" t="str">
        <f aca="true">IF(B280="","",IF(V280&lt;&gt;"",V280-B280,TODAY()-B280))</f>
        <v/>
      </c>
      <c r="X280" s="38" t="str">
        <f aca="true">IF(OR(B280="",T280="",U280="False Positive",U280="Risk Accepted"),"",IF(V280&lt;&gt;"",IF(V280&gt;T280,"Closed Late","Met"),IF(TODAY()&gt;T280,"SLA BREACH",IF(T280-TODAY()&lt;=7,"Due ≤7d","Within SLA"))))</f>
        <v/>
      </c>
      <c r="Y280" s="34"/>
      <c r="Z280" s="34"/>
      <c r="AA280" s="21"/>
    </row>
    <row r="281" customFormat="false" ht="15" hidden="false" customHeight="false" outlineLevel="0" collapsed="false">
      <c r="A281" s="6" t="s">
        <v>2127</v>
      </c>
      <c r="B281" s="35"/>
      <c r="C281" s="34"/>
      <c r="D281" s="34"/>
      <c r="E281" s="21"/>
      <c r="F281" s="34"/>
      <c r="G281" s="34"/>
      <c r="H281" s="34"/>
      <c r="I281" s="34"/>
      <c r="J281" s="21"/>
      <c r="K281" s="34"/>
      <c r="L281" s="34"/>
      <c r="M281" s="34"/>
      <c r="N281" s="21"/>
      <c r="O281" s="21"/>
      <c r="P281" s="21"/>
      <c r="Q281" s="34"/>
      <c r="R281" s="34"/>
      <c r="S281" s="33" t="str">
        <f aca="false">IF(OR(B281="",L281=""),"",INDEX(Lists!$AB$4:$AB$8,MATCH(L281,Lists!$AA$4:$AA$8,0)))</f>
        <v/>
      </c>
      <c r="T281" s="43" t="str">
        <f aca="false">IF(OR(S281="",ISERROR(S281)),"",B281+S281)</f>
        <v/>
      </c>
      <c r="U281" s="34"/>
      <c r="V281" s="35"/>
      <c r="W281" s="33" t="str">
        <f aca="true">IF(B281="","",IF(V281&lt;&gt;"",V281-B281,TODAY()-B281))</f>
        <v/>
      </c>
      <c r="X281" s="38" t="str">
        <f aca="true">IF(OR(B281="",T281="",U281="False Positive",U281="Risk Accepted"),"",IF(V281&lt;&gt;"",IF(V281&gt;T281,"Closed Late","Met"),IF(TODAY()&gt;T281,"SLA BREACH",IF(T281-TODAY()&lt;=7,"Due ≤7d","Within SLA"))))</f>
        <v/>
      </c>
      <c r="Y281" s="34"/>
      <c r="Z281" s="34"/>
      <c r="AA281" s="21"/>
    </row>
    <row r="282" customFormat="false" ht="15" hidden="false" customHeight="false" outlineLevel="0" collapsed="false">
      <c r="A282" s="6" t="s">
        <v>2128</v>
      </c>
      <c r="B282" s="35"/>
      <c r="C282" s="34"/>
      <c r="D282" s="34"/>
      <c r="E282" s="21"/>
      <c r="F282" s="34"/>
      <c r="G282" s="34"/>
      <c r="H282" s="34"/>
      <c r="I282" s="34"/>
      <c r="J282" s="21"/>
      <c r="K282" s="34"/>
      <c r="L282" s="34"/>
      <c r="M282" s="34"/>
      <c r="N282" s="21"/>
      <c r="O282" s="21"/>
      <c r="P282" s="21"/>
      <c r="Q282" s="34"/>
      <c r="R282" s="34"/>
      <c r="S282" s="33" t="str">
        <f aca="false">IF(OR(B282="",L282=""),"",INDEX(Lists!$AB$4:$AB$8,MATCH(L282,Lists!$AA$4:$AA$8,0)))</f>
        <v/>
      </c>
      <c r="T282" s="43" t="str">
        <f aca="false">IF(OR(S282="",ISERROR(S282)),"",B282+S282)</f>
        <v/>
      </c>
      <c r="U282" s="34"/>
      <c r="V282" s="35"/>
      <c r="W282" s="33" t="str">
        <f aca="true">IF(B282="","",IF(V282&lt;&gt;"",V282-B282,TODAY()-B282))</f>
        <v/>
      </c>
      <c r="X282" s="38" t="str">
        <f aca="true">IF(OR(B282="",T282="",U282="False Positive",U282="Risk Accepted"),"",IF(V282&lt;&gt;"",IF(V282&gt;T282,"Closed Late","Met"),IF(TODAY()&gt;T282,"SLA BREACH",IF(T282-TODAY()&lt;=7,"Due ≤7d","Within SLA"))))</f>
        <v/>
      </c>
      <c r="Y282" s="34"/>
      <c r="Z282" s="34"/>
      <c r="AA282" s="21"/>
    </row>
    <row r="283" customFormat="false" ht="15" hidden="false" customHeight="false" outlineLevel="0" collapsed="false">
      <c r="A283" s="6" t="s">
        <v>2129</v>
      </c>
      <c r="B283" s="35"/>
      <c r="C283" s="34"/>
      <c r="D283" s="34"/>
      <c r="E283" s="21"/>
      <c r="F283" s="34"/>
      <c r="G283" s="34"/>
      <c r="H283" s="34"/>
      <c r="I283" s="34"/>
      <c r="J283" s="21"/>
      <c r="K283" s="34"/>
      <c r="L283" s="34"/>
      <c r="M283" s="34"/>
      <c r="N283" s="21"/>
      <c r="O283" s="21"/>
      <c r="P283" s="21"/>
      <c r="Q283" s="34"/>
      <c r="R283" s="34"/>
      <c r="S283" s="33" t="str">
        <f aca="false">IF(OR(B283="",L283=""),"",INDEX(Lists!$AB$4:$AB$8,MATCH(L283,Lists!$AA$4:$AA$8,0)))</f>
        <v/>
      </c>
      <c r="T283" s="43" t="str">
        <f aca="false">IF(OR(S283="",ISERROR(S283)),"",B283+S283)</f>
        <v/>
      </c>
      <c r="U283" s="34"/>
      <c r="V283" s="35"/>
      <c r="W283" s="33" t="str">
        <f aca="true">IF(B283="","",IF(V283&lt;&gt;"",V283-B283,TODAY()-B283))</f>
        <v/>
      </c>
      <c r="X283" s="38" t="str">
        <f aca="true">IF(OR(B283="",T283="",U283="False Positive",U283="Risk Accepted"),"",IF(V283&lt;&gt;"",IF(V283&gt;T283,"Closed Late","Met"),IF(TODAY()&gt;T283,"SLA BREACH",IF(T283-TODAY()&lt;=7,"Due ≤7d","Within SLA"))))</f>
        <v/>
      </c>
      <c r="Y283" s="34"/>
      <c r="Z283" s="34"/>
      <c r="AA283" s="21"/>
    </row>
    <row r="284" customFormat="false" ht="15" hidden="false" customHeight="false" outlineLevel="0" collapsed="false">
      <c r="A284" s="6" t="s">
        <v>2130</v>
      </c>
      <c r="B284" s="35"/>
      <c r="C284" s="34"/>
      <c r="D284" s="34"/>
      <c r="E284" s="21"/>
      <c r="F284" s="34"/>
      <c r="G284" s="34"/>
      <c r="H284" s="34"/>
      <c r="I284" s="34"/>
      <c r="J284" s="21"/>
      <c r="K284" s="34"/>
      <c r="L284" s="34"/>
      <c r="M284" s="34"/>
      <c r="N284" s="21"/>
      <c r="O284" s="21"/>
      <c r="P284" s="21"/>
      <c r="Q284" s="34"/>
      <c r="R284" s="34"/>
      <c r="S284" s="33" t="str">
        <f aca="false">IF(OR(B284="",L284=""),"",INDEX(Lists!$AB$4:$AB$8,MATCH(L284,Lists!$AA$4:$AA$8,0)))</f>
        <v/>
      </c>
      <c r="T284" s="43" t="str">
        <f aca="false">IF(OR(S284="",ISERROR(S284)),"",B284+S284)</f>
        <v/>
      </c>
      <c r="U284" s="34"/>
      <c r="V284" s="35"/>
      <c r="W284" s="33" t="str">
        <f aca="true">IF(B284="","",IF(V284&lt;&gt;"",V284-B284,TODAY()-B284))</f>
        <v/>
      </c>
      <c r="X284" s="38" t="str">
        <f aca="true">IF(OR(B284="",T284="",U284="False Positive",U284="Risk Accepted"),"",IF(V284&lt;&gt;"",IF(V284&gt;T284,"Closed Late","Met"),IF(TODAY()&gt;T284,"SLA BREACH",IF(T284-TODAY()&lt;=7,"Due ≤7d","Within SLA"))))</f>
        <v/>
      </c>
      <c r="Y284" s="34"/>
      <c r="Z284" s="34"/>
      <c r="AA284" s="21"/>
    </row>
    <row r="285" customFormat="false" ht="15" hidden="false" customHeight="false" outlineLevel="0" collapsed="false">
      <c r="A285" s="6" t="s">
        <v>2131</v>
      </c>
      <c r="B285" s="35"/>
      <c r="C285" s="34"/>
      <c r="D285" s="34"/>
      <c r="E285" s="21"/>
      <c r="F285" s="34"/>
      <c r="G285" s="34"/>
      <c r="H285" s="34"/>
      <c r="I285" s="34"/>
      <c r="J285" s="21"/>
      <c r="K285" s="34"/>
      <c r="L285" s="34"/>
      <c r="M285" s="34"/>
      <c r="N285" s="21"/>
      <c r="O285" s="21"/>
      <c r="P285" s="21"/>
      <c r="Q285" s="34"/>
      <c r="R285" s="34"/>
      <c r="S285" s="33" t="str">
        <f aca="false">IF(OR(B285="",L285=""),"",INDEX(Lists!$AB$4:$AB$8,MATCH(L285,Lists!$AA$4:$AA$8,0)))</f>
        <v/>
      </c>
      <c r="T285" s="43" t="str">
        <f aca="false">IF(OR(S285="",ISERROR(S285)),"",B285+S285)</f>
        <v/>
      </c>
      <c r="U285" s="34"/>
      <c r="V285" s="35"/>
      <c r="W285" s="33" t="str">
        <f aca="true">IF(B285="","",IF(V285&lt;&gt;"",V285-B285,TODAY()-B285))</f>
        <v/>
      </c>
      <c r="X285" s="38" t="str">
        <f aca="true">IF(OR(B285="",T285="",U285="False Positive",U285="Risk Accepted"),"",IF(V285&lt;&gt;"",IF(V285&gt;T285,"Closed Late","Met"),IF(TODAY()&gt;T285,"SLA BREACH",IF(T285-TODAY()&lt;=7,"Due ≤7d","Within SLA"))))</f>
        <v/>
      </c>
      <c r="Y285" s="34"/>
      <c r="Z285" s="34"/>
      <c r="AA285" s="21"/>
    </row>
    <row r="286" customFormat="false" ht="15" hidden="false" customHeight="false" outlineLevel="0" collapsed="false">
      <c r="A286" s="6" t="s">
        <v>2132</v>
      </c>
      <c r="B286" s="35"/>
      <c r="C286" s="34"/>
      <c r="D286" s="34"/>
      <c r="E286" s="21"/>
      <c r="F286" s="34"/>
      <c r="G286" s="34"/>
      <c r="H286" s="34"/>
      <c r="I286" s="34"/>
      <c r="J286" s="21"/>
      <c r="K286" s="34"/>
      <c r="L286" s="34"/>
      <c r="M286" s="34"/>
      <c r="N286" s="21"/>
      <c r="O286" s="21"/>
      <c r="P286" s="21"/>
      <c r="Q286" s="34"/>
      <c r="R286" s="34"/>
      <c r="S286" s="33" t="str">
        <f aca="false">IF(OR(B286="",L286=""),"",INDEX(Lists!$AB$4:$AB$8,MATCH(L286,Lists!$AA$4:$AA$8,0)))</f>
        <v/>
      </c>
      <c r="T286" s="43" t="str">
        <f aca="false">IF(OR(S286="",ISERROR(S286)),"",B286+S286)</f>
        <v/>
      </c>
      <c r="U286" s="34"/>
      <c r="V286" s="35"/>
      <c r="W286" s="33" t="str">
        <f aca="true">IF(B286="","",IF(V286&lt;&gt;"",V286-B286,TODAY()-B286))</f>
        <v/>
      </c>
      <c r="X286" s="38" t="str">
        <f aca="true">IF(OR(B286="",T286="",U286="False Positive",U286="Risk Accepted"),"",IF(V286&lt;&gt;"",IF(V286&gt;T286,"Closed Late","Met"),IF(TODAY()&gt;T286,"SLA BREACH",IF(T286-TODAY()&lt;=7,"Due ≤7d","Within SLA"))))</f>
        <v/>
      </c>
      <c r="Y286" s="34"/>
      <c r="Z286" s="34"/>
      <c r="AA286" s="21"/>
    </row>
    <row r="287" customFormat="false" ht="15" hidden="false" customHeight="false" outlineLevel="0" collapsed="false">
      <c r="A287" s="6" t="s">
        <v>2133</v>
      </c>
      <c r="B287" s="35"/>
      <c r="C287" s="34"/>
      <c r="D287" s="34"/>
      <c r="E287" s="21"/>
      <c r="F287" s="34"/>
      <c r="G287" s="34"/>
      <c r="H287" s="34"/>
      <c r="I287" s="34"/>
      <c r="J287" s="21"/>
      <c r="K287" s="34"/>
      <c r="L287" s="34"/>
      <c r="M287" s="34"/>
      <c r="N287" s="21"/>
      <c r="O287" s="21"/>
      <c r="P287" s="21"/>
      <c r="Q287" s="34"/>
      <c r="R287" s="34"/>
      <c r="S287" s="33" t="str">
        <f aca="false">IF(OR(B287="",L287=""),"",INDEX(Lists!$AB$4:$AB$8,MATCH(L287,Lists!$AA$4:$AA$8,0)))</f>
        <v/>
      </c>
      <c r="T287" s="43" t="str">
        <f aca="false">IF(OR(S287="",ISERROR(S287)),"",B287+S287)</f>
        <v/>
      </c>
      <c r="U287" s="34"/>
      <c r="V287" s="35"/>
      <c r="W287" s="33" t="str">
        <f aca="true">IF(B287="","",IF(V287&lt;&gt;"",V287-B287,TODAY()-B287))</f>
        <v/>
      </c>
      <c r="X287" s="38" t="str">
        <f aca="true">IF(OR(B287="",T287="",U287="False Positive",U287="Risk Accepted"),"",IF(V287&lt;&gt;"",IF(V287&gt;T287,"Closed Late","Met"),IF(TODAY()&gt;T287,"SLA BREACH",IF(T287-TODAY()&lt;=7,"Due ≤7d","Within SLA"))))</f>
        <v/>
      </c>
      <c r="Y287" s="34"/>
      <c r="Z287" s="34"/>
      <c r="AA287" s="21"/>
    </row>
    <row r="288" customFormat="false" ht="15" hidden="false" customHeight="false" outlineLevel="0" collapsed="false">
      <c r="A288" s="6" t="s">
        <v>2134</v>
      </c>
      <c r="B288" s="35"/>
      <c r="C288" s="34"/>
      <c r="D288" s="34"/>
      <c r="E288" s="21"/>
      <c r="F288" s="34"/>
      <c r="G288" s="34"/>
      <c r="H288" s="34"/>
      <c r="I288" s="34"/>
      <c r="J288" s="21"/>
      <c r="K288" s="34"/>
      <c r="L288" s="34"/>
      <c r="M288" s="34"/>
      <c r="N288" s="21"/>
      <c r="O288" s="21"/>
      <c r="P288" s="21"/>
      <c r="Q288" s="34"/>
      <c r="R288" s="34"/>
      <c r="S288" s="33" t="str">
        <f aca="false">IF(OR(B288="",L288=""),"",INDEX(Lists!$AB$4:$AB$8,MATCH(L288,Lists!$AA$4:$AA$8,0)))</f>
        <v/>
      </c>
      <c r="T288" s="43" t="str">
        <f aca="false">IF(OR(S288="",ISERROR(S288)),"",B288+S288)</f>
        <v/>
      </c>
      <c r="U288" s="34"/>
      <c r="V288" s="35"/>
      <c r="W288" s="33" t="str">
        <f aca="true">IF(B288="","",IF(V288&lt;&gt;"",V288-B288,TODAY()-B288))</f>
        <v/>
      </c>
      <c r="X288" s="38" t="str">
        <f aca="true">IF(OR(B288="",T288="",U288="False Positive",U288="Risk Accepted"),"",IF(V288&lt;&gt;"",IF(V288&gt;T288,"Closed Late","Met"),IF(TODAY()&gt;T288,"SLA BREACH",IF(T288-TODAY()&lt;=7,"Due ≤7d","Within SLA"))))</f>
        <v/>
      </c>
      <c r="Y288" s="34"/>
      <c r="Z288" s="34"/>
      <c r="AA288" s="21"/>
    </row>
    <row r="289" customFormat="false" ht="15" hidden="false" customHeight="false" outlineLevel="0" collapsed="false">
      <c r="A289" s="6" t="s">
        <v>2135</v>
      </c>
      <c r="B289" s="35"/>
      <c r="C289" s="34"/>
      <c r="D289" s="34"/>
      <c r="E289" s="21"/>
      <c r="F289" s="34"/>
      <c r="G289" s="34"/>
      <c r="H289" s="34"/>
      <c r="I289" s="34"/>
      <c r="J289" s="21"/>
      <c r="K289" s="34"/>
      <c r="L289" s="34"/>
      <c r="M289" s="34"/>
      <c r="N289" s="21"/>
      <c r="O289" s="21"/>
      <c r="P289" s="21"/>
      <c r="Q289" s="34"/>
      <c r="R289" s="34"/>
      <c r="S289" s="33" t="str">
        <f aca="false">IF(OR(B289="",L289=""),"",INDEX(Lists!$AB$4:$AB$8,MATCH(L289,Lists!$AA$4:$AA$8,0)))</f>
        <v/>
      </c>
      <c r="T289" s="43" t="str">
        <f aca="false">IF(OR(S289="",ISERROR(S289)),"",B289+S289)</f>
        <v/>
      </c>
      <c r="U289" s="34"/>
      <c r="V289" s="35"/>
      <c r="W289" s="33" t="str">
        <f aca="true">IF(B289="","",IF(V289&lt;&gt;"",V289-B289,TODAY()-B289))</f>
        <v/>
      </c>
      <c r="X289" s="38" t="str">
        <f aca="true">IF(OR(B289="",T289="",U289="False Positive",U289="Risk Accepted"),"",IF(V289&lt;&gt;"",IF(V289&gt;T289,"Closed Late","Met"),IF(TODAY()&gt;T289,"SLA BREACH",IF(T289-TODAY()&lt;=7,"Due ≤7d","Within SLA"))))</f>
        <v/>
      </c>
      <c r="Y289" s="34"/>
      <c r="Z289" s="34"/>
      <c r="AA289" s="21"/>
    </row>
    <row r="290" customFormat="false" ht="15" hidden="false" customHeight="false" outlineLevel="0" collapsed="false">
      <c r="A290" s="6" t="s">
        <v>2136</v>
      </c>
      <c r="B290" s="35"/>
      <c r="C290" s="34"/>
      <c r="D290" s="34"/>
      <c r="E290" s="21"/>
      <c r="F290" s="34"/>
      <c r="G290" s="34"/>
      <c r="H290" s="34"/>
      <c r="I290" s="34"/>
      <c r="J290" s="21"/>
      <c r="K290" s="34"/>
      <c r="L290" s="34"/>
      <c r="M290" s="34"/>
      <c r="N290" s="21"/>
      <c r="O290" s="21"/>
      <c r="P290" s="21"/>
      <c r="Q290" s="34"/>
      <c r="R290" s="34"/>
      <c r="S290" s="33" t="str">
        <f aca="false">IF(OR(B290="",L290=""),"",INDEX(Lists!$AB$4:$AB$8,MATCH(L290,Lists!$AA$4:$AA$8,0)))</f>
        <v/>
      </c>
      <c r="T290" s="43" t="str">
        <f aca="false">IF(OR(S290="",ISERROR(S290)),"",B290+S290)</f>
        <v/>
      </c>
      <c r="U290" s="34"/>
      <c r="V290" s="35"/>
      <c r="W290" s="33" t="str">
        <f aca="true">IF(B290="","",IF(V290&lt;&gt;"",V290-B290,TODAY()-B290))</f>
        <v/>
      </c>
      <c r="X290" s="38" t="str">
        <f aca="true">IF(OR(B290="",T290="",U290="False Positive",U290="Risk Accepted"),"",IF(V290&lt;&gt;"",IF(V290&gt;T290,"Closed Late","Met"),IF(TODAY()&gt;T290,"SLA BREACH",IF(T290-TODAY()&lt;=7,"Due ≤7d","Within SLA"))))</f>
        <v/>
      </c>
      <c r="Y290" s="34"/>
      <c r="Z290" s="34"/>
      <c r="AA290" s="21"/>
    </row>
    <row r="291" customFormat="false" ht="15" hidden="false" customHeight="false" outlineLevel="0" collapsed="false">
      <c r="A291" s="6" t="s">
        <v>2137</v>
      </c>
      <c r="B291" s="35"/>
      <c r="C291" s="34"/>
      <c r="D291" s="34"/>
      <c r="E291" s="21"/>
      <c r="F291" s="34"/>
      <c r="G291" s="34"/>
      <c r="H291" s="34"/>
      <c r="I291" s="34"/>
      <c r="J291" s="21"/>
      <c r="K291" s="34"/>
      <c r="L291" s="34"/>
      <c r="M291" s="34"/>
      <c r="N291" s="21"/>
      <c r="O291" s="21"/>
      <c r="P291" s="21"/>
      <c r="Q291" s="34"/>
      <c r="R291" s="34"/>
      <c r="S291" s="33" t="str">
        <f aca="false">IF(OR(B291="",L291=""),"",INDEX(Lists!$AB$4:$AB$8,MATCH(L291,Lists!$AA$4:$AA$8,0)))</f>
        <v/>
      </c>
      <c r="T291" s="43" t="str">
        <f aca="false">IF(OR(S291="",ISERROR(S291)),"",B291+S291)</f>
        <v/>
      </c>
      <c r="U291" s="34"/>
      <c r="V291" s="35"/>
      <c r="W291" s="33" t="str">
        <f aca="true">IF(B291="","",IF(V291&lt;&gt;"",V291-B291,TODAY()-B291))</f>
        <v/>
      </c>
      <c r="X291" s="38" t="str">
        <f aca="true">IF(OR(B291="",T291="",U291="False Positive",U291="Risk Accepted"),"",IF(V291&lt;&gt;"",IF(V291&gt;T291,"Closed Late","Met"),IF(TODAY()&gt;T291,"SLA BREACH",IF(T291-TODAY()&lt;=7,"Due ≤7d","Within SLA"))))</f>
        <v/>
      </c>
      <c r="Y291" s="34"/>
      <c r="Z291" s="34"/>
      <c r="AA291" s="21"/>
    </row>
    <row r="292" customFormat="false" ht="15" hidden="false" customHeight="false" outlineLevel="0" collapsed="false">
      <c r="A292" s="6" t="s">
        <v>2138</v>
      </c>
      <c r="B292" s="35"/>
      <c r="C292" s="34"/>
      <c r="D292" s="34"/>
      <c r="E292" s="21"/>
      <c r="F292" s="34"/>
      <c r="G292" s="34"/>
      <c r="H292" s="34"/>
      <c r="I292" s="34"/>
      <c r="J292" s="21"/>
      <c r="K292" s="34"/>
      <c r="L292" s="34"/>
      <c r="M292" s="34"/>
      <c r="N292" s="21"/>
      <c r="O292" s="21"/>
      <c r="P292" s="21"/>
      <c r="Q292" s="34"/>
      <c r="R292" s="34"/>
      <c r="S292" s="33" t="str">
        <f aca="false">IF(OR(B292="",L292=""),"",INDEX(Lists!$AB$4:$AB$8,MATCH(L292,Lists!$AA$4:$AA$8,0)))</f>
        <v/>
      </c>
      <c r="T292" s="43" t="str">
        <f aca="false">IF(OR(S292="",ISERROR(S292)),"",B292+S292)</f>
        <v/>
      </c>
      <c r="U292" s="34"/>
      <c r="V292" s="35"/>
      <c r="W292" s="33" t="str">
        <f aca="true">IF(B292="","",IF(V292&lt;&gt;"",V292-B292,TODAY()-B292))</f>
        <v/>
      </c>
      <c r="X292" s="38" t="str">
        <f aca="true">IF(OR(B292="",T292="",U292="False Positive",U292="Risk Accepted"),"",IF(V292&lt;&gt;"",IF(V292&gt;T292,"Closed Late","Met"),IF(TODAY()&gt;T292,"SLA BREACH",IF(T292-TODAY()&lt;=7,"Due ≤7d","Within SLA"))))</f>
        <v/>
      </c>
      <c r="Y292" s="34"/>
      <c r="Z292" s="34"/>
      <c r="AA292" s="21"/>
    </row>
    <row r="293" customFormat="false" ht="15" hidden="false" customHeight="false" outlineLevel="0" collapsed="false">
      <c r="A293" s="6" t="s">
        <v>2139</v>
      </c>
      <c r="B293" s="35"/>
      <c r="C293" s="34"/>
      <c r="D293" s="34"/>
      <c r="E293" s="21"/>
      <c r="F293" s="34"/>
      <c r="G293" s="34"/>
      <c r="H293" s="34"/>
      <c r="I293" s="34"/>
      <c r="J293" s="21"/>
      <c r="K293" s="34"/>
      <c r="L293" s="34"/>
      <c r="M293" s="34"/>
      <c r="N293" s="21"/>
      <c r="O293" s="21"/>
      <c r="P293" s="21"/>
      <c r="Q293" s="34"/>
      <c r="R293" s="34"/>
      <c r="S293" s="33" t="str">
        <f aca="false">IF(OR(B293="",L293=""),"",INDEX(Lists!$AB$4:$AB$8,MATCH(L293,Lists!$AA$4:$AA$8,0)))</f>
        <v/>
      </c>
      <c r="T293" s="43" t="str">
        <f aca="false">IF(OR(S293="",ISERROR(S293)),"",B293+S293)</f>
        <v/>
      </c>
      <c r="U293" s="34"/>
      <c r="V293" s="35"/>
      <c r="W293" s="33" t="str">
        <f aca="true">IF(B293="","",IF(V293&lt;&gt;"",V293-B293,TODAY()-B293))</f>
        <v/>
      </c>
      <c r="X293" s="38" t="str">
        <f aca="true">IF(OR(B293="",T293="",U293="False Positive",U293="Risk Accepted"),"",IF(V293&lt;&gt;"",IF(V293&gt;T293,"Closed Late","Met"),IF(TODAY()&gt;T293,"SLA BREACH",IF(T293-TODAY()&lt;=7,"Due ≤7d","Within SLA"))))</f>
        <v/>
      </c>
      <c r="Y293" s="34"/>
      <c r="Z293" s="34"/>
      <c r="AA293" s="21"/>
    </row>
    <row r="294" customFormat="false" ht="15" hidden="false" customHeight="false" outlineLevel="0" collapsed="false">
      <c r="A294" s="6" t="s">
        <v>2140</v>
      </c>
      <c r="B294" s="35"/>
      <c r="C294" s="34"/>
      <c r="D294" s="34"/>
      <c r="E294" s="21"/>
      <c r="F294" s="34"/>
      <c r="G294" s="34"/>
      <c r="H294" s="34"/>
      <c r="I294" s="34"/>
      <c r="J294" s="21"/>
      <c r="K294" s="34"/>
      <c r="L294" s="34"/>
      <c r="M294" s="34"/>
      <c r="N294" s="21"/>
      <c r="O294" s="21"/>
      <c r="P294" s="21"/>
      <c r="Q294" s="34"/>
      <c r="R294" s="34"/>
      <c r="S294" s="33" t="str">
        <f aca="false">IF(OR(B294="",L294=""),"",INDEX(Lists!$AB$4:$AB$8,MATCH(L294,Lists!$AA$4:$AA$8,0)))</f>
        <v/>
      </c>
      <c r="T294" s="43" t="str">
        <f aca="false">IF(OR(S294="",ISERROR(S294)),"",B294+S294)</f>
        <v/>
      </c>
      <c r="U294" s="34"/>
      <c r="V294" s="35"/>
      <c r="W294" s="33" t="str">
        <f aca="true">IF(B294="","",IF(V294&lt;&gt;"",V294-B294,TODAY()-B294))</f>
        <v/>
      </c>
      <c r="X294" s="38" t="str">
        <f aca="true">IF(OR(B294="",T294="",U294="False Positive",U294="Risk Accepted"),"",IF(V294&lt;&gt;"",IF(V294&gt;T294,"Closed Late","Met"),IF(TODAY()&gt;T294,"SLA BREACH",IF(T294-TODAY()&lt;=7,"Due ≤7d","Within SLA"))))</f>
        <v/>
      </c>
      <c r="Y294" s="34"/>
      <c r="Z294" s="34"/>
      <c r="AA294" s="21"/>
    </row>
    <row r="295" customFormat="false" ht="15" hidden="false" customHeight="false" outlineLevel="0" collapsed="false">
      <c r="A295" s="6" t="s">
        <v>2141</v>
      </c>
      <c r="B295" s="35"/>
      <c r="C295" s="34"/>
      <c r="D295" s="34"/>
      <c r="E295" s="21"/>
      <c r="F295" s="34"/>
      <c r="G295" s="34"/>
      <c r="H295" s="34"/>
      <c r="I295" s="34"/>
      <c r="J295" s="21"/>
      <c r="K295" s="34"/>
      <c r="L295" s="34"/>
      <c r="M295" s="34"/>
      <c r="N295" s="21"/>
      <c r="O295" s="21"/>
      <c r="P295" s="21"/>
      <c r="Q295" s="34"/>
      <c r="R295" s="34"/>
      <c r="S295" s="33" t="str">
        <f aca="false">IF(OR(B295="",L295=""),"",INDEX(Lists!$AB$4:$AB$8,MATCH(L295,Lists!$AA$4:$AA$8,0)))</f>
        <v/>
      </c>
      <c r="T295" s="43" t="str">
        <f aca="false">IF(OR(S295="",ISERROR(S295)),"",B295+S295)</f>
        <v/>
      </c>
      <c r="U295" s="34"/>
      <c r="V295" s="35"/>
      <c r="W295" s="33" t="str">
        <f aca="true">IF(B295="","",IF(V295&lt;&gt;"",V295-B295,TODAY()-B295))</f>
        <v/>
      </c>
      <c r="X295" s="38" t="str">
        <f aca="true">IF(OR(B295="",T295="",U295="False Positive",U295="Risk Accepted"),"",IF(V295&lt;&gt;"",IF(V295&gt;T295,"Closed Late","Met"),IF(TODAY()&gt;T295,"SLA BREACH",IF(T295-TODAY()&lt;=7,"Due ≤7d","Within SLA"))))</f>
        <v/>
      </c>
      <c r="Y295" s="34"/>
      <c r="Z295" s="34"/>
      <c r="AA295" s="21"/>
    </row>
    <row r="296" customFormat="false" ht="15" hidden="false" customHeight="false" outlineLevel="0" collapsed="false">
      <c r="A296" s="6" t="s">
        <v>2142</v>
      </c>
      <c r="B296" s="35"/>
      <c r="C296" s="34"/>
      <c r="D296" s="34"/>
      <c r="E296" s="21"/>
      <c r="F296" s="34"/>
      <c r="G296" s="34"/>
      <c r="H296" s="34"/>
      <c r="I296" s="34"/>
      <c r="J296" s="21"/>
      <c r="K296" s="34"/>
      <c r="L296" s="34"/>
      <c r="M296" s="34"/>
      <c r="N296" s="21"/>
      <c r="O296" s="21"/>
      <c r="P296" s="21"/>
      <c r="Q296" s="34"/>
      <c r="R296" s="34"/>
      <c r="S296" s="33" t="str">
        <f aca="false">IF(OR(B296="",L296=""),"",INDEX(Lists!$AB$4:$AB$8,MATCH(L296,Lists!$AA$4:$AA$8,0)))</f>
        <v/>
      </c>
      <c r="T296" s="43" t="str">
        <f aca="false">IF(OR(S296="",ISERROR(S296)),"",B296+S296)</f>
        <v/>
      </c>
      <c r="U296" s="34"/>
      <c r="V296" s="35"/>
      <c r="W296" s="33" t="str">
        <f aca="true">IF(B296="","",IF(V296&lt;&gt;"",V296-B296,TODAY()-B296))</f>
        <v/>
      </c>
      <c r="X296" s="38" t="str">
        <f aca="true">IF(OR(B296="",T296="",U296="False Positive",U296="Risk Accepted"),"",IF(V296&lt;&gt;"",IF(V296&gt;T296,"Closed Late","Met"),IF(TODAY()&gt;T296,"SLA BREACH",IF(T296-TODAY()&lt;=7,"Due ≤7d","Within SLA"))))</f>
        <v/>
      </c>
      <c r="Y296" s="34"/>
      <c r="Z296" s="34"/>
      <c r="AA296" s="21"/>
    </row>
    <row r="297" customFormat="false" ht="15" hidden="false" customHeight="false" outlineLevel="0" collapsed="false">
      <c r="A297" s="6" t="s">
        <v>2143</v>
      </c>
      <c r="B297" s="35"/>
      <c r="C297" s="34"/>
      <c r="D297" s="34"/>
      <c r="E297" s="21"/>
      <c r="F297" s="34"/>
      <c r="G297" s="34"/>
      <c r="H297" s="34"/>
      <c r="I297" s="34"/>
      <c r="J297" s="21"/>
      <c r="K297" s="34"/>
      <c r="L297" s="34"/>
      <c r="M297" s="34"/>
      <c r="N297" s="21"/>
      <c r="O297" s="21"/>
      <c r="P297" s="21"/>
      <c r="Q297" s="34"/>
      <c r="R297" s="34"/>
      <c r="S297" s="33" t="str">
        <f aca="false">IF(OR(B297="",L297=""),"",INDEX(Lists!$AB$4:$AB$8,MATCH(L297,Lists!$AA$4:$AA$8,0)))</f>
        <v/>
      </c>
      <c r="T297" s="43" t="str">
        <f aca="false">IF(OR(S297="",ISERROR(S297)),"",B297+S297)</f>
        <v/>
      </c>
      <c r="U297" s="34"/>
      <c r="V297" s="35"/>
      <c r="W297" s="33" t="str">
        <f aca="true">IF(B297="","",IF(V297&lt;&gt;"",V297-B297,TODAY()-B297))</f>
        <v/>
      </c>
      <c r="X297" s="38" t="str">
        <f aca="true">IF(OR(B297="",T297="",U297="False Positive",U297="Risk Accepted"),"",IF(V297&lt;&gt;"",IF(V297&gt;T297,"Closed Late","Met"),IF(TODAY()&gt;T297,"SLA BREACH",IF(T297-TODAY()&lt;=7,"Due ≤7d","Within SLA"))))</f>
        <v/>
      </c>
      <c r="Y297" s="34"/>
      <c r="Z297" s="34"/>
      <c r="AA297" s="21"/>
    </row>
    <row r="298" customFormat="false" ht="15" hidden="false" customHeight="false" outlineLevel="0" collapsed="false">
      <c r="A298" s="6" t="s">
        <v>2144</v>
      </c>
      <c r="B298" s="35"/>
      <c r="C298" s="34"/>
      <c r="D298" s="34"/>
      <c r="E298" s="21"/>
      <c r="F298" s="34"/>
      <c r="G298" s="34"/>
      <c r="H298" s="34"/>
      <c r="I298" s="34"/>
      <c r="J298" s="21"/>
      <c r="K298" s="34"/>
      <c r="L298" s="34"/>
      <c r="M298" s="34"/>
      <c r="N298" s="21"/>
      <c r="O298" s="21"/>
      <c r="P298" s="21"/>
      <c r="Q298" s="34"/>
      <c r="R298" s="34"/>
      <c r="S298" s="33" t="str">
        <f aca="false">IF(OR(B298="",L298=""),"",INDEX(Lists!$AB$4:$AB$8,MATCH(L298,Lists!$AA$4:$AA$8,0)))</f>
        <v/>
      </c>
      <c r="T298" s="43" t="str">
        <f aca="false">IF(OR(S298="",ISERROR(S298)),"",B298+S298)</f>
        <v/>
      </c>
      <c r="U298" s="34"/>
      <c r="V298" s="35"/>
      <c r="W298" s="33" t="str">
        <f aca="true">IF(B298="","",IF(V298&lt;&gt;"",V298-B298,TODAY()-B298))</f>
        <v/>
      </c>
      <c r="X298" s="38" t="str">
        <f aca="true">IF(OR(B298="",T298="",U298="False Positive",U298="Risk Accepted"),"",IF(V298&lt;&gt;"",IF(V298&gt;T298,"Closed Late","Met"),IF(TODAY()&gt;T298,"SLA BREACH",IF(T298-TODAY()&lt;=7,"Due ≤7d","Within SLA"))))</f>
        <v/>
      </c>
      <c r="Y298" s="34"/>
      <c r="Z298" s="34"/>
      <c r="AA298" s="21"/>
    </row>
    <row r="299" customFormat="false" ht="15" hidden="false" customHeight="false" outlineLevel="0" collapsed="false">
      <c r="A299" s="6" t="s">
        <v>2145</v>
      </c>
      <c r="B299" s="35"/>
      <c r="C299" s="34"/>
      <c r="D299" s="34"/>
      <c r="E299" s="21"/>
      <c r="F299" s="34"/>
      <c r="G299" s="34"/>
      <c r="H299" s="34"/>
      <c r="I299" s="34"/>
      <c r="J299" s="21"/>
      <c r="K299" s="34"/>
      <c r="L299" s="34"/>
      <c r="M299" s="34"/>
      <c r="N299" s="21"/>
      <c r="O299" s="21"/>
      <c r="P299" s="21"/>
      <c r="Q299" s="34"/>
      <c r="R299" s="34"/>
      <c r="S299" s="33" t="str">
        <f aca="false">IF(OR(B299="",L299=""),"",INDEX(Lists!$AB$4:$AB$8,MATCH(L299,Lists!$AA$4:$AA$8,0)))</f>
        <v/>
      </c>
      <c r="T299" s="43" t="str">
        <f aca="false">IF(OR(S299="",ISERROR(S299)),"",B299+S299)</f>
        <v/>
      </c>
      <c r="U299" s="34"/>
      <c r="V299" s="35"/>
      <c r="W299" s="33" t="str">
        <f aca="true">IF(B299="","",IF(V299&lt;&gt;"",V299-B299,TODAY()-B299))</f>
        <v/>
      </c>
      <c r="X299" s="38" t="str">
        <f aca="true">IF(OR(B299="",T299="",U299="False Positive",U299="Risk Accepted"),"",IF(V299&lt;&gt;"",IF(V299&gt;T299,"Closed Late","Met"),IF(TODAY()&gt;T299,"SLA BREACH",IF(T299-TODAY()&lt;=7,"Due ≤7d","Within SLA"))))</f>
        <v/>
      </c>
      <c r="Y299" s="34"/>
      <c r="Z299" s="34"/>
      <c r="AA299" s="21"/>
    </row>
    <row r="300" customFormat="false" ht="15" hidden="false" customHeight="false" outlineLevel="0" collapsed="false">
      <c r="A300" s="6" t="s">
        <v>2146</v>
      </c>
      <c r="B300" s="35"/>
      <c r="C300" s="34"/>
      <c r="D300" s="34"/>
      <c r="E300" s="21"/>
      <c r="F300" s="34"/>
      <c r="G300" s="34"/>
      <c r="H300" s="34"/>
      <c r="I300" s="34"/>
      <c r="J300" s="21"/>
      <c r="K300" s="34"/>
      <c r="L300" s="34"/>
      <c r="M300" s="34"/>
      <c r="N300" s="21"/>
      <c r="O300" s="21"/>
      <c r="P300" s="21"/>
      <c r="Q300" s="34"/>
      <c r="R300" s="34"/>
      <c r="S300" s="33" t="str">
        <f aca="false">IF(OR(B300="",L300=""),"",INDEX(Lists!$AB$4:$AB$8,MATCH(L300,Lists!$AA$4:$AA$8,0)))</f>
        <v/>
      </c>
      <c r="T300" s="43" t="str">
        <f aca="false">IF(OR(S300="",ISERROR(S300)),"",B300+S300)</f>
        <v/>
      </c>
      <c r="U300" s="34"/>
      <c r="V300" s="35"/>
      <c r="W300" s="33" t="str">
        <f aca="true">IF(B300="","",IF(V300&lt;&gt;"",V300-B300,TODAY()-B300))</f>
        <v/>
      </c>
      <c r="X300" s="38" t="str">
        <f aca="true">IF(OR(B300="",T300="",U300="False Positive",U300="Risk Accepted"),"",IF(V300&lt;&gt;"",IF(V300&gt;T300,"Closed Late","Met"),IF(TODAY()&gt;T300,"SLA BREACH",IF(T300-TODAY()&lt;=7,"Due ≤7d","Within SLA"))))</f>
        <v/>
      </c>
      <c r="Y300" s="34"/>
      <c r="Z300" s="34"/>
      <c r="AA300" s="21"/>
    </row>
    <row r="301" customFormat="false" ht="15" hidden="false" customHeight="false" outlineLevel="0" collapsed="false">
      <c r="A301" s="6" t="s">
        <v>2147</v>
      </c>
      <c r="B301" s="35"/>
      <c r="C301" s="34"/>
      <c r="D301" s="34"/>
      <c r="E301" s="21"/>
      <c r="F301" s="34"/>
      <c r="G301" s="34"/>
      <c r="H301" s="34"/>
      <c r="I301" s="34"/>
      <c r="J301" s="21"/>
      <c r="K301" s="34"/>
      <c r="L301" s="34"/>
      <c r="M301" s="34"/>
      <c r="N301" s="21"/>
      <c r="O301" s="21"/>
      <c r="P301" s="21"/>
      <c r="Q301" s="34"/>
      <c r="R301" s="34"/>
      <c r="S301" s="33" t="str">
        <f aca="false">IF(OR(B301="",L301=""),"",INDEX(Lists!$AB$4:$AB$8,MATCH(L301,Lists!$AA$4:$AA$8,0)))</f>
        <v/>
      </c>
      <c r="T301" s="43" t="str">
        <f aca="false">IF(OR(S301="",ISERROR(S301)),"",B301+S301)</f>
        <v/>
      </c>
      <c r="U301" s="34"/>
      <c r="V301" s="35"/>
      <c r="W301" s="33" t="str">
        <f aca="true">IF(B301="","",IF(V301&lt;&gt;"",V301-B301,TODAY()-B301))</f>
        <v/>
      </c>
      <c r="X301" s="38" t="str">
        <f aca="true">IF(OR(B301="",T301="",U301="False Positive",U301="Risk Accepted"),"",IF(V301&lt;&gt;"",IF(V301&gt;T301,"Closed Late","Met"),IF(TODAY()&gt;T301,"SLA BREACH",IF(T301-TODAY()&lt;=7,"Due ≤7d","Within SLA"))))</f>
        <v/>
      </c>
      <c r="Y301" s="34"/>
      <c r="Z301" s="34"/>
      <c r="AA301" s="21"/>
    </row>
    <row r="302" customFormat="false" ht="15" hidden="false" customHeight="false" outlineLevel="0" collapsed="false">
      <c r="A302" s="6" t="s">
        <v>2148</v>
      </c>
      <c r="B302" s="35"/>
      <c r="C302" s="34"/>
      <c r="D302" s="34"/>
      <c r="E302" s="21"/>
      <c r="F302" s="34"/>
      <c r="G302" s="34"/>
      <c r="H302" s="34"/>
      <c r="I302" s="34"/>
      <c r="J302" s="21"/>
      <c r="K302" s="34"/>
      <c r="L302" s="34"/>
      <c r="M302" s="34"/>
      <c r="N302" s="21"/>
      <c r="O302" s="21"/>
      <c r="P302" s="21"/>
      <c r="Q302" s="34"/>
      <c r="R302" s="34"/>
      <c r="S302" s="33" t="str">
        <f aca="false">IF(OR(B302="",L302=""),"",INDEX(Lists!$AB$4:$AB$8,MATCH(L302,Lists!$AA$4:$AA$8,0)))</f>
        <v/>
      </c>
      <c r="T302" s="43" t="str">
        <f aca="false">IF(OR(S302="",ISERROR(S302)),"",B302+S302)</f>
        <v/>
      </c>
      <c r="U302" s="34"/>
      <c r="V302" s="35"/>
      <c r="W302" s="33" t="str">
        <f aca="true">IF(B302="","",IF(V302&lt;&gt;"",V302-B302,TODAY()-B302))</f>
        <v/>
      </c>
      <c r="X302" s="38" t="str">
        <f aca="true">IF(OR(B302="",T302="",U302="False Positive",U302="Risk Accepted"),"",IF(V302&lt;&gt;"",IF(V302&gt;T302,"Closed Late","Met"),IF(TODAY()&gt;T302,"SLA BREACH",IF(T302-TODAY()&lt;=7,"Due ≤7d","Within SLA"))))</f>
        <v/>
      </c>
      <c r="Y302" s="34"/>
      <c r="Z302" s="34"/>
      <c r="AA302" s="21"/>
    </row>
    <row r="303" customFormat="false" ht="15" hidden="false" customHeight="false" outlineLevel="0" collapsed="false">
      <c r="A303" s="6" t="s">
        <v>2149</v>
      </c>
      <c r="B303" s="35"/>
      <c r="C303" s="34"/>
      <c r="D303" s="34"/>
      <c r="E303" s="21"/>
      <c r="F303" s="34"/>
      <c r="G303" s="34"/>
      <c r="H303" s="34"/>
      <c r="I303" s="34"/>
      <c r="J303" s="21"/>
      <c r="K303" s="34"/>
      <c r="L303" s="34"/>
      <c r="M303" s="34"/>
      <c r="N303" s="21"/>
      <c r="O303" s="21"/>
      <c r="P303" s="21"/>
      <c r="Q303" s="34"/>
      <c r="R303" s="34"/>
      <c r="S303" s="33" t="str">
        <f aca="false">IF(OR(B303="",L303=""),"",INDEX(Lists!$AB$4:$AB$8,MATCH(L303,Lists!$AA$4:$AA$8,0)))</f>
        <v/>
      </c>
      <c r="T303" s="43" t="str">
        <f aca="false">IF(OR(S303="",ISERROR(S303)),"",B303+S303)</f>
        <v/>
      </c>
      <c r="U303" s="34"/>
      <c r="V303" s="35"/>
      <c r="W303" s="33" t="str">
        <f aca="true">IF(B303="","",IF(V303&lt;&gt;"",V303-B303,TODAY()-B303))</f>
        <v/>
      </c>
      <c r="X303" s="38" t="str">
        <f aca="true">IF(OR(B303="",T303="",U303="False Positive",U303="Risk Accepted"),"",IF(V303&lt;&gt;"",IF(V303&gt;T303,"Closed Late","Met"),IF(TODAY()&gt;T303,"SLA BREACH",IF(T303-TODAY()&lt;=7,"Due ≤7d","Within SLA"))))</f>
        <v/>
      </c>
      <c r="Y303" s="34"/>
      <c r="Z303" s="34"/>
      <c r="AA303" s="21"/>
    </row>
    <row r="304" customFormat="false" ht="15" hidden="false" customHeight="false" outlineLevel="0" collapsed="false">
      <c r="A304" s="6" t="s">
        <v>2150</v>
      </c>
      <c r="B304" s="35"/>
      <c r="C304" s="34"/>
      <c r="D304" s="34"/>
      <c r="E304" s="21"/>
      <c r="F304" s="34"/>
      <c r="G304" s="34"/>
      <c r="H304" s="34"/>
      <c r="I304" s="34"/>
      <c r="J304" s="21"/>
      <c r="K304" s="34"/>
      <c r="L304" s="34"/>
      <c r="M304" s="34"/>
      <c r="N304" s="21"/>
      <c r="O304" s="21"/>
      <c r="P304" s="21"/>
      <c r="Q304" s="34"/>
      <c r="R304" s="34"/>
      <c r="S304" s="33" t="str">
        <f aca="false">IF(OR(B304="",L304=""),"",INDEX(Lists!$AB$4:$AB$8,MATCH(L304,Lists!$AA$4:$AA$8,0)))</f>
        <v/>
      </c>
      <c r="T304" s="43" t="str">
        <f aca="false">IF(OR(S304="",ISERROR(S304)),"",B304+S304)</f>
        <v/>
      </c>
      <c r="U304" s="34"/>
      <c r="V304" s="35"/>
      <c r="W304" s="33" t="str">
        <f aca="true">IF(B304="","",IF(V304&lt;&gt;"",V304-B304,TODAY()-B304))</f>
        <v/>
      </c>
      <c r="X304" s="38" t="str">
        <f aca="true">IF(OR(B304="",T304="",U304="False Positive",U304="Risk Accepted"),"",IF(V304&lt;&gt;"",IF(V304&gt;T304,"Closed Late","Met"),IF(TODAY()&gt;T304,"SLA BREACH",IF(T304-TODAY()&lt;=7,"Due ≤7d","Within SLA"))))</f>
        <v/>
      </c>
      <c r="Y304" s="34"/>
      <c r="Z304" s="34"/>
      <c r="AA304" s="21"/>
    </row>
  </sheetData>
  <autoFilter ref="A4:AA304"/>
  <conditionalFormatting sqref="L5:L304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6">
      <formula>"High"</formula>
    </cfRule>
    <cfRule type="cellIs" priority="4" operator="equal" aboveAverage="0" equalAverage="0" bottom="0" percent="0" rank="0" text="" dxfId="2">
      <formula>"Medium"</formula>
    </cfRule>
  </conditionalFormatting>
  <conditionalFormatting sqref="X5:X304">
    <cfRule type="cellIs" priority="5" operator="equal" aboveAverage="0" equalAverage="0" bottom="0" percent="0" rank="0" text="" dxfId="0">
      <formula>"OVERDUE"</formula>
    </cfRule>
    <cfRule type="cellIs" priority="6" operator="equal" aboveAverage="0" equalAverage="0" bottom="0" percent="0" rank="0" text="" dxfId="0">
      <formula>"SLA BREACH"</formula>
    </cfRule>
    <cfRule type="expression" priority="7" aboveAverage="0" equalAverage="0" bottom="0" percent="0" rank="0" text="" dxfId="13">
      <formula>LEFT(X5,3)="Due"</formula>
    </cfRule>
    <cfRule type="cellIs" priority="8" operator="equal" aboveAverage="0" equalAverage="0" bottom="0" percent="0" rank="0" text="" dxfId="3">
      <formula>"Closed Late"</formula>
    </cfRule>
    <cfRule type="cellIs" priority="9" operator="equal" aboveAverage="0" equalAverage="0" bottom="0" percent="0" rank="0" text="" dxfId="3">
      <formula>"Date missing"</formula>
    </cfRule>
    <cfRule type="cellIs" priority="10" operator="equal" aboveAverage="0" equalAverage="0" bottom="0" percent="0" rank="0" text="" dxfId="3">
      <formula>"Due date missing"</formula>
    </cfRule>
    <cfRule type="cellIs" priority="11" operator="equal" aboveAverage="0" equalAverage="0" bottom="0" percent="0" rank="0" text="" dxfId="1">
      <formula>"Met"</formula>
    </cfRule>
    <cfRule type="cellIs" priority="12" operator="equal" aboveAverage="0" equalAverage="0" bottom="0" percent="0" rank="0" text="" dxfId="1">
      <formula>"Done"</formula>
    </cfRule>
    <cfRule type="cellIs" priority="13" operator="equal" aboveAverage="0" equalAverage="0" bottom="0" percent="0" rank="0" text="" dxfId="1">
      <formula>"Within SLA"</formula>
    </cfRule>
    <cfRule type="cellIs" priority="14" operator="equal" aboveAverage="0" equalAverage="0" bottom="0" percent="0" rank="0" text="" dxfId="1">
      <formula>"On Schedule"</formula>
    </cfRule>
    <cfRule type="cellIs" priority="15" operator="equal" aboveAverage="0" equalAverage="0" bottom="0" percent="0" rank="0" text="" dxfId="1">
      <formula>"Scheduled"</formula>
    </cfRule>
  </conditionalFormatting>
  <conditionalFormatting sqref="Q5:Q304">
    <cfRule type="expression" priority="16" aboveAverage="0" equalAverage="0" bottom="0" percent="0" rank="0" text="" dxfId="0">
      <formula>LEFT(Q5,6)="Breach"</formula>
    </cfRule>
    <cfRule type="cellIs" priority="17" operator="equal" aboveAverage="0" equalAverage="0" bottom="0" percent="0" rank="0" text="" dxfId="2">
      <formula>"Within Tolerance"</formula>
    </cfRule>
    <cfRule type="cellIs" priority="18" operator="equal" aboveAverage="0" equalAverage="0" bottom="0" percent="0" rank="0" text="" dxfId="1">
      <formula>"Within Appetite"</formula>
    </cfRule>
  </conditionalFormatting>
  <conditionalFormatting sqref="U5:U304">
    <cfRule type="cellIs" priority="19" operator="equal" aboveAverage="0" equalAverage="0" bottom="0" percent="0" rank="0" text="" dxfId="1">
      <formula>"Completed"</formula>
    </cfRule>
    <cfRule type="cellIs" priority="20" operator="equal" aboveAverage="0" equalAverage="0" bottom="0" percent="0" rank="0" text="" dxfId="1">
      <formula>"Achieved"</formula>
    </cfRule>
    <cfRule type="cellIs" priority="21" operator="equal" aboveAverage="0" equalAverage="0" bottom="0" percent="0" rank="0" text="" dxfId="1">
      <formula>"Remediated"</formula>
    </cfRule>
    <cfRule type="cellIs" priority="22" operator="equal" aboveAverage="0" equalAverage="0" bottom="0" percent="0" rank="0" text="" dxfId="1">
      <formula>"Responded"</formula>
    </cfRule>
    <cfRule type="cellIs" priority="23" operator="equal" aboveAverage="0" equalAverage="0" bottom="0" percent="0" rank="0" text="" dxfId="1">
      <formula>"Closed"</formula>
    </cfRule>
    <cfRule type="cellIs" priority="24" operator="equal" aboveAverage="0" equalAverage="0" bottom="0" percent="0" rank="0" text="" dxfId="2">
      <formula>"In Progress"</formula>
    </cfRule>
    <cfRule type="cellIs" priority="25" operator="equal" aboveAverage="0" equalAverage="0" bottom="0" percent="0" rank="0" text="" dxfId="2">
      <formula>"Remediation In Progress"</formula>
    </cfRule>
    <cfRule type="cellIs" priority="26" operator="equal" aboveAverage="0" equalAverage="0" bottom="0" percent="0" rank="0" text="" dxfId="2">
      <formula>"At Risk"</formula>
    </cfRule>
    <cfRule type="cellIs" priority="27" operator="equal" aboveAverage="0" equalAverage="0" bottom="0" percent="0" rank="0" text="" dxfId="2">
      <formula>"Validating"</formula>
    </cfRule>
    <cfRule type="cellIs" priority="28" operator="equal" aboveAverage="0" equalAverage="0" bottom="0" percent="0" rank="0" text="" dxfId="2">
      <formula>"Awaiting Response"</formula>
    </cfRule>
    <cfRule type="cellIs" priority="29" operator="equal" aboveAverage="0" equalAverage="0" bottom="0" percent="0" rank="0" text="" dxfId="3">
      <formula>"Blocked"</formula>
    </cfRule>
    <cfRule type="cellIs" priority="30" operator="equal" aboveAverage="0" equalAverage="0" bottom="0" percent="0" rank="0" text="" dxfId="3">
      <formula>"Off Track"</formula>
    </cfRule>
    <cfRule type="cellIs" priority="31" operator="equal" aboveAverage="0" equalAverage="0" bottom="0" percent="0" rank="0" text="" dxfId="3">
      <formula>"Escalated"</formula>
    </cfRule>
    <cfRule type="cellIs" priority="32" operator="equal" aboveAverage="0" equalAverage="0" bottom="0" percent="0" rank="0" text="" dxfId="3">
      <formula>"Confirmed"</formula>
    </cfRule>
    <cfRule type="cellIs" priority="33" operator="equal" aboveAverage="0" equalAverage="0" bottom="0" percent="0" rank="0" text="" dxfId="3">
      <formula>"Delayed"</formula>
    </cfRule>
    <cfRule type="cellIs" priority="34" operator="equal" aboveAverage="0" equalAverage="0" bottom="0" percent="0" rank="0" text="" dxfId="4">
      <formula>"Cancelled"</formula>
    </cfRule>
    <cfRule type="cellIs" priority="35" operator="equal" aboveAverage="0" equalAverage="0" bottom="0" percent="0" rank="0" text="" dxfId="4">
      <formula>"False Positive"</formula>
    </cfRule>
    <cfRule type="cellIs" priority="36" operator="equal" aboveAverage="0" equalAverage="0" bottom="0" percent="0" rank="0" text="" dxfId="4">
      <formula>"Deferred"</formula>
    </cfRule>
    <cfRule type="cellIs" priority="37" operator="equal" aboveAverage="0" equalAverage="0" bottom="0" percent="0" rank="0" text="" dxfId="4">
      <formula>"On Hold"</formula>
    </cfRule>
  </conditionalFormatting>
  <conditionalFormatting sqref="I5:I304">
    <cfRule type="cellIs" priority="38" operator="equal" aboveAverage="0" equalAverage="0" bottom="0" percent="0" rank="0" text="" dxfId="16">
      <formula>"No"</formula>
    </cfRule>
  </conditionalFormatting>
  <conditionalFormatting sqref="M5:M304">
    <cfRule type="cellIs" priority="39" operator="equal" aboveAverage="0" equalAverage="0" bottom="0" percent="0" rank="0" text="" dxfId="0">
      <formula>"Yes"</formula>
    </cfRule>
  </conditionalFormatting>
  <dataValidations count="10">
    <dataValidation allowBlank="true" error="Enter a valid date (e.g. 19-Oct-2026)." errorStyle="stop" operator="greaterThan" showDropDown="false" showErrorMessage="true" showInputMessage="false" sqref="B5:B304" type="date">
      <formula1>DATE(2000,1,1)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C5:C304" type="list">
      <formula1>Lists!$R$4:$R$12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D5:D304" type="list">
      <formula1>Lists!$Q$4:$Q$15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F5:F304" type="list">
      <formula1>Lists!$S$4:$S$6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I5:I304" type="list">
      <formula1>Lists!$A$4:$A$5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L5:L304" type="list">
      <formula1>Lists!$N$4:$N$8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M5:M304" type="list">
      <formula1>Lists!$B$4:$B$6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Q5:Q304" type="list">
      <formula1>Lists!$P$4:$P$8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U5:U304" type="list">
      <formula1>Lists!$T$4:$T$10</formula1>
      <formula2>0</formula2>
    </dataValidation>
    <dataValidation allowBlank="true" error="Enter a valid date (e.g. 19-Oct-2026)." errorStyle="stop" operator="greaterThan" showDropDown="false" showErrorMessage="true" showInputMessage="false" sqref="V5:V304" type="date">
      <formula1>DATE(2000,1,1)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N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19.7" hidden="false" customHeight="false" outlineLevel="0" collapsed="false">
      <c r="A1" s="9" t="s">
        <v>2151</v>
      </c>
    </row>
    <row r="2" customFormat="false" ht="15" hidden="false" customHeight="false" outlineLevel="0" collapsed="false">
      <c r="A2" s="2" t="s">
        <v>2152</v>
      </c>
    </row>
    <row r="3" customFormat="false" ht="15" hidden="false" customHeight="false" outlineLevel="0" collapsed="false">
      <c r="A3" s="27" t="s">
        <v>170</v>
      </c>
    </row>
    <row r="4" customFormat="false" ht="42" hidden="false" customHeight="true" outlineLevel="0" collapsed="false">
      <c r="A4" s="28" t="s">
        <v>2153</v>
      </c>
      <c r="B4" s="28" t="s">
        <v>2154</v>
      </c>
      <c r="C4" s="28" t="s">
        <v>2155</v>
      </c>
      <c r="D4" s="28" t="s">
        <v>2156</v>
      </c>
      <c r="E4" s="28" t="s">
        <v>2157</v>
      </c>
      <c r="F4" s="28" t="s">
        <v>2158</v>
      </c>
      <c r="G4" s="28" t="s">
        <v>2159</v>
      </c>
      <c r="H4" s="28" t="s">
        <v>2160</v>
      </c>
      <c r="I4" s="28" t="s">
        <v>2161</v>
      </c>
      <c r="J4" s="28" t="s">
        <v>2162</v>
      </c>
      <c r="K4" s="28" t="s">
        <v>2163</v>
      </c>
      <c r="L4" s="28" t="s">
        <v>2164</v>
      </c>
      <c r="M4" s="28" t="s">
        <v>2165</v>
      </c>
      <c r="N4" s="28" t="s">
        <v>518</v>
      </c>
    </row>
    <row r="5" customFormat="false" ht="23.85" hidden="false" customHeight="false" outlineLevel="0" collapsed="false">
      <c r="A5" s="6" t="s">
        <v>2166</v>
      </c>
      <c r="B5" s="30" t="s">
        <v>2167</v>
      </c>
      <c r="C5" s="30" t="s">
        <v>2168</v>
      </c>
      <c r="D5" s="30" t="s">
        <v>2169</v>
      </c>
      <c r="E5" s="30" t="s">
        <v>857</v>
      </c>
      <c r="F5" s="30" t="s">
        <v>2170</v>
      </c>
      <c r="G5" s="30" t="s">
        <v>2171</v>
      </c>
      <c r="H5" s="30" t="s">
        <v>2172</v>
      </c>
      <c r="I5" s="30" t="s">
        <v>68</v>
      </c>
      <c r="J5" s="30" t="s">
        <v>2173</v>
      </c>
      <c r="K5" s="30" t="s">
        <v>1183</v>
      </c>
      <c r="L5" s="32" t="n">
        <v>46307</v>
      </c>
      <c r="M5" s="33" t="n">
        <f aca="true">IF(L5="","",TODAY()-L5)</f>
        <v>7</v>
      </c>
      <c r="N5" s="29" t="s">
        <v>2174</v>
      </c>
    </row>
    <row r="6" customFormat="false" ht="15" hidden="false" customHeight="false" outlineLevel="0" collapsed="false">
      <c r="A6" s="6" t="s">
        <v>2175</v>
      </c>
      <c r="B6" s="34"/>
      <c r="C6" s="34"/>
      <c r="D6" s="34"/>
      <c r="E6" s="34"/>
      <c r="F6" s="34"/>
      <c r="G6" s="34"/>
      <c r="H6" s="34"/>
      <c r="I6" s="34"/>
      <c r="J6" s="34"/>
      <c r="K6" s="34"/>
      <c r="L6" s="35"/>
      <c r="M6" s="33" t="str">
        <f aca="true">IF(L6="","",TODAY()-L6)</f>
        <v/>
      </c>
      <c r="N6" s="21"/>
    </row>
    <row r="7" customFormat="false" ht="15" hidden="false" customHeight="false" outlineLevel="0" collapsed="false">
      <c r="A7" s="6" t="s">
        <v>2176</v>
      </c>
      <c r="B7" s="34"/>
      <c r="C7" s="34"/>
      <c r="D7" s="34"/>
      <c r="E7" s="34"/>
      <c r="F7" s="34"/>
      <c r="G7" s="34"/>
      <c r="H7" s="34"/>
      <c r="I7" s="34"/>
      <c r="J7" s="34"/>
      <c r="K7" s="34"/>
      <c r="L7" s="35"/>
      <c r="M7" s="33" t="str">
        <f aca="true">IF(L7="","",TODAY()-L7)</f>
        <v/>
      </c>
      <c r="N7" s="21"/>
    </row>
    <row r="8" customFormat="false" ht="15" hidden="false" customHeight="false" outlineLevel="0" collapsed="false">
      <c r="A8" s="6" t="s">
        <v>2177</v>
      </c>
      <c r="B8" s="34"/>
      <c r="C8" s="34"/>
      <c r="D8" s="34"/>
      <c r="E8" s="34"/>
      <c r="F8" s="34"/>
      <c r="G8" s="34"/>
      <c r="H8" s="34"/>
      <c r="I8" s="34"/>
      <c r="J8" s="34"/>
      <c r="K8" s="34"/>
      <c r="L8" s="35"/>
      <c r="M8" s="33" t="str">
        <f aca="true">IF(L8="","",TODAY()-L8)</f>
        <v/>
      </c>
      <c r="N8" s="21"/>
    </row>
    <row r="9" customFormat="false" ht="15" hidden="false" customHeight="false" outlineLevel="0" collapsed="false">
      <c r="A9" s="6" t="s">
        <v>2178</v>
      </c>
      <c r="B9" s="34"/>
      <c r="C9" s="34"/>
      <c r="D9" s="34"/>
      <c r="E9" s="34"/>
      <c r="F9" s="34"/>
      <c r="G9" s="34"/>
      <c r="H9" s="34"/>
      <c r="I9" s="34"/>
      <c r="J9" s="34"/>
      <c r="K9" s="34"/>
      <c r="L9" s="35"/>
      <c r="M9" s="33" t="str">
        <f aca="true">IF(L9="","",TODAY()-L9)</f>
        <v/>
      </c>
      <c r="N9" s="21"/>
    </row>
    <row r="10" customFormat="false" ht="15" hidden="false" customHeight="false" outlineLevel="0" collapsed="false">
      <c r="A10" s="6" t="s">
        <v>2179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5"/>
      <c r="M10" s="33" t="str">
        <f aca="true">IF(L10="","",TODAY()-L10)</f>
        <v/>
      </c>
      <c r="N10" s="21"/>
    </row>
    <row r="11" customFormat="false" ht="15" hidden="false" customHeight="false" outlineLevel="0" collapsed="false">
      <c r="A11" s="6" t="s">
        <v>2180</v>
      </c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5"/>
      <c r="M11" s="33" t="str">
        <f aca="true">IF(L11="","",TODAY()-L11)</f>
        <v/>
      </c>
      <c r="N11" s="21"/>
    </row>
    <row r="12" customFormat="false" ht="15" hidden="false" customHeight="false" outlineLevel="0" collapsed="false">
      <c r="A12" s="6" t="s">
        <v>2181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5"/>
      <c r="M12" s="33" t="str">
        <f aca="true">IF(L12="","",TODAY()-L12)</f>
        <v/>
      </c>
      <c r="N12" s="21"/>
    </row>
    <row r="13" customFormat="false" ht="15" hidden="false" customHeight="false" outlineLevel="0" collapsed="false">
      <c r="A13" s="6" t="s">
        <v>2182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5"/>
      <c r="M13" s="33" t="str">
        <f aca="true">IF(L13="","",TODAY()-L13)</f>
        <v/>
      </c>
      <c r="N13" s="21"/>
    </row>
    <row r="14" customFormat="false" ht="15" hidden="false" customHeight="false" outlineLevel="0" collapsed="false">
      <c r="A14" s="6" t="s">
        <v>2183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5"/>
      <c r="M14" s="33" t="str">
        <f aca="true">IF(L14="","",TODAY()-L14)</f>
        <v/>
      </c>
      <c r="N14" s="21"/>
    </row>
    <row r="15" customFormat="false" ht="15" hidden="false" customHeight="false" outlineLevel="0" collapsed="false">
      <c r="A15" s="6" t="s">
        <v>2184</v>
      </c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5"/>
      <c r="M15" s="33" t="str">
        <f aca="true">IF(L15="","",TODAY()-L15)</f>
        <v/>
      </c>
      <c r="N15" s="21"/>
    </row>
    <row r="16" customFormat="false" ht="15" hidden="false" customHeight="false" outlineLevel="0" collapsed="false">
      <c r="A16" s="6" t="s">
        <v>2185</v>
      </c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5"/>
      <c r="M16" s="33" t="str">
        <f aca="true">IF(L16="","",TODAY()-L16)</f>
        <v/>
      </c>
      <c r="N16" s="21"/>
    </row>
    <row r="17" customFormat="false" ht="15" hidden="false" customHeight="false" outlineLevel="0" collapsed="false">
      <c r="A17" s="6" t="s">
        <v>2186</v>
      </c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5"/>
      <c r="M17" s="33" t="str">
        <f aca="true">IF(L17="","",TODAY()-L17)</f>
        <v/>
      </c>
      <c r="N17" s="21"/>
    </row>
    <row r="18" customFormat="false" ht="15" hidden="false" customHeight="false" outlineLevel="0" collapsed="false">
      <c r="A18" s="6" t="s">
        <v>2187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5"/>
      <c r="M18" s="33" t="str">
        <f aca="true">IF(L18="","",TODAY()-L18)</f>
        <v/>
      </c>
      <c r="N18" s="21"/>
    </row>
    <row r="19" customFormat="false" ht="15" hidden="false" customHeight="false" outlineLevel="0" collapsed="false">
      <c r="A19" s="6" t="s">
        <v>2188</v>
      </c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5"/>
      <c r="M19" s="33" t="str">
        <f aca="true">IF(L19="","",TODAY()-L19)</f>
        <v/>
      </c>
      <c r="N19" s="21"/>
    </row>
    <row r="20" customFormat="false" ht="15" hidden="false" customHeight="false" outlineLevel="0" collapsed="false">
      <c r="A20" s="6" t="s">
        <v>2189</v>
      </c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5"/>
      <c r="M20" s="33" t="str">
        <f aca="true">IF(L20="","",TODAY()-L20)</f>
        <v/>
      </c>
      <c r="N20" s="21"/>
    </row>
    <row r="21" customFormat="false" ht="15" hidden="false" customHeight="false" outlineLevel="0" collapsed="false">
      <c r="A21" s="6" t="s">
        <v>2190</v>
      </c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5"/>
      <c r="M21" s="33" t="str">
        <f aca="true">IF(L21="","",TODAY()-L21)</f>
        <v/>
      </c>
      <c r="N21" s="21"/>
    </row>
    <row r="22" customFormat="false" ht="15" hidden="false" customHeight="false" outlineLevel="0" collapsed="false">
      <c r="A22" s="6" t="s">
        <v>2191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5"/>
      <c r="M22" s="33" t="str">
        <f aca="true">IF(L22="","",TODAY()-L22)</f>
        <v/>
      </c>
      <c r="N22" s="21"/>
    </row>
    <row r="23" customFormat="false" ht="15" hidden="false" customHeight="false" outlineLevel="0" collapsed="false">
      <c r="A23" s="6" t="s">
        <v>2192</v>
      </c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5"/>
      <c r="M23" s="33" t="str">
        <f aca="true">IF(L23="","",TODAY()-L23)</f>
        <v/>
      </c>
      <c r="N23" s="21"/>
    </row>
    <row r="24" customFormat="false" ht="15" hidden="false" customHeight="false" outlineLevel="0" collapsed="false">
      <c r="A24" s="6" t="s">
        <v>2193</v>
      </c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5"/>
      <c r="M24" s="33" t="str">
        <f aca="true">IF(L24="","",TODAY()-L24)</f>
        <v/>
      </c>
      <c r="N24" s="21"/>
    </row>
    <row r="25" customFormat="false" ht="15" hidden="false" customHeight="false" outlineLevel="0" collapsed="false">
      <c r="A25" s="6" t="s">
        <v>2194</v>
      </c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5"/>
      <c r="M25" s="33" t="str">
        <f aca="true">IF(L25="","",TODAY()-L25)</f>
        <v/>
      </c>
      <c r="N25" s="21"/>
    </row>
    <row r="26" customFormat="false" ht="15" hidden="false" customHeight="false" outlineLevel="0" collapsed="false">
      <c r="A26" s="6" t="s">
        <v>2195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5"/>
      <c r="M26" s="33" t="str">
        <f aca="true">IF(L26="","",TODAY()-L26)</f>
        <v/>
      </c>
      <c r="N26" s="21"/>
    </row>
    <row r="27" customFormat="false" ht="15" hidden="false" customHeight="false" outlineLevel="0" collapsed="false">
      <c r="A27" s="6" t="s">
        <v>2196</v>
      </c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5"/>
      <c r="M27" s="33" t="str">
        <f aca="true">IF(L27="","",TODAY()-L27)</f>
        <v/>
      </c>
      <c r="N27" s="21"/>
    </row>
    <row r="28" customFormat="false" ht="15" hidden="false" customHeight="false" outlineLevel="0" collapsed="false">
      <c r="A28" s="6" t="s">
        <v>2197</v>
      </c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5"/>
      <c r="M28" s="33" t="str">
        <f aca="true">IF(L28="","",TODAY()-L28)</f>
        <v/>
      </c>
      <c r="N28" s="21"/>
    </row>
    <row r="29" customFormat="false" ht="15" hidden="false" customHeight="false" outlineLevel="0" collapsed="false">
      <c r="A29" s="6" t="s">
        <v>2198</v>
      </c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5"/>
      <c r="M29" s="33" t="str">
        <f aca="true">IF(L29="","",TODAY()-L29)</f>
        <v/>
      </c>
      <c r="N29" s="21"/>
    </row>
    <row r="30" customFormat="false" ht="15" hidden="false" customHeight="false" outlineLevel="0" collapsed="false">
      <c r="A30" s="6" t="s">
        <v>2199</v>
      </c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5"/>
      <c r="M30" s="33" t="str">
        <f aca="true">IF(L30="","",TODAY()-L30)</f>
        <v/>
      </c>
      <c r="N30" s="21"/>
    </row>
    <row r="31" customFormat="false" ht="15" hidden="false" customHeight="false" outlineLevel="0" collapsed="false">
      <c r="A31" s="6" t="s">
        <v>2200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5"/>
      <c r="M31" s="33" t="str">
        <f aca="true">IF(L31="","",TODAY()-L31)</f>
        <v/>
      </c>
      <c r="N31" s="21"/>
    </row>
    <row r="32" customFormat="false" ht="15" hidden="false" customHeight="false" outlineLevel="0" collapsed="false">
      <c r="A32" s="6" t="s">
        <v>2201</v>
      </c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5"/>
      <c r="M32" s="33" t="str">
        <f aca="true">IF(L32="","",TODAY()-L32)</f>
        <v/>
      </c>
      <c r="N32" s="21"/>
    </row>
    <row r="33" customFormat="false" ht="15" hidden="false" customHeight="false" outlineLevel="0" collapsed="false">
      <c r="A33" s="6" t="s">
        <v>2202</v>
      </c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5"/>
      <c r="M33" s="33" t="str">
        <f aca="true">IF(L33="","",TODAY()-L33)</f>
        <v/>
      </c>
      <c r="N33" s="21"/>
    </row>
    <row r="34" customFormat="false" ht="15" hidden="false" customHeight="false" outlineLevel="0" collapsed="false">
      <c r="A34" s="6" t="s">
        <v>2203</v>
      </c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5"/>
      <c r="M34" s="33" t="str">
        <f aca="true">IF(L34="","",TODAY()-L34)</f>
        <v/>
      </c>
      <c r="N34" s="21"/>
    </row>
    <row r="35" customFormat="false" ht="15" hidden="false" customHeight="false" outlineLevel="0" collapsed="false">
      <c r="A35" s="6" t="s">
        <v>2204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5"/>
      <c r="M35" s="33" t="str">
        <f aca="true">IF(L35="","",TODAY()-L35)</f>
        <v/>
      </c>
      <c r="N35" s="21"/>
    </row>
    <row r="36" customFormat="false" ht="15" hidden="false" customHeight="false" outlineLevel="0" collapsed="false">
      <c r="A36" s="6" t="s">
        <v>2205</v>
      </c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5"/>
      <c r="M36" s="33" t="str">
        <f aca="true">IF(L36="","",TODAY()-L36)</f>
        <v/>
      </c>
      <c r="N36" s="21"/>
    </row>
    <row r="37" customFormat="false" ht="15" hidden="false" customHeight="false" outlineLevel="0" collapsed="false">
      <c r="A37" s="6" t="s">
        <v>2206</v>
      </c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5"/>
      <c r="M37" s="33" t="str">
        <f aca="true">IF(L37="","",TODAY()-L37)</f>
        <v/>
      </c>
      <c r="N37" s="21"/>
    </row>
    <row r="38" customFormat="false" ht="15" hidden="false" customHeight="false" outlineLevel="0" collapsed="false">
      <c r="A38" s="6" t="s">
        <v>2207</v>
      </c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5"/>
      <c r="M38" s="33" t="str">
        <f aca="true">IF(L38="","",TODAY()-L38)</f>
        <v/>
      </c>
      <c r="N38" s="21"/>
    </row>
    <row r="39" customFormat="false" ht="15" hidden="false" customHeight="false" outlineLevel="0" collapsed="false">
      <c r="A39" s="6" t="s">
        <v>2208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5"/>
      <c r="M39" s="33" t="str">
        <f aca="true">IF(L39="","",TODAY()-L39)</f>
        <v/>
      </c>
      <c r="N39" s="21"/>
    </row>
    <row r="40" customFormat="false" ht="15" hidden="false" customHeight="false" outlineLevel="0" collapsed="false">
      <c r="A40" s="6" t="s">
        <v>2209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5"/>
      <c r="M40" s="33" t="str">
        <f aca="true">IF(L40="","",TODAY()-L40)</f>
        <v/>
      </c>
      <c r="N40" s="21"/>
    </row>
    <row r="41" customFormat="false" ht="15" hidden="false" customHeight="false" outlineLevel="0" collapsed="false">
      <c r="A41" s="6" t="s">
        <v>2210</v>
      </c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5"/>
      <c r="M41" s="33" t="str">
        <f aca="true">IF(L41="","",TODAY()-L41)</f>
        <v/>
      </c>
      <c r="N41" s="21"/>
    </row>
    <row r="42" customFormat="false" ht="15" hidden="false" customHeight="false" outlineLevel="0" collapsed="false">
      <c r="A42" s="6" t="s">
        <v>2211</v>
      </c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5"/>
      <c r="M42" s="33" t="str">
        <f aca="true">IF(L42="","",TODAY()-L42)</f>
        <v/>
      </c>
      <c r="N42" s="21"/>
    </row>
    <row r="43" customFormat="false" ht="15" hidden="false" customHeight="false" outlineLevel="0" collapsed="false">
      <c r="A43" s="6" t="s">
        <v>2212</v>
      </c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5"/>
      <c r="M43" s="33" t="str">
        <f aca="true">IF(L43="","",TODAY()-L43)</f>
        <v/>
      </c>
      <c r="N43" s="21"/>
    </row>
    <row r="44" customFormat="false" ht="15" hidden="false" customHeight="false" outlineLevel="0" collapsed="false">
      <c r="A44" s="6" t="s">
        <v>2213</v>
      </c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5"/>
      <c r="M44" s="33" t="str">
        <f aca="true">IF(L44="","",TODAY()-L44)</f>
        <v/>
      </c>
      <c r="N44" s="21"/>
    </row>
    <row r="45" customFormat="false" ht="15" hidden="false" customHeight="false" outlineLevel="0" collapsed="false">
      <c r="A45" s="6" t="s">
        <v>2214</v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5"/>
      <c r="M45" s="33" t="str">
        <f aca="true">IF(L45="","",TODAY()-L45)</f>
        <v/>
      </c>
      <c r="N45" s="21"/>
    </row>
    <row r="46" customFormat="false" ht="15" hidden="false" customHeight="false" outlineLevel="0" collapsed="false">
      <c r="A46" s="6" t="s">
        <v>2215</v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5"/>
      <c r="M46" s="33" t="str">
        <f aca="true">IF(L46="","",TODAY()-L46)</f>
        <v/>
      </c>
      <c r="N46" s="21"/>
    </row>
    <row r="47" customFormat="false" ht="15" hidden="false" customHeight="false" outlineLevel="0" collapsed="false">
      <c r="A47" s="6" t="s">
        <v>2216</v>
      </c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5"/>
      <c r="M47" s="33" t="str">
        <f aca="true">IF(L47="","",TODAY()-L47)</f>
        <v/>
      </c>
      <c r="N47" s="21"/>
    </row>
    <row r="48" customFormat="false" ht="15" hidden="false" customHeight="false" outlineLevel="0" collapsed="false">
      <c r="A48" s="6" t="s">
        <v>2217</v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5"/>
      <c r="M48" s="33" t="str">
        <f aca="true">IF(L48="","",TODAY()-L48)</f>
        <v/>
      </c>
      <c r="N48" s="21"/>
    </row>
    <row r="49" customFormat="false" ht="15" hidden="false" customHeight="false" outlineLevel="0" collapsed="false">
      <c r="A49" s="6" t="s">
        <v>2218</v>
      </c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5"/>
      <c r="M49" s="33" t="str">
        <f aca="true">IF(L49="","",TODAY()-L49)</f>
        <v/>
      </c>
      <c r="N49" s="21"/>
    </row>
    <row r="50" customFormat="false" ht="15" hidden="false" customHeight="false" outlineLevel="0" collapsed="false">
      <c r="A50" s="6" t="s">
        <v>2219</v>
      </c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5"/>
      <c r="M50" s="33" t="str">
        <f aca="true">IF(L50="","",TODAY()-L50)</f>
        <v/>
      </c>
      <c r="N50" s="21"/>
    </row>
    <row r="51" customFormat="false" ht="15" hidden="false" customHeight="false" outlineLevel="0" collapsed="false">
      <c r="A51" s="6" t="s">
        <v>2220</v>
      </c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5"/>
      <c r="M51" s="33" t="str">
        <f aca="true">IF(L51="","",TODAY()-L51)</f>
        <v/>
      </c>
      <c r="N51" s="21"/>
    </row>
    <row r="52" customFormat="false" ht="15" hidden="false" customHeight="false" outlineLevel="0" collapsed="false">
      <c r="A52" s="6" t="s">
        <v>2221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5"/>
      <c r="M52" s="33" t="str">
        <f aca="true">IF(L52="","",TODAY()-L52)</f>
        <v/>
      </c>
      <c r="N52" s="21"/>
    </row>
    <row r="53" customFormat="false" ht="15" hidden="false" customHeight="false" outlineLevel="0" collapsed="false">
      <c r="A53" s="6" t="s">
        <v>2222</v>
      </c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5"/>
      <c r="M53" s="33" t="str">
        <f aca="true">IF(L53="","",TODAY()-L53)</f>
        <v/>
      </c>
      <c r="N53" s="21"/>
    </row>
    <row r="54" customFormat="false" ht="15" hidden="false" customHeight="false" outlineLevel="0" collapsed="false">
      <c r="A54" s="6" t="s">
        <v>2223</v>
      </c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5"/>
      <c r="M54" s="33" t="str">
        <f aca="true">IF(L54="","",TODAY()-L54)</f>
        <v/>
      </c>
      <c r="N54" s="21"/>
    </row>
    <row r="55" customFormat="false" ht="15" hidden="false" customHeight="false" outlineLevel="0" collapsed="false">
      <c r="A55" s="6" t="s">
        <v>2224</v>
      </c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5"/>
      <c r="M55" s="33" t="str">
        <f aca="true">IF(L55="","",TODAY()-L55)</f>
        <v/>
      </c>
      <c r="N55" s="21"/>
    </row>
    <row r="56" customFormat="false" ht="15" hidden="false" customHeight="false" outlineLevel="0" collapsed="false">
      <c r="A56" s="6" t="s">
        <v>2225</v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5"/>
      <c r="M56" s="33" t="str">
        <f aca="true">IF(L56="","",TODAY()-L56)</f>
        <v/>
      </c>
      <c r="N56" s="21"/>
    </row>
    <row r="57" customFormat="false" ht="15" hidden="false" customHeight="false" outlineLevel="0" collapsed="false">
      <c r="A57" s="6" t="s">
        <v>2226</v>
      </c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5"/>
      <c r="M57" s="33" t="str">
        <f aca="true">IF(L57="","",TODAY()-L57)</f>
        <v/>
      </c>
      <c r="N57" s="21"/>
    </row>
    <row r="58" customFormat="false" ht="15" hidden="false" customHeight="false" outlineLevel="0" collapsed="false">
      <c r="A58" s="6" t="s">
        <v>2227</v>
      </c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5"/>
      <c r="M58" s="33" t="str">
        <f aca="true">IF(L58="","",TODAY()-L58)</f>
        <v/>
      </c>
      <c r="N58" s="21"/>
    </row>
    <row r="59" customFormat="false" ht="15" hidden="false" customHeight="false" outlineLevel="0" collapsed="false">
      <c r="A59" s="6" t="s">
        <v>2228</v>
      </c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5"/>
      <c r="M59" s="33" t="str">
        <f aca="true">IF(L59="","",TODAY()-L59)</f>
        <v/>
      </c>
      <c r="N59" s="21"/>
    </row>
    <row r="60" customFormat="false" ht="15" hidden="false" customHeight="false" outlineLevel="0" collapsed="false">
      <c r="A60" s="6" t="s">
        <v>2229</v>
      </c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5"/>
      <c r="M60" s="33" t="str">
        <f aca="true">IF(L60="","",TODAY()-L60)</f>
        <v/>
      </c>
      <c r="N60" s="21"/>
    </row>
    <row r="61" customFormat="false" ht="15" hidden="false" customHeight="false" outlineLevel="0" collapsed="false">
      <c r="A61" s="6" t="s">
        <v>2230</v>
      </c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5"/>
      <c r="M61" s="33" t="str">
        <f aca="true">IF(L61="","",TODAY()-L61)</f>
        <v/>
      </c>
      <c r="N61" s="21"/>
    </row>
    <row r="62" customFormat="false" ht="15" hidden="false" customHeight="false" outlineLevel="0" collapsed="false">
      <c r="A62" s="6" t="s">
        <v>2231</v>
      </c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5"/>
      <c r="M62" s="33" t="str">
        <f aca="true">IF(L62="","",TODAY()-L62)</f>
        <v/>
      </c>
      <c r="N62" s="21"/>
    </row>
    <row r="63" customFormat="false" ht="15" hidden="false" customHeight="false" outlineLevel="0" collapsed="false">
      <c r="A63" s="6" t="s">
        <v>2232</v>
      </c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5"/>
      <c r="M63" s="33" t="str">
        <f aca="true">IF(L63="","",TODAY()-L63)</f>
        <v/>
      </c>
      <c r="N63" s="21"/>
    </row>
    <row r="64" customFormat="false" ht="15" hidden="false" customHeight="false" outlineLevel="0" collapsed="false">
      <c r="A64" s="6" t="s">
        <v>2233</v>
      </c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5"/>
      <c r="M64" s="33" t="str">
        <f aca="true">IF(L64="","",TODAY()-L64)</f>
        <v/>
      </c>
      <c r="N64" s="21"/>
    </row>
    <row r="65" customFormat="false" ht="15" hidden="false" customHeight="false" outlineLevel="0" collapsed="false">
      <c r="A65" s="6" t="s">
        <v>2234</v>
      </c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5"/>
      <c r="M65" s="33" t="str">
        <f aca="true">IF(L65="","",TODAY()-L65)</f>
        <v/>
      </c>
      <c r="N65" s="21"/>
    </row>
    <row r="66" customFormat="false" ht="15" hidden="false" customHeight="false" outlineLevel="0" collapsed="false">
      <c r="A66" s="6" t="s">
        <v>2235</v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5"/>
      <c r="M66" s="33" t="str">
        <f aca="true">IF(L66="","",TODAY()-L66)</f>
        <v/>
      </c>
      <c r="N66" s="21"/>
    </row>
    <row r="67" customFormat="false" ht="15" hidden="false" customHeight="false" outlineLevel="0" collapsed="false">
      <c r="A67" s="6" t="s">
        <v>2236</v>
      </c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5"/>
      <c r="M67" s="33" t="str">
        <f aca="true">IF(L67="","",TODAY()-L67)</f>
        <v/>
      </c>
      <c r="N67" s="21"/>
    </row>
    <row r="68" customFormat="false" ht="15" hidden="false" customHeight="false" outlineLevel="0" collapsed="false">
      <c r="A68" s="6" t="s">
        <v>2237</v>
      </c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5"/>
      <c r="M68" s="33" t="str">
        <f aca="true">IF(L68="","",TODAY()-L68)</f>
        <v/>
      </c>
      <c r="N68" s="21"/>
    </row>
    <row r="69" customFormat="false" ht="15" hidden="false" customHeight="false" outlineLevel="0" collapsed="false">
      <c r="A69" s="6" t="s">
        <v>2238</v>
      </c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5"/>
      <c r="M69" s="33" t="str">
        <f aca="true">IF(L69="","",TODAY()-L69)</f>
        <v/>
      </c>
      <c r="N69" s="21"/>
    </row>
    <row r="70" customFormat="false" ht="15" hidden="false" customHeight="false" outlineLevel="0" collapsed="false">
      <c r="A70" s="6" t="s">
        <v>2239</v>
      </c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5"/>
      <c r="M70" s="33" t="str">
        <f aca="true">IF(L70="","",TODAY()-L70)</f>
        <v/>
      </c>
      <c r="N70" s="21"/>
    </row>
    <row r="71" customFormat="false" ht="15" hidden="false" customHeight="false" outlineLevel="0" collapsed="false">
      <c r="A71" s="6" t="s">
        <v>2240</v>
      </c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5"/>
      <c r="M71" s="33" t="str">
        <f aca="true">IF(L71="","",TODAY()-L71)</f>
        <v/>
      </c>
      <c r="N71" s="21"/>
    </row>
    <row r="72" customFormat="false" ht="15" hidden="false" customHeight="false" outlineLevel="0" collapsed="false">
      <c r="A72" s="6" t="s">
        <v>2241</v>
      </c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5"/>
      <c r="M72" s="33" t="str">
        <f aca="true">IF(L72="","",TODAY()-L72)</f>
        <v/>
      </c>
      <c r="N72" s="21"/>
    </row>
    <row r="73" customFormat="false" ht="15" hidden="false" customHeight="false" outlineLevel="0" collapsed="false">
      <c r="A73" s="6" t="s">
        <v>2242</v>
      </c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5"/>
      <c r="M73" s="33" t="str">
        <f aca="true">IF(L73="","",TODAY()-L73)</f>
        <v/>
      </c>
      <c r="N73" s="21"/>
    </row>
    <row r="74" customFormat="false" ht="15" hidden="false" customHeight="false" outlineLevel="0" collapsed="false">
      <c r="A74" s="6" t="s">
        <v>2243</v>
      </c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5"/>
      <c r="M74" s="33" t="str">
        <f aca="true">IF(L74="","",TODAY()-L74)</f>
        <v/>
      </c>
      <c r="N74" s="21"/>
    </row>
    <row r="75" customFormat="false" ht="15" hidden="false" customHeight="false" outlineLevel="0" collapsed="false">
      <c r="A75" s="6" t="s">
        <v>2244</v>
      </c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5"/>
      <c r="M75" s="33" t="str">
        <f aca="true">IF(L75="","",TODAY()-L75)</f>
        <v/>
      </c>
      <c r="N75" s="21"/>
    </row>
    <row r="76" customFormat="false" ht="15" hidden="false" customHeight="false" outlineLevel="0" collapsed="false">
      <c r="A76" s="6" t="s">
        <v>2245</v>
      </c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5"/>
      <c r="M76" s="33" t="str">
        <f aca="true">IF(L76="","",TODAY()-L76)</f>
        <v/>
      </c>
      <c r="N76" s="21"/>
    </row>
    <row r="77" customFormat="false" ht="15" hidden="false" customHeight="false" outlineLevel="0" collapsed="false">
      <c r="A77" s="6" t="s">
        <v>2246</v>
      </c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5"/>
      <c r="M77" s="33" t="str">
        <f aca="true">IF(L77="","",TODAY()-L77)</f>
        <v/>
      </c>
      <c r="N77" s="21"/>
    </row>
    <row r="78" customFormat="false" ht="15" hidden="false" customHeight="false" outlineLevel="0" collapsed="false">
      <c r="A78" s="6" t="s">
        <v>2247</v>
      </c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5"/>
      <c r="M78" s="33" t="str">
        <f aca="true">IF(L78="","",TODAY()-L78)</f>
        <v/>
      </c>
      <c r="N78" s="21"/>
    </row>
    <row r="79" customFormat="false" ht="15" hidden="false" customHeight="false" outlineLevel="0" collapsed="false">
      <c r="A79" s="6" t="s">
        <v>2248</v>
      </c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5"/>
      <c r="M79" s="33" t="str">
        <f aca="true">IF(L79="","",TODAY()-L79)</f>
        <v/>
      </c>
      <c r="N79" s="21"/>
    </row>
    <row r="80" customFormat="false" ht="15" hidden="false" customHeight="false" outlineLevel="0" collapsed="false">
      <c r="A80" s="6" t="s">
        <v>2249</v>
      </c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5"/>
      <c r="M80" s="33" t="str">
        <f aca="true">IF(L80="","",TODAY()-L80)</f>
        <v/>
      </c>
      <c r="N80" s="21"/>
    </row>
    <row r="81" customFormat="false" ht="15" hidden="false" customHeight="false" outlineLevel="0" collapsed="false">
      <c r="A81" s="6" t="s">
        <v>2250</v>
      </c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5"/>
      <c r="M81" s="33" t="str">
        <f aca="true">IF(L81="","",TODAY()-L81)</f>
        <v/>
      </c>
      <c r="N81" s="21"/>
    </row>
    <row r="82" customFormat="false" ht="15" hidden="false" customHeight="false" outlineLevel="0" collapsed="false">
      <c r="A82" s="6" t="s">
        <v>2251</v>
      </c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5"/>
      <c r="M82" s="33" t="str">
        <f aca="true">IF(L82="","",TODAY()-L82)</f>
        <v/>
      </c>
      <c r="N82" s="21"/>
    </row>
    <row r="83" customFormat="false" ht="15" hidden="false" customHeight="false" outlineLevel="0" collapsed="false">
      <c r="A83" s="6" t="s">
        <v>2252</v>
      </c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5"/>
      <c r="M83" s="33" t="str">
        <f aca="true">IF(L83="","",TODAY()-L83)</f>
        <v/>
      </c>
      <c r="N83" s="21"/>
    </row>
    <row r="84" customFormat="false" ht="15" hidden="false" customHeight="false" outlineLevel="0" collapsed="false">
      <c r="A84" s="6" t="s">
        <v>2253</v>
      </c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5"/>
      <c r="M84" s="33" t="str">
        <f aca="true">IF(L84="","",TODAY()-L84)</f>
        <v/>
      </c>
      <c r="N84" s="21"/>
    </row>
    <row r="85" customFormat="false" ht="15" hidden="false" customHeight="false" outlineLevel="0" collapsed="false">
      <c r="A85" s="6" t="s">
        <v>2254</v>
      </c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5"/>
      <c r="M85" s="33" t="str">
        <f aca="true">IF(L85="","",TODAY()-L85)</f>
        <v/>
      </c>
      <c r="N85" s="21"/>
    </row>
    <row r="86" customFormat="false" ht="15" hidden="false" customHeight="false" outlineLevel="0" collapsed="false">
      <c r="A86" s="6" t="s">
        <v>2255</v>
      </c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5"/>
      <c r="M86" s="33" t="str">
        <f aca="true">IF(L86="","",TODAY()-L86)</f>
        <v/>
      </c>
      <c r="N86" s="21"/>
    </row>
    <row r="87" customFormat="false" ht="15" hidden="false" customHeight="false" outlineLevel="0" collapsed="false">
      <c r="A87" s="6" t="s">
        <v>2256</v>
      </c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5"/>
      <c r="M87" s="33" t="str">
        <f aca="true">IF(L87="","",TODAY()-L87)</f>
        <v/>
      </c>
      <c r="N87" s="21"/>
    </row>
    <row r="88" customFormat="false" ht="15" hidden="false" customHeight="false" outlineLevel="0" collapsed="false">
      <c r="A88" s="6" t="s">
        <v>2257</v>
      </c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5"/>
      <c r="M88" s="33" t="str">
        <f aca="true">IF(L88="","",TODAY()-L88)</f>
        <v/>
      </c>
      <c r="N88" s="21"/>
    </row>
    <row r="89" customFormat="false" ht="15" hidden="false" customHeight="false" outlineLevel="0" collapsed="false">
      <c r="A89" s="6" t="s">
        <v>2258</v>
      </c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5"/>
      <c r="M89" s="33" t="str">
        <f aca="true">IF(L89="","",TODAY()-L89)</f>
        <v/>
      </c>
      <c r="N89" s="21"/>
    </row>
    <row r="90" customFormat="false" ht="15" hidden="false" customHeight="false" outlineLevel="0" collapsed="false">
      <c r="A90" s="6" t="s">
        <v>2259</v>
      </c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5"/>
      <c r="M90" s="33" t="str">
        <f aca="true">IF(L90="","",TODAY()-L90)</f>
        <v/>
      </c>
      <c r="N90" s="21"/>
    </row>
    <row r="91" customFormat="false" ht="15" hidden="false" customHeight="false" outlineLevel="0" collapsed="false">
      <c r="A91" s="6" t="s">
        <v>2260</v>
      </c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5"/>
      <c r="M91" s="33" t="str">
        <f aca="true">IF(L91="","",TODAY()-L91)</f>
        <v/>
      </c>
      <c r="N91" s="21"/>
    </row>
    <row r="92" customFormat="false" ht="15" hidden="false" customHeight="false" outlineLevel="0" collapsed="false">
      <c r="A92" s="6" t="s">
        <v>2261</v>
      </c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5"/>
      <c r="M92" s="33" t="str">
        <f aca="true">IF(L92="","",TODAY()-L92)</f>
        <v/>
      </c>
      <c r="N92" s="21"/>
    </row>
    <row r="93" customFormat="false" ht="15" hidden="false" customHeight="false" outlineLevel="0" collapsed="false">
      <c r="A93" s="6" t="s">
        <v>2262</v>
      </c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5"/>
      <c r="M93" s="33" t="str">
        <f aca="true">IF(L93="","",TODAY()-L93)</f>
        <v/>
      </c>
      <c r="N93" s="21"/>
    </row>
    <row r="94" customFormat="false" ht="15" hidden="false" customHeight="false" outlineLevel="0" collapsed="false">
      <c r="A94" s="6" t="s">
        <v>2263</v>
      </c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5"/>
      <c r="M94" s="33" t="str">
        <f aca="true">IF(L94="","",TODAY()-L94)</f>
        <v/>
      </c>
      <c r="N94" s="21"/>
    </row>
    <row r="95" customFormat="false" ht="15" hidden="false" customHeight="false" outlineLevel="0" collapsed="false">
      <c r="A95" s="6" t="s">
        <v>2264</v>
      </c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5"/>
      <c r="M95" s="33" t="str">
        <f aca="true">IF(L95="","",TODAY()-L95)</f>
        <v/>
      </c>
      <c r="N95" s="21"/>
    </row>
    <row r="96" customFormat="false" ht="15" hidden="false" customHeight="false" outlineLevel="0" collapsed="false">
      <c r="A96" s="6" t="s">
        <v>2265</v>
      </c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5"/>
      <c r="M96" s="33" t="str">
        <f aca="true">IF(L96="","",TODAY()-L96)</f>
        <v/>
      </c>
      <c r="N96" s="21"/>
    </row>
    <row r="97" customFormat="false" ht="15" hidden="false" customHeight="false" outlineLevel="0" collapsed="false">
      <c r="A97" s="6" t="s">
        <v>2266</v>
      </c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5"/>
      <c r="M97" s="33" t="str">
        <f aca="true">IF(L97="","",TODAY()-L97)</f>
        <v/>
      </c>
      <c r="N97" s="21"/>
    </row>
    <row r="98" customFormat="false" ht="15" hidden="false" customHeight="false" outlineLevel="0" collapsed="false">
      <c r="A98" s="6" t="s">
        <v>2267</v>
      </c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5"/>
      <c r="M98" s="33" t="str">
        <f aca="true">IF(L98="","",TODAY()-L98)</f>
        <v/>
      </c>
      <c r="N98" s="21"/>
    </row>
    <row r="99" customFormat="false" ht="15" hidden="false" customHeight="false" outlineLevel="0" collapsed="false">
      <c r="A99" s="6" t="s">
        <v>2268</v>
      </c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5"/>
      <c r="M99" s="33" t="str">
        <f aca="true">IF(L99="","",TODAY()-L99)</f>
        <v/>
      </c>
      <c r="N99" s="21"/>
    </row>
    <row r="100" customFormat="false" ht="15" hidden="false" customHeight="false" outlineLevel="0" collapsed="false">
      <c r="A100" s="6" t="s">
        <v>2269</v>
      </c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5"/>
      <c r="M100" s="33" t="str">
        <f aca="true">IF(L100="","",TODAY()-L100)</f>
        <v/>
      </c>
      <c r="N100" s="21"/>
    </row>
    <row r="101" customFormat="false" ht="15" hidden="false" customHeight="false" outlineLevel="0" collapsed="false">
      <c r="A101" s="6" t="s">
        <v>2270</v>
      </c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5"/>
      <c r="M101" s="33" t="str">
        <f aca="true">IF(L101="","",TODAY()-L101)</f>
        <v/>
      </c>
      <c r="N101" s="21"/>
    </row>
    <row r="102" customFormat="false" ht="15" hidden="false" customHeight="false" outlineLevel="0" collapsed="false">
      <c r="A102" s="6" t="s">
        <v>2271</v>
      </c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5"/>
      <c r="M102" s="33" t="str">
        <f aca="true">IF(L102="","",TODAY()-L102)</f>
        <v/>
      </c>
      <c r="N102" s="21"/>
    </row>
    <row r="103" customFormat="false" ht="15" hidden="false" customHeight="false" outlineLevel="0" collapsed="false">
      <c r="A103" s="6" t="s">
        <v>2272</v>
      </c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5"/>
      <c r="M103" s="33" t="str">
        <f aca="true">IF(L103="","",TODAY()-L103)</f>
        <v/>
      </c>
      <c r="N103" s="21"/>
    </row>
    <row r="104" customFormat="false" ht="15" hidden="false" customHeight="false" outlineLevel="0" collapsed="false">
      <c r="A104" s="6" t="s">
        <v>2273</v>
      </c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5"/>
      <c r="M104" s="33" t="str">
        <f aca="true">IF(L104="","",TODAY()-L104)</f>
        <v/>
      </c>
      <c r="N104" s="21"/>
    </row>
    <row r="105" customFormat="false" ht="15" hidden="false" customHeight="false" outlineLevel="0" collapsed="false">
      <c r="A105" s="6" t="s">
        <v>2274</v>
      </c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5"/>
      <c r="M105" s="33" t="str">
        <f aca="true">IF(L105="","",TODAY()-L105)</f>
        <v/>
      </c>
      <c r="N105" s="21"/>
    </row>
    <row r="106" customFormat="false" ht="15" hidden="false" customHeight="false" outlineLevel="0" collapsed="false">
      <c r="A106" s="6" t="s">
        <v>2275</v>
      </c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5"/>
      <c r="M106" s="33" t="str">
        <f aca="true">IF(L106="","",TODAY()-L106)</f>
        <v/>
      </c>
      <c r="N106" s="21"/>
    </row>
    <row r="107" customFormat="false" ht="15" hidden="false" customHeight="false" outlineLevel="0" collapsed="false">
      <c r="A107" s="6" t="s">
        <v>2276</v>
      </c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5"/>
      <c r="M107" s="33" t="str">
        <f aca="true">IF(L107="","",TODAY()-L107)</f>
        <v/>
      </c>
      <c r="N107" s="21"/>
    </row>
    <row r="108" customFormat="false" ht="15" hidden="false" customHeight="false" outlineLevel="0" collapsed="false">
      <c r="A108" s="6" t="s">
        <v>2277</v>
      </c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5"/>
      <c r="M108" s="33" t="str">
        <f aca="true">IF(L108="","",TODAY()-L108)</f>
        <v/>
      </c>
      <c r="N108" s="21"/>
    </row>
    <row r="109" customFormat="false" ht="15" hidden="false" customHeight="false" outlineLevel="0" collapsed="false">
      <c r="A109" s="6" t="s">
        <v>2278</v>
      </c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5"/>
      <c r="M109" s="33" t="str">
        <f aca="true">IF(L109="","",TODAY()-L109)</f>
        <v/>
      </c>
      <c r="N109" s="21"/>
    </row>
    <row r="110" customFormat="false" ht="15" hidden="false" customHeight="false" outlineLevel="0" collapsed="false">
      <c r="A110" s="6" t="s">
        <v>2279</v>
      </c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5"/>
      <c r="M110" s="33" t="str">
        <f aca="true">IF(L110="","",TODAY()-L110)</f>
        <v/>
      </c>
      <c r="N110" s="21"/>
    </row>
    <row r="111" customFormat="false" ht="15" hidden="false" customHeight="false" outlineLevel="0" collapsed="false">
      <c r="A111" s="6" t="s">
        <v>2280</v>
      </c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5"/>
      <c r="M111" s="33" t="str">
        <f aca="true">IF(L111="","",TODAY()-L111)</f>
        <v/>
      </c>
      <c r="N111" s="21"/>
    </row>
    <row r="112" customFormat="false" ht="15" hidden="false" customHeight="false" outlineLevel="0" collapsed="false">
      <c r="A112" s="6" t="s">
        <v>2281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5"/>
      <c r="M112" s="33" t="str">
        <f aca="true">IF(L112="","",TODAY()-L112)</f>
        <v/>
      </c>
      <c r="N112" s="21"/>
    </row>
    <row r="113" customFormat="false" ht="15" hidden="false" customHeight="false" outlineLevel="0" collapsed="false">
      <c r="A113" s="6" t="s">
        <v>2282</v>
      </c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5"/>
      <c r="M113" s="33" t="str">
        <f aca="true">IF(L113="","",TODAY()-L113)</f>
        <v/>
      </c>
      <c r="N113" s="21"/>
    </row>
    <row r="114" customFormat="false" ht="15" hidden="false" customHeight="false" outlineLevel="0" collapsed="false">
      <c r="A114" s="6" t="s">
        <v>2283</v>
      </c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5"/>
      <c r="M114" s="33" t="str">
        <f aca="true">IF(L114="","",TODAY()-L114)</f>
        <v/>
      </c>
      <c r="N114" s="21"/>
    </row>
    <row r="115" customFormat="false" ht="15" hidden="false" customHeight="false" outlineLevel="0" collapsed="false">
      <c r="A115" s="6" t="s">
        <v>2284</v>
      </c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5"/>
      <c r="M115" s="33" t="str">
        <f aca="true">IF(L115="","",TODAY()-L115)</f>
        <v/>
      </c>
      <c r="N115" s="21"/>
    </row>
    <row r="116" customFormat="false" ht="15" hidden="false" customHeight="false" outlineLevel="0" collapsed="false">
      <c r="A116" s="6" t="s">
        <v>2285</v>
      </c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5"/>
      <c r="M116" s="33" t="str">
        <f aca="true">IF(L116="","",TODAY()-L116)</f>
        <v/>
      </c>
      <c r="N116" s="21"/>
    </row>
    <row r="117" customFormat="false" ht="15" hidden="false" customHeight="false" outlineLevel="0" collapsed="false">
      <c r="A117" s="6" t="s">
        <v>2286</v>
      </c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5"/>
      <c r="M117" s="33" t="str">
        <f aca="true">IF(L117="","",TODAY()-L117)</f>
        <v/>
      </c>
      <c r="N117" s="21"/>
    </row>
    <row r="118" customFormat="false" ht="15" hidden="false" customHeight="false" outlineLevel="0" collapsed="false">
      <c r="A118" s="6" t="s">
        <v>2287</v>
      </c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5"/>
      <c r="M118" s="33" t="str">
        <f aca="true">IF(L118="","",TODAY()-L118)</f>
        <v/>
      </c>
      <c r="N118" s="21"/>
    </row>
    <row r="119" customFormat="false" ht="15" hidden="false" customHeight="false" outlineLevel="0" collapsed="false">
      <c r="A119" s="6" t="s">
        <v>2288</v>
      </c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5"/>
      <c r="M119" s="33" t="str">
        <f aca="true">IF(L119="","",TODAY()-L119)</f>
        <v/>
      </c>
      <c r="N119" s="21"/>
    </row>
    <row r="120" customFormat="false" ht="15" hidden="false" customHeight="false" outlineLevel="0" collapsed="false">
      <c r="A120" s="6" t="s">
        <v>2289</v>
      </c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3" t="str">
        <f aca="true">IF(L120="","",TODAY()-L120)</f>
        <v/>
      </c>
      <c r="N120" s="21"/>
    </row>
    <row r="121" customFormat="false" ht="15" hidden="false" customHeight="false" outlineLevel="0" collapsed="false">
      <c r="A121" s="6" t="s">
        <v>2290</v>
      </c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5"/>
      <c r="M121" s="33" t="str">
        <f aca="true">IF(L121="","",TODAY()-L121)</f>
        <v/>
      </c>
      <c r="N121" s="21"/>
    </row>
    <row r="122" customFormat="false" ht="15" hidden="false" customHeight="false" outlineLevel="0" collapsed="false">
      <c r="A122" s="6" t="s">
        <v>2291</v>
      </c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5"/>
      <c r="M122" s="33" t="str">
        <f aca="true">IF(L122="","",TODAY()-L122)</f>
        <v/>
      </c>
      <c r="N122" s="21"/>
    </row>
    <row r="123" customFormat="false" ht="15" hidden="false" customHeight="false" outlineLevel="0" collapsed="false">
      <c r="A123" s="6" t="s">
        <v>2292</v>
      </c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5"/>
      <c r="M123" s="33" t="str">
        <f aca="true">IF(L123="","",TODAY()-L123)</f>
        <v/>
      </c>
      <c r="N123" s="21"/>
    </row>
    <row r="124" customFormat="false" ht="15" hidden="false" customHeight="false" outlineLevel="0" collapsed="false">
      <c r="A124" s="6" t="s">
        <v>2293</v>
      </c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5"/>
      <c r="M124" s="33" t="str">
        <f aca="true">IF(L124="","",TODAY()-L124)</f>
        <v/>
      </c>
      <c r="N124" s="21"/>
    </row>
    <row r="125" customFormat="false" ht="15" hidden="false" customHeight="false" outlineLevel="0" collapsed="false">
      <c r="A125" s="6" t="s">
        <v>2294</v>
      </c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5"/>
      <c r="M125" s="33" t="str">
        <f aca="true">IF(L125="","",TODAY()-L125)</f>
        <v/>
      </c>
      <c r="N125" s="21"/>
    </row>
    <row r="126" customFormat="false" ht="15" hidden="false" customHeight="false" outlineLevel="0" collapsed="false">
      <c r="A126" s="6" t="s">
        <v>2295</v>
      </c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5"/>
      <c r="M126" s="33" t="str">
        <f aca="true">IF(L126="","",TODAY()-L126)</f>
        <v/>
      </c>
      <c r="N126" s="21"/>
    </row>
    <row r="127" customFormat="false" ht="15" hidden="false" customHeight="false" outlineLevel="0" collapsed="false">
      <c r="A127" s="6" t="s">
        <v>2296</v>
      </c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5"/>
      <c r="M127" s="33" t="str">
        <f aca="true">IF(L127="","",TODAY()-L127)</f>
        <v/>
      </c>
      <c r="N127" s="21"/>
    </row>
    <row r="128" customFormat="false" ht="15" hidden="false" customHeight="false" outlineLevel="0" collapsed="false">
      <c r="A128" s="6" t="s">
        <v>2297</v>
      </c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5"/>
      <c r="M128" s="33" t="str">
        <f aca="true">IF(L128="","",TODAY()-L128)</f>
        <v/>
      </c>
      <c r="N128" s="21"/>
    </row>
    <row r="129" customFormat="false" ht="15" hidden="false" customHeight="false" outlineLevel="0" collapsed="false">
      <c r="A129" s="6" t="s">
        <v>2298</v>
      </c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5"/>
      <c r="M129" s="33" t="str">
        <f aca="true">IF(L129="","",TODAY()-L129)</f>
        <v/>
      </c>
      <c r="N129" s="21"/>
    </row>
    <row r="130" customFormat="false" ht="15" hidden="false" customHeight="false" outlineLevel="0" collapsed="false">
      <c r="A130" s="6" t="s">
        <v>2299</v>
      </c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5"/>
      <c r="M130" s="33" t="str">
        <f aca="true">IF(L130="","",TODAY()-L130)</f>
        <v/>
      </c>
      <c r="N130" s="21"/>
    </row>
    <row r="131" customFormat="false" ht="15" hidden="false" customHeight="false" outlineLevel="0" collapsed="false">
      <c r="A131" s="6" t="s">
        <v>2300</v>
      </c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5"/>
      <c r="M131" s="33" t="str">
        <f aca="true">IF(L131="","",TODAY()-L131)</f>
        <v/>
      </c>
      <c r="N131" s="21"/>
    </row>
    <row r="132" customFormat="false" ht="15" hidden="false" customHeight="false" outlineLevel="0" collapsed="false">
      <c r="A132" s="6" t="s">
        <v>2301</v>
      </c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5"/>
      <c r="M132" s="33" t="str">
        <f aca="true">IF(L132="","",TODAY()-L132)</f>
        <v/>
      </c>
      <c r="N132" s="21"/>
    </row>
    <row r="133" customFormat="false" ht="15" hidden="false" customHeight="false" outlineLevel="0" collapsed="false">
      <c r="A133" s="6" t="s">
        <v>2302</v>
      </c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5"/>
      <c r="M133" s="33" t="str">
        <f aca="true">IF(L133="","",TODAY()-L133)</f>
        <v/>
      </c>
      <c r="N133" s="21"/>
    </row>
    <row r="134" customFormat="false" ht="15" hidden="false" customHeight="false" outlineLevel="0" collapsed="false">
      <c r="A134" s="6" t="s">
        <v>2303</v>
      </c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5"/>
      <c r="M134" s="33" t="str">
        <f aca="true">IF(L134="","",TODAY()-L134)</f>
        <v/>
      </c>
      <c r="N134" s="21"/>
    </row>
    <row r="135" customFormat="false" ht="15" hidden="false" customHeight="false" outlineLevel="0" collapsed="false">
      <c r="A135" s="6" t="s">
        <v>2304</v>
      </c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5"/>
      <c r="M135" s="33" t="str">
        <f aca="true">IF(L135="","",TODAY()-L135)</f>
        <v/>
      </c>
      <c r="N135" s="21"/>
    </row>
    <row r="136" customFormat="false" ht="15" hidden="false" customHeight="false" outlineLevel="0" collapsed="false">
      <c r="A136" s="6" t="s">
        <v>2305</v>
      </c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5"/>
      <c r="M136" s="33" t="str">
        <f aca="true">IF(L136="","",TODAY()-L136)</f>
        <v/>
      </c>
      <c r="N136" s="21"/>
    </row>
    <row r="137" customFormat="false" ht="15" hidden="false" customHeight="false" outlineLevel="0" collapsed="false">
      <c r="A137" s="6" t="s">
        <v>2306</v>
      </c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5"/>
      <c r="M137" s="33" t="str">
        <f aca="true">IF(L137="","",TODAY()-L137)</f>
        <v/>
      </c>
      <c r="N137" s="21"/>
    </row>
    <row r="138" customFormat="false" ht="15" hidden="false" customHeight="false" outlineLevel="0" collapsed="false">
      <c r="A138" s="6" t="s">
        <v>2307</v>
      </c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5"/>
      <c r="M138" s="33" t="str">
        <f aca="true">IF(L138="","",TODAY()-L138)</f>
        <v/>
      </c>
      <c r="N138" s="21"/>
    </row>
    <row r="139" customFormat="false" ht="15" hidden="false" customHeight="false" outlineLevel="0" collapsed="false">
      <c r="A139" s="6" t="s">
        <v>2308</v>
      </c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5"/>
      <c r="M139" s="33" t="str">
        <f aca="true">IF(L139="","",TODAY()-L139)</f>
        <v/>
      </c>
      <c r="N139" s="21"/>
    </row>
    <row r="140" customFormat="false" ht="15" hidden="false" customHeight="false" outlineLevel="0" collapsed="false">
      <c r="A140" s="6" t="s">
        <v>2309</v>
      </c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5"/>
      <c r="M140" s="33" t="str">
        <f aca="true">IF(L140="","",TODAY()-L140)</f>
        <v/>
      </c>
      <c r="N140" s="21"/>
    </row>
    <row r="141" customFormat="false" ht="15" hidden="false" customHeight="false" outlineLevel="0" collapsed="false">
      <c r="A141" s="6" t="s">
        <v>2310</v>
      </c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5"/>
      <c r="M141" s="33" t="str">
        <f aca="true">IF(L141="","",TODAY()-L141)</f>
        <v/>
      </c>
      <c r="N141" s="21"/>
    </row>
    <row r="142" customFormat="false" ht="15" hidden="false" customHeight="false" outlineLevel="0" collapsed="false">
      <c r="A142" s="6" t="s">
        <v>2311</v>
      </c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5"/>
      <c r="M142" s="33" t="str">
        <f aca="true">IF(L142="","",TODAY()-L142)</f>
        <v/>
      </c>
      <c r="N142" s="21"/>
    </row>
    <row r="143" customFormat="false" ht="15" hidden="false" customHeight="false" outlineLevel="0" collapsed="false">
      <c r="A143" s="6" t="s">
        <v>2312</v>
      </c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5"/>
      <c r="M143" s="33" t="str">
        <f aca="true">IF(L143="","",TODAY()-L143)</f>
        <v/>
      </c>
      <c r="N143" s="21"/>
    </row>
    <row r="144" customFormat="false" ht="15" hidden="false" customHeight="false" outlineLevel="0" collapsed="false">
      <c r="A144" s="6" t="s">
        <v>2313</v>
      </c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5"/>
      <c r="M144" s="33" t="str">
        <f aca="true">IF(L144="","",TODAY()-L144)</f>
        <v/>
      </c>
      <c r="N144" s="21"/>
    </row>
    <row r="145" customFormat="false" ht="15" hidden="false" customHeight="false" outlineLevel="0" collapsed="false">
      <c r="A145" s="6" t="s">
        <v>2314</v>
      </c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5"/>
      <c r="M145" s="33" t="str">
        <f aca="true">IF(L145="","",TODAY()-L145)</f>
        <v/>
      </c>
      <c r="N145" s="21"/>
    </row>
    <row r="146" customFormat="false" ht="15" hidden="false" customHeight="false" outlineLevel="0" collapsed="false">
      <c r="A146" s="6" t="s">
        <v>2315</v>
      </c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5"/>
      <c r="M146" s="33" t="str">
        <f aca="true">IF(L146="","",TODAY()-L146)</f>
        <v/>
      </c>
      <c r="N146" s="21"/>
    </row>
    <row r="147" customFormat="false" ht="15" hidden="false" customHeight="false" outlineLevel="0" collapsed="false">
      <c r="A147" s="6" t="s">
        <v>2316</v>
      </c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5"/>
      <c r="M147" s="33" t="str">
        <f aca="true">IF(L147="","",TODAY()-L147)</f>
        <v/>
      </c>
      <c r="N147" s="21"/>
    </row>
    <row r="148" customFormat="false" ht="15" hidden="false" customHeight="false" outlineLevel="0" collapsed="false">
      <c r="A148" s="6" t="s">
        <v>2317</v>
      </c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5"/>
      <c r="M148" s="33" t="str">
        <f aca="true">IF(L148="","",TODAY()-L148)</f>
        <v/>
      </c>
      <c r="N148" s="21"/>
    </row>
    <row r="149" customFormat="false" ht="15" hidden="false" customHeight="false" outlineLevel="0" collapsed="false">
      <c r="A149" s="6" t="s">
        <v>2318</v>
      </c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5"/>
      <c r="M149" s="33" t="str">
        <f aca="true">IF(L149="","",TODAY()-L149)</f>
        <v/>
      </c>
      <c r="N149" s="21"/>
    </row>
    <row r="150" customFormat="false" ht="15" hidden="false" customHeight="false" outlineLevel="0" collapsed="false">
      <c r="A150" s="6" t="s">
        <v>2319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5"/>
      <c r="M150" s="33" t="str">
        <f aca="true">IF(L150="","",TODAY()-L150)</f>
        <v/>
      </c>
      <c r="N150" s="21"/>
    </row>
    <row r="151" customFormat="false" ht="15" hidden="false" customHeight="false" outlineLevel="0" collapsed="false">
      <c r="A151" s="6" t="s">
        <v>2320</v>
      </c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5"/>
      <c r="M151" s="33" t="str">
        <f aca="true">IF(L151="","",TODAY()-L151)</f>
        <v/>
      </c>
      <c r="N151" s="21"/>
    </row>
    <row r="152" customFormat="false" ht="15" hidden="false" customHeight="false" outlineLevel="0" collapsed="false">
      <c r="A152" s="6" t="s">
        <v>2321</v>
      </c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5"/>
      <c r="M152" s="33" t="str">
        <f aca="true">IF(L152="","",TODAY()-L152)</f>
        <v/>
      </c>
      <c r="N152" s="21"/>
    </row>
    <row r="153" customFormat="false" ht="15" hidden="false" customHeight="false" outlineLevel="0" collapsed="false">
      <c r="A153" s="6" t="s">
        <v>2322</v>
      </c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5"/>
      <c r="M153" s="33" t="str">
        <f aca="true">IF(L153="","",TODAY()-L153)</f>
        <v/>
      </c>
      <c r="N153" s="21"/>
    </row>
    <row r="154" customFormat="false" ht="15" hidden="false" customHeight="false" outlineLevel="0" collapsed="false">
      <c r="A154" s="6" t="s">
        <v>2323</v>
      </c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5"/>
      <c r="M154" s="33" t="str">
        <f aca="true">IF(L154="","",TODAY()-L154)</f>
        <v/>
      </c>
      <c r="N154" s="21"/>
    </row>
    <row r="155" customFormat="false" ht="15" hidden="false" customHeight="false" outlineLevel="0" collapsed="false">
      <c r="A155" s="6" t="s">
        <v>2324</v>
      </c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5"/>
      <c r="M155" s="33" t="str">
        <f aca="true">IF(L155="","",TODAY()-L155)</f>
        <v/>
      </c>
      <c r="N155" s="21"/>
    </row>
    <row r="156" customFormat="false" ht="15" hidden="false" customHeight="false" outlineLevel="0" collapsed="false">
      <c r="A156" s="6" t="s">
        <v>2325</v>
      </c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5"/>
      <c r="M156" s="33" t="str">
        <f aca="true">IF(L156="","",TODAY()-L156)</f>
        <v/>
      </c>
      <c r="N156" s="21"/>
    </row>
    <row r="157" customFormat="false" ht="15" hidden="false" customHeight="false" outlineLevel="0" collapsed="false">
      <c r="A157" s="6" t="s">
        <v>2326</v>
      </c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5"/>
      <c r="M157" s="33" t="str">
        <f aca="true">IF(L157="","",TODAY()-L157)</f>
        <v/>
      </c>
      <c r="N157" s="21"/>
    </row>
    <row r="158" customFormat="false" ht="15" hidden="false" customHeight="false" outlineLevel="0" collapsed="false">
      <c r="A158" s="6" t="s">
        <v>2327</v>
      </c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5"/>
      <c r="M158" s="33" t="str">
        <f aca="true">IF(L158="","",TODAY()-L158)</f>
        <v/>
      </c>
      <c r="N158" s="21"/>
    </row>
    <row r="159" customFormat="false" ht="15" hidden="false" customHeight="false" outlineLevel="0" collapsed="false">
      <c r="A159" s="6" t="s">
        <v>2328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5"/>
      <c r="M159" s="33" t="str">
        <f aca="true">IF(L159="","",TODAY()-L159)</f>
        <v/>
      </c>
      <c r="N159" s="21"/>
    </row>
    <row r="160" customFormat="false" ht="15" hidden="false" customHeight="false" outlineLevel="0" collapsed="false">
      <c r="A160" s="6" t="s">
        <v>2329</v>
      </c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5"/>
      <c r="M160" s="33" t="str">
        <f aca="true">IF(L160="","",TODAY()-L160)</f>
        <v/>
      </c>
      <c r="N160" s="21"/>
    </row>
    <row r="161" customFormat="false" ht="15" hidden="false" customHeight="false" outlineLevel="0" collapsed="false">
      <c r="A161" s="6" t="s">
        <v>2330</v>
      </c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5"/>
      <c r="M161" s="33" t="str">
        <f aca="true">IF(L161="","",TODAY()-L161)</f>
        <v/>
      </c>
      <c r="N161" s="21"/>
    </row>
    <row r="162" customFormat="false" ht="15" hidden="false" customHeight="false" outlineLevel="0" collapsed="false">
      <c r="A162" s="6" t="s">
        <v>2331</v>
      </c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5"/>
      <c r="M162" s="33" t="str">
        <f aca="true">IF(L162="","",TODAY()-L162)</f>
        <v/>
      </c>
      <c r="N162" s="21"/>
    </row>
    <row r="163" customFormat="false" ht="15" hidden="false" customHeight="false" outlineLevel="0" collapsed="false">
      <c r="A163" s="6" t="s">
        <v>2332</v>
      </c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5"/>
      <c r="M163" s="33" t="str">
        <f aca="true">IF(L163="","",TODAY()-L163)</f>
        <v/>
      </c>
      <c r="N163" s="21"/>
    </row>
    <row r="164" customFormat="false" ht="15" hidden="false" customHeight="false" outlineLevel="0" collapsed="false">
      <c r="A164" s="6" t="s">
        <v>2333</v>
      </c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5"/>
      <c r="M164" s="33" t="str">
        <f aca="true">IF(L164="","",TODAY()-L164)</f>
        <v/>
      </c>
      <c r="N164" s="21"/>
    </row>
    <row r="165" customFormat="false" ht="15" hidden="false" customHeight="false" outlineLevel="0" collapsed="false">
      <c r="A165" s="6" t="s">
        <v>2334</v>
      </c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5"/>
      <c r="M165" s="33" t="str">
        <f aca="true">IF(L165="","",TODAY()-L165)</f>
        <v/>
      </c>
      <c r="N165" s="21"/>
    </row>
    <row r="166" customFormat="false" ht="15" hidden="false" customHeight="false" outlineLevel="0" collapsed="false">
      <c r="A166" s="6" t="s">
        <v>2335</v>
      </c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5"/>
      <c r="M166" s="33" t="str">
        <f aca="true">IF(L166="","",TODAY()-L166)</f>
        <v/>
      </c>
      <c r="N166" s="21"/>
    </row>
    <row r="167" customFormat="false" ht="15" hidden="false" customHeight="false" outlineLevel="0" collapsed="false">
      <c r="A167" s="6" t="s">
        <v>2336</v>
      </c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5"/>
      <c r="M167" s="33" t="str">
        <f aca="true">IF(L167="","",TODAY()-L167)</f>
        <v/>
      </c>
      <c r="N167" s="21"/>
    </row>
    <row r="168" customFormat="false" ht="15" hidden="false" customHeight="false" outlineLevel="0" collapsed="false">
      <c r="A168" s="6" t="s">
        <v>2337</v>
      </c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5"/>
      <c r="M168" s="33" t="str">
        <f aca="true">IF(L168="","",TODAY()-L168)</f>
        <v/>
      </c>
      <c r="N168" s="21"/>
    </row>
    <row r="169" customFormat="false" ht="15" hidden="false" customHeight="false" outlineLevel="0" collapsed="false">
      <c r="A169" s="6" t="s">
        <v>2338</v>
      </c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5"/>
      <c r="M169" s="33" t="str">
        <f aca="true">IF(L169="","",TODAY()-L169)</f>
        <v/>
      </c>
      <c r="N169" s="21"/>
    </row>
    <row r="170" customFormat="false" ht="15" hidden="false" customHeight="false" outlineLevel="0" collapsed="false">
      <c r="A170" s="6" t="s">
        <v>2339</v>
      </c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5"/>
      <c r="M170" s="33" t="str">
        <f aca="true">IF(L170="","",TODAY()-L170)</f>
        <v/>
      </c>
      <c r="N170" s="21"/>
    </row>
    <row r="171" customFormat="false" ht="15" hidden="false" customHeight="false" outlineLevel="0" collapsed="false">
      <c r="A171" s="6" t="s">
        <v>2340</v>
      </c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5"/>
      <c r="M171" s="33" t="str">
        <f aca="true">IF(L171="","",TODAY()-L171)</f>
        <v/>
      </c>
      <c r="N171" s="21"/>
    </row>
    <row r="172" customFormat="false" ht="15" hidden="false" customHeight="false" outlineLevel="0" collapsed="false">
      <c r="A172" s="6" t="s">
        <v>2341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5"/>
      <c r="M172" s="33" t="str">
        <f aca="true">IF(L172="","",TODAY()-L172)</f>
        <v/>
      </c>
      <c r="N172" s="21"/>
    </row>
    <row r="173" customFormat="false" ht="15" hidden="false" customHeight="false" outlineLevel="0" collapsed="false">
      <c r="A173" s="6" t="s">
        <v>2342</v>
      </c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5"/>
      <c r="M173" s="33" t="str">
        <f aca="true">IF(L173="","",TODAY()-L173)</f>
        <v/>
      </c>
      <c r="N173" s="21"/>
    </row>
    <row r="174" customFormat="false" ht="15" hidden="false" customHeight="false" outlineLevel="0" collapsed="false">
      <c r="A174" s="6" t="s">
        <v>2343</v>
      </c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5"/>
      <c r="M174" s="33" t="str">
        <f aca="true">IF(L174="","",TODAY()-L174)</f>
        <v/>
      </c>
      <c r="N174" s="21"/>
    </row>
    <row r="175" customFormat="false" ht="15" hidden="false" customHeight="false" outlineLevel="0" collapsed="false">
      <c r="A175" s="6" t="s">
        <v>2344</v>
      </c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5"/>
      <c r="M175" s="33" t="str">
        <f aca="true">IF(L175="","",TODAY()-L175)</f>
        <v/>
      </c>
      <c r="N175" s="21"/>
    </row>
    <row r="176" customFormat="false" ht="15" hidden="false" customHeight="false" outlineLevel="0" collapsed="false">
      <c r="A176" s="6" t="s">
        <v>2345</v>
      </c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5"/>
      <c r="M176" s="33" t="str">
        <f aca="true">IF(L176="","",TODAY()-L176)</f>
        <v/>
      </c>
      <c r="N176" s="21"/>
    </row>
    <row r="177" customFormat="false" ht="15" hidden="false" customHeight="false" outlineLevel="0" collapsed="false">
      <c r="A177" s="6" t="s">
        <v>2346</v>
      </c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5"/>
      <c r="M177" s="33" t="str">
        <f aca="true">IF(L177="","",TODAY()-L177)</f>
        <v/>
      </c>
      <c r="N177" s="21"/>
    </row>
    <row r="178" customFormat="false" ht="15" hidden="false" customHeight="false" outlineLevel="0" collapsed="false">
      <c r="A178" s="6" t="s">
        <v>2347</v>
      </c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5"/>
      <c r="M178" s="33" t="str">
        <f aca="true">IF(L178="","",TODAY()-L178)</f>
        <v/>
      </c>
      <c r="N178" s="21"/>
    </row>
    <row r="179" customFormat="false" ht="15" hidden="false" customHeight="false" outlineLevel="0" collapsed="false">
      <c r="A179" s="6" t="s">
        <v>2348</v>
      </c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5"/>
      <c r="M179" s="33" t="str">
        <f aca="true">IF(L179="","",TODAY()-L179)</f>
        <v/>
      </c>
      <c r="N179" s="21"/>
    </row>
    <row r="180" customFormat="false" ht="15" hidden="false" customHeight="false" outlineLevel="0" collapsed="false">
      <c r="A180" s="6" t="s">
        <v>2349</v>
      </c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5"/>
      <c r="M180" s="33" t="str">
        <f aca="true">IF(L180="","",TODAY()-L180)</f>
        <v/>
      </c>
      <c r="N180" s="21"/>
    </row>
    <row r="181" customFormat="false" ht="15" hidden="false" customHeight="false" outlineLevel="0" collapsed="false">
      <c r="A181" s="6" t="s">
        <v>2350</v>
      </c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5"/>
      <c r="M181" s="33" t="str">
        <f aca="true">IF(L181="","",TODAY()-L181)</f>
        <v/>
      </c>
      <c r="N181" s="21"/>
    </row>
    <row r="182" customFormat="false" ht="15" hidden="false" customHeight="false" outlineLevel="0" collapsed="false">
      <c r="A182" s="6" t="s">
        <v>2351</v>
      </c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5"/>
      <c r="M182" s="33" t="str">
        <f aca="true">IF(L182="","",TODAY()-L182)</f>
        <v/>
      </c>
      <c r="N182" s="21"/>
    </row>
    <row r="183" customFormat="false" ht="15" hidden="false" customHeight="false" outlineLevel="0" collapsed="false">
      <c r="A183" s="6" t="s">
        <v>2352</v>
      </c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5"/>
      <c r="M183" s="33" t="str">
        <f aca="true">IF(L183="","",TODAY()-L183)</f>
        <v/>
      </c>
      <c r="N183" s="21"/>
    </row>
    <row r="184" customFormat="false" ht="15" hidden="false" customHeight="false" outlineLevel="0" collapsed="false">
      <c r="A184" s="6" t="s">
        <v>2353</v>
      </c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5"/>
      <c r="M184" s="33" t="str">
        <f aca="true">IF(L184="","",TODAY()-L184)</f>
        <v/>
      </c>
      <c r="N184" s="21"/>
    </row>
    <row r="185" customFormat="false" ht="15" hidden="false" customHeight="false" outlineLevel="0" collapsed="false">
      <c r="A185" s="6" t="s">
        <v>2354</v>
      </c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5"/>
      <c r="M185" s="33" t="str">
        <f aca="true">IF(L185="","",TODAY()-L185)</f>
        <v/>
      </c>
      <c r="N185" s="21"/>
    </row>
    <row r="186" customFormat="false" ht="15" hidden="false" customHeight="false" outlineLevel="0" collapsed="false">
      <c r="A186" s="6" t="s">
        <v>2355</v>
      </c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5"/>
      <c r="M186" s="33" t="str">
        <f aca="true">IF(L186="","",TODAY()-L186)</f>
        <v/>
      </c>
      <c r="N186" s="21"/>
    </row>
    <row r="187" customFormat="false" ht="15" hidden="false" customHeight="false" outlineLevel="0" collapsed="false">
      <c r="A187" s="6" t="s">
        <v>2356</v>
      </c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5"/>
      <c r="M187" s="33" t="str">
        <f aca="true">IF(L187="","",TODAY()-L187)</f>
        <v/>
      </c>
      <c r="N187" s="21"/>
    </row>
    <row r="188" customFormat="false" ht="15" hidden="false" customHeight="false" outlineLevel="0" collapsed="false">
      <c r="A188" s="6" t="s">
        <v>2357</v>
      </c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5"/>
      <c r="M188" s="33" t="str">
        <f aca="true">IF(L188="","",TODAY()-L188)</f>
        <v/>
      </c>
      <c r="N188" s="21"/>
    </row>
    <row r="189" customFormat="false" ht="15" hidden="false" customHeight="false" outlineLevel="0" collapsed="false">
      <c r="A189" s="6" t="s">
        <v>2358</v>
      </c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5"/>
      <c r="M189" s="33" t="str">
        <f aca="true">IF(L189="","",TODAY()-L189)</f>
        <v/>
      </c>
      <c r="N189" s="21"/>
    </row>
    <row r="190" customFormat="false" ht="15" hidden="false" customHeight="false" outlineLevel="0" collapsed="false">
      <c r="A190" s="6" t="s">
        <v>2359</v>
      </c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5"/>
      <c r="M190" s="33" t="str">
        <f aca="true">IF(L190="","",TODAY()-L190)</f>
        <v/>
      </c>
      <c r="N190" s="21"/>
    </row>
    <row r="191" customFormat="false" ht="15" hidden="false" customHeight="false" outlineLevel="0" collapsed="false">
      <c r="A191" s="6" t="s">
        <v>2360</v>
      </c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5"/>
      <c r="M191" s="33" t="str">
        <f aca="true">IF(L191="","",TODAY()-L191)</f>
        <v/>
      </c>
      <c r="N191" s="21"/>
    </row>
    <row r="192" customFormat="false" ht="15" hidden="false" customHeight="false" outlineLevel="0" collapsed="false">
      <c r="A192" s="6" t="s">
        <v>2361</v>
      </c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5"/>
      <c r="M192" s="33" t="str">
        <f aca="true">IF(L192="","",TODAY()-L192)</f>
        <v/>
      </c>
      <c r="N192" s="21"/>
    </row>
    <row r="193" customFormat="false" ht="15" hidden="false" customHeight="false" outlineLevel="0" collapsed="false">
      <c r="A193" s="6" t="s">
        <v>2362</v>
      </c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5"/>
      <c r="M193" s="33" t="str">
        <f aca="true">IF(L193="","",TODAY()-L193)</f>
        <v/>
      </c>
      <c r="N193" s="21"/>
    </row>
    <row r="194" customFormat="false" ht="15" hidden="false" customHeight="false" outlineLevel="0" collapsed="false">
      <c r="A194" s="6" t="s">
        <v>2363</v>
      </c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5"/>
      <c r="M194" s="33" t="str">
        <f aca="true">IF(L194="","",TODAY()-L194)</f>
        <v/>
      </c>
      <c r="N194" s="21"/>
    </row>
    <row r="195" customFormat="false" ht="15" hidden="false" customHeight="false" outlineLevel="0" collapsed="false">
      <c r="A195" s="6" t="s">
        <v>2364</v>
      </c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5"/>
      <c r="M195" s="33" t="str">
        <f aca="true">IF(L195="","",TODAY()-L195)</f>
        <v/>
      </c>
      <c r="N195" s="21"/>
    </row>
    <row r="196" customFormat="false" ht="15" hidden="false" customHeight="false" outlineLevel="0" collapsed="false">
      <c r="A196" s="6" t="s">
        <v>2365</v>
      </c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5"/>
      <c r="M196" s="33" t="str">
        <f aca="true">IF(L196="","",TODAY()-L196)</f>
        <v/>
      </c>
      <c r="N196" s="21"/>
    </row>
    <row r="197" customFormat="false" ht="15" hidden="false" customHeight="false" outlineLevel="0" collapsed="false">
      <c r="A197" s="6" t="s">
        <v>2366</v>
      </c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5"/>
      <c r="M197" s="33" t="str">
        <f aca="true">IF(L197="","",TODAY()-L197)</f>
        <v/>
      </c>
      <c r="N197" s="21"/>
    </row>
    <row r="198" customFormat="false" ht="15" hidden="false" customHeight="false" outlineLevel="0" collapsed="false">
      <c r="A198" s="6" t="s">
        <v>2367</v>
      </c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5"/>
      <c r="M198" s="33" t="str">
        <f aca="true">IF(L198="","",TODAY()-L198)</f>
        <v/>
      </c>
      <c r="N198" s="21"/>
    </row>
    <row r="199" customFormat="false" ht="15" hidden="false" customHeight="false" outlineLevel="0" collapsed="false">
      <c r="A199" s="6" t="s">
        <v>2368</v>
      </c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5"/>
      <c r="M199" s="33" t="str">
        <f aca="true">IF(L199="","",TODAY()-L199)</f>
        <v/>
      </c>
      <c r="N199" s="21"/>
    </row>
    <row r="200" customFormat="false" ht="15" hidden="false" customHeight="false" outlineLevel="0" collapsed="false">
      <c r="A200" s="6" t="s">
        <v>2369</v>
      </c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5"/>
      <c r="M200" s="33" t="str">
        <f aca="true">IF(L200="","",TODAY()-L200)</f>
        <v/>
      </c>
      <c r="N200" s="21"/>
    </row>
    <row r="201" customFormat="false" ht="15" hidden="false" customHeight="false" outlineLevel="0" collapsed="false">
      <c r="A201" s="6" t="s">
        <v>2370</v>
      </c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5"/>
      <c r="M201" s="33" t="str">
        <f aca="true">IF(L201="","",TODAY()-L201)</f>
        <v/>
      </c>
      <c r="N201" s="21"/>
    </row>
    <row r="202" customFormat="false" ht="15" hidden="false" customHeight="false" outlineLevel="0" collapsed="false">
      <c r="A202" s="6" t="s">
        <v>2371</v>
      </c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5"/>
      <c r="M202" s="33" t="str">
        <f aca="true">IF(L202="","",TODAY()-L202)</f>
        <v/>
      </c>
      <c r="N202" s="21"/>
    </row>
    <row r="203" customFormat="false" ht="15" hidden="false" customHeight="false" outlineLevel="0" collapsed="false">
      <c r="A203" s="6" t="s">
        <v>2372</v>
      </c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5"/>
      <c r="M203" s="33" t="str">
        <f aca="true">IF(L203="","",TODAY()-L203)</f>
        <v/>
      </c>
      <c r="N203" s="21"/>
    </row>
    <row r="204" customFormat="false" ht="15" hidden="false" customHeight="false" outlineLevel="0" collapsed="false">
      <c r="A204" s="6" t="s">
        <v>2373</v>
      </c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5"/>
      <c r="M204" s="33" t="str">
        <f aca="true">IF(L204="","",TODAY()-L204)</f>
        <v/>
      </c>
      <c r="N204" s="21"/>
    </row>
    <row r="205" customFormat="false" ht="15" hidden="false" customHeight="false" outlineLevel="0" collapsed="false">
      <c r="A205" s="6" t="s">
        <v>2374</v>
      </c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5"/>
      <c r="M205" s="33" t="str">
        <f aca="true">IF(L205="","",TODAY()-L205)</f>
        <v/>
      </c>
      <c r="N205" s="21"/>
    </row>
    <row r="206" customFormat="false" ht="15" hidden="false" customHeight="false" outlineLevel="0" collapsed="false">
      <c r="A206" s="6" t="s">
        <v>2375</v>
      </c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5"/>
      <c r="M206" s="33" t="str">
        <f aca="true">IF(L206="","",TODAY()-L206)</f>
        <v/>
      </c>
      <c r="N206" s="21"/>
    </row>
    <row r="207" customFormat="false" ht="15" hidden="false" customHeight="false" outlineLevel="0" collapsed="false">
      <c r="A207" s="6" t="s">
        <v>2376</v>
      </c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5"/>
      <c r="M207" s="33" t="str">
        <f aca="true">IF(L207="","",TODAY()-L207)</f>
        <v/>
      </c>
      <c r="N207" s="21"/>
    </row>
    <row r="208" customFormat="false" ht="15" hidden="false" customHeight="false" outlineLevel="0" collapsed="false">
      <c r="A208" s="6" t="s">
        <v>2377</v>
      </c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5"/>
      <c r="M208" s="33" t="str">
        <f aca="true">IF(L208="","",TODAY()-L208)</f>
        <v/>
      </c>
      <c r="N208" s="21"/>
    </row>
    <row r="209" customFormat="false" ht="15" hidden="false" customHeight="false" outlineLevel="0" collapsed="false">
      <c r="A209" s="6" t="s">
        <v>2378</v>
      </c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5"/>
      <c r="M209" s="33" t="str">
        <f aca="true">IF(L209="","",TODAY()-L209)</f>
        <v/>
      </c>
      <c r="N209" s="21"/>
    </row>
    <row r="210" customFormat="false" ht="15" hidden="false" customHeight="false" outlineLevel="0" collapsed="false">
      <c r="A210" s="6" t="s">
        <v>2379</v>
      </c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5"/>
      <c r="M210" s="33" t="str">
        <f aca="true">IF(L210="","",TODAY()-L210)</f>
        <v/>
      </c>
      <c r="N210" s="21"/>
    </row>
    <row r="211" customFormat="false" ht="15" hidden="false" customHeight="false" outlineLevel="0" collapsed="false">
      <c r="A211" s="6" t="s">
        <v>2380</v>
      </c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5"/>
      <c r="M211" s="33" t="str">
        <f aca="true">IF(L211="","",TODAY()-L211)</f>
        <v/>
      </c>
      <c r="N211" s="21"/>
    </row>
    <row r="212" customFormat="false" ht="15" hidden="false" customHeight="false" outlineLevel="0" collapsed="false">
      <c r="A212" s="6" t="s">
        <v>2381</v>
      </c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5"/>
      <c r="M212" s="33" t="str">
        <f aca="true">IF(L212="","",TODAY()-L212)</f>
        <v/>
      </c>
      <c r="N212" s="21"/>
    </row>
    <row r="213" customFormat="false" ht="15" hidden="false" customHeight="false" outlineLevel="0" collapsed="false">
      <c r="A213" s="6" t="s">
        <v>2382</v>
      </c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5"/>
      <c r="M213" s="33" t="str">
        <f aca="true">IF(L213="","",TODAY()-L213)</f>
        <v/>
      </c>
      <c r="N213" s="21"/>
    </row>
    <row r="214" customFormat="false" ht="15" hidden="false" customHeight="false" outlineLevel="0" collapsed="false">
      <c r="A214" s="6" t="s">
        <v>2383</v>
      </c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5"/>
      <c r="M214" s="33" t="str">
        <f aca="true">IF(L214="","",TODAY()-L214)</f>
        <v/>
      </c>
      <c r="N214" s="21"/>
    </row>
    <row r="215" customFormat="false" ht="15" hidden="false" customHeight="false" outlineLevel="0" collapsed="false">
      <c r="A215" s="6" t="s">
        <v>2384</v>
      </c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5"/>
      <c r="M215" s="33" t="str">
        <f aca="true">IF(L215="","",TODAY()-L215)</f>
        <v/>
      </c>
      <c r="N215" s="21"/>
    </row>
    <row r="216" customFormat="false" ht="15" hidden="false" customHeight="false" outlineLevel="0" collapsed="false">
      <c r="A216" s="6" t="s">
        <v>2385</v>
      </c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5"/>
      <c r="M216" s="33" t="str">
        <f aca="true">IF(L216="","",TODAY()-L216)</f>
        <v/>
      </c>
      <c r="N216" s="21"/>
    </row>
    <row r="217" customFormat="false" ht="15" hidden="false" customHeight="false" outlineLevel="0" collapsed="false">
      <c r="A217" s="6" t="s">
        <v>2386</v>
      </c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5"/>
      <c r="M217" s="33" t="str">
        <f aca="true">IF(L217="","",TODAY()-L217)</f>
        <v/>
      </c>
      <c r="N217" s="21"/>
    </row>
    <row r="218" customFormat="false" ht="15" hidden="false" customHeight="false" outlineLevel="0" collapsed="false">
      <c r="A218" s="6" t="s">
        <v>2387</v>
      </c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5"/>
      <c r="M218" s="33" t="str">
        <f aca="true">IF(L218="","",TODAY()-L218)</f>
        <v/>
      </c>
      <c r="N218" s="21"/>
    </row>
    <row r="219" customFormat="false" ht="15" hidden="false" customHeight="false" outlineLevel="0" collapsed="false">
      <c r="A219" s="6" t="s">
        <v>2388</v>
      </c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5"/>
      <c r="M219" s="33" t="str">
        <f aca="true">IF(L219="","",TODAY()-L219)</f>
        <v/>
      </c>
      <c r="N219" s="21"/>
    </row>
    <row r="220" customFormat="false" ht="15" hidden="false" customHeight="false" outlineLevel="0" collapsed="false">
      <c r="A220" s="6" t="s">
        <v>2389</v>
      </c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5"/>
      <c r="M220" s="33" t="str">
        <f aca="true">IF(L220="","",TODAY()-L220)</f>
        <v/>
      </c>
      <c r="N220" s="21"/>
    </row>
    <row r="221" customFormat="false" ht="15" hidden="false" customHeight="false" outlineLevel="0" collapsed="false">
      <c r="A221" s="6" t="s">
        <v>2390</v>
      </c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5"/>
      <c r="M221" s="33" t="str">
        <f aca="true">IF(L221="","",TODAY()-L221)</f>
        <v/>
      </c>
      <c r="N221" s="21"/>
    </row>
    <row r="222" customFormat="false" ht="15" hidden="false" customHeight="false" outlineLevel="0" collapsed="false">
      <c r="A222" s="6" t="s">
        <v>2391</v>
      </c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5"/>
      <c r="M222" s="33" t="str">
        <f aca="true">IF(L222="","",TODAY()-L222)</f>
        <v/>
      </c>
      <c r="N222" s="21"/>
    </row>
    <row r="223" customFormat="false" ht="15" hidden="false" customHeight="false" outlineLevel="0" collapsed="false">
      <c r="A223" s="6" t="s">
        <v>2392</v>
      </c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5"/>
      <c r="M223" s="33" t="str">
        <f aca="true">IF(L223="","",TODAY()-L223)</f>
        <v/>
      </c>
      <c r="N223" s="21"/>
    </row>
    <row r="224" customFormat="false" ht="15" hidden="false" customHeight="false" outlineLevel="0" collapsed="false">
      <c r="A224" s="6" t="s">
        <v>2393</v>
      </c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5"/>
      <c r="M224" s="33" t="str">
        <f aca="true">IF(L224="","",TODAY()-L224)</f>
        <v/>
      </c>
      <c r="N224" s="21"/>
    </row>
    <row r="225" customFormat="false" ht="15" hidden="false" customHeight="false" outlineLevel="0" collapsed="false">
      <c r="A225" s="6" t="s">
        <v>2394</v>
      </c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5"/>
      <c r="M225" s="33" t="str">
        <f aca="true">IF(L225="","",TODAY()-L225)</f>
        <v/>
      </c>
      <c r="N225" s="21"/>
    </row>
    <row r="226" customFormat="false" ht="15" hidden="false" customHeight="false" outlineLevel="0" collapsed="false">
      <c r="A226" s="6" t="s">
        <v>2395</v>
      </c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5"/>
      <c r="M226" s="33" t="str">
        <f aca="true">IF(L226="","",TODAY()-L226)</f>
        <v/>
      </c>
      <c r="N226" s="21"/>
    </row>
    <row r="227" customFormat="false" ht="15" hidden="false" customHeight="false" outlineLevel="0" collapsed="false">
      <c r="A227" s="6" t="s">
        <v>2396</v>
      </c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5"/>
      <c r="M227" s="33" t="str">
        <f aca="true">IF(L227="","",TODAY()-L227)</f>
        <v/>
      </c>
      <c r="N227" s="21"/>
    </row>
    <row r="228" customFormat="false" ht="15" hidden="false" customHeight="false" outlineLevel="0" collapsed="false">
      <c r="A228" s="6" t="s">
        <v>2397</v>
      </c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5"/>
      <c r="M228" s="33" t="str">
        <f aca="true">IF(L228="","",TODAY()-L228)</f>
        <v/>
      </c>
      <c r="N228" s="21"/>
    </row>
    <row r="229" customFormat="false" ht="15" hidden="false" customHeight="false" outlineLevel="0" collapsed="false">
      <c r="A229" s="6" t="s">
        <v>2398</v>
      </c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5"/>
      <c r="M229" s="33" t="str">
        <f aca="true">IF(L229="","",TODAY()-L229)</f>
        <v/>
      </c>
      <c r="N229" s="21"/>
    </row>
    <row r="230" customFormat="false" ht="15" hidden="false" customHeight="false" outlineLevel="0" collapsed="false">
      <c r="A230" s="6" t="s">
        <v>2399</v>
      </c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5"/>
      <c r="M230" s="33" t="str">
        <f aca="true">IF(L230="","",TODAY()-L230)</f>
        <v/>
      </c>
      <c r="N230" s="21"/>
    </row>
    <row r="231" customFormat="false" ht="15" hidden="false" customHeight="false" outlineLevel="0" collapsed="false">
      <c r="A231" s="6" t="s">
        <v>2400</v>
      </c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5"/>
      <c r="M231" s="33" t="str">
        <f aca="true">IF(L231="","",TODAY()-L231)</f>
        <v/>
      </c>
      <c r="N231" s="21"/>
    </row>
    <row r="232" customFormat="false" ht="15" hidden="false" customHeight="false" outlineLevel="0" collapsed="false">
      <c r="A232" s="6" t="s">
        <v>2401</v>
      </c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5"/>
      <c r="M232" s="33" t="str">
        <f aca="true">IF(L232="","",TODAY()-L232)</f>
        <v/>
      </c>
      <c r="N232" s="21"/>
    </row>
    <row r="233" customFormat="false" ht="15" hidden="false" customHeight="false" outlineLevel="0" collapsed="false">
      <c r="A233" s="6" t="s">
        <v>2402</v>
      </c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5"/>
      <c r="M233" s="33" t="str">
        <f aca="true">IF(L233="","",TODAY()-L233)</f>
        <v/>
      </c>
      <c r="N233" s="21"/>
    </row>
    <row r="234" customFormat="false" ht="15" hidden="false" customHeight="false" outlineLevel="0" collapsed="false">
      <c r="A234" s="6" t="s">
        <v>2403</v>
      </c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5"/>
      <c r="M234" s="33" t="str">
        <f aca="true">IF(L234="","",TODAY()-L234)</f>
        <v/>
      </c>
      <c r="N234" s="21"/>
    </row>
    <row r="235" customFormat="false" ht="15" hidden="false" customHeight="false" outlineLevel="0" collapsed="false">
      <c r="A235" s="6" t="s">
        <v>2404</v>
      </c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5"/>
      <c r="M235" s="33" t="str">
        <f aca="true">IF(L235="","",TODAY()-L235)</f>
        <v/>
      </c>
      <c r="N235" s="21"/>
    </row>
    <row r="236" customFormat="false" ht="15" hidden="false" customHeight="false" outlineLevel="0" collapsed="false">
      <c r="A236" s="6" t="s">
        <v>2405</v>
      </c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5"/>
      <c r="M236" s="33" t="str">
        <f aca="true">IF(L236="","",TODAY()-L236)</f>
        <v/>
      </c>
      <c r="N236" s="21"/>
    </row>
    <row r="237" customFormat="false" ht="15" hidden="false" customHeight="false" outlineLevel="0" collapsed="false">
      <c r="A237" s="6" t="s">
        <v>2406</v>
      </c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5"/>
      <c r="M237" s="33" t="str">
        <f aca="true">IF(L237="","",TODAY()-L237)</f>
        <v/>
      </c>
      <c r="N237" s="21"/>
    </row>
    <row r="238" customFormat="false" ht="15" hidden="false" customHeight="false" outlineLevel="0" collapsed="false">
      <c r="A238" s="6" t="s">
        <v>2407</v>
      </c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5"/>
      <c r="M238" s="33" t="str">
        <f aca="true">IF(L238="","",TODAY()-L238)</f>
        <v/>
      </c>
      <c r="N238" s="21"/>
    </row>
    <row r="239" customFormat="false" ht="15" hidden="false" customHeight="false" outlineLevel="0" collapsed="false">
      <c r="A239" s="6" t="s">
        <v>2408</v>
      </c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5"/>
      <c r="M239" s="33" t="str">
        <f aca="true">IF(L239="","",TODAY()-L239)</f>
        <v/>
      </c>
      <c r="N239" s="21"/>
    </row>
    <row r="240" customFormat="false" ht="15" hidden="false" customHeight="false" outlineLevel="0" collapsed="false">
      <c r="A240" s="6" t="s">
        <v>2409</v>
      </c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5"/>
      <c r="M240" s="33" t="str">
        <f aca="true">IF(L240="","",TODAY()-L240)</f>
        <v/>
      </c>
      <c r="N240" s="21"/>
    </row>
    <row r="241" customFormat="false" ht="15" hidden="false" customHeight="false" outlineLevel="0" collapsed="false">
      <c r="A241" s="6" t="s">
        <v>2410</v>
      </c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5"/>
      <c r="M241" s="33" t="str">
        <f aca="true">IF(L241="","",TODAY()-L241)</f>
        <v/>
      </c>
      <c r="N241" s="21"/>
    </row>
    <row r="242" customFormat="false" ht="15" hidden="false" customHeight="false" outlineLevel="0" collapsed="false">
      <c r="A242" s="6" t="s">
        <v>2411</v>
      </c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5"/>
      <c r="M242" s="33" t="str">
        <f aca="true">IF(L242="","",TODAY()-L242)</f>
        <v/>
      </c>
      <c r="N242" s="21"/>
    </row>
    <row r="243" customFormat="false" ht="15" hidden="false" customHeight="false" outlineLevel="0" collapsed="false">
      <c r="A243" s="6" t="s">
        <v>2412</v>
      </c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5"/>
      <c r="M243" s="33" t="str">
        <f aca="true">IF(L243="","",TODAY()-L243)</f>
        <v/>
      </c>
      <c r="N243" s="21"/>
    </row>
    <row r="244" customFormat="false" ht="15" hidden="false" customHeight="false" outlineLevel="0" collapsed="false">
      <c r="A244" s="6" t="s">
        <v>2413</v>
      </c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5"/>
      <c r="M244" s="33" t="str">
        <f aca="true">IF(L244="","",TODAY()-L244)</f>
        <v/>
      </c>
      <c r="N244" s="21"/>
    </row>
    <row r="245" customFormat="false" ht="15" hidden="false" customHeight="false" outlineLevel="0" collapsed="false">
      <c r="A245" s="6" t="s">
        <v>2414</v>
      </c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5"/>
      <c r="M245" s="33" t="str">
        <f aca="true">IF(L245="","",TODAY()-L245)</f>
        <v/>
      </c>
      <c r="N245" s="21"/>
    </row>
    <row r="246" customFormat="false" ht="15" hidden="false" customHeight="false" outlineLevel="0" collapsed="false">
      <c r="A246" s="6" t="s">
        <v>2415</v>
      </c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5"/>
      <c r="M246" s="33" t="str">
        <f aca="true">IF(L246="","",TODAY()-L246)</f>
        <v/>
      </c>
      <c r="N246" s="21"/>
    </row>
    <row r="247" customFormat="false" ht="15" hidden="false" customHeight="false" outlineLevel="0" collapsed="false">
      <c r="A247" s="6" t="s">
        <v>2416</v>
      </c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5"/>
      <c r="M247" s="33" t="str">
        <f aca="true">IF(L247="","",TODAY()-L247)</f>
        <v/>
      </c>
      <c r="N247" s="21"/>
    </row>
    <row r="248" customFormat="false" ht="15" hidden="false" customHeight="false" outlineLevel="0" collapsed="false">
      <c r="A248" s="6" t="s">
        <v>2417</v>
      </c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5"/>
      <c r="M248" s="33" t="str">
        <f aca="true">IF(L248="","",TODAY()-L248)</f>
        <v/>
      </c>
      <c r="N248" s="21"/>
    </row>
    <row r="249" customFormat="false" ht="15" hidden="false" customHeight="false" outlineLevel="0" collapsed="false">
      <c r="A249" s="6" t="s">
        <v>2418</v>
      </c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5"/>
      <c r="M249" s="33" t="str">
        <f aca="true">IF(L249="","",TODAY()-L249)</f>
        <v/>
      </c>
      <c r="N249" s="21"/>
    </row>
    <row r="250" customFormat="false" ht="15" hidden="false" customHeight="false" outlineLevel="0" collapsed="false">
      <c r="A250" s="6" t="s">
        <v>2419</v>
      </c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5"/>
      <c r="M250" s="33" t="str">
        <f aca="true">IF(L250="","",TODAY()-L250)</f>
        <v/>
      </c>
      <c r="N250" s="21"/>
    </row>
    <row r="251" customFormat="false" ht="15" hidden="false" customHeight="false" outlineLevel="0" collapsed="false">
      <c r="A251" s="6" t="s">
        <v>2420</v>
      </c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5"/>
      <c r="M251" s="33" t="str">
        <f aca="true">IF(L251="","",TODAY()-L251)</f>
        <v/>
      </c>
      <c r="N251" s="21"/>
    </row>
    <row r="252" customFormat="false" ht="15" hidden="false" customHeight="false" outlineLevel="0" collapsed="false">
      <c r="A252" s="6" t="s">
        <v>2421</v>
      </c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5"/>
      <c r="M252" s="33" t="str">
        <f aca="true">IF(L252="","",TODAY()-L252)</f>
        <v/>
      </c>
      <c r="N252" s="21"/>
    </row>
    <row r="253" customFormat="false" ht="15" hidden="false" customHeight="false" outlineLevel="0" collapsed="false">
      <c r="A253" s="6" t="s">
        <v>2422</v>
      </c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5"/>
      <c r="M253" s="33" t="str">
        <f aca="true">IF(L253="","",TODAY()-L253)</f>
        <v/>
      </c>
      <c r="N253" s="21"/>
    </row>
    <row r="254" customFormat="false" ht="15" hidden="false" customHeight="false" outlineLevel="0" collapsed="false">
      <c r="A254" s="6" t="s">
        <v>2423</v>
      </c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5"/>
      <c r="M254" s="33" t="str">
        <f aca="true">IF(L254="","",TODAY()-L254)</f>
        <v/>
      </c>
      <c r="N254" s="21"/>
    </row>
    <row r="255" customFormat="false" ht="15" hidden="false" customHeight="false" outlineLevel="0" collapsed="false">
      <c r="A255" s="6" t="s">
        <v>2424</v>
      </c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5"/>
      <c r="M255" s="33" t="str">
        <f aca="true">IF(L255="","",TODAY()-L255)</f>
        <v/>
      </c>
      <c r="N255" s="21"/>
    </row>
    <row r="256" customFormat="false" ht="15" hidden="false" customHeight="false" outlineLevel="0" collapsed="false">
      <c r="A256" s="6" t="s">
        <v>2425</v>
      </c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5"/>
      <c r="M256" s="33" t="str">
        <f aca="true">IF(L256="","",TODAY()-L256)</f>
        <v/>
      </c>
      <c r="N256" s="21"/>
    </row>
    <row r="257" customFormat="false" ht="15" hidden="false" customHeight="false" outlineLevel="0" collapsed="false">
      <c r="A257" s="6" t="s">
        <v>2426</v>
      </c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5"/>
      <c r="M257" s="33" t="str">
        <f aca="true">IF(L257="","",TODAY()-L257)</f>
        <v/>
      </c>
      <c r="N257" s="21"/>
    </row>
    <row r="258" customFormat="false" ht="15" hidden="false" customHeight="false" outlineLevel="0" collapsed="false">
      <c r="A258" s="6" t="s">
        <v>2427</v>
      </c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5"/>
      <c r="M258" s="33" t="str">
        <f aca="true">IF(L258="","",TODAY()-L258)</f>
        <v/>
      </c>
      <c r="N258" s="21"/>
    </row>
    <row r="259" customFormat="false" ht="15" hidden="false" customHeight="false" outlineLevel="0" collapsed="false">
      <c r="A259" s="6" t="s">
        <v>2428</v>
      </c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5"/>
      <c r="M259" s="33" t="str">
        <f aca="true">IF(L259="","",TODAY()-L259)</f>
        <v/>
      </c>
      <c r="N259" s="21"/>
    </row>
    <row r="260" customFormat="false" ht="15" hidden="false" customHeight="false" outlineLevel="0" collapsed="false">
      <c r="A260" s="6" t="s">
        <v>2429</v>
      </c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5"/>
      <c r="M260" s="33" t="str">
        <f aca="true">IF(L260="","",TODAY()-L260)</f>
        <v/>
      </c>
      <c r="N260" s="21"/>
    </row>
    <row r="261" customFormat="false" ht="15" hidden="false" customHeight="false" outlineLevel="0" collapsed="false">
      <c r="A261" s="6" t="s">
        <v>2430</v>
      </c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5"/>
      <c r="M261" s="33" t="str">
        <f aca="true">IF(L261="","",TODAY()-L261)</f>
        <v/>
      </c>
      <c r="N261" s="21"/>
    </row>
    <row r="262" customFormat="false" ht="15" hidden="false" customHeight="false" outlineLevel="0" collapsed="false">
      <c r="A262" s="6" t="s">
        <v>2431</v>
      </c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5"/>
      <c r="M262" s="33" t="str">
        <f aca="true">IF(L262="","",TODAY()-L262)</f>
        <v/>
      </c>
      <c r="N262" s="21"/>
    </row>
    <row r="263" customFormat="false" ht="15" hidden="false" customHeight="false" outlineLevel="0" collapsed="false">
      <c r="A263" s="6" t="s">
        <v>2432</v>
      </c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5"/>
      <c r="M263" s="33" t="str">
        <f aca="true">IF(L263="","",TODAY()-L263)</f>
        <v/>
      </c>
      <c r="N263" s="21"/>
    </row>
    <row r="264" customFormat="false" ht="15" hidden="false" customHeight="false" outlineLevel="0" collapsed="false">
      <c r="A264" s="6" t="s">
        <v>2433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5"/>
      <c r="M264" s="33" t="str">
        <f aca="true">IF(L264="","",TODAY()-L264)</f>
        <v/>
      </c>
      <c r="N264" s="21"/>
    </row>
    <row r="265" customFormat="false" ht="15" hidden="false" customHeight="false" outlineLevel="0" collapsed="false">
      <c r="A265" s="6" t="s">
        <v>2434</v>
      </c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5"/>
      <c r="M265" s="33" t="str">
        <f aca="true">IF(L265="","",TODAY()-L265)</f>
        <v/>
      </c>
      <c r="N265" s="21"/>
    </row>
    <row r="266" customFormat="false" ht="15" hidden="false" customHeight="false" outlineLevel="0" collapsed="false">
      <c r="A266" s="6" t="s">
        <v>2435</v>
      </c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5"/>
      <c r="M266" s="33" t="str">
        <f aca="true">IF(L266="","",TODAY()-L266)</f>
        <v/>
      </c>
      <c r="N266" s="21"/>
    </row>
    <row r="267" customFormat="false" ht="15" hidden="false" customHeight="false" outlineLevel="0" collapsed="false">
      <c r="A267" s="6" t="s">
        <v>2436</v>
      </c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5"/>
      <c r="M267" s="33" t="str">
        <f aca="true">IF(L267="","",TODAY()-L267)</f>
        <v/>
      </c>
      <c r="N267" s="21"/>
    </row>
    <row r="268" customFormat="false" ht="15" hidden="false" customHeight="false" outlineLevel="0" collapsed="false">
      <c r="A268" s="6" t="s">
        <v>2437</v>
      </c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5"/>
      <c r="M268" s="33" t="str">
        <f aca="true">IF(L268="","",TODAY()-L268)</f>
        <v/>
      </c>
      <c r="N268" s="21"/>
    </row>
    <row r="269" customFormat="false" ht="15" hidden="false" customHeight="false" outlineLevel="0" collapsed="false">
      <c r="A269" s="6" t="s">
        <v>2438</v>
      </c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5"/>
      <c r="M269" s="33" t="str">
        <f aca="true">IF(L269="","",TODAY()-L269)</f>
        <v/>
      </c>
      <c r="N269" s="21"/>
    </row>
    <row r="270" customFormat="false" ht="15" hidden="false" customHeight="false" outlineLevel="0" collapsed="false">
      <c r="A270" s="6" t="s">
        <v>2439</v>
      </c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5"/>
      <c r="M270" s="33" t="str">
        <f aca="true">IF(L270="","",TODAY()-L270)</f>
        <v/>
      </c>
      <c r="N270" s="21"/>
    </row>
    <row r="271" customFormat="false" ht="15" hidden="false" customHeight="false" outlineLevel="0" collapsed="false">
      <c r="A271" s="6" t="s">
        <v>2440</v>
      </c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5"/>
      <c r="M271" s="33" t="str">
        <f aca="true">IF(L271="","",TODAY()-L271)</f>
        <v/>
      </c>
      <c r="N271" s="21"/>
    </row>
    <row r="272" customFormat="false" ht="15" hidden="false" customHeight="false" outlineLevel="0" collapsed="false">
      <c r="A272" s="6" t="s">
        <v>2441</v>
      </c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5"/>
      <c r="M272" s="33" t="str">
        <f aca="true">IF(L272="","",TODAY()-L272)</f>
        <v/>
      </c>
      <c r="N272" s="21"/>
    </row>
    <row r="273" customFormat="false" ht="15" hidden="false" customHeight="false" outlineLevel="0" collapsed="false">
      <c r="A273" s="6" t="s">
        <v>2442</v>
      </c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5"/>
      <c r="M273" s="33" t="str">
        <f aca="true">IF(L273="","",TODAY()-L273)</f>
        <v/>
      </c>
      <c r="N273" s="21"/>
    </row>
    <row r="274" customFormat="false" ht="15" hidden="false" customHeight="false" outlineLevel="0" collapsed="false">
      <c r="A274" s="6" t="s">
        <v>2443</v>
      </c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5"/>
      <c r="M274" s="33" t="str">
        <f aca="true">IF(L274="","",TODAY()-L274)</f>
        <v/>
      </c>
      <c r="N274" s="21"/>
    </row>
    <row r="275" customFormat="false" ht="15" hidden="false" customHeight="false" outlineLevel="0" collapsed="false">
      <c r="A275" s="6" t="s">
        <v>2444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5"/>
      <c r="M275" s="33" t="str">
        <f aca="true">IF(L275="","",TODAY()-L275)</f>
        <v/>
      </c>
      <c r="N275" s="21"/>
    </row>
    <row r="276" customFormat="false" ht="15" hidden="false" customHeight="false" outlineLevel="0" collapsed="false">
      <c r="A276" s="6" t="s">
        <v>2445</v>
      </c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5"/>
      <c r="M276" s="33" t="str">
        <f aca="true">IF(L276="","",TODAY()-L276)</f>
        <v/>
      </c>
      <c r="N276" s="21"/>
    </row>
    <row r="277" customFormat="false" ht="15" hidden="false" customHeight="false" outlineLevel="0" collapsed="false">
      <c r="A277" s="6" t="s">
        <v>2446</v>
      </c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5"/>
      <c r="M277" s="33" t="str">
        <f aca="true">IF(L277="","",TODAY()-L277)</f>
        <v/>
      </c>
      <c r="N277" s="21"/>
    </row>
    <row r="278" customFormat="false" ht="15" hidden="false" customHeight="false" outlineLevel="0" collapsed="false">
      <c r="A278" s="6" t="s">
        <v>2447</v>
      </c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5"/>
      <c r="M278" s="33" t="str">
        <f aca="true">IF(L278="","",TODAY()-L278)</f>
        <v/>
      </c>
      <c r="N278" s="21"/>
    </row>
    <row r="279" customFormat="false" ht="15" hidden="false" customHeight="false" outlineLevel="0" collapsed="false">
      <c r="A279" s="6" t="s">
        <v>2448</v>
      </c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5"/>
      <c r="M279" s="33" t="str">
        <f aca="true">IF(L279="","",TODAY()-L279)</f>
        <v/>
      </c>
      <c r="N279" s="21"/>
    </row>
    <row r="280" customFormat="false" ht="15" hidden="false" customHeight="false" outlineLevel="0" collapsed="false">
      <c r="A280" s="6" t="s">
        <v>2449</v>
      </c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5"/>
      <c r="M280" s="33" t="str">
        <f aca="true">IF(L280="","",TODAY()-L280)</f>
        <v/>
      </c>
      <c r="N280" s="21"/>
    </row>
    <row r="281" customFormat="false" ht="15" hidden="false" customHeight="false" outlineLevel="0" collapsed="false">
      <c r="A281" s="6" t="s">
        <v>2450</v>
      </c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5"/>
      <c r="M281" s="33" t="str">
        <f aca="true">IF(L281="","",TODAY()-L281)</f>
        <v/>
      </c>
      <c r="N281" s="21"/>
    </row>
    <row r="282" customFormat="false" ht="15" hidden="false" customHeight="false" outlineLevel="0" collapsed="false">
      <c r="A282" s="6" t="s">
        <v>2451</v>
      </c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5"/>
      <c r="M282" s="33" t="str">
        <f aca="true">IF(L282="","",TODAY()-L282)</f>
        <v/>
      </c>
      <c r="N282" s="21"/>
    </row>
    <row r="283" customFormat="false" ht="15" hidden="false" customHeight="false" outlineLevel="0" collapsed="false">
      <c r="A283" s="6" t="s">
        <v>2452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5"/>
      <c r="M283" s="33" t="str">
        <f aca="true">IF(L283="","",TODAY()-L283)</f>
        <v/>
      </c>
      <c r="N283" s="21"/>
    </row>
    <row r="284" customFormat="false" ht="15" hidden="false" customHeight="false" outlineLevel="0" collapsed="false">
      <c r="A284" s="6" t="s">
        <v>2453</v>
      </c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5"/>
      <c r="M284" s="33" t="str">
        <f aca="true">IF(L284="","",TODAY()-L284)</f>
        <v/>
      </c>
      <c r="N284" s="21"/>
    </row>
    <row r="285" customFormat="false" ht="15" hidden="false" customHeight="false" outlineLevel="0" collapsed="false">
      <c r="A285" s="6" t="s">
        <v>2454</v>
      </c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5"/>
      <c r="M285" s="33" t="str">
        <f aca="true">IF(L285="","",TODAY()-L285)</f>
        <v/>
      </c>
      <c r="N285" s="21"/>
    </row>
    <row r="286" customFormat="false" ht="15" hidden="false" customHeight="false" outlineLevel="0" collapsed="false">
      <c r="A286" s="6" t="s">
        <v>2455</v>
      </c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5"/>
      <c r="M286" s="33" t="str">
        <f aca="true">IF(L286="","",TODAY()-L286)</f>
        <v/>
      </c>
      <c r="N286" s="21"/>
    </row>
    <row r="287" customFormat="false" ht="15" hidden="false" customHeight="false" outlineLevel="0" collapsed="false">
      <c r="A287" s="6" t="s">
        <v>2456</v>
      </c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5"/>
      <c r="M287" s="33" t="str">
        <f aca="true">IF(L287="","",TODAY()-L287)</f>
        <v/>
      </c>
      <c r="N287" s="21"/>
    </row>
    <row r="288" customFormat="false" ht="15" hidden="false" customHeight="false" outlineLevel="0" collapsed="false">
      <c r="A288" s="6" t="s">
        <v>2457</v>
      </c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5"/>
      <c r="M288" s="33" t="str">
        <f aca="true">IF(L288="","",TODAY()-L288)</f>
        <v/>
      </c>
      <c r="N288" s="21"/>
    </row>
    <row r="289" customFormat="false" ht="15" hidden="false" customHeight="false" outlineLevel="0" collapsed="false">
      <c r="A289" s="6" t="s">
        <v>2458</v>
      </c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5"/>
      <c r="M289" s="33" t="str">
        <f aca="true">IF(L289="","",TODAY()-L289)</f>
        <v/>
      </c>
      <c r="N289" s="21"/>
    </row>
    <row r="290" customFormat="false" ht="15" hidden="false" customHeight="false" outlineLevel="0" collapsed="false">
      <c r="A290" s="6" t="s">
        <v>2459</v>
      </c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5"/>
      <c r="M290" s="33" t="str">
        <f aca="true">IF(L290="","",TODAY()-L290)</f>
        <v/>
      </c>
      <c r="N290" s="21"/>
    </row>
    <row r="291" customFormat="false" ht="15" hidden="false" customHeight="false" outlineLevel="0" collapsed="false">
      <c r="A291" s="6" t="s">
        <v>2460</v>
      </c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5"/>
      <c r="M291" s="33" t="str">
        <f aca="true">IF(L291="","",TODAY()-L291)</f>
        <v/>
      </c>
      <c r="N291" s="21"/>
    </row>
    <row r="292" customFormat="false" ht="15" hidden="false" customHeight="false" outlineLevel="0" collapsed="false">
      <c r="A292" s="6" t="s">
        <v>2461</v>
      </c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5"/>
      <c r="M292" s="33" t="str">
        <f aca="true">IF(L292="","",TODAY()-L292)</f>
        <v/>
      </c>
      <c r="N292" s="21"/>
    </row>
    <row r="293" customFormat="false" ht="15" hidden="false" customHeight="false" outlineLevel="0" collapsed="false">
      <c r="A293" s="6" t="s">
        <v>2462</v>
      </c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5"/>
      <c r="M293" s="33" t="str">
        <f aca="true">IF(L293="","",TODAY()-L293)</f>
        <v/>
      </c>
      <c r="N293" s="21"/>
    </row>
    <row r="294" customFormat="false" ht="15" hidden="false" customHeight="false" outlineLevel="0" collapsed="false">
      <c r="A294" s="6" t="s">
        <v>2463</v>
      </c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5"/>
      <c r="M294" s="33" t="str">
        <f aca="true">IF(L294="","",TODAY()-L294)</f>
        <v/>
      </c>
      <c r="N294" s="21"/>
    </row>
    <row r="295" customFormat="false" ht="15" hidden="false" customHeight="false" outlineLevel="0" collapsed="false">
      <c r="A295" s="6" t="s">
        <v>2464</v>
      </c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5"/>
      <c r="M295" s="33" t="str">
        <f aca="true">IF(L295="","",TODAY()-L295)</f>
        <v/>
      </c>
      <c r="N295" s="21"/>
    </row>
    <row r="296" customFormat="false" ht="15" hidden="false" customHeight="false" outlineLevel="0" collapsed="false">
      <c r="A296" s="6" t="s">
        <v>2465</v>
      </c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5"/>
      <c r="M296" s="33" t="str">
        <f aca="true">IF(L296="","",TODAY()-L296)</f>
        <v/>
      </c>
      <c r="N296" s="21"/>
    </row>
    <row r="297" customFormat="false" ht="15" hidden="false" customHeight="false" outlineLevel="0" collapsed="false">
      <c r="A297" s="6" t="s">
        <v>2466</v>
      </c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5"/>
      <c r="M297" s="33" t="str">
        <f aca="true">IF(L297="","",TODAY()-L297)</f>
        <v/>
      </c>
      <c r="N297" s="21"/>
    </row>
    <row r="298" customFormat="false" ht="15" hidden="false" customHeight="false" outlineLevel="0" collapsed="false">
      <c r="A298" s="6" t="s">
        <v>2467</v>
      </c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5"/>
      <c r="M298" s="33" t="str">
        <f aca="true">IF(L298="","",TODAY()-L298)</f>
        <v/>
      </c>
      <c r="N298" s="21"/>
    </row>
    <row r="299" customFormat="false" ht="15" hidden="false" customHeight="false" outlineLevel="0" collapsed="false">
      <c r="A299" s="6" t="s">
        <v>2468</v>
      </c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5"/>
      <c r="M299" s="33" t="str">
        <f aca="true">IF(L299="","",TODAY()-L299)</f>
        <v/>
      </c>
      <c r="N299" s="21"/>
    </row>
    <row r="300" customFormat="false" ht="15" hidden="false" customHeight="false" outlineLevel="0" collapsed="false">
      <c r="A300" s="6" t="s">
        <v>2469</v>
      </c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5"/>
      <c r="M300" s="33" t="str">
        <f aca="true">IF(L300="","",TODAY()-L300)</f>
        <v/>
      </c>
      <c r="N300" s="21"/>
    </row>
    <row r="301" customFormat="false" ht="15" hidden="false" customHeight="false" outlineLevel="0" collapsed="false">
      <c r="A301" s="6" t="s">
        <v>2470</v>
      </c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5"/>
      <c r="M301" s="33" t="str">
        <f aca="true">IF(L301="","",TODAY()-L301)</f>
        <v/>
      </c>
      <c r="N301" s="21"/>
    </row>
    <row r="302" customFormat="false" ht="15" hidden="false" customHeight="false" outlineLevel="0" collapsed="false">
      <c r="A302" s="6" t="s">
        <v>2471</v>
      </c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5"/>
      <c r="M302" s="33" t="str">
        <f aca="true">IF(L302="","",TODAY()-L302)</f>
        <v/>
      </c>
      <c r="N302" s="21"/>
    </row>
    <row r="303" customFormat="false" ht="15" hidden="false" customHeight="false" outlineLevel="0" collapsed="false">
      <c r="A303" s="6" t="s">
        <v>2472</v>
      </c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5"/>
      <c r="M303" s="33" t="str">
        <f aca="true">IF(L303="","",TODAY()-L303)</f>
        <v/>
      </c>
      <c r="N303" s="21"/>
    </row>
    <row r="304" customFormat="false" ht="15" hidden="false" customHeight="false" outlineLevel="0" collapsed="false">
      <c r="A304" s="6" t="s">
        <v>2473</v>
      </c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5"/>
      <c r="M304" s="33" t="str">
        <f aca="true">IF(L304="","",TODAY()-L304)</f>
        <v/>
      </c>
      <c r="N304" s="21"/>
    </row>
  </sheetData>
  <autoFilter ref="A4:N304"/>
  <conditionalFormatting sqref="M5:M304">
    <cfRule type="cellIs" priority="2" operator="greaterThan" aboveAverage="0" equalAverage="0" bottom="0" percent="0" rank="0" text="" dxfId="13">
      <formula>30</formula>
    </cfRule>
  </conditionalFormatting>
  <conditionalFormatting sqref="J5:J304">
    <cfRule type="cellIs" priority="3" operator="equal" aboveAverage="0" equalAverage="0" bottom="0" percent="0" rank="0" text="" dxfId="3">
      <formula>"Resistant"</formula>
    </cfRule>
    <cfRule type="cellIs" priority="4" operator="equal" aboveAverage="0" equalAverage="0" bottom="0" percent="0" rank="0" text="" dxfId="1">
      <formula>"Supportive"</formula>
    </cfRule>
  </conditionalFormatting>
  <dataValidations count="6">
    <dataValidation allowBlank="true" error="Value not in the standard list. Keep it anyway?" errorStyle="warning" errorTitle="Not in list" operator="between" showDropDown="false" showErrorMessage="true" showInputMessage="false" sqref="E5:E304" type="list">
      <formula1>Lists!$G$4:$G$8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H5:H304" type="list">
      <formula1>Lists!$V$4:$V$7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I5:I304" type="list">
      <formula1>Lists!$S$4:$S$6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J5:J304" type="list">
      <formula1>Lists!$W$4:$W$7</formula1>
      <formula2>0</formula2>
    </dataValidation>
    <dataValidation allowBlank="true" error="Value not in the standard list. Keep it anyway?" errorStyle="warning" errorTitle="Not in list" operator="between" showDropDown="false" showErrorMessage="true" showInputMessage="false" sqref="K5:K304" type="list">
      <formula1>Lists!$X$4:$X$8</formula1>
      <formula2>0</formula2>
    </dataValidation>
    <dataValidation allowBlank="true" error="Enter a valid date (e.g. 19-Oct-2026)." errorStyle="stop" operator="greaterThan" showDropDown="false" showErrorMessage="true" showInputMessage="false" sqref="L5:L304" type="date">
      <formula1>DATE(2000,1,1)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A1:A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6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8" min="7" style="0" width="16"/>
    <col collapsed="false" customWidth="true" hidden="false" outlineLevel="0" max="9" min="9" style="0" width="25"/>
    <col collapsed="false" customWidth="true" hidden="false" outlineLevel="0" max="10" min="10" style="0" width="20"/>
    <col collapsed="false" customWidth="true" hidden="false" outlineLevel="0" max="12" min="11" style="0" width="16"/>
    <col collapsed="false" customWidth="true" hidden="false" outlineLevel="0" max="13" min="13" style="0" width="26"/>
    <col collapsed="false" customWidth="true" hidden="false" outlineLevel="0" max="14" min="14" style="0" width="16"/>
    <col collapsed="false" customWidth="true" hidden="false" outlineLevel="0" max="15" min="15" style="0" width="26"/>
    <col collapsed="false" customWidth="true" hidden="false" outlineLevel="0" max="16" min="16" style="0" width="20"/>
    <col collapsed="false" customWidth="true" hidden="false" outlineLevel="0" max="18" min="17" style="0" width="26"/>
    <col collapsed="false" customWidth="true" hidden="false" outlineLevel="0" max="19" min="19" style="0" width="16"/>
    <col collapsed="false" customWidth="true" hidden="false" outlineLevel="0" max="20" min="20" style="0" width="25"/>
    <col collapsed="false" customWidth="true" hidden="false" outlineLevel="0" max="21" min="21" style="0" width="23"/>
    <col collapsed="false" customWidth="true" hidden="false" outlineLevel="0" max="25" min="22" style="0" width="16"/>
    <col collapsed="false" customWidth="true" hidden="false" outlineLevel="0" max="27" min="27" style="0" width="16"/>
    <col collapsed="false" customWidth="true" hidden="false" outlineLevel="0" max="28" min="28" style="0" width="24"/>
  </cols>
  <sheetData>
    <row r="1" customFormat="false" ht="15" hidden="false" customHeight="false" outlineLevel="0" collapsed="false">
      <c r="A1" s="44" t="s">
        <v>2474</v>
      </c>
    </row>
    <row r="3" customFormat="false" ht="15" hidden="false" customHeight="false" outlineLevel="0" collapsed="false">
      <c r="A3" s="13" t="s">
        <v>2475</v>
      </c>
      <c r="B3" s="13" t="s">
        <v>2476</v>
      </c>
      <c r="C3" s="13" t="s">
        <v>2477</v>
      </c>
      <c r="D3" s="13" t="s">
        <v>1174</v>
      </c>
      <c r="E3" s="13" t="s">
        <v>2478</v>
      </c>
      <c r="F3" s="13" t="s">
        <v>173</v>
      </c>
      <c r="G3" s="13" t="s">
        <v>2157</v>
      </c>
      <c r="H3" s="13" t="s">
        <v>837</v>
      </c>
      <c r="I3" s="13" t="s">
        <v>2479</v>
      </c>
      <c r="J3" s="13" t="s">
        <v>2480</v>
      </c>
      <c r="K3" s="13" t="s">
        <v>2481</v>
      </c>
      <c r="L3" s="13" t="s">
        <v>2482</v>
      </c>
      <c r="M3" s="13" t="s">
        <v>2483</v>
      </c>
      <c r="N3" s="13" t="s">
        <v>2484</v>
      </c>
      <c r="O3" s="13" t="s">
        <v>2485</v>
      </c>
      <c r="P3" s="13" t="s">
        <v>2486</v>
      </c>
      <c r="Q3" s="13" t="s">
        <v>2487</v>
      </c>
      <c r="R3" s="13" t="s">
        <v>2488</v>
      </c>
      <c r="S3" s="13" t="s">
        <v>2489</v>
      </c>
      <c r="T3" s="13" t="s">
        <v>2490</v>
      </c>
      <c r="U3" s="13" t="s">
        <v>2491</v>
      </c>
      <c r="V3" s="13" t="s">
        <v>2492</v>
      </c>
      <c r="W3" s="13" t="s">
        <v>2162</v>
      </c>
      <c r="X3" s="13" t="s">
        <v>2493</v>
      </c>
      <c r="Y3" s="13" t="s">
        <v>2494</v>
      </c>
      <c r="AA3" s="13" t="s">
        <v>1827</v>
      </c>
      <c r="AB3" s="13" t="s">
        <v>2495</v>
      </c>
    </row>
    <row r="4" customFormat="false" ht="15" hidden="false" customHeight="false" outlineLevel="0" collapsed="false">
      <c r="A4" s="45" t="s">
        <v>530</v>
      </c>
      <c r="B4" s="45" t="s">
        <v>530</v>
      </c>
      <c r="C4" s="45" t="s">
        <v>52</v>
      </c>
      <c r="D4" s="45" t="s">
        <v>66</v>
      </c>
      <c r="E4" s="45" t="s">
        <v>106</v>
      </c>
      <c r="F4" s="45" t="s">
        <v>1505</v>
      </c>
      <c r="G4" s="45" t="s">
        <v>857</v>
      </c>
      <c r="H4" s="45" t="s">
        <v>2496</v>
      </c>
      <c r="I4" s="45" t="s">
        <v>859</v>
      </c>
      <c r="J4" s="45" t="s">
        <v>863</v>
      </c>
      <c r="K4" s="45" t="s">
        <v>1183</v>
      </c>
      <c r="L4" s="45" t="s">
        <v>94</v>
      </c>
      <c r="M4" s="45" t="s">
        <v>2497</v>
      </c>
      <c r="N4" s="45" t="s">
        <v>66</v>
      </c>
      <c r="O4" s="45" t="s">
        <v>2498</v>
      </c>
      <c r="P4" s="45" t="s">
        <v>2499</v>
      </c>
      <c r="Q4" s="45" t="s">
        <v>2500</v>
      </c>
      <c r="R4" s="45" t="s">
        <v>1840</v>
      </c>
      <c r="S4" s="45" t="s">
        <v>68</v>
      </c>
      <c r="T4" s="45" t="s">
        <v>78</v>
      </c>
      <c r="U4" s="45" t="s">
        <v>2501</v>
      </c>
      <c r="V4" s="45" t="s">
        <v>2172</v>
      </c>
      <c r="W4" s="45" t="s">
        <v>2502</v>
      </c>
      <c r="X4" s="45" t="s">
        <v>2159</v>
      </c>
      <c r="Y4" s="45" t="s">
        <v>52</v>
      </c>
      <c r="AA4" s="46" t="s">
        <v>66</v>
      </c>
      <c r="AB4" s="46" t="n">
        <v>15</v>
      </c>
    </row>
    <row r="5" customFormat="false" ht="15" hidden="false" customHeight="false" outlineLevel="0" collapsed="false">
      <c r="A5" s="45" t="s">
        <v>531</v>
      </c>
      <c r="B5" s="45" t="s">
        <v>531</v>
      </c>
      <c r="C5" s="45" t="s">
        <v>54</v>
      </c>
      <c r="D5" s="45" t="s">
        <v>68</v>
      </c>
      <c r="E5" s="45" t="s">
        <v>108</v>
      </c>
      <c r="F5" s="45" t="s">
        <v>520</v>
      </c>
      <c r="G5" s="45" t="s">
        <v>1185</v>
      </c>
      <c r="H5" s="45" t="s">
        <v>855</v>
      </c>
      <c r="I5" s="45" t="s">
        <v>2503</v>
      </c>
      <c r="J5" s="45" t="s">
        <v>2504</v>
      </c>
      <c r="K5" s="45" t="s">
        <v>2159</v>
      </c>
      <c r="L5" s="45" t="s">
        <v>96</v>
      </c>
      <c r="M5" s="45" t="s">
        <v>2505</v>
      </c>
      <c r="N5" s="45" t="s">
        <v>68</v>
      </c>
      <c r="O5" s="45" t="s">
        <v>1510</v>
      </c>
      <c r="P5" s="45" t="s">
        <v>2506</v>
      </c>
      <c r="Q5" s="45" t="s">
        <v>1841</v>
      </c>
      <c r="R5" s="45" t="s">
        <v>2507</v>
      </c>
      <c r="S5" s="45" t="s">
        <v>70</v>
      </c>
      <c r="T5" s="45" t="s">
        <v>80</v>
      </c>
      <c r="U5" s="45" t="s">
        <v>533</v>
      </c>
      <c r="V5" s="45" t="s">
        <v>2508</v>
      </c>
      <c r="W5" s="45" t="s">
        <v>2173</v>
      </c>
      <c r="X5" s="45" t="s">
        <v>2509</v>
      </c>
      <c r="Y5" s="45" t="s">
        <v>54</v>
      </c>
      <c r="AA5" s="46" t="s">
        <v>68</v>
      </c>
      <c r="AB5" s="46" t="n">
        <v>30</v>
      </c>
    </row>
    <row r="6" customFormat="false" ht="15" hidden="false" customHeight="false" outlineLevel="0" collapsed="false">
      <c r="A6" s="45"/>
      <c r="B6" s="45" t="s">
        <v>1847</v>
      </c>
      <c r="C6" s="45" t="s">
        <v>56</v>
      </c>
      <c r="D6" s="45" t="s">
        <v>70</v>
      </c>
      <c r="E6" s="45" t="s">
        <v>110</v>
      </c>
      <c r="F6" s="45" t="s">
        <v>189</v>
      </c>
      <c r="G6" s="45" t="s">
        <v>2510</v>
      </c>
      <c r="H6" s="45"/>
      <c r="I6" s="45" t="s">
        <v>2511</v>
      </c>
      <c r="J6" s="45" t="s">
        <v>2512</v>
      </c>
      <c r="K6" s="45" t="s">
        <v>2513</v>
      </c>
      <c r="L6" s="45" t="s">
        <v>98</v>
      </c>
      <c r="M6" s="45" t="s">
        <v>2514</v>
      </c>
      <c r="N6" s="45" t="s">
        <v>70</v>
      </c>
      <c r="O6" s="45" t="s">
        <v>2515</v>
      </c>
      <c r="P6" s="45" t="s">
        <v>2516</v>
      </c>
      <c r="Q6" s="45" t="s">
        <v>2517</v>
      </c>
      <c r="R6" s="45" t="s">
        <v>2518</v>
      </c>
      <c r="S6" s="45" t="s">
        <v>72</v>
      </c>
      <c r="T6" s="45" t="s">
        <v>82</v>
      </c>
      <c r="U6" s="45" t="s">
        <v>2519</v>
      </c>
      <c r="V6" s="45" t="s">
        <v>2520</v>
      </c>
      <c r="W6" s="45" t="s">
        <v>2521</v>
      </c>
      <c r="X6" s="45" t="s">
        <v>1183</v>
      </c>
      <c r="Y6" s="45" t="s">
        <v>59</v>
      </c>
      <c r="AA6" s="46" t="s">
        <v>70</v>
      </c>
      <c r="AB6" s="46" t="n">
        <v>90</v>
      </c>
    </row>
    <row r="7" customFormat="false" ht="15" hidden="false" customHeight="false" outlineLevel="0" collapsed="false">
      <c r="A7" s="45"/>
      <c r="B7" s="45"/>
      <c r="C7" s="45" t="s">
        <v>57</v>
      </c>
      <c r="D7" s="45" t="s">
        <v>72</v>
      </c>
      <c r="E7" s="45" t="s">
        <v>112</v>
      </c>
      <c r="F7" s="45" t="s">
        <v>2522</v>
      </c>
      <c r="G7" s="45" t="s">
        <v>2523</v>
      </c>
      <c r="H7" s="45"/>
      <c r="I7" s="45" t="s">
        <v>2524</v>
      </c>
      <c r="J7" s="45" t="s">
        <v>2525</v>
      </c>
      <c r="K7" s="45" t="s">
        <v>2526</v>
      </c>
      <c r="L7" s="45" t="s">
        <v>100</v>
      </c>
      <c r="M7" s="45" t="s">
        <v>2527</v>
      </c>
      <c r="N7" s="45" t="s">
        <v>72</v>
      </c>
      <c r="O7" s="45" t="s">
        <v>2528</v>
      </c>
      <c r="P7" s="45" t="s">
        <v>2529</v>
      </c>
      <c r="Q7" s="45" t="s">
        <v>2530</v>
      </c>
      <c r="R7" s="45" t="s">
        <v>2531</v>
      </c>
      <c r="S7" s="45"/>
      <c r="T7" s="45" t="s">
        <v>84</v>
      </c>
      <c r="U7" s="45"/>
      <c r="V7" s="45" t="s">
        <v>2532</v>
      </c>
      <c r="W7" s="45" t="s">
        <v>1847</v>
      </c>
      <c r="X7" s="45" t="s">
        <v>2533</v>
      </c>
      <c r="Y7" s="45" t="s">
        <v>2534</v>
      </c>
      <c r="AA7" s="46" t="s">
        <v>72</v>
      </c>
      <c r="AB7" s="46" t="n">
        <v>180</v>
      </c>
    </row>
    <row r="8" customFormat="false" ht="15" hidden="false" customHeight="false" outlineLevel="0" collapsed="false">
      <c r="A8" s="45"/>
      <c r="B8" s="45"/>
      <c r="C8" s="45" t="s">
        <v>59</v>
      </c>
      <c r="D8" s="45"/>
      <c r="E8" s="45" t="s">
        <v>114</v>
      </c>
      <c r="F8" s="45" t="s">
        <v>2535</v>
      </c>
      <c r="G8" s="45" t="s">
        <v>523</v>
      </c>
      <c r="H8" s="45"/>
      <c r="I8" s="45" t="s">
        <v>2527</v>
      </c>
      <c r="J8" s="45" t="s">
        <v>2536</v>
      </c>
      <c r="K8" s="45" t="s">
        <v>2537</v>
      </c>
      <c r="L8" s="45" t="s">
        <v>102</v>
      </c>
      <c r="M8" s="45" t="s">
        <v>1504</v>
      </c>
      <c r="N8" s="45" t="s">
        <v>74</v>
      </c>
      <c r="O8" s="45" t="s">
        <v>2538</v>
      </c>
      <c r="P8" s="45" t="s">
        <v>1511</v>
      </c>
      <c r="Q8" s="45" t="s">
        <v>2539</v>
      </c>
      <c r="R8" s="45" t="s">
        <v>2540</v>
      </c>
      <c r="S8" s="45"/>
      <c r="T8" s="45" t="s">
        <v>86</v>
      </c>
      <c r="U8" s="45"/>
      <c r="V8" s="45"/>
      <c r="W8" s="45"/>
      <c r="X8" s="45" t="s">
        <v>2541</v>
      </c>
      <c r="Y8" s="45" t="s">
        <v>57</v>
      </c>
      <c r="AA8" s="46" t="s">
        <v>74</v>
      </c>
      <c r="AB8" s="46" t="n">
        <v>365</v>
      </c>
    </row>
    <row r="9" customFormat="false" ht="15" hidden="false" customHeight="false" outlineLevel="0" collapsed="false">
      <c r="A9" s="45"/>
      <c r="B9" s="45"/>
      <c r="C9" s="45" t="s">
        <v>61</v>
      </c>
      <c r="D9" s="45"/>
      <c r="E9" s="45" t="s">
        <v>116</v>
      </c>
      <c r="F9" s="45" t="s">
        <v>2542</v>
      </c>
      <c r="G9" s="45"/>
      <c r="H9" s="45"/>
      <c r="I9" s="45" t="s">
        <v>2543</v>
      </c>
      <c r="J9" s="45"/>
      <c r="K9" s="45" t="s">
        <v>120</v>
      </c>
      <c r="L9" s="45"/>
      <c r="M9" s="45" t="s">
        <v>2544</v>
      </c>
      <c r="N9" s="45"/>
      <c r="O9" s="45" t="s">
        <v>2545</v>
      </c>
      <c r="P9" s="45"/>
      <c r="Q9" s="45" t="s">
        <v>2546</v>
      </c>
      <c r="R9" s="45" t="s">
        <v>2547</v>
      </c>
      <c r="S9" s="45"/>
      <c r="T9" s="45" t="s">
        <v>88</v>
      </c>
      <c r="U9" s="45"/>
      <c r="V9" s="45"/>
      <c r="W9" s="45"/>
      <c r="X9" s="45"/>
      <c r="Y9" s="45"/>
    </row>
    <row r="10" customFormat="false" ht="15" hidden="false" customHeight="false" outlineLevel="0" collapsed="false">
      <c r="A10" s="45"/>
      <c r="B10" s="45"/>
      <c r="C10" s="45"/>
      <c r="D10" s="45"/>
      <c r="E10" s="45" t="s">
        <v>118</v>
      </c>
      <c r="F10" s="45" t="s">
        <v>2548</v>
      </c>
      <c r="G10" s="45"/>
      <c r="H10" s="45"/>
      <c r="I10" s="45" t="s">
        <v>2549</v>
      </c>
      <c r="J10" s="45"/>
      <c r="K10" s="45"/>
      <c r="L10" s="45"/>
      <c r="M10" s="45" t="s">
        <v>2550</v>
      </c>
      <c r="N10" s="45"/>
      <c r="O10" s="45" t="s">
        <v>523</v>
      </c>
      <c r="P10" s="45"/>
      <c r="Q10" s="45" t="s">
        <v>2551</v>
      </c>
      <c r="R10" s="45" t="s">
        <v>2552</v>
      </c>
      <c r="S10" s="45"/>
      <c r="T10" s="45" t="s">
        <v>90</v>
      </c>
      <c r="U10" s="45"/>
      <c r="V10" s="45"/>
      <c r="W10" s="45"/>
      <c r="X10" s="45"/>
      <c r="Y10" s="45"/>
      <c r="AA10" s="12" t="s">
        <v>2553</v>
      </c>
    </row>
    <row r="11" customFormat="false" ht="15" hidden="false" customHeight="false" outlineLevel="0" collapsed="false">
      <c r="A11" s="45"/>
      <c r="B11" s="45"/>
      <c r="C11" s="45"/>
      <c r="D11" s="45"/>
      <c r="E11" s="45" t="s">
        <v>120</v>
      </c>
      <c r="F11" s="45" t="s">
        <v>2554</v>
      </c>
      <c r="G11" s="45"/>
      <c r="H11" s="45"/>
      <c r="I11" s="45" t="s">
        <v>2555</v>
      </c>
      <c r="J11" s="45"/>
      <c r="K11" s="45"/>
      <c r="L11" s="45"/>
      <c r="M11" s="45" t="s">
        <v>2556</v>
      </c>
      <c r="N11" s="45"/>
      <c r="O11" s="45"/>
      <c r="P11" s="45"/>
      <c r="Q11" s="45" t="s">
        <v>2557</v>
      </c>
      <c r="R11" s="45" t="s">
        <v>2558</v>
      </c>
      <c r="S11" s="45"/>
      <c r="T11" s="45"/>
      <c r="U11" s="45"/>
      <c r="V11" s="45"/>
      <c r="W11" s="45"/>
      <c r="X11" s="45"/>
      <c r="Y11" s="45"/>
    </row>
    <row r="12" customFormat="false" ht="15" hidden="false" customHeight="false" outlineLevel="0" collapsed="false">
      <c r="A12" s="45"/>
      <c r="B12" s="45"/>
      <c r="C12" s="45"/>
      <c r="D12" s="45"/>
      <c r="E12" s="45"/>
      <c r="F12" s="45" t="s">
        <v>2559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 t="s">
        <v>2560</v>
      </c>
      <c r="R12" s="45" t="s">
        <v>2561</v>
      </c>
      <c r="S12" s="45"/>
      <c r="T12" s="45"/>
      <c r="U12" s="45"/>
      <c r="V12" s="45"/>
      <c r="W12" s="45"/>
      <c r="X12" s="45"/>
      <c r="Y12" s="45"/>
    </row>
    <row r="13" customFormat="false" ht="15" hidden="false" customHeight="false" outlineLevel="0" collapsed="false">
      <c r="A13" s="45"/>
      <c r="B13" s="45"/>
      <c r="C13" s="45"/>
      <c r="D13" s="45"/>
      <c r="E13" s="45"/>
      <c r="F13" s="45" t="s">
        <v>2562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 t="s">
        <v>2563</v>
      </c>
      <c r="R13" s="45"/>
      <c r="S13" s="45"/>
      <c r="T13" s="45"/>
      <c r="U13" s="45"/>
      <c r="V13" s="45"/>
      <c r="W13" s="45"/>
      <c r="X13" s="45"/>
      <c r="Y13" s="45"/>
    </row>
    <row r="14" customFormat="false" ht="15" hidden="false" customHeight="false" outlineLevel="0" collapsed="false">
      <c r="A14" s="45"/>
      <c r="B14" s="45"/>
      <c r="C14" s="45"/>
      <c r="D14" s="45"/>
      <c r="E14" s="45"/>
      <c r="F14" s="45" t="s">
        <v>2564</v>
      </c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 t="s">
        <v>2565</v>
      </c>
      <c r="R14" s="45"/>
      <c r="S14" s="45"/>
      <c r="T14" s="45"/>
      <c r="U14" s="45"/>
      <c r="V14" s="45"/>
      <c r="W14" s="45"/>
      <c r="X14" s="45"/>
      <c r="Y14" s="45"/>
    </row>
    <row r="15" customFormat="false" ht="15" hidden="false" customHeight="false" outlineLevel="0" collapsed="false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 t="s">
        <v>2566</v>
      </c>
      <c r="R15" s="45"/>
      <c r="S15" s="45"/>
      <c r="T15" s="45"/>
      <c r="U15" s="45"/>
      <c r="V15" s="45"/>
      <c r="W15" s="45"/>
      <c r="X15" s="45"/>
      <c r="Y15" s="45"/>
    </row>
    <row r="16" customFormat="false" ht="15" hidden="false" customHeight="false" outlineLevel="0" collapsed="false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</row>
    <row r="17" customFormat="false" ht="15" hidden="false" customHeight="false" outlineLevel="0" collapsed="false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</row>
    <row r="18" customFormat="false" ht="15" hidden="false" customHeight="fals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2026-10-19T12:25:05Z</dcterms:created>
  <dc:creator>openpyxl</dc:creator>
  <dc:description/>
  <dc:language>en-US</dc:language>
  <cp:lastModifiedBy/>
  <dcterms:modified xsi:type="dcterms:W3CDTF">2026-10-19T13:25:19Z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