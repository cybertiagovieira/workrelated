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Weekly Report" sheetId="2" state="visible" r:id="rId4"/>
    <sheet name="Weekly Status Log" sheetId="3" state="visible" r:id="rId5"/>
    <sheet name="Dashboard" sheetId="4" state="visible" r:id="rId6"/>
    <sheet name="Mission Charter" sheetId="5" state="visible" r:id="rId7"/>
    <sheet name="Goals &amp; KPIs" sheetId="6" state="visible" r:id="rId8"/>
    <sheet name="Meetings" sheetId="7" state="visible" r:id="rId9"/>
    <sheet name="Emails" sheetId="8" state="visible" r:id="rId10"/>
    <sheet name="Tasks" sheetId="9" state="visible" r:id="rId11"/>
    <sheet name="Developments" sheetId="10" state="visible" r:id="rId12"/>
    <sheet name="EASM Findings" sheetId="11" state="visible" r:id="rId13"/>
    <sheet name="Stakeholders" sheetId="12" state="visible" r:id="rId14"/>
    <sheet name="Lists" sheetId="13" state="visible" r:id="rId15"/>
  </sheets>
  <definedNames>
    <definedName function="false" hidden="false" localSheetId="9" name="_xlnm.Print_Titles" vbProcedure="false">Developments!$4:$4</definedName>
    <definedName function="false" hidden="true" localSheetId="9" name="_xlnm._FilterDatabase" vbProcedure="false">Developments!$A$4:$V$304</definedName>
    <definedName function="false" hidden="false" localSheetId="10" name="_xlnm.Print_Titles" vbProcedure="false">'EASM Findings'!$4:$4</definedName>
    <definedName function="false" hidden="true" localSheetId="10" name="_xlnm._FilterDatabase" vbProcedure="false">'EASM Findings'!$A$4:$AD$304</definedName>
    <definedName function="false" hidden="false" localSheetId="7" name="_xlnm.Print_Titles" vbProcedure="false">Emails!$4:$4</definedName>
    <definedName function="false" hidden="true" localSheetId="7" name="_xlnm._FilterDatabase" vbProcedure="false">Emails!$A$4:$U$304</definedName>
    <definedName function="false" hidden="false" localSheetId="5" name="_xlnm.Print_Titles" vbProcedure="false">'Goals &amp; KPIs'!$4:$4</definedName>
    <definedName function="false" hidden="true" localSheetId="5" name="_xlnm._FilterDatabase" vbProcedure="false">'Goals &amp; KPIs'!$A$4:$S$304</definedName>
    <definedName function="false" hidden="false" localSheetId="6" name="_xlnm.Print_Titles" vbProcedure="false">Meetings!$4:$4</definedName>
    <definedName function="false" hidden="true" localSheetId="6" name="_xlnm._FilterDatabase" vbProcedure="false">Meetings!$A$4:$W$304</definedName>
    <definedName function="false" hidden="false" localSheetId="11" name="_xlnm.Print_Titles" vbProcedure="false">Stakeholders!$4:$4</definedName>
    <definedName function="false" hidden="true" localSheetId="11" name="_xlnm._FilterDatabase" vbProcedure="false">Stakeholders!$A$4:$N$304</definedName>
    <definedName function="false" hidden="false" localSheetId="8" name="_xlnm.Print_Titles" vbProcedure="false">Tasks!$4:$4</definedName>
    <definedName function="false" hidden="true" localSheetId="8" name="_xlnm._FilterDatabase" vbProcedure="false">Tasks!$A$4:$Y$304</definedName>
    <definedName function="false" hidden="false" localSheetId="1" name="_xlnm.Print_Area" vbProcedure="false">'Weekly Report'!$A$1:$H$203</definedName>
    <definedName function="false" hidden="false" localSheetId="2" name="_xlnm.Print_Titles" vbProcedure="false">'Weekly Status Log'!$4:$4</definedName>
    <definedName function="false" hidden="true" localSheetId="2" name="_xlnm._FilterDatabase" vbProcedure="false">'Weekly Status Log'!$A$4:$O$108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One row per weekly meeting. The Weekly Report automatically uses the latest date entered here.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Copy the previous 'Current Value' here before updating it each week.</t>
        </r>
      </text>
    </comment>
    <comment ref="L4" authorId="0">
      <text>
        <r>
          <rPr>
            <sz val="10"/>
            <rFont val="Arial"/>
            <family val="2"/>
          </rPr>
          <t xml:space="preserve">(Current − Baseline) / (Target − Baseline), capped 0–100%. Works for 'higher is better' and 'lower is better' KPIs.</t>
        </r>
      </text>
    </comment>
    <comment ref="R4" authorId="0">
      <text>
        <r>
          <rPr>
            <sz val="10"/>
            <rFont val="Arial"/>
            <family val="2"/>
          </rPr>
          <t xml:space="preserve">Feeds 'Progress since last week' when it falls in the reporting period.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Premises or evidence from 1LoD that were challenged in the meeting.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Feeds 'Progress since last week' when it falls in the reporting period.</t>
        </r>
      </text>
    </comment>
    <comment ref="P4" authorId="0">
      <text>
        <r>
          <rPr>
            <sz val="10"/>
            <rFont val="Arial"/>
            <family val="2"/>
          </rPr>
          <t xml:space="preserve">Yes = appears in 'Plan for next week'. Open tasks due by end of next week appear automatically.</t>
        </r>
      </text>
    </comment>
    <comment ref="Q4" authorId="0">
      <text>
        <r>
          <rPr>
            <sz val="10"/>
            <rFont val="Arial"/>
            <family val="2"/>
          </rPr>
          <t xml:space="preserve">Date of the latest material progress. Feeds 'Progress since last week'.</t>
        </r>
      </text>
    </comment>
    <comment ref="S4" authorId="0">
      <text>
        <r>
          <rPr>
            <sz val="10"/>
            <rFont val="Arial"/>
            <family val="2"/>
          </rPr>
          <t xml:space="preserve">Who you are waiting on. Any value here puts the task in 'Blockers / dependencies'.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Yes + Decision Status Open = appears in 'Escalation / decision needed'.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'No' = shadow / unmanaged asset. Drives the Dashboard 'unknown asset' ratio.</t>
        </r>
      </text>
    </comment>
    <comment ref="S4" authorId="0">
      <text>
        <r>
          <rPr>
            <sz val="10"/>
            <rFont val="Arial"/>
            <family val="2"/>
          </rPr>
          <t xml:space="preserve">Looked up from the Severity → SLA table on the Lists tab (default values; align to your standard).</t>
        </r>
      </text>
    </comment>
    <comment ref="W4" authorId="0">
      <text>
        <r>
          <rPr>
            <sz val="10"/>
            <rFont val="Arial"/>
            <family val="2"/>
          </rPr>
          <t xml:space="preserve">Set when severity, status, exploitation, RAF view or ownership changes materially. Feeds the weekly 'Findings' section.</t>
        </r>
      </text>
    </comment>
    <comment ref="Y4" authorId="0">
      <text>
        <r>
          <rPr>
            <sz val="10"/>
            <rFont val="Arial"/>
            <family val="2"/>
          </rPr>
          <t xml:space="preserve">NEW = discovered in the Weekly Report period; CHANGED = material change recorded in the period.</t>
        </r>
      </text>
    </comment>
  </commentList>
</comments>
</file>

<file path=xl/sharedStrings.xml><?xml version="1.0" encoding="utf-8"?>
<sst xmlns="http://schemas.openxmlformats.org/spreadsheetml/2006/main" count="3140" uniqueCount="2879">
  <si>
    <t xml:space="preserve">EASM Mission Tracker — Guide</t>
  </si>
  <si>
    <t xml:space="preserve">Cyber Risk Intelligence (2LoD) — one workbook for meetings, communications, tasks, goals, developments and EASM findings, producing the weekly status report automatically.</t>
  </si>
  <si>
    <t xml:space="preserve">WEEKLY ROUTINE (≈15 min before the meeting)</t>
  </si>
  <si>
    <t xml:space="preserve">1 · During the week</t>
  </si>
  <si>
    <t xml:space="preserve">Log as things happen: Meetings, Emails, Developments, EASM Findings. On Tasks keep Status, % Complete, Last Update Date and Latest Update Note current.</t>
  </si>
  <si>
    <t xml:space="preserve">2 · Findings</t>
  </si>
  <si>
    <t xml:space="preserve">When severity, status, exploitation, ownership or RAF view changes, set 'Last Material Change Date' and describe the change. New/changed findings flow to section 5.</t>
  </si>
  <si>
    <t xml:space="preserve">3 · Goals</t>
  </si>
  <si>
    <t xml:space="preserve">Copy 'Current Value' into 'Value Last Week', then enter the new Current Value and Last Updated date.</t>
  </si>
  <si>
    <t xml:space="preserve">4 · Plan &amp; dependencies</t>
  </si>
  <si>
    <t xml:space="preserve">On Tasks set 'Planned for Next Week? = Yes' and fill 'Dependency On' / 'Needed By' for anything waiting on others. On Developments set 'Decision / Escalation Required? = Yes' with the ask, decision owner and date.</t>
  </si>
  <si>
    <t xml:space="preserve">5 · Weekly Status Log</t>
  </si>
  <si>
    <t xml:space="preserve">Add a row with the meeting date. The Weekly Report switches to that week automatically.</t>
  </si>
  <si>
    <t xml:space="preserve">6 · Weekly Report</t>
  </si>
  <si>
    <t xml:space="preserve">Review sections 1–8. Compare the indicator-based status with your call; resolve any CHALLENGE flag. Then write your RAG, one-sentence 'Why' and commentary in the Weekly Status Log row.</t>
  </si>
  <si>
    <t xml:space="preserve">7 · Present</t>
  </si>
  <si>
    <t xml:space="preserve">Print or export the Weekly Report tab to PDF (landscape, fits to width). After the meeting, record decisions and actions in the same log row and create the tasks.</t>
  </si>
  <si>
    <t xml:space="preserve">WEEKLY REPORT SECTIONS</t>
  </si>
  <si>
    <t xml:space="preserve">1 · Overall timeline</t>
  </si>
  <si>
    <t xml:space="preserve">Mission dates, % elapsed, current phase and a text Gantt of the phase plan (Mission Charter) with a today marker.</t>
  </si>
  <si>
    <t xml:space="preserve">2 · Overall status</t>
  </si>
  <si>
    <t xml:space="preserve">Your RAG and one-sentence rationale, previous week and trend, indicator-based RAG from 13 drivers with editable thresholds, and a 2LoD consistency check.</t>
  </si>
  <si>
    <t xml:space="preserve">3 · Progress since last week</t>
  </si>
  <si>
    <t xml:space="preserve">Tasks completed; tasks moved forward; KPI week-on-week movement; developments and decisions; meetings held.</t>
  </si>
  <si>
    <t xml:space="preserve">4 · Current work</t>
  </si>
  <si>
    <t xml:space="preserve">All tasks In Progress with % complete, due flag and latest note.</t>
  </si>
  <si>
    <t xml:space="preserve">5 · Findings</t>
  </si>
  <si>
    <t xml:space="preserve">Only findings discovered or materially changed in the period, with remediation owner, status, target date, SLA and RAF; plus remediation targets due by end of next week.</t>
  </si>
  <si>
    <t xml:space="preserve">6 · Blockers / dependencies</t>
  </si>
  <si>
    <t xml:space="preserve">Blocked tasks and tasks waiting on a named person/team; overdue or outstanding responses from 1LoD and third parties.</t>
  </si>
  <si>
    <t xml:space="preserve">7 · Plan for next week</t>
  </si>
  <si>
    <t xml:space="preserve">Open tasks flagged for next week, due by end of next week (incl. overdue) or starting next week.</t>
  </si>
  <si>
    <t xml:space="preserve">8 · Escalation / decision needed</t>
  </si>
  <si>
    <t xml:space="preserve">Open decisions and escalations (Developments) and open findings in RAF breach.</t>
  </si>
  <si>
    <t xml:space="preserve">Reporting period</t>
  </si>
  <si>
    <t xml:space="preserve">Defaults to the day after the previous log entry up to the meeting date (or the last 7 days). Both dates can be overridden in the white cells at the top of the Weekly Report.</t>
  </si>
  <si>
    <t xml:space="preserve">LEGEND</t>
  </si>
  <si>
    <t xml:space="preserve">White cell</t>
  </si>
  <si>
    <t xml:space="preserve">Your input. Type, paste or pick from the dropdown.</t>
  </si>
  <si>
    <t xml:space="preserve">Grey cell</t>
  </si>
  <si>
    <t xml:space="preserve">Automatic formula (IDs, flags, days open, SLA, progress, report content). Do not overwrite.</t>
  </si>
  <si>
    <t xml:space="preserve">Light-green cell</t>
  </si>
  <si>
    <t xml:space="preserve">Key assumption (Severity → SLA table on Lists). Review and align to the bank's standard.</t>
  </si>
  <si>
    <t xml:space="preserve">Red / amber / green</t>
  </si>
  <si>
    <t xml:space="preserve">Conditional formatting: overdue, SLA breach, RAF breach, RAG, status and severity.</t>
  </si>
  <si>
    <t xml:space="preserve">Example rows</t>
  </si>
  <si>
    <t xml:space="preserve">Row 5 of every log tab is an illustrative example (italic), dated in the current week so the Weekly Report shows how it works. Overwrite or delete before go-live.</t>
  </si>
  <si>
    <t xml:space="preserve">Hidden helper columns</t>
  </si>
  <si>
    <t xml:space="preserve">Columns headed 'WR helper' (grey, grouped and collapsed at the right of each log) feed the Weekly Report. Do not delete them; expand with the [+] button if needed.</t>
  </si>
  <si>
    <t xml:space="preserve">TABS</t>
  </si>
  <si>
    <t xml:space="preserve">Weekly Report</t>
  </si>
  <si>
    <t xml:space="preserve">Auto-built weekly status pack (sections 1–8).</t>
  </si>
  <si>
    <t xml:space="preserve">Weekly Status Log (WSR-)</t>
  </si>
  <si>
    <t xml:space="preserve">One row per weekly meeting: RAG, why, commentary per section, decisions and actions; previous RAG and trend calculate automatically.</t>
  </si>
  <si>
    <t xml:space="preserve">Dashboard</t>
  </si>
  <si>
    <t xml:space="preserve">Cumulative mission KPIs and charts, including latest reported vs indicator-based RAG.</t>
  </si>
  <si>
    <t xml:space="preserve">Mission Charter</t>
  </si>
  <si>
    <t xml:space="preserve">Scope, objectives, drivers, governance and the 6-phase plan driving the timeline.</t>
  </si>
  <si>
    <t xml:space="preserve">Goals &amp; KPIs (GOL-)</t>
  </si>
  <si>
    <t xml:space="preserve">Objectives and key results with last-week vs current value and progress to target.</t>
  </si>
  <si>
    <t xml:space="preserve">Meetings (MTG-) / Emails (EML-)</t>
  </si>
  <si>
    <t xml:space="preserve">Meetings with decisions, 2LoD challenge and follow-ups; material emails with response SLAs.</t>
  </si>
  <si>
    <t xml:space="preserve">Tasks (TSK-)</t>
  </si>
  <si>
    <t xml:space="preserve">Actions with owner, priority, progress notes, dependencies and next-week flag.</t>
  </si>
  <si>
    <t xml:space="preserve">Developments (DEV-)</t>
  </si>
  <si>
    <t xml:space="preserve">Milestones, decisions, scope changes, escalations and risk acceptances, including decision asks and outcomes.</t>
  </si>
  <si>
    <t xml:space="preserve">EASM Findings (FND-)</t>
  </si>
  <si>
    <t xml:space="preserve">Exposure register: technical vector → operational vulnerability → systemic/concentration risk → financial/regulatory impact → RAF, with SLA and weekly change tracking.</t>
  </si>
  <si>
    <t xml:space="preserve">Stakeholders (STK-) / Lists</t>
  </si>
  <si>
    <t xml:space="preserve">RACI, stance and contact cadence; dropdown values and the SLA table.</t>
  </si>
  <si>
    <t xml:space="preserve">Cross-referencing</t>
  </si>
  <si>
    <t xml:space="preserve">Link records by ID (e.g. a task's Source Ref = MTG-004). Separate multiple IDs with ';'.</t>
  </si>
  <si>
    <t xml:space="preserve">EASM Mission — Weekly Status Report</t>
  </si>
  <si>
    <t xml:space="preserve">Meeting date — override (optional)</t>
  </si>
  <si>
    <t xml:space="preserve">Period start</t>
  </si>
  <si>
    <t xml:space="preserve">How it works: add this week's row in 'Weekly Status Log' (date + RAG + one sentence). Everything below fills automatically from the logs for the period shown.</t>
  </si>
  <si>
    <t xml:space="preserve">Meeting date used</t>
  </si>
  <si>
    <t xml:space="preserve">Period end</t>
  </si>
  <si>
    <t xml:space="preserve">Previous meeting (from Weekly Status Log)</t>
  </si>
  <si>
    <t xml:space="preserve">Next week from</t>
  </si>
  <si>
    <t xml:space="preserve">Period start — override (optional)</t>
  </si>
  <si>
    <t xml:space="preserve">Next week to</t>
  </si>
  <si>
    <t xml:space="preserve">Weekly Status Log entry</t>
  </si>
  <si>
    <t xml:space="preserve">1 · OVERALL TIMELINE</t>
  </si>
  <si>
    <t xml:space="preserve">Mission start</t>
  </si>
  <si>
    <t xml:space="preserve">Planned end</t>
  </si>
  <si>
    <t xml:space="preserve">Days elapsed</t>
  </si>
  <si>
    <t xml:space="preserve">Days remaining</t>
  </si>
  <si>
    <t xml:space="preserve">% of timeline elapsed</t>
  </si>
  <si>
    <t xml:space="preserve">Phases completed</t>
  </si>
  <si>
    <t xml:space="preserve">Current phase</t>
  </si>
  <si>
    <t xml:space="preserve">Current phase ends</t>
  </si>
  <si>
    <t xml:space="preserve">Phase</t>
  </si>
  <si>
    <t xml:space="preserve">Phase name</t>
  </si>
  <si>
    <t xml:space="preserve">Status</t>
  </si>
  <si>
    <t xml:space="preserve">Planned start</t>
  </si>
  <si>
    <t xml:space="preserve">Actual end</t>
  </si>
  <si>
    <t xml:space="preserve">Variance (d)</t>
  </si>
  <si>
    <t xml:space="preserve">Timeline  (█ planned · ▼ today)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</si>
  <si>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</si>
  <si>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</si>
  <si>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</si>
  <si>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</si>
  <si>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</si>
  <si>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</si>
  <si>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 · OVERALL STATUS</t>
  </si>
  <si>
    <t xml:space="preserve">Reported status (your call)</t>
  </si>
  <si>
    <t xml:space="preserve">Previous week / trend</t>
  </si>
  <si>
    <t xml:space="preserve">Indicator-based status (suggested)</t>
  </si>
  <si>
    <t xml:space="preserve">2LoD consistency check</t>
  </si>
  <si>
    <t xml:space="preserve">Status driver (from logs)</t>
  </si>
  <si>
    <t xml:space="preserve">Count</t>
  </si>
  <si>
    <t xml:space="preserve">Drives</t>
  </si>
  <si>
    <t xml:space="preserve">Threshold (≥)</t>
  </si>
  <si>
    <t xml:space="preserve">Triggered</t>
  </si>
  <si>
    <t xml:space="preserve">Source tab</t>
  </si>
  <si>
    <t xml:space="preserve">Open Critical/High findings breaching remediation SLA</t>
  </si>
  <si>
    <t xml:space="preserve">Red</t>
  </si>
  <si>
    <t xml:space="preserve">EASM Findings</t>
  </si>
  <si>
    <t xml:space="preserve">RAF appetite breaches (open findings + developments)</t>
  </si>
  <si>
    <t xml:space="preserve">Findings / Developments</t>
  </si>
  <si>
    <t xml:space="preserve">Goals Off Track</t>
  </si>
  <si>
    <t xml:space="preserve">Goals &amp; KPIs</t>
  </si>
  <si>
    <t xml:space="preserve">Overdue Critical-priority tasks</t>
  </si>
  <si>
    <t xml:space="preserve">Tasks</t>
  </si>
  <si>
    <t xml:space="preserve">Mission past planned end with phases open</t>
  </si>
  <si>
    <t xml:space="preserve">Overdue tasks (all priorities)</t>
  </si>
  <si>
    <t xml:space="preserve">Amber</t>
  </si>
  <si>
    <t xml:space="preserve">Blocked tasks</t>
  </si>
  <si>
    <t xml:space="preserve">Goals At Risk</t>
  </si>
  <si>
    <t xml:space="preserve">Overdue responses from 1LoD / third parties</t>
  </si>
  <si>
    <t xml:space="preserve">Emails</t>
  </si>
  <si>
    <t xml:space="preserve">Open decisions / escalations awaiting outcome</t>
  </si>
  <si>
    <t xml:space="preserve">Developments</t>
  </si>
  <si>
    <t xml:space="preserve">Open Medium/Low findings breaching SLA</t>
  </si>
  <si>
    <t xml:space="preserve">RAF tolerance breaches (open findings + developments)</t>
  </si>
  <si>
    <t xml:space="preserve">Phases delayed or finished late</t>
  </si>
  <si>
    <t xml:space="preserve">Thresholds (white cells) are editable — calibrate to the mission's risk tolerance. Any Red driver ⇒ Red; otherwise any Amber driver ⇒ Amber; otherwise Green.</t>
  </si>
  <si>
    <t xml:space="preserve">3 · PROGRESS SINCE LAST WEEK</t>
  </si>
  <si>
    <t xml:space="preserve">Tasks completed in the period</t>
  </si>
  <si>
    <t xml:space="preserve">ID</t>
  </si>
  <si>
    <t xml:space="preserve">Task</t>
  </si>
  <si>
    <t xml:space="preserve">Workstream</t>
  </si>
  <si>
    <t xml:space="preserve">Owner</t>
  </si>
  <si>
    <t xml:space="preserve">Completed</t>
  </si>
  <si>
    <t xml:space="preserve">Due</t>
  </si>
  <si>
    <t xml:space="preserve">Evidence of closure</t>
  </si>
  <si>
    <t xml:space="preserve">Tasks moved forward (updated in the period, still open)</t>
  </si>
  <si>
    <t xml:space="preserve">Updated</t>
  </si>
  <si>
    <t xml:space="preserve">% complete · progress note</t>
  </si>
  <si>
    <t xml:space="preserve">Goals &amp; KPIs — week-on-week movement</t>
  </si>
  <si>
    <t xml:space="preserve">Key result / KPI</t>
  </si>
  <si>
    <t xml:space="preserve">Last week → now</t>
  </si>
  <si>
    <t xml:space="preserve">Change</t>
  </si>
  <si>
    <t xml:space="preserve">Progress</t>
  </si>
  <si>
    <t xml:space="preserve">Commentary</t>
  </si>
  <si>
    <t xml:space="preserve">Developments, milestones &amp; decisions recorded</t>
  </si>
  <si>
    <t xml:space="preserve">Development</t>
  </si>
  <si>
    <t xml:space="preserve">Type</t>
  </si>
  <si>
    <t xml:space="preserve">Impact</t>
  </si>
  <si>
    <t xml:space="preserve">RAF alignment</t>
  </si>
  <si>
    <t xml:space="preserve">Date</t>
  </si>
  <si>
    <t xml:space="preserve">Linked IDs</t>
  </si>
  <si>
    <t xml:space="preserve">Assessment</t>
  </si>
  <si>
    <t xml:space="preserve">Meetings held</t>
  </si>
  <si>
    <t xml:space="preserve">Meeting</t>
  </si>
  <si>
    <t xml:space="preserve">Organiser</t>
  </si>
  <si>
    <t xml:space="preserve">LoD</t>
  </si>
  <si>
    <t xml:space="preserve">Follow-up</t>
  </si>
  <si>
    <t xml:space="preserve">Decisions taken</t>
  </si>
  <si>
    <t xml:space="preserve">Comment</t>
  </si>
  <si>
    <t xml:space="preserve">4 · CURRENT WORK</t>
  </si>
  <si>
    <t xml:space="preserve">Tasks In Progress</t>
  </si>
  <si>
    <t xml:space="preserve">Priority</t>
  </si>
  <si>
    <t xml:space="preserve">Start</t>
  </si>
  <si>
    <t xml:space="preserve">% complete · due flag · latest note</t>
  </si>
  <si>
    <t xml:space="preserve">5 · FINDINGS — NEW OR MATERIALLY CHANGED</t>
  </si>
  <si>
    <t xml:space="preserve">New / changed findings and remediation status</t>
  </si>
  <si>
    <t xml:space="preserve">Asset — exposure</t>
  </si>
  <si>
    <t xml:space="preserve">Severity</t>
  </si>
  <si>
    <t xml:space="preserve">Remediation owner</t>
  </si>
  <si>
    <t xml:space="preserve">Remediation status</t>
  </si>
  <si>
    <t xml:space="preserve">Discovered</t>
  </si>
  <si>
    <t xml:space="preserve">Target date</t>
  </si>
  <si>
    <t xml:space="preserve">New / change · SLA · RAF</t>
  </si>
  <si>
    <t xml:space="preserve">Remediation targets due by end of next week (incl. overdue)</t>
  </si>
  <si>
    <t xml:space="preserve">SLA flag</t>
  </si>
  <si>
    <t xml:space="preserve">6 · BLOCKERS / DEPENDENCIES</t>
  </si>
  <si>
    <t xml:space="preserve">Blocked tasks and dependencies on others</t>
  </si>
  <si>
    <t xml:space="preserve">Dependency on</t>
  </si>
  <si>
    <t xml:space="preserve">Needed by</t>
  </si>
  <si>
    <t xml:space="preserve">Task due</t>
  </si>
  <si>
    <t xml:space="preserve">Blocker / dependency detail</t>
  </si>
  <si>
    <t xml:space="preserve">Responses awaited (1LoD / third parties)</t>
  </si>
  <si>
    <t xml:space="preserve">Subject</t>
  </si>
  <si>
    <t xml:space="preserve">Category</t>
  </si>
  <si>
    <t xml:space="preserve">Counterparty</t>
  </si>
  <si>
    <t xml:space="preserve">Response status</t>
  </si>
  <si>
    <t xml:space="preserve">Sent</t>
  </si>
  <si>
    <t xml:space="preserve">Response due</t>
  </si>
  <si>
    <t xml:space="preserve">Flag — ask</t>
  </si>
  <si>
    <t xml:space="preserve">7 · PLAN FOR NEXT WEEK</t>
  </si>
  <si>
    <t xml:space="preserve">Planned tasks</t>
  </si>
  <si>
    <t xml:space="preserve">Open tasks flagged 'Planned for Next Week? = Yes', due by end of next week (incl. overdue), or starting next week.</t>
  </si>
  <si>
    <t xml:space="preserve">Status · due flag</t>
  </si>
  <si>
    <t xml:space="preserve">8 · ESCALATION / DECISION NEEDED</t>
  </si>
  <si>
    <t xml:space="preserve">Open decisions and escalations</t>
  </si>
  <si>
    <t xml:space="preserve">Decision / ask</t>
  </si>
  <si>
    <t xml:space="preserve">Needed from</t>
  </si>
  <si>
    <t xml:space="preserve">Decision status</t>
  </si>
  <si>
    <t xml:space="preserve">Raised</t>
  </si>
  <si>
    <t xml:space="preserve">Impact · risk dimension · RAF</t>
  </si>
  <si>
    <t xml:space="preserve">Open findings in RAF breach (escalation candidates)</t>
  </si>
  <si>
    <t xml:space="preserve">RAF alignment — financial / regulatory impact</t>
  </si>
  <si>
    <t xml:space="preserve">End of report. Lists are capped; 'Showing x of y' turns red when items are cut — see the source tab for the full list.</t>
  </si>
  <si>
    <t xml:space="preserve">Weekly Status Log</t>
  </si>
  <si>
    <t xml:space="preserve">One row per weekly meeting: your RAG call, one-sentence rationale and commentary. The Weekly Report picks up the latest row automatically.</t>
  </si>
  <si>
    <t xml:space="preserve">White cells = your input  |  Grey cells = automatic (do not overwrite)  |  Row 5 is an illustrative example (italic) — overwrite or delete it.</t>
  </si>
  <si>
    <t xml:space="preserve">Week ID</t>
  </si>
  <si>
    <t xml:space="preserve">Meeting Date</t>
  </si>
  <si>
    <t xml:space="preserve">Overall Status (RAG)</t>
  </si>
  <si>
    <t xml:space="preserve">Why — one sentence</t>
  </si>
  <si>
    <t xml:space="preserve">Progress Highlights (commentary)</t>
  </si>
  <si>
    <t xml:space="preserve">Current Work (commentary)</t>
  </si>
  <si>
    <t xml:space="preserve">Findings Commentary</t>
  </si>
  <si>
    <t xml:space="preserve">Blockers / Dependencies (commentary)</t>
  </si>
  <si>
    <t xml:space="preserve">Plan for Next Week (commentary)</t>
  </si>
  <si>
    <t xml:space="preserve">Escalation / Decision Needed (commentary)</t>
  </si>
  <si>
    <t xml:space="preserve">Decisions Taken at Meeting</t>
  </si>
  <si>
    <t xml:space="preserve">Actions Agreed (Task IDs)</t>
  </si>
  <si>
    <t xml:space="preserve">Previous RAG</t>
  </si>
  <si>
    <t xml:space="preserve">RAG Trend</t>
  </si>
  <si>
    <t xml:space="preserve">Notes</t>
  </si>
  <si>
    <t xml:space="preserve">WSR-001</t>
  </si>
  <si>
    <t xml:space="preserve">Discovery is on plan, but attribution is constrained by an outstanding 1LoD CMDB extract and an open sponsor decision on scope extension.</t>
  </si>
  <si>
    <t xml:space="preserve">Phase 1 closed; Entity A reconciled (+4pp attribution); critical legacy VPN exposure identified at acquired Entity B.</t>
  </si>
  <si>
    <t xml:space="preserve">CMDB reconciliation for Entities B–C; validation of FND-001 with Network Security.</t>
  </si>
  <si>
    <t xml:space="preserve">FND-001 (Critical) under validation; single-vendor remote-access concentration across acquired entities.</t>
  </si>
  <si>
    <t xml:space="preserve">Entity C CMDB extract (Network Security, needed 23-Oct).</t>
  </si>
  <si>
    <t xml:space="preserve">Complete reconciliation; confirm FND-001 exploitability and remediation owner; prepare Phase 3 test plan.</t>
  </si>
  <si>
    <t xml:space="preserve">Sponsor approval of scope extension and +3 weeks on Phase 2 (DEV-001, by 30-Oct).</t>
  </si>
  <si>
    <t xml:space="preserve">WSR-002</t>
  </si>
  <si>
    <t xml:space="preserve">WSR-003</t>
  </si>
  <si>
    <t xml:space="preserve">WSR-004</t>
  </si>
  <si>
    <t xml:space="preserve">WSR-005</t>
  </si>
  <si>
    <t xml:space="preserve">WSR-006</t>
  </si>
  <si>
    <t xml:space="preserve">WSR-007</t>
  </si>
  <si>
    <t xml:space="preserve">WSR-008</t>
  </si>
  <si>
    <t xml:space="preserve">WSR-009</t>
  </si>
  <si>
    <t xml:space="preserve">WSR-010</t>
  </si>
  <si>
    <t xml:space="preserve">WSR-011</t>
  </si>
  <si>
    <t xml:space="preserve">WSR-012</t>
  </si>
  <si>
    <t xml:space="preserve">WSR-013</t>
  </si>
  <si>
    <t xml:space="preserve">WSR-014</t>
  </si>
  <si>
    <t xml:space="preserve">WSR-015</t>
  </si>
  <si>
    <t xml:space="preserve">WSR-016</t>
  </si>
  <si>
    <t xml:space="preserve">WSR-017</t>
  </si>
  <si>
    <t xml:space="preserve">WSR-018</t>
  </si>
  <si>
    <t xml:space="preserve">WSR-019</t>
  </si>
  <si>
    <t xml:space="preserve">WSR-020</t>
  </si>
  <si>
    <t xml:space="preserve">WSR-021</t>
  </si>
  <si>
    <t xml:space="preserve">WSR-022</t>
  </si>
  <si>
    <t xml:space="preserve">WSR-023</t>
  </si>
  <si>
    <t xml:space="preserve">WSR-024</t>
  </si>
  <si>
    <t xml:space="preserve">WSR-025</t>
  </si>
  <si>
    <t xml:space="preserve">WSR-026</t>
  </si>
  <si>
    <t xml:space="preserve">WSR-027</t>
  </si>
  <si>
    <t xml:space="preserve">WSR-028</t>
  </si>
  <si>
    <t xml:space="preserve">WSR-029</t>
  </si>
  <si>
    <t xml:space="preserve">WSR-030</t>
  </si>
  <si>
    <t xml:space="preserve">WSR-031</t>
  </si>
  <si>
    <t xml:space="preserve">WSR-032</t>
  </si>
  <si>
    <t xml:space="preserve">WSR-033</t>
  </si>
  <si>
    <t xml:space="preserve">WSR-034</t>
  </si>
  <si>
    <t xml:space="preserve">WSR-035</t>
  </si>
  <si>
    <t xml:space="preserve">WSR-036</t>
  </si>
  <si>
    <t xml:space="preserve">WSR-037</t>
  </si>
  <si>
    <t xml:space="preserve">WSR-038</t>
  </si>
  <si>
    <t xml:space="preserve">WSR-039</t>
  </si>
  <si>
    <t xml:space="preserve">WSR-040</t>
  </si>
  <si>
    <t xml:space="preserve">WSR-041</t>
  </si>
  <si>
    <t xml:space="preserve">WSR-042</t>
  </si>
  <si>
    <t xml:space="preserve">WSR-043</t>
  </si>
  <si>
    <t xml:space="preserve">WSR-044</t>
  </si>
  <si>
    <t xml:space="preserve">WSR-045</t>
  </si>
  <si>
    <t xml:space="preserve">WSR-046</t>
  </si>
  <si>
    <t xml:space="preserve">WSR-047</t>
  </si>
  <si>
    <t xml:space="preserve">WSR-048</t>
  </si>
  <si>
    <t xml:space="preserve">WSR-049</t>
  </si>
  <si>
    <t xml:space="preserve">WSR-050</t>
  </si>
  <si>
    <t xml:space="preserve">WSR-051</t>
  </si>
  <si>
    <t xml:space="preserve">WSR-052</t>
  </si>
  <si>
    <t xml:space="preserve">WSR-053</t>
  </si>
  <si>
    <t xml:space="preserve">WSR-054</t>
  </si>
  <si>
    <t xml:space="preserve">WSR-055</t>
  </si>
  <si>
    <t xml:space="preserve">WSR-056</t>
  </si>
  <si>
    <t xml:space="preserve">WSR-057</t>
  </si>
  <si>
    <t xml:space="preserve">WSR-058</t>
  </si>
  <si>
    <t xml:space="preserve">WSR-059</t>
  </si>
  <si>
    <t xml:space="preserve">WSR-060</t>
  </si>
  <si>
    <t xml:space="preserve">WSR-061</t>
  </si>
  <si>
    <t xml:space="preserve">WSR-062</t>
  </si>
  <si>
    <t xml:space="preserve">WSR-063</t>
  </si>
  <si>
    <t xml:space="preserve">WSR-064</t>
  </si>
  <si>
    <t xml:space="preserve">WSR-065</t>
  </si>
  <si>
    <t xml:space="preserve">WSR-066</t>
  </si>
  <si>
    <t xml:space="preserve">WSR-067</t>
  </si>
  <si>
    <t xml:space="preserve">WSR-068</t>
  </si>
  <si>
    <t xml:space="preserve">WSR-069</t>
  </si>
  <si>
    <t xml:space="preserve">WSR-070</t>
  </si>
  <si>
    <t xml:space="preserve">WSR-071</t>
  </si>
  <si>
    <t xml:space="preserve">WSR-072</t>
  </si>
  <si>
    <t xml:space="preserve">WSR-073</t>
  </si>
  <si>
    <t xml:space="preserve">WSR-074</t>
  </si>
  <si>
    <t xml:space="preserve">WSR-075</t>
  </si>
  <si>
    <t xml:space="preserve">WSR-076</t>
  </si>
  <si>
    <t xml:space="preserve">WSR-077</t>
  </si>
  <si>
    <t xml:space="preserve">WSR-078</t>
  </si>
  <si>
    <t xml:space="preserve">WSR-079</t>
  </si>
  <si>
    <t xml:space="preserve">WSR-080</t>
  </si>
  <si>
    <t xml:space="preserve">WSR-081</t>
  </si>
  <si>
    <t xml:space="preserve">WSR-082</t>
  </si>
  <si>
    <t xml:space="preserve">WSR-083</t>
  </si>
  <si>
    <t xml:space="preserve">WSR-084</t>
  </si>
  <si>
    <t xml:space="preserve">WSR-085</t>
  </si>
  <si>
    <t xml:space="preserve">WSR-086</t>
  </si>
  <si>
    <t xml:space="preserve">WSR-087</t>
  </si>
  <si>
    <t xml:space="preserve">WSR-088</t>
  </si>
  <si>
    <t xml:space="preserve">WSR-089</t>
  </si>
  <si>
    <t xml:space="preserve">WSR-090</t>
  </si>
  <si>
    <t xml:space="preserve">WSR-091</t>
  </si>
  <si>
    <t xml:space="preserve">WSR-092</t>
  </si>
  <si>
    <t xml:space="preserve">WSR-093</t>
  </si>
  <si>
    <t xml:space="preserve">WSR-094</t>
  </si>
  <si>
    <t xml:space="preserve">WSR-095</t>
  </si>
  <si>
    <t xml:space="preserve">WSR-096</t>
  </si>
  <si>
    <t xml:space="preserve">WSR-097</t>
  </si>
  <si>
    <t xml:space="preserve">WSR-098</t>
  </si>
  <si>
    <t xml:space="preserve">WSR-099</t>
  </si>
  <si>
    <t xml:space="preserve">WSR-100</t>
  </si>
  <si>
    <t xml:space="preserve">WSR-101</t>
  </si>
  <si>
    <t xml:space="preserve">WSR-102</t>
  </si>
  <si>
    <t xml:space="preserve">WSR-103</t>
  </si>
  <si>
    <t xml:space="preserve">WSR-104</t>
  </si>
  <si>
    <t xml:space="preserve">EASM Mission Dashboard</t>
  </si>
  <si>
    <t xml:space="preserve">As of</t>
  </si>
  <si>
    <t xml:space="preserve">All figures calculate automatically from the log tabs. Do not type here.</t>
  </si>
  <si>
    <t xml:space="preserve">Weekly Status</t>
  </si>
  <si>
    <t xml:space="preserve">Tasks by Status</t>
  </si>
  <si>
    <t xml:space="preserve">Reported RAG (latest weekly meeting)</t>
  </si>
  <si>
    <t xml:space="preserve">Not Started</t>
  </si>
  <si>
    <t xml:space="preserve">Indicator-based RAG</t>
  </si>
  <si>
    <t xml:space="preserve">In Progress</t>
  </si>
  <si>
    <t xml:space="preserve">Trend vs previous week</t>
  </si>
  <si>
    <t xml:space="preserve">Blocked</t>
  </si>
  <si>
    <t xml:space="preserve">On Hold</t>
  </si>
  <si>
    <t xml:space="preserve">Mission Timeline</t>
  </si>
  <si>
    <t xml:space="preserve">Cancelled</t>
  </si>
  <si>
    <t xml:space="preserve">Findings by Severity</t>
  </si>
  <si>
    <t xml:space="preserve">Open</t>
  </si>
  <si>
    <t xml:space="preserve">Critical</t>
  </si>
  <si>
    <t xml:space="preserve">Meetings</t>
  </si>
  <si>
    <t xml:space="preserve">High</t>
  </si>
  <si>
    <t xml:space="preserve">Meetings logged</t>
  </si>
  <si>
    <t xml:space="preserve">Medium</t>
  </si>
  <si>
    <t xml:space="preserve">Meetings in last 30 days</t>
  </si>
  <si>
    <t xml:space="preserve">Low</t>
  </si>
  <si>
    <t xml:space="preserve">Overdue follow-ups</t>
  </si>
  <si>
    <t xml:space="preserve">Informational</t>
  </si>
  <si>
    <t xml:space="preserve">Emails &amp; Communications</t>
  </si>
  <si>
    <t xml:space="preserve">Findings by Status</t>
  </si>
  <si>
    <t xml:space="preserve">Emails logged</t>
  </si>
  <si>
    <t xml:space="preserve">New</t>
  </si>
  <si>
    <t xml:space="preserve">Awaiting response</t>
  </si>
  <si>
    <t xml:space="preserve">Validating</t>
  </si>
  <si>
    <t xml:space="preserve">Overdue responses</t>
  </si>
  <si>
    <t xml:space="preserve">Confirmed</t>
  </si>
  <si>
    <t xml:space="preserve">Average days to respond</t>
  </si>
  <si>
    <t xml:space="preserve">Remediation In Progress</t>
  </si>
  <si>
    <t xml:space="preserve">Escalations</t>
  </si>
  <si>
    <t xml:space="preserve">Remediated</t>
  </si>
  <si>
    <t xml:space="preserve">Risk Accepted</t>
  </si>
  <si>
    <t xml:space="preserve">False Positive</t>
  </si>
  <si>
    <t xml:space="preserve">Tasks logged</t>
  </si>
  <si>
    <t xml:space="preserve">Open tasks</t>
  </si>
  <si>
    <t xml:space="preserve">Goals by Status</t>
  </si>
  <si>
    <t xml:space="preserve">Overdue tasks</t>
  </si>
  <si>
    <t xml:space="preserve">On Track</t>
  </si>
  <si>
    <t xml:space="preserve">Due within 7 days</t>
  </si>
  <si>
    <t xml:space="preserve">At Risk</t>
  </si>
  <si>
    <t xml:space="preserve">Off Track</t>
  </si>
  <si>
    <t xml:space="preserve">Completion rate (excl. cancelled)</t>
  </si>
  <si>
    <t xml:space="preserve">Achieved</t>
  </si>
  <si>
    <t xml:space="preserve">Deferred</t>
  </si>
  <si>
    <t xml:space="preserve">Goals defined</t>
  </si>
  <si>
    <t xml:space="preserve">Meetings by Type</t>
  </si>
  <si>
    <t xml:space="preserve">Average progress to target</t>
  </si>
  <si>
    <t xml:space="preserve">Weekly Status Meeting</t>
  </si>
  <si>
    <t xml:space="preserve">Goals At Risk / Off Track</t>
  </si>
  <si>
    <t xml:space="preserve">Kick-off</t>
  </si>
  <si>
    <t xml:space="preserve">Goals achieved</t>
  </si>
  <si>
    <t xml:space="preserve">Steering Committee</t>
  </si>
  <si>
    <t xml:space="preserve">Working Session</t>
  </si>
  <si>
    <t xml:space="preserve">1LoD Challenge Session</t>
  </si>
  <si>
    <t xml:space="preserve">Findings logged</t>
  </si>
  <si>
    <t xml:space="preserve">Stakeholder Interview</t>
  </si>
  <si>
    <t xml:space="preserve">Open findings</t>
  </si>
  <si>
    <t xml:space="preserve">Vendor / Tooling</t>
  </si>
  <si>
    <t xml:space="preserve">Open Critical / High</t>
  </si>
  <si>
    <t xml:space="preserve">Risk Committee / Forum</t>
  </si>
  <si>
    <t xml:space="preserve">Open &amp; actively exploited (KEV/TI)</t>
  </si>
  <si>
    <t xml:space="preserve">Ad-hoc</t>
  </si>
  <si>
    <t xml:space="preserve">SLA breaches (open)</t>
  </si>
  <si>
    <t xml:space="preserve">Assets not in inventory (shadow IT)</t>
  </si>
  <si>
    <t xml:space="preserve">Open Tasks by Priority</t>
  </si>
  <si>
    <t xml:space="preserve">Unknown-asset ratio</t>
  </si>
  <si>
    <t xml:space="preserve">Risk acceptances</t>
  </si>
  <si>
    <t xml:space="preserve">Average days open (all findings)</t>
  </si>
  <si>
    <t xml:space="preserve">Developments &amp; RAF</t>
  </si>
  <si>
    <t xml:space="preserve">Developments logged</t>
  </si>
  <si>
    <t xml:space="preserve">Open decisions / escalations</t>
  </si>
  <si>
    <t xml:space="preserve">Items for committee reporting</t>
  </si>
  <si>
    <t xml:space="preserve">RAF breaches (findings + developments)</t>
  </si>
  <si>
    <t xml:space="preserve">EASM Mission Charter</t>
  </si>
  <si>
    <t xml:space="preserve">Fill once at mission start; update when scope, timeline or governance changes. The phase plan drives the Weekly Report timeline.</t>
  </si>
  <si>
    <t xml:space="preserve">Mission name</t>
  </si>
  <si>
    <t xml:space="preserve">External Attack Surface Management (EASM) – 2LoD Assessment</t>
  </si>
  <si>
    <t xml:space="preserve">Mission reference</t>
  </si>
  <si>
    <t xml:space="preserve">Mission sponsor</t>
  </si>
  <si>
    <t xml:space="preserve">Mission lead (2LoD CRI)</t>
  </si>
  <si>
    <t xml:space="preserve">Start date</t>
  </si>
  <si>
    <t xml:space="preserve">Planned end date</t>
  </si>
  <si>
    <t xml:space="preserve">Mission objective</t>
  </si>
  <si>
    <t xml:space="preserve">In scope (entities, domains, IP ranges, cloud tenants)</t>
  </si>
  <si>
    <t xml:space="preserve">Out of scope</t>
  </si>
  <si>
    <t xml:space="preserve">Regulatory / supervisory drivers</t>
  </si>
  <si>
    <t xml:space="preserve">e.g. DORA ICT asset identification, supervisory expectations, internal audit points</t>
  </si>
  <si>
    <t xml:space="preserve">RAF metrics / KRIs linked</t>
  </si>
  <si>
    <t xml:space="preserve">EASM tooling &amp; data sources</t>
  </si>
  <si>
    <t xml:space="preserve">1LoD counterparts</t>
  </si>
  <si>
    <t xml:space="preserve">Governance forum &amp; weekly meeting cadence</t>
  </si>
  <si>
    <t xml:space="preserve">Key assumptions</t>
  </si>
  <si>
    <t xml:space="preserve">Constraints / limitations</t>
  </si>
  <si>
    <t xml:space="preserve">Success criteria</t>
  </si>
  <si>
    <t xml:space="preserve">Phase Plan</t>
  </si>
  <si>
    <t xml:space="preserve">Description</t>
  </si>
  <si>
    <t xml:space="preserve">Planned Start</t>
  </si>
  <si>
    <t xml:space="preserve">Planned End</t>
  </si>
  <si>
    <t xml:space="preserve">Actual End</t>
  </si>
  <si>
    <t xml:space="preserve">Variance (days)</t>
  </si>
  <si>
    <t xml:space="preserve">1. Scoping &amp; Baseline</t>
  </si>
  <si>
    <t xml:space="preserve">Confirm entities, seeds (domains, ASNs, IP ranges, cloud tenants) and tooling</t>
  </si>
  <si>
    <t xml:space="preserve">2. Discovery &amp; Attribution</t>
  </si>
  <si>
    <t xml:space="preserve">Run discovery; attribute assets to owners and legal entities; reconcile vs CMDB</t>
  </si>
  <si>
    <t xml:space="preserve">3. Exposure Assessment</t>
  </si>
  <si>
    <t xml:space="preserve">Identify exposed services, vulnerabilities, misconfigurations, leaked credentials</t>
  </si>
  <si>
    <t xml:space="preserve">4. Risk Translation &amp; 1LoD Challenge</t>
  </si>
  <si>
    <t xml:space="preserve">Translate exposures into operational, systemic, financial and RAF impact; challenge 1LoD premises</t>
  </si>
  <si>
    <t xml:space="preserve">5. Remediation Oversight</t>
  </si>
  <si>
    <t xml:space="preserve">Track remediation against SLAs; review risk acceptances</t>
  </si>
  <si>
    <t xml:space="preserve">6. Reporting &amp; Closure</t>
  </si>
  <si>
    <t xml:space="preserve">Committee reporting, lessons learned, transition to BAU monitoring</t>
  </si>
  <si>
    <t xml:space="preserve">Phase dates in italic are illustrative — replace with your plan.</t>
  </si>
  <si>
    <t xml:space="preserve">Mission objectives and measurable key results — week-on-week movement and automatic progress.</t>
  </si>
  <si>
    <t xml:space="preserve">Goal ID</t>
  </si>
  <si>
    <t xml:space="preserve">Goal / Objective</t>
  </si>
  <si>
    <t xml:space="preserve">Key Result / KPI</t>
  </si>
  <si>
    <t xml:space="preserve">Metric Definition</t>
  </si>
  <si>
    <t xml:space="preserve">Unit</t>
  </si>
  <si>
    <t xml:space="preserve">Baseline</t>
  </si>
  <si>
    <t xml:space="preserve">Target</t>
  </si>
  <si>
    <t xml:space="preserve">Value Last Week</t>
  </si>
  <si>
    <t xml:space="preserve">Current Value</t>
  </si>
  <si>
    <t xml:space="preserve">Δ vs Last Week</t>
  </si>
  <si>
    <t xml:space="preserve">Progress to Target</t>
  </si>
  <si>
    <t xml:space="preserve">Target Date</t>
  </si>
  <si>
    <t xml:space="preserve">Days to Target</t>
  </si>
  <si>
    <t xml:space="preserve">RAF Linkage (KRI / Limit)</t>
  </si>
  <si>
    <t xml:space="preserve">Last Updated</t>
  </si>
  <si>
    <t xml:space="preserve">WR helper: updated</t>
  </si>
  <si>
    <t xml:space="preserve">GOL-001</t>
  </si>
  <si>
    <t xml:space="preserve">Establish a complete, attributed inventory of internet-facing assets</t>
  </si>
  <si>
    <t xml:space="preserve">Attribution &amp; Ownership</t>
  </si>
  <si>
    <t xml:space="preserve">% of discovered internet-facing assets attributed to an accountable owner</t>
  </si>
  <si>
    <t xml:space="preserve">Attributed assets ÷ total discovered assets (EASM platform, weekly snapshot)</t>
  </si>
  <si>
    <t xml:space="preserve">%</t>
  </si>
  <si>
    <t xml:space="preserve">Me (2LoD CRI)</t>
  </si>
  <si>
    <t xml:space="preserve">Cyber RAF – ICT asset management KRI</t>
  </si>
  <si>
    <t xml:space="preserve">Uplift from Entity A reconciliation; Entity C extract outstanding (TSK-001)</t>
  </si>
  <si>
    <t xml:space="preserve">GOL-002</t>
  </si>
  <si>
    <t xml:space="preserve">GOL-003</t>
  </si>
  <si>
    <t xml:space="preserve">GOL-004</t>
  </si>
  <si>
    <t xml:space="preserve">GOL-005</t>
  </si>
  <si>
    <t xml:space="preserve">GOL-006</t>
  </si>
  <si>
    <t xml:space="preserve">GOL-007</t>
  </si>
  <si>
    <t xml:space="preserve">GOL-008</t>
  </si>
  <si>
    <t xml:space="preserve">GOL-009</t>
  </si>
  <si>
    <t xml:space="preserve">GOL-010</t>
  </si>
  <si>
    <t xml:space="preserve">GOL-011</t>
  </si>
  <si>
    <t xml:space="preserve">GOL-012</t>
  </si>
  <si>
    <t xml:space="preserve">GOL-013</t>
  </si>
  <si>
    <t xml:space="preserve">GOL-014</t>
  </si>
  <si>
    <t xml:space="preserve">GOL-015</t>
  </si>
  <si>
    <t xml:space="preserve">GOL-016</t>
  </si>
  <si>
    <t xml:space="preserve">GOL-017</t>
  </si>
  <si>
    <t xml:space="preserve">GOL-018</t>
  </si>
  <si>
    <t xml:space="preserve">GOL-019</t>
  </si>
  <si>
    <t xml:space="preserve">GOL-020</t>
  </si>
  <si>
    <t xml:space="preserve">GOL-021</t>
  </si>
  <si>
    <t xml:space="preserve">GOL-022</t>
  </si>
  <si>
    <t xml:space="preserve">GOL-023</t>
  </si>
  <si>
    <t xml:space="preserve">GOL-024</t>
  </si>
  <si>
    <t xml:space="preserve">GOL-025</t>
  </si>
  <si>
    <t xml:space="preserve">GOL-026</t>
  </si>
  <si>
    <t xml:space="preserve">GOL-027</t>
  </si>
  <si>
    <t xml:space="preserve">GOL-028</t>
  </si>
  <si>
    <t xml:space="preserve">GOL-029</t>
  </si>
  <si>
    <t xml:space="preserve">GOL-030</t>
  </si>
  <si>
    <t xml:space="preserve">GOL-031</t>
  </si>
  <si>
    <t xml:space="preserve">GOL-032</t>
  </si>
  <si>
    <t xml:space="preserve">GOL-033</t>
  </si>
  <si>
    <t xml:space="preserve">GOL-034</t>
  </si>
  <si>
    <t xml:space="preserve">GOL-035</t>
  </si>
  <si>
    <t xml:space="preserve">GOL-036</t>
  </si>
  <si>
    <t xml:space="preserve">GOL-037</t>
  </si>
  <si>
    <t xml:space="preserve">GOL-038</t>
  </si>
  <si>
    <t xml:space="preserve">GOL-039</t>
  </si>
  <si>
    <t xml:space="preserve">GOL-040</t>
  </si>
  <si>
    <t xml:space="preserve">GOL-041</t>
  </si>
  <si>
    <t xml:space="preserve">GOL-042</t>
  </si>
  <si>
    <t xml:space="preserve">GOL-043</t>
  </si>
  <si>
    <t xml:space="preserve">GOL-044</t>
  </si>
  <si>
    <t xml:space="preserve">GOL-045</t>
  </si>
  <si>
    <t xml:space="preserve">GOL-046</t>
  </si>
  <si>
    <t xml:space="preserve">GOL-047</t>
  </si>
  <si>
    <t xml:space="preserve">GOL-048</t>
  </si>
  <si>
    <t xml:space="preserve">GOL-049</t>
  </si>
  <si>
    <t xml:space="preserve">GOL-050</t>
  </si>
  <si>
    <t xml:space="preserve">GOL-051</t>
  </si>
  <si>
    <t xml:space="preserve">GOL-052</t>
  </si>
  <si>
    <t xml:space="preserve">GOL-053</t>
  </si>
  <si>
    <t xml:space="preserve">GOL-054</t>
  </si>
  <si>
    <t xml:space="preserve">GOL-055</t>
  </si>
  <si>
    <t xml:space="preserve">GOL-056</t>
  </si>
  <si>
    <t xml:space="preserve">GOL-057</t>
  </si>
  <si>
    <t xml:space="preserve">GOL-058</t>
  </si>
  <si>
    <t xml:space="preserve">GOL-059</t>
  </si>
  <si>
    <t xml:space="preserve">GOL-060</t>
  </si>
  <si>
    <t xml:space="preserve">GOL-061</t>
  </si>
  <si>
    <t xml:space="preserve">GOL-062</t>
  </si>
  <si>
    <t xml:space="preserve">GOL-063</t>
  </si>
  <si>
    <t xml:space="preserve">GOL-064</t>
  </si>
  <si>
    <t xml:space="preserve">GOL-065</t>
  </si>
  <si>
    <t xml:space="preserve">GOL-066</t>
  </si>
  <si>
    <t xml:space="preserve">GOL-067</t>
  </si>
  <si>
    <t xml:space="preserve">GOL-068</t>
  </si>
  <si>
    <t xml:space="preserve">GOL-069</t>
  </si>
  <si>
    <t xml:space="preserve">GOL-070</t>
  </si>
  <si>
    <t xml:space="preserve">GOL-071</t>
  </si>
  <si>
    <t xml:space="preserve">GOL-072</t>
  </si>
  <si>
    <t xml:space="preserve">GOL-073</t>
  </si>
  <si>
    <t xml:space="preserve">GOL-074</t>
  </si>
  <si>
    <t xml:space="preserve">GOL-075</t>
  </si>
  <si>
    <t xml:space="preserve">GOL-076</t>
  </si>
  <si>
    <t xml:space="preserve">GOL-077</t>
  </si>
  <si>
    <t xml:space="preserve">GOL-078</t>
  </si>
  <si>
    <t xml:space="preserve">GOL-079</t>
  </si>
  <si>
    <t xml:space="preserve">GOL-080</t>
  </si>
  <si>
    <t xml:space="preserve">GOL-081</t>
  </si>
  <si>
    <t xml:space="preserve">GOL-082</t>
  </si>
  <si>
    <t xml:space="preserve">GOL-083</t>
  </si>
  <si>
    <t xml:space="preserve">GOL-084</t>
  </si>
  <si>
    <t xml:space="preserve">GOL-085</t>
  </si>
  <si>
    <t xml:space="preserve">GOL-086</t>
  </si>
  <si>
    <t xml:space="preserve">GOL-087</t>
  </si>
  <si>
    <t xml:space="preserve">GOL-088</t>
  </si>
  <si>
    <t xml:space="preserve">GOL-089</t>
  </si>
  <si>
    <t xml:space="preserve">GOL-090</t>
  </si>
  <si>
    <t xml:space="preserve">GOL-091</t>
  </si>
  <si>
    <t xml:space="preserve">GOL-092</t>
  </si>
  <si>
    <t xml:space="preserve">GOL-093</t>
  </si>
  <si>
    <t xml:space="preserve">GOL-094</t>
  </si>
  <si>
    <t xml:space="preserve">GOL-095</t>
  </si>
  <si>
    <t xml:space="preserve">GOL-096</t>
  </si>
  <si>
    <t xml:space="preserve">GOL-097</t>
  </si>
  <si>
    <t xml:space="preserve">GOL-098</t>
  </si>
  <si>
    <t xml:space="preserve">GOL-099</t>
  </si>
  <si>
    <t xml:space="preserve">GOL-100</t>
  </si>
  <si>
    <t xml:space="preserve">GOL-101</t>
  </si>
  <si>
    <t xml:space="preserve">GOL-102</t>
  </si>
  <si>
    <t xml:space="preserve">GOL-103</t>
  </si>
  <si>
    <t xml:space="preserve">GOL-104</t>
  </si>
  <si>
    <t xml:space="preserve">GOL-105</t>
  </si>
  <si>
    <t xml:space="preserve">GOL-106</t>
  </si>
  <si>
    <t xml:space="preserve">GOL-107</t>
  </si>
  <si>
    <t xml:space="preserve">GOL-108</t>
  </si>
  <si>
    <t xml:space="preserve">GOL-109</t>
  </si>
  <si>
    <t xml:space="preserve">GOL-110</t>
  </si>
  <si>
    <t xml:space="preserve">GOL-111</t>
  </si>
  <si>
    <t xml:space="preserve">GOL-112</t>
  </si>
  <si>
    <t xml:space="preserve">GOL-113</t>
  </si>
  <si>
    <t xml:space="preserve">GOL-114</t>
  </si>
  <si>
    <t xml:space="preserve">GOL-115</t>
  </si>
  <si>
    <t xml:space="preserve">GOL-116</t>
  </si>
  <si>
    <t xml:space="preserve">GOL-117</t>
  </si>
  <si>
    <t xml:space="preserve">GOL-118</t>
  </si>
  <si>
    <t xml:space="preserve">GOL-119</t>
  </si>
  <si>
    <t xml:space="preserve">GOL-120</t>
  </si>
  <si>
    <t xml:space="preserve">GOL-121</t>
  </si>
  <si>
    <t xml:space="preserve">GOL-122</t>
  </si>
  <si>
    <t xml:space="preserve">GOL-123</t>
  </si>
  <si>
    <t xml:space="preserve">GOL-124</t>
  </si>
  <si>
    <t xml:space="preserve">GOL-125</t>
  </si>
  <si>
    <t xml:space="preserve">GOL-126</t>
  </si>
  <si>
    <t xml:space="preserve">GOL-127</t>
  </si>
  <si>
    <t xml:space="preserve">GOL-128</t>
  </si>
  <si>
    <t xml:space="preserve">GOL-129</t>
  </si>
  <si>
    <t xml:space="preserve">GOL-130</t>
  </si>
  <si>
    <t xml:space="preserve">GOL-131</t>
  </si>
  <si>
    <t xml:space="preserve">GOL-132</t>
  </si>
  <si>
    <t xml:space="preserve">GOL-133</t>
  </si>
  <si>
    <t xml:space="preserve">GOL-134</t>
  </si>
  <si>
    <t xml:space="preserve">GOL-135</t>
  </si>
  <si>
    <t xml:space="preserve">GOL-136</t>
  </si>
  <si>
    <t xml:space="preserve">GOL-137</t>
  </si>
  <si>
    <t xml:space="preserve">GOL-138</t>
  </si>
  <si>
    <t xml:space="preserve">GOL-139</t>
  </si>
  <si>
    <t xml:space="preserve">GOL-140</t>
  </si>
  <si>
    <t xml:space="preserve">GOL-141</t>
  </si>
  <si>
    <t xml:space="preserve">GOL-142</t>
  </si>
  <si>
    <t xml:space="preserve">GOL-143</t>
  </si>
  <si>
    <t xml:space="preserve">GOL-144</t>
  </si>
  <si>
    <t xml:space="preserve">GOL-145</t>
  </si>
  <si>
    <t xml:space="preserve">GOL-146</t>
  </si>
  <si>
    <t xml:space="preserve">GOL-147</t>
  </si>
  <si>
    <t xml:space="preserve">GOL-148</t>
  </si>
  <si>
    <t xml:space="preserve">GOL-149</t>
  </si>
  <si>
    <t xml:space="preserve">GOL-150</t>
  </si>
  <si>
    <t xml:space="preserve">GOL-151</t>
  </si>
  <si>
    <t xml:space="preserve">GOL-152</t>
  </si>
  <si>
    <t xml:space="preserve">GOL-153</t>
  </si>
  <si>
    <t xml:space="preserve">GOL-154</t>
  </si>
  <si>
    <t xml:space="preserve">GOL-155</t>
  </si>
  <si>
    <t xml:space="preserve">GOL-156</t>
  </si>
  <si>
    <t xml:space="preserve">GOL-157</t>
  </si>
  <si>
    <t xml:space="preserve">GOL-158</t>
  </si>
  <si>
    <t xml:space="preserve">GOL-159</t>
  </si>
  <si>
    <t xml:space="preserve">GOL-160</t>
  </si>
  <si>
    <t xml:space="preserve">GOL-161</t>
  </si>
  <si>
    <t xml:space="preserve">GOL-162</t>
  </si>
  <si>
    <t xml:space="preserve">GOL-163</t>
  </si>
  <si>
    <t xml:space="preserve">GOL-164</t>
  </si>
  <si>
    <t xml:space="preserve">GOL-165</t>
  </si>
  <si>
    <t xml:space="preserve">GOL-166</t>
  </si>
  <si>
    <t xml:space="preserve">GOL-167</t>
  </si>
  <si>
    <t xml:space="preserve">GOL-168</t>
  </si>
  <si>
    <t xml:space="preserve">GOL-169</t>
  </si>
  <si>
    <t xml:space="preserve">GOL-170</t>
  </si>
  <si>
    <t xml:space="preserve">GOL-171</t>
  </si>
  <si>
    <t xml:space="preserve">GOL-172</t>
  </si>
  <si>
    <t xml:space="preserve">GOL-173</t>
  </si>
  <si>
    <t xml:space="preserve">GOL-174</t>
  </si>
  <si>
    <t xml:space="preserve">GOL-175</t>
  </si>
  <si>
    <t xml:space="preserve">GOL-176</t>
  </si>
  <si>
    <t xml:space="preserve">GOL-177</t>
  </si>
  <si>
    <t xml:space="preserve">GOL-178</t>
  </si>
  <si>
    <t xml:space="preserve">GOL-179</t>
  </si>
  <si>
    <t xml:space="preserve">GOL-180</t>
  </si>
  <si>
    <t xml:space="preserve">GOL-181</t>
  </si>
  <si>
    <t xml:space="preserve">GOL-182</t>
  </si>
  <si>
    <t xml:space="preserve">GOL-183</t>
  </si>
  <si>
    <t xml:space="preserve">GOL-184</t>
  </si>
  <si>
    <t xml:space="preserve">GOL-185</t>
  </si>
  <si>
    <t xml:space="preserve">GOL-186</t>
  </si>
  <si>
    <t xml:space="preserve">GOL-187</t>
  </si>
  <si>
    <t xml:space="preserve">GOL-188</t>
  </si>
  <si>
    <t xml:space="preserve">GOL-189</t>
  </si>
  <si>
    <t xml:space="preserve">GOL-190</t>
  </si>
  <si>
    <t xml:space="preserve">GOL-191</t>
  </si>
  <si>
    <t xml:space="preserve">GOL-192</t>
  </si>
  <si>
    <t xml:space="preserve">GOL-193</t>
  </si>
  <si>
    <t xml:space="preserve">GOL-194</t>
  </si>
  <si>
    <t xml:space="preserve">GOL-195</t>
  </si>
  <si>
    <t xml:space="preserve">GOL-196</t>
  </si>
  <si>
    <t xml:space="preserve">GOL-197</t>
  </si>
  <si>
    <t xml:space="preserve">GOL-198</t>
  </si>
  <si>
    <t xml:space="preserve">GOL-199</t>
  </si>
  <si>
    <t xml:space="preserve">GOL-200</t>
  </si>
  <si>
    <t xml:space="preserve">GOL-201</t>
  </si>
  <si>
    <t xml:space="preserve">GOL-202</t>
  </si>
  <si>
    <t xml:space="preserve">GOL-203</t>
  </si>
  <si>
    <t xml:space="preserve">GOL-204</t>
  </si>
  <si>
    <t xml:space="preserve">GOL-205</t>
  </si>
  <si>
    <t xml:space="preserve">GOL-206</t>
  </si>
  <si>
    <t xml:space="preserve">GOL-207</t>
  </si>
  <si>
    <t xml:space="preserve">GOL-208</t>
  </si>
  <si>
    <t xml:space="preserve">GOL-209</t>
  </si>
  <si>
    <t xml:space="preserve">GOL-210</t>
  </si>
  <si>
    <t xml:space="preserve">GOL-211</t>
  </si>
  <si>
    <t xml:space="preserve">GOL-212</t>
  </si>
  <si>
    <t xml:space="preserve">GOL-213</t>
  </si>
  <si>
    <t xml:space="preserve">GOL-214</t>
  </si>
  <si>
    <t xml:space="preserve">GOL-215</t>
  </si>
  <si>
    <t xml:space="preserve">GOL-216</t>
  </si>
  <si>
    <t xml:space="preserve">GOL-217</t>
  </si>
  <si>
    <t xml:space="preserve">GOL-218</t>
  </si>
  <si>
    <t xml:space="preserve">GOL-219</t>
  </si>
  <si>
    <t xml:space="preserve">GOL-220</t>
  </si>
  <si>
    <t xml:space="preserve">GOL-221</t>
  </si>
  <si>
    <t xml:space="preserve">GOL-222</t>
  </si>
  <si>
    <t xml:space="preserve">GOL-223</t>
  </si>
  <si>
    <t xml:space="preserve">GOL-224</t>
  </si>
  <si>
    <t xml:space="preserve">GOL-225</t>
  </si>
  <si>
    <t xml:space="preserve">GOL-226</t>
  </si>
  <si>
    <t xml:space="preserve">GOL-227</t>
  </si>
  <si>
    <t xml:space="preserve">GOL-228</t>
  </si>
  <si>
    <t xml:space="preserve">GOL-229</t>
  </si>
  <si>
    <t xml:space="preserve">GOL-230</t>
  </si>
  <si>
    <t xml:space="preserve">GOL-231</t>
  </si>
  <si>
    <t xml:space="preserve">GOL-232</t>
  </si>
  <si>
    <t xml:space="preserve">GOL-233</t>
  </si>
  <si>
    <t xml:space="preserve">GOL-234</t>
  </si>
  <si>
    <t xml:space="preserve">GOL-235</t>
  </si>
  <si>
    <t xml:space="preserve">GOL-236</t>
  </si>
  <si>
    <t xml:space="preserve">GOL-237</t>
  </si>
  <si>
    <t xml:space="preserve">GOL-238</t>
  </si>
  <si>
    <t xml:space="preserve">GOL-239</t>
  </si>
  <si>
    <t xml:space="preserve">GOL-240</t>
  </si>
  <si>
    <t xml:space="preserve">GOL-241</t>
  </si>
  <si>
    <t xml:space="preserve">GOL-242</t>
  </si>
  <si>
    <t xml:space="preserve">GOL-243</t>
  </si>
  <si>
    <t xml:space="preserve">GOL-244</t>
  </si>
  <si>
    <t xml:space="preserve">GOL-245</t>
  </si>
  <si>
    <t xml:space="preserve">GOL-246</t>
  </si>
  <si>
    <t xml:space="preserve">GOL-247</t>
  </si>
  <si>
    <t xml:space="preserve">GOL-248</t>
  </si>
  <si>
    <t xml:space="preserve">GOL-249</t>
  </si>
  <si>
    <t xml:space="preserve">GOL-250</t>
  </si>
  <si>
    <t xml:space="preserve">GOL-251</t>
  </si>
  <si>
    <t xml:space="preserve">GOL-252</t>
  </si>
  <si>
    <t xml:space="preserve">GOL-253</t>
  </si>
  <si>
    <t xml:space="preserve">GOL-254</t>
  </si>
  <si>
    <t xml:space="preserve">GOL-255</t>
  </si>
  <si>
    <t xml:space="preserve">GOL-256</t>
  </si>
  <si>
    <t xml:space="preserve">GOL-257</t>
  </si>
  <si>
    <t xml:space="preserve">GOL-258</t>
  </si>
  <si>
    <t xml:space="preserve">GOL-259</t>
  </si>
  <si>
    <t xml:space="preserve">GOL-260</t>
  </si>
  <si>
    <t xml:space="preserve">GOL-261</t>
  </si>
  <si>
    <t xml:space="preserve">GOL-262</t>
  </si>
  <si>
    <t xml:space="preserve">GOL-263</t>
  </si>
  <si>
    <t xml:space="preserve">GOL-264</t>
  </si>
  <si>
    <t xml:space="preserve">GOL-265</t>
  </si>
  <si>
    <t xml:space="preserve">GOL-266</t>
  </si>
  <si>
    <t xml:space="preserve">GOL-267</t>
  </si>
  <si>
    <t xml:space="preserve">GOL-268</t>
  </si>
  <si>
    <t xml:space="preserve">GOL-269</t>
  </si>
  <si>
    <t xml:space="preserve">GOL-270</t>
  </si>
  <si>
    <t xml:space="preserve">GOL-271</t>
  </si>
  <si>
    <t xml:space="preserve">GOL-272</t>
  </si>
  <si>
    <t xml:space="preserve">GOL-273</t>
  </si>
  <si>
    <t xml:space="preserve">GOL-274</t>
  </si>
  <si>
    <t xml:space="preserve">GOL-275</t>
  </si>
  <si>
    <t xml:space="preserve">GOL-276</t>
  </si>
  <si>
    <t xml:space="preserve">GOL-277</t>
  </si>
  <si>
    <t xml:space="preserve">GOL-278</t>
  </si>
  <si>
    <t xml:space="preserve">GOL-279</t>
  </si>
  <si>
    <t xml:space="preserve">GOL-280</t>
  </si>
  <si>
    <t xml:space="preserve">GOL-281</t>
  </si>
  <si>
    <t xml:space="preserve">GOL-282</t>
  </si>
  <si>
    <t xml:space="preserve">GOL-283</t>
  </si>
  <si>
    <t xml:space="preserve">GOL-284</t>
  </si>
  <si>
    <t xml:space="preserve">GOL-285</t>
  </si>
  <si>
    <t xml:space="preserve">GOL-286</t>
  </si>
  <si>
    <t xml:space="preserve">GOL-287</t>
  </si>
  <si>
    <t xml:space="preserve">GOL-288</t>
  </si>
  <si>
    <t xml:space="preserve">GOL-289</t>
  </si>
  <si>
    <t xml:space="preserve">GOL-290</t>
  </si>
  <si>
    <t xml:space="preserve">GOL-291</t>
  </si>
  <si>
    <t xml:space="preserve">GOL-292</t>
  </si>
  <si>
    <t xml:space="preserve">GOL-293</t>
  </si>
  <si>
    <t xml:space="preserve">GOL-294</t>
  </si>
  <si>
    <t xml:space="preserve">GOL-295</t>
  </si>
  <si>
    <t xml:space="preserve">GOL-296</t>
  </si>
  <si>
    <t xml:space="preserve">GOL-297</t>
  </si>
  <si>
    <t xml:space="preserve">GOL-298</t>
  </si>
  <si>
    <t xml:space="preserve">GOL-299</t>
  </si>
  <si>
    <t xml:space="preserve">GOL-300</t>
  </si>
  <si>
    <t xml:space="preserve">Meetings Log</t>
  </si>
  <si>
    <t xml:space="preserve">Every meeting held under the EASM mission: participants, decisions, 2LoD challenge and follow-ups.</t>
  </si>
  <si>
    <t xml:space="preserve">Meeting ID</t>
  </si>
  <si>
    <t xml:space="preserve">Start Time</t>
  </si>
  <si>
    <t xml:space="preserve">Duration (min)</t>
  </si>
  <si>
    <t xml:space="preserve">Meeting Type</t>
  </si>
  <si>
    <t xml:space="preserve">Title / Subject</t>
  </si>
  <si>
    <t xml:space="preserve">Attendees (name – function)</t>
  </si>
  <si>
    <t xml:space="preserve">LoD Represented</t>
  </si>
  <si>
    <t xml:space="preserve">Agenda / Purpose</t>
  </si>
  <si>
    <t xml:space="preserve">Key Discussion Points</t>
  </si>
  <si>
    <t xml:space="preserve">Decisions Taken</t>
  </si>
  <si>
    <t xml:space="preserve">2LoD Challenge Raised</t>
  </si>
  <si>
    <t xml:space="preserve">1LoD Position / Response</t>
  </si>
  <si>
    <t xml:space="preserve">Actions Generated (Task IDs)</t>
  </si>
  <si>
    <t xml:space="preserve">Follow-up Required?</t>
  </si>
  <si>
    <t xml:space="preserve">Follow-up Date</t>
  </si>
  <si>
    <t xml:space="preserve">Follow-up Completed?</t>
  </si>
  <si>
    <t xml:space="preserve">Follow-up Flag</t>
  </si>
  <si>
    <t xml:space="preserve">Minutes / Recording Link</t>
  </si>
  <si>
    <t xml:space="preserve">Classification</t>
  </si>
  <si>
    <t xml:space="preserve">WR helper: held in period</t>
  </si>
  <si>
    <t xml:space="preserve">MTG-001</t>
  </si>
  <si>
    <t xml:space="preserve">Asset Discovery</t>
  </si>
  <si>
    <t xml:space="preserve">EASM baseline – scope validation with Group Infrastructure</t>
  </si>
  <si>
    <t xml:space="preserve">Head of Network Security; CISO Office; Group Architecture</t>
  </si>
  <si>
    <t xml:space="preserve">Multiple</t>
  </si>
  <si>
    <t xml:space="preserve">Validate in-scope legal entities, IP ranges and root domains for EASM baseline</t>
  </si>
  <si>
    <t xml:space="preserve">EASM platform shows ~18% of discovered hosts not mapped in CMDB; 3 recently acquired entities not onboarded</t>
  </si>
  <si>
    <t xml:space="preserve">Scope extension to 3 acquired entities proposed to Mission Sponsor (DEV-001)</t>
  </si>
  <si>
    <t xml:space="preserve">1LoD claim of 95% inventory completeness not evidenced; reconciliation requested</t>
  </si>
  <si>
    <t xml:space="preserve">1LoD to provide CMDB extract of internet-facing assets</t>
  </si>
  <si>
    <t xml:space="preserve">TSK-001</t>
  </si>
  <si>
    <t xml:space="preserve">Yes</t>
  </si>
  <si>
    <t xml:space="preserve">No</t>
  </si>
  <si>
    <t xml:space="preserve">SharePoint/EASM/Minutes/MTG-001</t>
  </si>
  <si>
    <t xml:space="preserve">Confidential</t>
  </si>
  <si>
    <t xml:space="preserve">MTG-002</t>
  </si>
  <si>
    <t xml:space="preserve">MTG-003</t>
  </si>
  <si>
    <t xml:space="preserve">MTG-004</t>
  </si>
  <si>
    <t xml:space="preserve">MTG-005</t>
  </si>
  <si>
    <t xml:space="preserve">MTG-006</t>
  </si>
  <si>
    <t xml:space="preserve">MTG-007</t>
  </si>
  <si>
    <t xml:space="preserve">MTG-008</t>
  </si>
  <si>
    <t xml:space="preserve">MTG-009</t>
  </si>
  <si>
    <t xml:space="preserve">MTG-010</t>
  </si>
  <si>
    <t xml:space="preserve">MTG-011</t>
  </si>
  <si>
    <t xml:space="preserve">MTG-012</t>
  </si>
  <si>
    <t xml:space="preserve">MTG-013</t>
  </si>
  <si>
    <t xml:space="preserve">MTG-014</t>
  </si>
  <si>
    <t xml:space="preserve">MTG-015</t>
  </si>
  <si>
    <t xml:space="preserve">MTG-016</t>
  </si>
  <si>
    <t xml:space="preserve">MTG-017</t>
  </si>
  <si>
    <t xml:space="preserve">MTG-018</t>
  </si>
  <si>
    <t xml:space="preserve">MTG-019</t>
  </si>
  <si>
    <t xml:space="preserve">MTG-020</t>
  </si>
  <si>
    <t xml:space="preserve">MTG-021</t>
  </si>
  <si>
    <t xml:space="preserve">MTG-022</t>
  </si>
  <si>
    <t xml:space="preserve">MTG-023</t>
  </si>
  <si>
    <t xml:space="preserve">MTG-024</t>
  </si>
  <si>
    <t xml:space="preserve">MTG-025</t>
  </si>
  <si>
    <t xml:space="preserve">MTG-026</t>
  </si>
  <si>
    <t xml:space="preserve">MTG-027</t>
  </si>
  <si>
    <t xml:space="preserve">MTG-028</t>
  </si>
  <si>
    <t xml:space="preserve">MTG-029</t>
  </si>
  <si>
    <t xml:space="preserve">MTG-030</t>
  </si>
  <si>
    <t xml:space="preserve">MTG-031</t>
  </si>
  <si>
    <t xml:space="preserve">MTG-032</t>
  </si>
  <si>
    <t xml:space="preserve">MTG-033</t>
  </si>
  <si>
    <t xml:space="preserve">MTG-034</t>
  </si>
  <si>
    <t xml:space="preserve">MTG-035</t>
  </si>
  <si>
    <t xml:space="preserve">MTG-036</t>
  </si>
  <si>
    <t xml:space="preserve">MTG-037</t>
  </si>
  <si>
    <t xml:space="preserve">MTG-038</t>
  </si>
  <si>
    <t xml:space="preserve">MTG-039</t>
  </si>
  <si>
    <t xml:space="preserve">MTG-040</t>
  </si>
  <si>
    <t xml:space="preserve">MTG-041</t>
  </si>
  <si>
    <t xml:space="preserve">MTG-042</t>
  </si>
  <si>
    <t xml:space="preserve">MTG-043</t>
  </si>
  <si>
    <t xml:space="preserve">MTG-044</t>
  </si>
  <si>
    <t xml:space="preserve">MTG-045</t>
  </si>
  <si>
    <t xml:space="preserve">MTG-046</t>
  </si>
  <si>
    <t xml:space="preserve">MTG-047</t>
  </si>
  <si>
    <t xml:space="preserve">MTG-048</t>
  </si>
  <si>
    <t xml:space="preserve">MTG-049</t>
  </si>
  <si>
    <t xml:space="preserve">MTG-050</t>
  </si>
  <si>
    <t xml:space="preserve">MTG-051</t>
  </si>
  <si>
    <t xml:space="preserve">MTG-052</t>
  </si>
  <si>
    <t xml:space="preserve">MTG-053</t>
  </si>
  <si>
    <t xml:space="preserve">MTG-054</t>
  </si>
  <si>
    <t xml:space="preserve">MTG-055</t>
  </si>
  <si>
    <t xml:space="preserve">MTG-056</t>
  </si>
  <si>
    <t xml:space="preserve">MTG-057</t>
  </si>
  <si>
    <t xml:space="preserve">MTG-058</t>
  </si>
  <si>
    <t xml:space="preserve">MTG-059</t>
  </si>
  <si>
    <t xml:space="preserve">MTG-060</t>
  </si>
  <si>
    <t xml:space="preserve">MTG-061</t>
  </si>
  <si>
    <t xml:space="preserve">MTG-062</t>
  </si>
  <si>
    <t xml:space="preserve">MTG-063</t>
  </si>
  <si>
    <t xml:space="preserve">MTG-064</t>
  </si>
  <si>
    <t xml:space="preserve">MTG-065</t>
  </si>
  <si>
    <t xml:space="preserve">MTG-066</t>
  </si>
  <si>
    <t xml:space="preserve">MTG-067</t>
  </si>
  <si>
    <t xml:space="preserve">MTG-068</t>
  </si>
  <si>
    <t xml:space="preserve">MTG-069</t>
  </si>
  <si>
    <t xml:space="preserve">MTG-070</t>
  </si>
  <si>
    <t xml:space="preserve">MTG-071</t>
  </si>
  <si>
    <t xml:space="preserve">MTG-072</t>
  </si>
  <si>
    <t xml:space="preserve">MTG-073</t>
  </si>
  <si>
    <t xml:space="preserve">MTG-074</t>
  </si>
  <si>
    <t xml:space="preserve">MTG-075</t>
  </si>
  <si>
    <t xml:space="preserve">MTG-076</t>
  </si>
  <si>
    <t xml:space="preserve">MTG-077</t>
  </si>
  <si>
    <t xml:space="preserve">MTG-078</t>
  </si>
  <si>
    <t xml:space="preserve">MTG-079</t>
  </si>
  <si>
    <t xml:space="preserve">MTG-080</t>
  </si>
  <si>
    <t xml:space="preserve">MTG-081</t>
  </si>
  <si>
    <t xml:space="preserve">MTG-082</t>
  </si>
  <si>
    <t xml:space="preserve">MTG-083</t>
  </si>
  <si>
    <t xml:space="preserve">MTG-084</t>
  </si>
  <si>
    <t xml:space="preserve">MTG-085</t>
  </si>
  <si>
    <t xml:space="preserve">MTG-086</t>
  </si>
  <si>
    <t xml:space="preserve">MTG-087</t>
  </si>
  <si>
    <t xml:space="preserve">MTG-088</t>
  </si>
  <si>
    <t xml:space="preserve">MTG-089</t>
  </si>
  <si>
    <t xml:space="preserve">MTG-090</t>
  </si>
  <si>
    <t xml:space="preserve">MTG-091</t>
  </si>
  <si>
    <t xml:space="preserve">MTG-092</t>
  </si>
  <si>
    <t xml:space="preserve">MTG-093</t>
  </si>
  <si>
    <t xml:space="preserve">MTG-094</t>
  </si>
  <si>
    <t xml:space="preserve">MTG-095</t>
  </si>
  <si>
    <t xml:space="preserve">MTG-096</t>
  </si>
  <si>
    <t xml:space="preserve">MTG-097</t>
  </si>
  <si>
    <t xml:space="preserve">MTG-098</t>
  </si>
  <si>
    <t xml:space="preserve">MTG-099</t>
  </si>
  <si>
    <t xml:space="preserve">MTG-100</t>
  </si>
  <si>
    <t xml:space="preserve">MTG-101</t>
  </si>
  <si>
    <t xml:space="preserve">MTG-102</t>
  </si>
  <si>
    <t xml:space="preserve">MTG-103</t>
  </si>
  <si>
    <t xml:space="preserve">MTG-104</t>
  </si>
  <si>
    <t xml:space="preserve">MTG-105</t>
  </si>
  <si>
    <t xml:space="preserve">MTG-106</t>
  </si>
  <si>
    <t xml:space="preserve">MTG-107</t>
  </si>
  <si>
    <t xml:space="preserve">MTG-108</t>
  </si>
  <si>
    <t xml:space="preserve">MTG-109</t>
  </si>
  <si>
    <t xml:space="preserve">MTG-110</t>
  </si>
  <si>
    <t xml:space="preserve">MTG-111</t>
  </si>
  <si>
    <t xml:space="preserve">MTG-112</t>
  </si>
  <si>
    <t xml:space="preserve">MTG-113</t>
  </si>
  <si>
    <t xml:space="preserve">MTG-114</t>
  </si>
  <si>
    <t xml:space="preserve">MTG-115</t>
  </si>
  <si>
    <t xml:space="preserve">MTG-116</t>
  </si>
  <si>
    <t xml:space="preserve">MTG-117</t>
  </si>
  <si>
    <t xml:space="preserve">MTG-118</t>
  </si>
  <si>
    <t xml:space="preserve">MTG-119</t>
  </si>
  <si>
    <t xml:space="preserve">MTG-120</t>
  </si>
  <si>
    <t xml:space="preserve">MTG-121</t>
  </si>
  <si>
    <t xml:space="preserve">MTG-122</t>
  </si>
  <si>
    <t xml:space="preserve">MTG-123</t>
  </si>
  <si>
    <t xml:space="preserve">MTG-124</t>
  </si>
  <si>
    <t xml:space="preserve">MTG-125</t>
  </si>
  <si>
    <t xml:space="preserve">MTG-126</t>
  </si>
  <si>
    <t xml:space="preserve">MTG-127</t>
  </si>
  <si>
    <t xml:space="preserve">MTG-128</t>
  </si>
  <si>
    <t xml:space="preserve">MTG-129</t>
  </si>
  <si>
    <t xml:space="preserve">MTG-130</t>
  </si>
  <si>
    <t xml:space="preserve">MTG-131</t>
  </si>
  <si>
    <t xml:space="preserve">MTG-132</t>
  </si>
  <si>
    <t xml:space="preserve">MTG-133</t>
  </si>
  <si>
    <t xml:space="preserve">MTG-134</t>
  </si>
  <si>
    <t xml:space="preserve">MTG-135</t>
  </si>
  <si>
    <t xml:space="preserve">MTG-136</t>
  </si>
  <si>
    <t xml:space="preserve">MTG-137</t>
  </si>
  <si>
    <t xml:space="preserve">MTG-138</t>
  </si>
  <si>
    <t xml:space="preserve">MTG-139</t>
  </si>
  <si>
    <t xml:space="preserve">MTG-140</t>
  </si>
  <si>
    <t xml:space="preserve">MTG-141</t>
  </si>
  <si>
    <t xml:space="preserve">MTG-142</t>
  </si>
  <si>
    <t xml:space="preserve">MTG-143</t>
  </si>
  <si>
    <t xml:space="preserve">MTG-144</t>
  </si>
  <si>
    <t xml:space="preserve">MTG-145</t>
  </si>
  <si>
    <t xml:space="preserve">MTG-146</t>
  </si>
  <si>
    <t xml:space="preserve">MTG-147</t>
  </si>
  <si>
    <t xml:space="preserve">MTG-148</t>
  </si>
  <si>
    <t xml:space="preserve">MTG-149</t>
  </si>
  <si>
    <t xml:space="preserve">MTG-150</t>
  </si>
  <si>
    <t xml:space="preserve">MTG-151</t>
  </si>
  <si>
    <t xml:space="preserve">MTG-152</t>
  </si>
  <si>
    <t xml:space="preserve">MTG-153</t>
  </si>
  <si>
    <t xml:space="preserve">MTG-154</t>
  </si>
  <si>
    <t xml:space="preserve">MTG-155</t>
  </si>
  <si>
    <t xml:space="preserve">MTG-156</t>
  </si>
  <si>
    <t xml:space="preserve">MTG-157</t>
  </si>
  <si>
    <t xml:space="preserve">MTG-158</t>
  </si>
  <si>
    <t xml:space="preserve">MTG-159</t>
  </si>
  <si>
    <t xml:space="preserve">MTG-160</t>
  </si>
  <si>
    <t xml:space="preserve">MTG-161</t>
  </si>
  <si>
    <t xml:space="preserve">MTG-162</t>
  </si>
  <si>
    <t xml:space="preserve">MTG-163</t>
  </si>
  <si>
    <t xml:space="preserve">MTG-164</t>
  </si>
  <si>
    <t xml:space="preserve">MTG-165</t>
  </si>
  <si>
    <t xml:space="preserve">MTG-166</t>
  </si>
  <si>
    <t xml:space="preserve">MTG-167</t>
  </si>
  <si>
    <t xml:space="preserve">MTG-168</t>
  </si>
  <si>
    <t xml:space="preserve">MTG-169</t>
  </si>
  <si>
    <t xml:space="preserve">MTG-170</t>
  </si>
  <si>
    <t xml:space="preserve">MTG-171</t>
  </si>
  <si>
    <t xml:space="preserve">MTG-172</t>
  </si>
  <si>
    <t xml:space="preserve">MTG-173</t>
  </si>
  <si>
    <t xml:space="preserve">MTG-174</t>
  </si>
  <si>
    <t xml:space="preserve">MTG-175</t>
  </si>
  <si>
    <t xml:space="preserve">MTG-176</t>
  </si>
  <si>
    <t xml:space="preserve">MTG-177</t>
  </si>
  <si>
    <t xml:space="preserve">MTG-178</t>
  </si>
  <si>
    <t xml:space="preserve">MTG-179</t>
  </si>
  <si>
    <t xml:space="preserve">MTG-180</t>
  </si>
  <si>
    <t xml:space="preserve">MTG-181</t>
  </si>
  <si>
    <t xml:space="preserve">MTG-182</t>
  </si>
  <si>
    <t xml:space="preserve">MTG-183</t>
  </si>
  <si>
    <t xml:space="preserve">MTG-184</t>
  </si>
  <si>
    <t xml:space="preserve">MTG-185</t>
  </si>
  <si>
    <t xml:space="preserve">MTG-186</t>
  </si>
  <si>
    <t xml:space="preserve">MTG-187</t>
  </si>
  <si>
    <t xml:space="preserve">MTG-188</t>
  </si>
  <si>
    <t xml:space="preserve">MTG-189</t>
  </si>
  <si>
    <t xml:space="preserve">MTG-190</t>
  </si>
  <si>
    <t xml:space="preserve">MTG-191</t>
  </si>
  <si>
    <t xml:space="preserve">MTG-192</t>
  </si>
  <si>
    <t xml:space="preserve">MTG-193</t>
  </si>
  <si>
    <t xml:space="preserve">MTG-194</t>
  </si>
  <si>
    <t xml:space="preserve">MTG-195</t>
  </si>
  <si>
    <t xml:space="preserve">MTG-196</t>
  </si>
  <si>
    <t xml:space="preserve">MTG-197</t>
  </si>
  <si>
    <t xml:space="preserve">MTG-198</t>
  </si>
  <si>
    <t xml:space="preserve">MTG-199</t>
  </si>
  <si>
    <t xml:space="preserve">MTG-200</t>
  </si>
  <si>
    <t xml:space="preserve">MTG-201</t>
  </si>
  <si>
    <t xml:space="preserve">MTG-202</t>
  </si>
  <si>
    <t xml:space="preserve">MTG-203</t>
  </si>
  <si>
    <t xml:space="preserve">MTG-204</t>
  </si>
  <si>
    <t xml:space="preserve">MTG-205</t>
  </si>
  <si>
    <t xml:space="preserve">MTG-206</t>
  </si>
  <si>
    <t xml:space="preserve">MTG-207</t>
  </si>
  <si>
    <t xml:space="preserve">MTG-208</t>
  </si>
  <si>
    <t xml:space="preserve">MTG-209</t>
  </si>
  <si>
    <t xml:space="preserve">MTG-210</t>
  </si>
  <si>
    <t xml:space="preserve">MTG-211</t>
  </si>
  <si>
    <t xml:space="preserve">MTG-212</t>
  </si>
  <si>
    <t xml:space="preserve">MTG-213</t>
  </si>
  <si>
    <t xml:space="preserve">MTG-214</t>
  </si>
  <si>
    <t xml:space="preserve">MTG-215</t>
  </si>
  <si>
    <t xml:space="preserve">MTG-216</t>
  </si>
  <si>
    <t xml:space="preserve">MTG-217</t>
  </si>
  <si>
    <t xml:space="preserve">MTG-218</t>
  </si>
  <si>
    <t xml:space="preserve">MTG-219</t>
  </si>
  <si>
    <t xml:space="preserve">MTG-220</t>
  </si>
  <si>
    <t xml:space="preserve">MTG-221</t>
  </si>
  <si>
    <t xml:space="preserve">MTG-222</t>
  </si>
  <si>
    <t xml:space="preserve">MTG-223</t>
  </si>
  <si>
    <t xml:space="preserve">MTG-224</t>
  </si>
  <si>
    <t xml:space="preserve">MTG-225</t>
  </si>
  <si>
    <t xml:space="preserve">MTG-226</t>
  </si>
  <si>
    <t xml:space="preserve">MTG-227</t>
  </si>
  <si>
    <t xml:space="preserve">MTG-228</t>
  </si>
  <si>
    <t xml:space="preserve">MTG-229</t>
  </si>
  <si>
    <t xml:space="preserve">MTG-230</t>
  </si>
  <si>
    <t xml:space="preserve">MTG-231</t>
  </si>
  <si>
    <t xml:space="preserve">MTG-232</t>
  </si>
  <si>
    <t xml:space="preserve">MTG-233</t>
  </si>
  <si>
    <t xml:space="preserve">MTG-234</t>
  </si>
  <si>
    <t xml:space="preserve">MTG-235</t>
  </si>
  <si>
    <t xml:space="preserve">MTG-236</t>
  </si>
  <si>
    <t xml:space="preserve">MTG-237</t>
  </si>
  <si>
    <t xml:space="preserve">MTG-238</t>
  </si>
  <si>
    <t xml:space="preserve">MTG-239</t>
  </si>
  <si>
    <t xml:space="preserve">MTG-240</t>
  </si>
  <si>
    <t xml:space="preserve">MTG-241</t>
  </si>
  <si>
    <t xml:space="preserve">MTG-242</t>
  </si>
  <si>
    <t xml:space="preserve">MTG-243</t>
  </si>
  <si>
    <t xml:space="preserve">MTG-244</t>
  </si>
  <si>
    <t xml:space="preserve">MTG-245</t>
  </si>
  <si>
    <t xml:space="preserve">MTG-246</t>
  </si>
  <si>
    <t xml:space="preserve">MTG-247</t>
  </si>
  <si>
    <t xml:space="preserve">MTG-248</t>
  </si>
  <si>
    <t xml:space="preserve">MTG-249</t>
  </si>
  <si>
    <t xml:space="preserve">MTG-250</t>
  </si>
  <si>
    <t xml:space="preserve">MTG-251</t>
  </si>
  <si>
    <t xml:space="preserve">MTG-252</t>
  </si>
  <si>
    <t xml:space="preserve">MTG-253</t>
  </si>
  <si>
    <t xml:space="preserve">MTG-254</t>
  </si>
  <si>
    <t xml:space="preserve">MTG-255</t>
  </si>
  <si>
    <t xml:space="preserve">MTG-256</t>
  </si>
  <si>
    <t xml:space="preserve">MTG-257</t>
  </si>
  <si>
    <t xml:space="preserve">MTG-258</t>
  </si>
  <si>
    <t xml:space="preserve">MTG-259</t>
  </si>
  <si>
    <t xml:space="preserve">MTG-260</t>
  </si>
  <si>
    <t xml:space="preserve">MTG-261</t>
  </si>
  <si>
    <t xml:space="preserve">MTG-262</t>
  </si>
  <si>
    <t xml:space="preserve">MTG-263</t>
  </si>
  <si>
    <t xml:space="preserve">MTG-264</t>
  </si>
  <si>
    <t xml:space="preserve">MTG-265</t>
  </si>
  <si>
    <t xml:space="preserve">MTG-266</t>
  </si>
  <si>
    <t xml:space="preserve">MTG-267</t>
  </si>
  <si>
    <t xml:space="preserve">MTG-268</t>
  </si>
  <si>
    <t xml:space="preserve">MTG-269</t>
  </si>
  <si>
    <t xml:space="preserve">MTG-270</t>
  </si>
  <si>
    <t xml:space="preserve">MTG-271</t>
  </si>
  <si>
    <t xml:space="preserve">MTG-272</t>
  </si>
  <si>
    <t xml:space="preserve">MTG-273</t>
  </si>
  <si>
    <t xml:space="preserve">MTG-274</t>
  </si>
  <si>
    <t xml:space="preserve">MTG-275</t>
  </si>
  <si>
    <t xml:space="preserve">MTG-276</t>
  </si>
  <si>
    <t xml:space="preserve">MTG-277</t>
  </si>
  <si>
    <t xml:space="preserve">MTG-278</t>
  </si>
  <si>
    <t xml:space="preserve">MTG-279</t>
  </si>
  <si>
    <t xml:space="preserve">MTG-280</t>
  </si>
  <si>
    <t xml:space="preserve">MTG-281</t>
  </si>
  <si>
    <t xml:space="preserve">MTG-282</t>
  </si>
  <si>
    <t xml:space="preserve">MTG-283</t>
  </si>
  <si>
    <t xml:space="preserve">MTG-284</t>
  </si>
  <si>
    <t xml:space="preserve">MTG-285</t>
  </si>
  <si>
    <t xml:space="preserve">MTG-286</t>
  </si>
  <si>
    <t xml:space="preserve">MTG-287</t>
  </si>
  <si>
    <t xml:space="preserve">MTG-288</t>
  </si>
  <si>
    <t xml:space="preserve">MTG-289</t>
  </si>
  <si>
    <t xml:space="preserve">MTG-290</t>
  </si>
  <si>
    <t xml:space="preserve">MTG-291</t>
  </si>
  <si>
    <t xml:space="preserve">MTG-292</t>
  </si>
  <si>
    <t xml:space="preserve">MTG-293</t>
  </si>
  <si>
    <t xml:space="preserve">MTG-294</t>
  </si>
  <si>
    <t xml:space="preserve">MTG-295</t>
  </si>
  <si>
    <t xml:space="preserve">MTG-296</t>
  </si>
  <si>
    <t xml:space="preserve">MTG-297</t>
  </si>
  <si>
    <t xml:space="preserve">MTG-298</t>
  </si>
  <si>
    <t xml:space="preserve">MTG-299</t>
  </si>
  <si>
    <t xml:space="preserve">MTG-300</t>
  </si>
  <si>
    <t xml:space="preserve">Email &amp; Communications Log</t>
  </si>
  <si>
    <t xml:space="preserve">Material emails sent/received: requests, evidence, escalations and response SLAs.</t>
  </si>
  <si>
    <t xml:space="preserve">Email ID</t>
  </si>
  <si>
    <t xml:space="preserve">Date Sent / Received</t>
  </si>
  <si>
    <t xml:space="preserve">Direction</t>
  </si>
  <si>
    <t xml:space="preserve">From</t>
  </si>
  <si>
    <t xml:space="preserve">To / Cc</t>
  </si>
  <si>
    <t xml:space="preserve">Counterparty LoD</t>
  </si>
  <si>
    <t xml:space="preserve">Summary</t>
  </si>
  <si>
    <t xml:space="preserve">Request / Ask</t>
  </si>
  <si>
    <t xml:space="preserve">Attachments / Evidence</t>
  </si>
  <si>
    <t xml:space="preserve">Response Required?</t>
  </si>
  <si>
    <t xml:space="preserve">Response Due</t>
  </si>
  <si>
    <t xml:space="preserve">Response Status</t>
  </si>
  <si>
    <t xml:space="preserve">Date Responded</t>
  </si>
  <si>
    <t xml:space="preserve">Days to Respond</t>
  </si>
  <si>
    <t xml:space="preserve">Response Flag</t>
  </si>
  <si>
    <t xml:space="preserve">Linked IDs (MTG/TSK/FND)</t>
  </si>
  <si>
    <t xml:space="preserve">Mail Reference / Link</t>
  </si>
  <si>
    <t xml:space="preserve">WR helper: response awaited</t>
  </si>
  <si>
    <t xml:space="preserve">EML-001</t>
  </si>
  <si>
    <t xml:space="preserve">Outbound</t>
  </si>
  <si>
    <t xml:space="preserve">Head of Network Security; cc CISO Office</t>
  </si>
  <si>
    <t xml:space="preserve">1LoD</t>
  </si>
  <si>
    <t xml:space="preserve">RFI – CMDB extract of internet-facing assets</t>
  </si>
  <si>
    <t xml:space="preserve">Request for Information</t>
  </si>
  <si>
    <t xml:space="preserve">Formal request following MTG-001 for the CMDB extract to reconcile against EASM discovery output</t>
  </si>
  <si>
    <t xml:space="preserve">Full extract incl. owner, legal entity, hosting and last patch date</t>
  </si>
  <si>
    <t xml:space="preserve">None</t>
  </si>
  <si>
    <t xml:space="preserve">Awaiting Response</t>
  </si>
  <si>
    <t xml:space="preserve">MTG-001; TSK-001</t>
  </si>
  <si>
    <t xml:space="preserve">Outlook – EASM folder</t>
  </si>
  <si>
    <t xml:space="preserve">EML-002</t>
  </si>
  <si>
    <t xml:space="preserve">EML-003</t>
  </si>
  <si>
    <t xml:space="preserve">EML-004</t>
  </si>
  <si>
    <t xml:space="preserve">EML-005</t>
  </si>
  <si>
    <t xml:space="preserve">EML-006</t>
  </si>
  <si>
    <t xml:space="preserve">EML-007</t>
  </si>
  <si>
    <t xml:space="preserve">EML-008</t>
  </si>
  <si>
    <t xml:space="preserve">EML-009</t>
  </si>
  <si>
    <t xml:space="preserve">EML-010</t>
  </si>
  <si>
    <t xml:space="preserve">EML-011</t>
  </si>
  <si>
    <t xml:space="preserve">EML-012</t>
  </si>
  <si>
    <t xml:space="preserve">EML-013</t>
  </si>
  <si>
    <t xml:space="preserve">EML-014</t>
  </si>
  <si>
    <t xml:space="preserve">EML-015</t>
  </si>
  <si>
    <t xml:space="preserve">EML-016</t>
  </si>
  <si>
    <t xml:space="preserve">EML-017</t>
  </si>
  <si>
    <t xml:space="preserve">EML-018</t>
  </si>
  <si>
    <t xml:space="preserve">EML-019</t>
  </si>
  <si>
    <t xml:space="preserve">EML-020</t>
  </si>
  <si>
    <t xml:space="preserve">EML-021</t>
  </si>
  <si>
    <t xml:space="preserve">EML-022</t>
  </si>
  <si>
    <t xml:space="preserve">EML-023</t>
  </si>
  <si>
    <t xml:space="preserve">EML-024</t>
  </si>
  <si>
    <t xml:space="preserve">EML-025</t>
  </si>
  <si>
    <t xml:space="preserve">EML-026</t>
  </si>
  <si>
    <t xml:space="preserve">EML-027</t>
  </si>
  <si>
    <t xml:space="preserve">EML-028</t>
  </si>
  <si>
    <t xml:space="preserve">EML-029</t>
  </si>
  <si>
    <t xml:space="preserve">EML-030</t>
  </si>
  <si>
    <t xml:space="preserve">EML-031</t>
  </si>
  <si>
    <t xml:space="preserve">EML-032</t>
  </si>
  <si>
    <t xml:space="preserve">EML-033</t>
  </si>
  <si>
    <t xml:space="preserve">EML-034</t>
  </si>
  <si>
    <t xml:space="preserve">EML-035</t>
  </si>
  <si>
    <t xml:space="preserve">EML-036</t>
  </si>
  <si>
    <t xml:space="preserve">EML-037</t>
  </si>
  <si>
    <t xml:space="preserve">EML-038</t>
  </si>
  <si>
    <t xml:space="preserve">EML-039</t>
  </si>
  <si>
    <t xml:space="preserve">EML-040</t>
  </si>
  <si>
    <t xml:space="preserve">EML-041</t>
  </si>
  <si>
    <t xml:space="preserve">EML-042</t>
  </si>
  <si>
    <t xml:space="preserve">EML-043</t>
  </si>
  <si>
    <t xml:space="preserve">EML-044</t>
  </si>
  <si>
    <t xml:space="preserve">EML-045</t>
  </si>
  <si>
    <t xml:space="preserve">EML-046</t>
  </si>
  <si>
    <t xml:space="preserve">EML-047</t>
  </si>
  <si>
    <t xml:space="preserve">EML-048</t>
  </si>
  <si>
    <t xml:space="preserve">EML-049</t>
  </si>
  <si>
    <t xml:space="preserve">EML-050</t>
  </si>
  <si>
    <t xml:space="preserve">EML-051</t>
  </si>
  <si>
    <t xml:space="preserve">EML-052</t>
  </si>
  <si>
    <t xml:space="preserve">EML-053</t>
  </si>
  <si>
    <t xml:space="preserve">EML-054</t>
  </si>
  <si>
    <t xml:space="preserve">EML-055</t>
  </si>
  <si>
    <t xml:space="preserve">EML-056</t>
  </si>
  <si>
    <t xml:space="preserve">EML-057</t>
  </si>
  <si>
    <t xml:space="preserve">EML-058</t>
  </si>
  <si>
    <t xml:space="preserve">EML-059</t>
  </si>
  <si>
    <t xml:space="preserve">EML-060</t>
  </si>
  <si>
    <t xml:space="preserve">EML-061</t>
  </si>
  <si>
    <t xml:space="preserve">EML-062</t>
  </si>
  <si>
    <t xml:space="preserve">EML-063</t>
  </si>
  <si>
    <t xml:space="preserve">EML-064</t>
  </si>
  <si>
    <t xml:space="preserve">EML-065</t>
  </si>
  <si>
    <t xml:space="preserve">EML-066</t>
  </si>
  <si>
    <t xml:space="preserve">EML-067</t>
  </si>
  <si>
    <t xml:space="preserve">EML-068</t>
  </si>
  <si>
    <t xml:space="preserve">EML-069</t>
  </si>
  <si>
    <t xml:space="preserve">EML-070</t>
  </si>
  <si>
    <t xml:space="preserve">EML-071</t>
  </si>
  <si>
    <t xml:space="preserve">EML-072</t>
  </si>
  <si>
    <t xml:space="preserve">EML-073</t>
  </si>
  <si>
    <t xml:space="preserve">EML-074</t>
  </si>
  <si>
    <t xml:space="preserve">EML-075</t>
  </si>
  <si>
    <t xml:space="preserve">EML-076</t>
  </si>
  <si>
    <t xml:space="preserve">EML-077</t>
  </si>
  <si>
    <t xml:space="preserve">EML-078</t>
  </si>
  <si>
    <t xml:space="preserve">EML-079</t>
  </si>
  <si>
    <t xml:space="preserve">EML-080</t>
  </si>
  <si>
    <t xml:space="preserve">EML-081</t>
  </si>
  <si>
    <t xml:space="preserve">EML-082</t>
  </si>
  <si>
    <t xml:space="preserve">EML-083</t>
  </si>
  <si>
    <t xml:space="preserve">EML-084</t>
  </si>
  <si>
    <t xml:space="preserve">EML-085</t>
  </si>
  <si>
    <t xml:space="preserve">EML-086</t>
  </si>
  <si>
    <t xml:space="preserve">EML-087</t>
  </si>
  <si>
    <t xml:space="preserve">EML-088</t>
  </si>
  <si>
    <t xml:space="preserve">EML-089</t>
  </si>
  <si>
    <t xml:space="preserve">EML-090</t>
  </si>
  <si>
    <t xml:space="preserve">EML-091</t>
  </si>
  <si>
    <t xml:space="preserve">EML-092</t>
  </si>
  <si>
    <t xml:space="preserve">EML-093</t>
  </si>
  <si>
    <t xml:space="preserve">EML-094</t>
  </si>
  <si>
    <t xml:space="preserve">EML-095</t>
  </si>
  <si>
    <t xml:space="preserve">EML-096</t>
  </si>
  <si>
    <t xml:space="preserve">EML-097</t>
  </si>
  <si>
    <t xml:space="preserve">EML-098</t>
  </si>
  <si>
    <t xml:space="preserve">EML-099</t>
  </si>
  <si>
    <t xml:space="preserve">EML-100</t>
  </si>
  <si>
    <t xml:space="preserve">EML-101</t>
  </si>
  <si>
    <t xml:space="preserve">EML-102</t>
  </si>
  <si>
    <t xml:space="preserve">EML-103</t>
  </si>
  <si>
    <t xml:space="preserve">EML-104</t>
  </si>
  <si>
    <t xml:space="preserve">EML-105</t>
  </si>
  <si>
    <t xml:space="preserve">EML-106</t>
  </si>
  <si>
    <t xml:space="preserve">EML-107</t>
  </si>
  <si>
    <t xml:space="preserve">EML-108</t>
  </si>
  <si>
    <t xml:space="preserve">EML-109</t>
  </si>
  <si>
    <t xml:space="preserve">EML-110</t>
  </si>
  <si>
    <t xml:space="preserve">EML-111</t>
  </si>
  <si>
    <t xml:space="preserve">EML-112</t>
  </si>
  <si>
    <t xml:space="preserve">EML-113</t>
  </si>
  <si>
    <t xml:space="preserve">EML-114</t>
  </si>
  <si>
    <t xml:space="preserve">EML-115</t>
  </si>
  <si>
    <t xml:space="preserve">EML-116</t>
  </si>
  <si>
    <t xml:space="preserve">EML-117</t>
  </si>
  <si>
    <t xml:space="preserve">EML-118</t>
  </si>
  <si>
    <t xml:space="preserve">EML-119</t>
  </si>
  <si>
    <t xml:space="preserve">EML-120</t>
  </si>
  <si>
    <t xml:space="preserve">EML-121</t>
  </si>
  <si>
    <t xml:space="preserve">EML-122</t>
  </si>
  <si>
    <t xml:space="preserve">EML-123</t>
  </si>
  <si>
    <t xml:space="preserve">EML-124</t>
  </si>
  <si>
    <t xml:space="preserve">EML-125</t>
  </si>
  <si>
    <t xml:space="preserve">EML-126</t>
  </si>
  <si>
    <t xml:space="preserve">EML-127</t>
  </si>
  <si>
    <t xml:space="preserve">EML-128</t>
  </si>
  <si>
    <t xml:space="preserve">EML-129</t>
  </si>
  <si>
    <t xml:space="preserve">EML-130</t>
  </si>
  <si>
    <t xml:space="preserve">EML-131</t>
  </si>
  <si>
    <t xml:space="preserve">EML-132</t>
  </si>
  <si>
    <t xml:space="preserve">EML-133</t>
  </si>
  <si>
    <t xml:space="preserve">EML-134</t>
  </si>
  <si>
    <t xml:space="preserve">EML-135</t>
  </si>
  <si>
    <t xml:space="preserve">EML-136</t>
  </si>
  <si>
    <t xml:space="preserve">EML-137</t>
  </si>
  <si>
    <t xml:space="preserve">EML-138</t>
  </si>
  <si>
    <t xml:space="preserve">EML-139</t>
  </si>
  <si>
    <t xml:space="preserve">EML-140</t>
  </si>
  <si>
    <t xml:space="preserve">EML-141</t>
  </si>
  <si>
    <t xml:space="preserve">EML-142</t>
  </si>
  <si>
    <t xml:space="preserve">EML-143</t>
  </si>
  <si>
    <t xml:space="preserve">EML-144</t>
  </si>
  <si>
    <t xml:space="preserve">EML-145</t>
  </si>
  <si>
    <t xml:space="preserve">EML-146</t>
  </si>
  <si>
    <t xml:space="preserve">EML-147</t>
  </si>
  <si>
    <t xml:space="preserve">EML-148</t>
  </si>
  <si>
    <t xml:space="preserve">EML-149</t>
  </si>
  <si>
    <t xml:space="preserve">EML-150</t>
  </si>
  <si>
    <t xml:space="preserve">EML-151</t>
  </si>
  <si>
    <t xml:space="preserve">EML-152</t>
  </si>
  <si>
    <t xml:space="preserve">EML-153</t>
  </si>
  <si>
    <t xml:space="preserve">EML-154</t>
  </si>
  <si>
    <t xml:space="preserve">EML-155</t>
  </si>
  <si>
    <t xml:space="preserve">EML-156</t>
  </si>
  <si>
    <t xml:space="preserve">EML-157</t>
  </si>
  <si>
    <t xml:space="preserve">EML-158</t>
  </si>
  <si>
    <t xml:space="preserve">EML-159</t>
  </si>
  <si>
    <t xml:space="preserve">EML-160</t>
  </si>
  <si>
    <t xml:space="preserve">EML-161</t>
  </si>
  <si>
    <t xml:space="preserve">EML-162</t>
  </si>
  <si>
    <t xml:space="preserve">EML-163</t>
  </si>
  <si>
    <t xml:space="preserve">EML-164</t>
  </si>
  <si>
    <t xml:space="preserve">EML-165</t>
  </si>
  <si>
    <t xml:space="preserve">EML-166</t>
  </si>
  <si>
    <t xml:space="preserve">EML-167</t>
  </si>
  <si>
    <t xml:space="preserve">EML-168</t>
  </si>
  <si>
    <t xml:space="preserve">EML-169</t>
  </si>
  <si>
    <t xml:space="preserve">EML-170</t>
  </si>
  <si>
    <t xml:space="preserve">EML-171</t>
  </si>
  <si>
    <t xml:space="preserve">EML-172</t>
  </si>
  <si>
    <t xml:space="preserve">EML-173</t>
  </si>
  <si>
    <t xml:space="preserve">EML-174</t>
  </si>
  <si>
    <t xml:space="preserve">EML-175</t>
  </si>
  <si>
    <t xml:space="preserve">EML-176</t>
  </si>
  <si>
    <t xml:space="preserve">EML-177</t>
  </si>
  <si>
    <t xml:space="preserve">EML-178</t>
  </si>
  <si>
    <t xml:space="preserve">EML-179</t>
  </si>
  <si>
    <t xml:space="preserve">EML-180</t>
  </si>
  <si>
    <t xml:space="preserve">EML-181</t>
  </si>
  <si>
    <t xml:space="preserve">EML-182</t>
  </si>
  <si>
    <t xml:space="preserve">EML-183</t>
  </si>
  <si>
    <t xml:space="preserve">EML-184</t>
  </si>
  <si>
    <t xml:space="preserve">EML-185</t>
  </si>
  <si>
    <t xml:space="preserve">EML-186</t>
  </si>
  <si>
    <t xml:space="preserve">EML-187</t>
  </si>
  <si>
    <t xml:space="preserve">EML-188</t>
  </si>
  <si>
    <t xml:space="preserve">EML-189</t>
  </si>
  <si>
    <t xml:space="preserve">EML-190</t>
  </si>
  <si>
    <t xml:space="preserve">EML-191</t>
  </si>
  <si>
    <t xml:space="preserve">EML-192</t>
  </si>
  <si>
    <t xml:space="preserve">EML-193</t>
  </si>
  <si>
    <t xml:space="preserve">EML-194</t>
  </si>
  <si>
    <t xml:space="preserve">EML-195</t>
  </si>
  <si>
    <t xml:space="preserve">EML-196</t>
  </si>
  <si>
    <t xml:space="preserve">EML-197</t>
  </si>
  <si>
    <t xml:space="preserve">EML-198</t>
  </si>
  <si>
    <t xml:space="preserve">EML-199</t>
  </si>
  <si>
    <t xml:space="preserve">EML-200</t>
  </si>
  <si>
    <t xml:space="preserve">EML-201</t>
  </si>
  <si>
    <t xml:space="preserve">EML-202</t>
  </si>
  <si>
    <t xml:space="preserve">EML-203</t>
  </si>
  <si>
    <t xml:space="preserve">EML-204</t>
  </si>
  <si>
    <t xml:space="preserve">EML-205</t>
  </si>
  <si>
    <t xml:space="preserve">EML-206</t>
  </si>
  <si>
    <t xml:space="preserve">EML-207</t>
  </si>
  <si>
    <t xml:space="preserve">EML-208</t>
  </si>
  <si>
    <t xml:space="preserve">EML-209</t>
  </si>
  <si>
    <t xml:space="preserve">EML-210</t>
  </si>
  <si>
    <t xml:space="preserve">EML-211</t>
  </si>
  <si>
    <t xml:space="preserve">EML-212</t>
  </si>
  <si>
    <t xml:space="preserve">EML-213</t>
  </si>
  <si>
    <t xml:space="preserve">EML-214</t>
  </si>
  <si>
    <t xml:space="preserve">EML-215</t>
  </si>
  <si>
    <t xml:space="preserve">EML-216</t>
  </si>
  <si>
    <t xml:space="preserve">EML-217</t>
  </si>
  <si>
    <t xml:space="preserve">EML-218</t>
  </si>
  <si>
    <t xml:space="preserve">EML-219</t>
  </si>
  <si>
    <t xml:space="preserve">EML-220</t>
  </si>
  <si>
    <t xml:space="preserve">EML-221</t>
  </si>
  <si>
    <t xml:space="preserve">EML-222</t>
  </si>
  <si>
    <t xml:space="preserve">EML-223</t>
  </si>
  <si>
    <t xml:space="preserve">EML-224</t>
  </si>
  <si>
    <t xml:space="preserve">EML-225</t>
  </si>
  <si>
    <t xml:space="preserve">EML-226</t>
  </si>
  <si>
    <t xml:space="preserve">EML-227</t>
  </si>
  <si>
    <t xml:space="preserve">EML-228</t>
  </si>
  <si>
    <t xml:space="preserve">EML-229</t>
  </si>
  <si>
    <t xml:space="preserve">EML-230</t>
  </si>
  <si>
    <t xml:space="preserve">EML-231</t>
  </si>
  <si>
    <t xml:space="preserve">EML-232</t>
  </si>
  <si>
    <t xml:space="preserve">EML-233</t>
  </si>
  <si>
    <t xml:space="preserve">EML-234</t>
  </si>
  <si>
    <t xml:space="preserve">EML-235</t>
  </si>
  <si>
    <t xml:space="preserve">EML-236</t>
  </si>
  <si>
    <t xml:space="preserve">EML-237</t>
  </si>
  <si>
    <t xml:space="preserve">EML-238</t>
  </si>
  <si>
    <t xml:space="preserve">EML-239</t>
  </si>
  <si>
    <t xml:space="preserve">EML-240</t>
  </si>
  <si>
    <t xml:space="preserve">EML-241</t>
  </si>
  <si>
    <t xml:space="preserve">EML-242</t>
  </si>
  <si>
    <t xml:space="preserve">EML-243</t>
  </si>
  <si>
    <t xml:space="preserve">EML-244</t>
  </si>
  <si>
    <t xml:space="preserve">EML-245</t>
  </si>
  <si>
    <t xml:space="preserve">EML-246</t>
  </si>
  <si>
    <t xml:space="preserve">EML-247</t>
  </si>
  <si>
    <t xml:space="preserve">EML-248</t>
  </si>
  <si>
    <t xml:space="preserve">EML-249</t>
  </si>
  <si>
    <t xml:space="preserve">EML-250</t>
  </si>
  <si>
    <t xml:space="preserve">EML-251</t>
  </si>
  <si>
    <t xml:space="preserve">EML-252</t>
  </si>
  <si>
    <t xml:space="preserve">EML-253</t>
  </si>
  <si>
    <t xml:space="preserve">EML-254</t>
  </si>
  <si>
    <t xml:space="preserve">EML-255</t>
  </si>
  <si>
    <t xml:space="preserve">EML-256</t>
  </si>
  <si>
    <t xml:space="preserve">EML-257</t>
  </si>
  <si>
    <t xml:space="preserve">EML-258</t>
  </si>
  <si>
    <t xml:space="preserve">EML-259</t>
  </si>
  <si>
    <t xml:space="preserve">EML-260</t>
  </si>
  <si>
    <t xml:space="preserve">EML-261</t>
  </si>
  <si>
    <t xml:space="preserve">EML-262</t>
  </si>
  <si>
    <t xml:space="preserve">EML-263</t>
  </si>
  <si>
    <t xml:space="preserve">EML-264</t>
  </si>
  <si>
    <t xml:space="preserve">EML-265</t>
  </si>
  <si>
    <t xml:space="preserve">EML-266</t>
  </si>
  <si>
    <t xml:space="preserve">EML-267</t>
  </si>
  <si>
    <t xml:space="preserve">EML-268</t>
  </si>
  <si>
    <t xml:space="preserve">EML-269</t>
  </si>
  <si>
    <t xml:space="preserve">EML-270</t>
  </si>
  <si>
    <t xml:space="preserve">EML-271</t>
  </si>
  <si>
    <t xml:space="preserve">EML-272</t>
  </si>
  <si>
    <t xml:space="preserve">EML-273</t>
  </si>
  <si>
    <t xml:space="preserve">EML-274</t>
  </si>
  <si>
    <t xml:space="preserve">EML-275</t>
  </si>
  <si>
    <t xml:space="preserve">EML-276</t>
  </si>
  <si>
    <t xml:space="preserve">EML-277</t>
  </si>
  <si>
    <t xml:space="preserve">EML-278</t>
  </si>
  <si>
    <t xml:space="preserve">EML-279</t>
  </si>
  <si>
    <t xml:space="preserve">EML-280</t>
  </si>
  <si>
    <t xml:space="preserve">EML-281</t>
  </si>
  <si>
    <t xml:space="preserve">EML-282</t>
  </si>
  <si>
    <t xml:space="preserve">EML-283</t>
  </si>
  <si>
    <t xml:space="preserve">EML-284</t>
  </si>
  <si>
    <t xml:space="preserve">EML-285</t>
  </si>
  <si>
    <t xml:space="preserve">EML-286</t>
  </si>
  <si>
    <t xml:space="preserve">EML-287</t>
  </si>
  <si>
    <t xml:space="preserve">EML-288</t>
  </si>
  <si>
    <t xml:space="preserve">EML-289</t>
  </si>
  <si>
    <t xml:space="preserve">EML-290</t>
  </si>
  <si>
    <t xml:space="preserve">EML-291</t>
  </si>
  <si>
    <t xml:space="preserve">EML-292</t>
  </si>
  <si>
    <t xml:space="preserve">EML-293</t>
  </si>
  <si>
    <t xml:space="preserve">EML-294</t>
  </si>
  <si>
    <t xml:space="preserve">EML-295</t>
  </si>
  <si>
    <t xml:space="preserve">EML-296</t>
  </si>
  <si>
    <t xml:space="preserve">EML-297</t>
  </si>
  <si>
    <t xml:space="preserve">EML-298</t>
  </si>
  <si>
    <t xml:space="preserve">EML-299</t>
  </si>
  <si>
    <t xml:space="preserve">EML-300</t>
  </si>
  <si>
    <t xml:space="preserve">Task &amp; Action Tracker</t>
  </si>
  <si>
    <t xml:space="preserve">All actions arising from meetings, emails, findings and goals — ownership, progress notes, dependencies and next-week planning.</t>
  </si>
  <si>
    <t xml:space="preserve">Task ID</t>
  </si>
  <si>
    <t xml:space="preserve">Date Raised</t>
  </si>
  <si>
    <t xml:space="preserve">Source</t>
  </si>
  <si>
    <t xml:space="preserve">Source Ref ID</t>
  </si>
  <si>
    <t xml:space="preserve">Task Description</t>
  </si>
  <si>
    <t xml:space="preserve">Linked Goal ID</t>
  </si>
  <si>
    <t xml:space="preserve">Owner LoD</t>
  </si>
  <si>
    <t xml:space="preserve">Start Date</t>
  </si>
  <si>
    <t xml:space="preserve">Due Date</t>
  </si>
  <si>
    <t xml:space="preserve">Completion Date</t>
  </si>
  <si>
    <t xml:space="preserve">% Complete</t>
  </si>
  <si>
    <t xml:space="preserve">Planned for Next Week?</t>
  </si>
  <si>
    <t xml:space="preserve">Last Update Date</t>
  </si>
  <si>
    <t xml:space="preserve">Latest Update / Progress Note</t>
  </si>
  <si>
    <t xml:space="preserve">Dependency On (Person / Team)</t>
  </si>
  <si>
    <t xml:space="preserve">Needed By</t>
  </si>
  <si>
    <t xml:space="preserve">Blocker / Dependency Detail</t>
  </si>
  <si>
    <t xml:space="preserve">Evidence of Closure</t>
  </si>
  <si>
    <t xml:space="preserve">Days Open</t>
  </si>
  <si>
    <t xml:space="preserve">Due Flag</t>
  </si>
  <si>
    <t xml:space="preserve">WR helper: completed</t>
  </si>
  <si>
    <t xml:space="preserve">WR helper: moved forward</t>
  </si>
  <si>
    <t xml:space="preserve">WR helper: current</t>
  </si>
  <si>
    <t xml:space="preserve">WR helper: blocker</t>
  </si>
  <si>
    <t xml:space="preserve">WR helper: next week</t>
  </si>
  <si>
    <t xml:space="preserve">Reconcile EASM-discovered assets against CMDB extract; quantify unattributed / unknown assets by legal entity</t>
  </si>
  <si>
    <t xml:space="preserve">2LoD</t>
  </si>
  <si>
    <t xml:space="preserve">CMDB extract received for 2 of 3 entities; reconciliation of Entity A complete (41 unmapped hosts)</t>
  </si>
  <si>
    <t xml:space="preserve">Network Security (1LoD)</t>
  </si>
  <si>
    <t xml:space="preserve">CMDB extract for acquired Entity C outstanding (EML-001)</t>
  </si>
  <si>
    <t xml:space="preserve">TSK-002</t>
  </si>
  <si>
    <t xml:space="preserve">TSK-003</t>
  </si>
  <si>
    <t xml:space="preserve">TSK-004</t>
  </si>
  <si>
    <t xml:space="preserve">TSK-005</t>
  </si>
  <si>
    <t xml:space="preserve">TSK-006</t>
  </si>
  <si>
    <t xml:space="preserve">TSK-007</t>
  </si>
  <si>
    <t xml:space="preserve">TSK-008</t>
  </si>
  <si>
    <t xml:space="preserve">TSK-009</t>
  </si>
  <si>
    <t xml:space="preserve">TSK-010</t>
  </si>
  <si>
    <t xml:space="preserve">TSK-011</t>
  </si>
  <si>
    <t xml:space="preserve">TSK-012</t>
  </si>
  <si>
    <t xml:space="preserve">TSK-013</t>
  </si>
  <si>
    <t xml:space="preserve">TSK-014</t>
  </si>
  <si>
    <t xml:space="preserve">TSK-015</t>
  </si>
  <si>
    <t xml:space="preserve">TSK-016</t>
  </si>
  <si>
    <t xml:space="preserve">TSK-017</t>
  </si>
  <si>
    <t xml:space="preserve">TSK-018</t>
  </si>
  <si>
    <t xml:space="preserve">TSK-019</t>
  </si>
  <si>
    <t xml:space="preserve">TSK-020</t>
  </si>
  <si>
    <t xml:space="preserve">TSK-021</t>
  </si>
  <si>
    <t xml:space="preserve">TSK-022</t>
  </si>
  <si>
    <t xml:space="preserve">TSK-023</t>
  </si>
  <si>
    <t xml:space="preserve">TSK-024</t>
  </si>
  <si>
    <t xml:space="preserve">TSK-025</t>
  </si>
  <si>
    <t xml:space="preserve">TSK-026</t>
  </si>
  <si>
    <t xml:space="preserve">TSK-027</t>
  </si>
  <si>
    <t xml:space="preserve">TSK-028</t>
  </si>
  <si>
    <t xml:space="preserve">TSK-029</t>
  </si>
  <si>
    <t xml:space="preserve">TSK-030</t>
  </si>
  <si>
    <t xml:space="preserve">TSK-031</t>
  </si>
  <si>
    <t xml:space="preserve">TSK-032</t>
  </si>
  <si>
    <t xml:space="preserve">TSK-033</t>
  </si>
  <si>
    <t xml:space="preserve">TSK-034</t>
  </si>
  <si>
    <t xml:space="preserve">TSK-035</t>
  </si>
  <si>
    <t xml:space="preserve">TSK-036</t>
  </si>
  <si>
    <t xml:space="preserve">TSK-037</t>
  </si>
  <si>
    <t xml:space="preserve">TSK-038</t>
  </si>
  <si>
    <t xml:space="preserve">TSK-039</t>
  </si>
  <si>
    <t xml:space="preserve">TSK-040</t>
  </si>
  <si>
    <t xml:space="preserve">TSK-041</t>
  </si>
  <si>
    <t xml:space="preserve">TSK-042</t>
  </si>
  <si>
    <t xml:space="preserve">TSK-043</t>
  </si>
  <si>
    <t xml:space="preserve">TSK-044</t>
  </si>
  <si>
    <t xml:space="preserve">TSK-045</t>
  </si>
  <si>
    <t xml:space="preserve">TSK-046</t>
  </si>
  <si>
    <t xml:space="preserve">TSK-047</t>
  </si>
  <si>
    <t xml:space="preserve">TSK-048</t>
  </si>
  <si>
    <t xml:space="preserve">TSK-049</t>
  </si>
  <si>
    <t xml:space="preserve">TSK-050</t>
  </si>
  <si>
    <t xml:space="preserve">TSK-051</t>
  </si>
  <si>
    <t xml:space="preserve">TSK-052</t>
  </si>
  <si>
    <t xml:space="preserve">TSK-053</t>
  </si>
  <si>
    <t xml:space="preserve">TSK-054</t>
  </si>
  <si>
    <t xml:space="preserve">TSK-055</t>
  </si>
  <si>
    <t xml:space="preserve">TSK-056</t>
  </si>
  <si>
    <t xml:space="preserve">TSK-057</t>
  </si>
  <si>
    <t xml:space="preserve">TSK-058</t>
  </si>
  <si>
    <t xml:space="preserve">TSK-059</t>
  </si>
  <si>
    <t xml:space="preserve">TSK-060</t>
  </si>
  <si>
    <t xml:space="preserve">TSK-061</t>
  </si>
  <si>
    <t xml:space="preserve">TSK-062</t>
  </si>
  <si>
    <t xml:space="preserve">TSK-063</t>
  </si>
  <si>
    <t xml:space="preserve">TSK-064</t>
  </si>
  <si>
    <t xml:space="preserve">TSK-065</t>
  </si>
  <si>
    <t xml:space="preserve">TSK-066</t>
  </si>
  <si>
    <t xml:space="preserve">TSK-067</t>
  </si>
  <si>
    <t xml:space="preserve">TSK-068</t>
  </si>
  <si>
    <t xml:space="preserve">TSK-069</t>
  </si>
  <si>
    <t xml:space="preserve">TSK-070</t>
  </si>
  <si>
    <t xml:space="preserve">TSK-071</t>
  </si>
  <si>
    <t xml:space="preserve">TSK-072</t>
  </si>
  <si>
    <t xml:space="preserve">TSK-073</t>
  </si>
  <si>
    <t xml:space="preserve">TSK-074</t>
  </si>
  <si>
    <t xml:space="preserve">TSK-075</t>
  </si>
  <si>
    <t xml:space="preserve">TSK-076</t>
  </si>
  <si>
    <t xml:space="preserve">TSK-077</t>
  </si>
  <si>
    <t xml:space="preserve">TSK-078</t>
  </si>
  <si>
    <t xml:space="preserve">TSK-079</t>
  </si>
  <si>
    <t xml:space="preserve">TSK-080</t>
  </si>
  <si>
    <t xml:space="preserve">TSK-081</t>
  </si>
  <si>
    <t xml:space="preserve">TSK-082</t>
  </si>
  <si>
    <t xml:space="preserve">TSK-083</t>
  </si>
  <si>
    <t xml:space="preserve">TSK-084</t>
  </si>
  <si>
    <t xml:space="preserve">TSK-085</t>
  </si>
  <si>
    <t xml:space="preserve">TSK-086</t>
  </si>
  <si>
    <t xml:space="preserve">TSK-087</t>
  </si>
  <si>
    <t xml:space="preserve">TSK-088</t>
  </si>
  <si>
    <t xml:space="preserve">TSK-089</t>
  </si>
  <si>
    <t xml:space="preserve">TSK-090</t>
  </si>
  <si>
    <t xml:space="preserve">TSK-091</t>
  </si>
  <si>
    <t xml:space="preserve">TSK-092</t>
  </si>
  <si>
    <t xml:space="preserve">TSK-093</t>
  </si>
  <si>
    <t xml:space="preserve">TSK-094</t>
  </si>
  <si>
    <t xml:space="preserve">TSK-095</t>
  </si>
  <si>
    <t xml:space="preserve">TSK-096</t>
  </si>
  <si>
    <t xml:space="preserve">TSK-097</t>
  </si>
  <si>
    <t xml:space="preserve">TSK-098</t>
  </si>
  <si>
    <t xml:space="preserve">TSK-099</t>
  </si>
  <si>
    <t xml:space="preserve">TSK-100</t>
  </si>
  <si>
    <t xml:space="preserve">TSK-101</t>
  </si>
  <si>
    <t xml:space="preserve">TSK-102</t>
  </si>
  <si>
    <t xml:space="preserve">TSK-103</t>
  </si>
  <si>
    <t xml:space="preserve">TSK-104</t>
  </si>
  <si>
    <t xml:space="preserve">TSK-105</t>
  </si>
  <si>
    <t xml:space="preserve">TSK-106</t>
  </si>
  <si>
    <t xml:space="preserve">TSK-107</t>
  </si>
  <si>
    <t xml:space="preserve">TSK-108</t>
  </si>
  <si>
    <t xml:space="preserve">TSK-109</t>
  </si>
  <si>
    <t xml:space="preserve">TSK-110</t>
  </si>
  <si>
    <t xml:space="preserve">TSK-111</t>
  </si>
  <si>
    <t xml:space="preserve">TSK-112</t>
  </si>
  <si>
    <t xml:space="preserve">TSK-113</t>
  </si>
  <si>
    <t xml:space="preserve">TSK-114</t>
  </si>
  <si>
    <t xml:space="preserve">TSK-115</t>
  </si>
  <si>
    <t xml:space="preserve">TSK-116</t>
  </si>
  <si>
    <t xml:space="preserve">TSK-117</t>
  </si>
  <si>
    <t xml:space="preserve">TSK-118</t>
  </si>
  <si>
    <t xml:space="preserve">TSK-119</t>
  </si>
  <si>
    <t xml:space="preserve">TSK-120</t>
  </si>
  <si>
    <t xml:space="preserve">TSK-121</t>
  </si>
  <si>
    <t xml:space="preserve">TSK-122</t>
  </si>
  <si>
    <t xml:space="preserve">TSK-123</t>
  </si>
  <si>
    <t xml:space="preserve">TSK-124</t>
  </si>
  <si>
    <t xml:space="preserve">TSK-125</t>
  </si>
  <si>
    <t xml:space="preserve">TSK-126</t>
  </si>
  <si>
    <t xml:space="preserve">TSK-127</t>
  </si>
  <si>
    <t xml:space="preserve">TSK-128</t>
  </si>
  <si>
    <t xml:space="preserve">TSK-129</t>
  </si>
  <si>
    <t xml:space="preserve">TSK-130</t>
  </si>
  <si>
    <t xml:space="preserve">TSK-131</t>
  </si>
  <si>
    <t xml:space="preserve">TSK-132</t>
  </si>
  <si>
    <t xml:space="preserve">TSK-133</t>
  </si>
  <si>
    <t xml:space="preserve">TSK-134</t>
  </si>
  <si>
    <t xml:space="preserve">TSK-135</t>
  </si>
  <si>
    <t xml:space="preserve">TSK-136</t>
  </si>
  <si>
    <t xml:space="preserve">TSK-137</t>
  </si>
  <si>
    <t xml:space="preserve">TSK-138</t>
  </si>
  <si>
    <t xml:space="preserve">TSK-139</t>
  </si>
  <si>
    <t xml:space="preserve">TSK-140</t>
  </si>
  <si>
    <t xml:space="preserve">TSK-141</t>
  </si>
  <si>
    <t xml:space="preserve">TSK-142</t>
  </si>
  <si>
    <t xml:space="preserve">TSK-143</t>
  </si>
  <si>
    <t xml:space="preserve">TSK-144</t>
  </si>
  <si>
    <t xml:space="preserve">TSK-145</t>
  </si>
  <si>
    <t xml:space="preserve">TSK-146</t>
  </si>
  <si>
    <t xml:space="preserve">TSK-147</t>
  </si>
  <si>
    <t xml:space="preserve">TSK-148</t>
  </si>
  <si>
    <t xml:space="preserve">TSK-149</t>
  </si>
  <si>
    <t xml:space="preserve">TSK-150</t>
  </si>
  <si>
    <t xml:space="preserve">TSK-151</t>
  </si>
  <si>
    <t xml:space="preserve">TSK-152</t>
  </si>
  <si>
    <t xml:space="preserve">TSK-153</t>
  </si>
  <si>
    <t xml:space="preserve">TSK-154</t>
  </si>
  <si>
    <t xml:space="preserve">TSK-155</t>
  </si>
  <si>
    <t xml:space="preserve">TSK-156</t>
  </si>
  <si>
    <t xml:space="preserve">TSK-157</t>
  </si>
  <si>
    <t xml:space="preserve">TSK-158</t>
  </si>
  <si>
    <t xml:space="preserve">TSK-159</t>
  </si>
  <si>
    <t xml:space="preserve">TSK-160</t>
  </si>
  <si>
    <t xml:space="preserve">TSK-161</t>
  </si>
  <si>
    <t xml:space="preserve">TSK-162</t>
  </si>
  <si>
    <t xml:space="preserve">TSK-163</t>
  </si>
  <si>
    <t xml:space="preserve">TSK-164</t>
  </si>
  <si>
    <t xml:space="preserve">TSK-165</t>
  </si>
  <si>
    <t xml:space="preserve">TSK-166</t>
  </si>
  <si>
    <t xml:space="preserve">TSK-167</t>
  </si>
  <si>
    <t xml:space="preserve">TSK-168</t>
  </si>
  <si>
    <t xml:space="preserve">TSK-169</t>
  </si>
  <si>
    <t xml:space="preserve">TSK-170</t>
  </si>
  <si>
    <t xml:space="preserve">TSK-171</t>
  </si>
  <si>
    <t xml:space="preserve">TSK-172</t>
  </si>
  <si>
    <t xml:space="preserve">TSK-173</t>
  </si>
  <si>
    <t xml:space="preserve">TSK-174</t>
  </si>
  <si>
    <t xml:space="preserve">TSK-175</t>
  </si>
  <si>
    <t xml:space="preserve">TSK-176</t>
  </si>
  <si>
    <t xml:space="preserve">TSK-177</t>
  </si>
  <si>
    <t xml:space="preserve">TSK-178</t>
  </si>
  <si>
    <t xml:space="preserve">TSK-179</t>
  </si>
  <si>
    <t xml:space="preserve">TSK-180</t>
  </si>
  <si>
    <t xml:space="preserve">TSK-181</t>
  </si>
  <si>
    <t xml:space="preserve">TSK-182</t>
  </si>
  <si>
    <t xml:space="preserve">TSK-183</t>
  </si>
  <si>
    <t xml:space="preserve">TSK-184</t>
  </si>
  <si>
    <t xml:space="preserve">TSK-185</t>
  </si>
  <si>
    <t xml:space="preserve">TSK-186</t>
  </si>
  <si>
    <t xml:space="preserve">TSK-187</t>
  </si>
  <si>
    <t xml:space="preserve">TSK-188</t>
  </si>
  <si>
    <t xml:space="preserve">TSK-189</t>
  </si>
  <si>
    <t xml:space="preserve">TSK-190</t>
  </si>
  <si>
    <t xml:space="preserve">TSK-191</t>
  </si>
  <si>
    <t xml:space="preserve">TSK-192</t>
  </si>
  <si>
    <t xml:space="preserve">TSK-193</t>
  </si>
  <si>
    <t xml:space="preserve">TSK-194</t>
  </si>
  <si>
    <t xml:space="preserve">TSK-195</t>
  </si>
  <si>
    <t xml:space="preserve">TSK-196</t>
  </si>
  <si>
    <t xml:space="preserve">TSK-197</t>
  </si>
  <si>
    <t xml:space="preserve">TSK-198</t>
  </si>
  <si>
    <t xml:space="preserve">TSK-199</t>
  </si>
  <si>
    <t xml:space="preserve">TSK-200</t>
  </si>
  <si>
    <t xml:space="preserve">TSK-201</t>
  </si>
  <si>
    <t xml:space="preserve">TSK-202</t>
  </si>
  <si>
    <t xml:space="preserve">TSK-203</t>
  </si>
  <si>
    <t xml:space="preserve">TSK-204</t>
  </si>
  <si>
    <t xml:space="preserve">TSK-205</t>
  </si>
  <si>
    <t xml:space="preserve">TSK-206</t>
  </si>
  <si>
    <t xml:space="preserve">TSK-207</t>
  </si>
  <si>
    <t xml:space="preserve">TSK-208</t>
  </si>
  <si>
    <t xml:space="preserve">TSK-209</t>
  </si>
  <si>
    <t xml:space="preserve">TSK-210</t>
  </si>
  <si>
    <t xml:space="preserve">TSK-211</t>
  </si>
  <si>
    <t xml:space="preserve">TSK-212</t>
  </si>
  <si>
    <t xml:space="preserve">TSK-213</t>
  </si>
  <si>
    <t xml:space="preserve">TSK-214</t>
  </si>
  <si>
    <t xml:space="preserve">TSK-215</t>
  </si>
  <si>
    <t xml:space="preserve">TSK-216</t>
  </si>
  <si>
    <t xml:space="preserve">TSK-217</t>
  </si>
  <si>
    <t xml:space="preserve">TSK-218</t>
  </si>
  <si>
    <t xml:space="preserve">TSK-219</t>
  </si>
  <si>
    <t xml:space="preserve">TSK-220</t>
  </si>
  <si>
    <t xml:space="preserve">TSK-221</t>
  </si>
  <si>
    <t xml:space="preserve">TSK-222</t>
  </si>
  <si>
    <t xml:space="preserve">TSK-223</t>
  </si>
  <si>
    <t xml:space="preserve">TSK-224</t>
  </si>
  <si>
    <t xml:space="preserve">TSK-225</t>
  </si>
  <si>
    <t xml:space="preserve">TSK-226</t>
  </si>
  <si>
    <t xml:space="preserve">TSK-227</t>
  </si>
  <si>
    <t xml:space="preserve">TSK-228</t>
  </si>
  <si>
    <t xml:space="preserve">TSK-229</t>
  </si>
  <si>
    <t xml:space="preserve">TSK-230</t>
  </si>
  <si>
    <t xml:space="preserve">TSK-231</t>
  </si>
  <si>
    <t xml:space="preserve">TSK-232</t>
  </si>
  <si>
    <t xml:space="preserve">TSK-233</t>
  </si>
  <si>
    <t xml:space="preserve">TSK-234</t>
  </si>
  <si>
    <t xml:space="preserve">TSK-235</t>
  </si>
  <si>
    <t xml:space="preserve">TSK-236</t>
  </si>
  <si>
    <t xml:space="preserve">TSK-237</t>
  </si>
  <si>
    <t xml:space="preserve">TSK-238</t>
  </si>
  <si>
    <t xml:space="preserve">TSK-239</t>
  </si>
  <si>
    <t xml:space="preserve">TSK-240</t>
  </si>
  <si>
    <t xml:space="preserve">TSK-241</t>
  </si>
  <si>
    <t xml:space="preserve">TSK-242</t>
  </si>
  <si>
    <t xml:space="preserve">TSK-243</t>
  </si>
  <si>
    <t xml:space="preserve">TSK-244</t>
  </si>
  <si>
    <t xml:space="preserve">TSK-245</t>
  </si>
  <si>
    <t xml:space="preserve">TSK-246</t>
  </si>
  <si>
    <t xml:space="preserve">TSK-247</t>
  </si>
  <si>
    <t xml:space="preserve">TSK-248</t>
  </si>
  <si>
    <t xml:space="preserve">TSK-249</t>
  </si>
  <si>
    <t xml:space="preserve">TSK-250</t>
  </si>
  <si>
    <t xml:space="preserve">TSK-251</t>
  </si>
  <si>
    <t xml:space="preserve">TSK-252</t>
  </si>
  <si>
    <t xml:space="preserve">TSK-253</t>
  </si>
  <si>
    <t xml:space="preserve">TSK-254</t>
  </si>
  <si>
    <t xml:space="preserve">TSK-255</t>
  </si>
  <si>
    <t xml:space="preserve">TSK-256</t>
  </si>
  <si>
    <t xml:space="preserve">TSK-257</t>
  </si>
  <si>
    <t xml:space="preserve">TSK-258</t>
  </si>
  <si>
    <t xml:space="preserve">TSK-259</t>
  </si>
  <si>
    <t xml:space="preserve">TSK-260</t>
  </si>
  <si>
    <t xml:space="preserve">TSK-261</t>
  </si>
  <si>
    <t xml:space="preserve">TSK-262</t>
  </si>
  <si>
    <t xml:space="preserve">TSK-263</t>
  </si>
  <si>
    <t xml:space="preserve">TSK-264</t>
  </si>
  <si>
    <t xml:space="preserve">TSK-265</t>
  </si>
  <si>
    <t xml:space="preserve">TSK-266</t>
  </si>
  <si>
    <t xml:space="preserve">TSK-267</t>
  </si>
  <si>
    <t xml:space="preserve">TSK-268</t>
  </si>
  <si>
    <t xml:space="preserve">TSK-269</t>
  </si>
  <si>
    <t xml:space="preserve">TSK-270</t>
  </si>
  <si>
    <t xml:space="preserve">TSK-271</t>
  </si>
  <si>
    <t xml:space="preserve">TSK-272</t>
  </si>
  <si>
    <t xml:space="preserve">TSK-273</t>
  </si>
  <si>
    <t xml:space="preserve">TSK-274</t>
  </si>
  <si>
    <t xml:space="preserve">TSK-275</t>
  </si>
  <si>
    <t xml:space="preserve">TSK-276</t>
  </si>
  <si>
    <t xml:space="preserve">TSK-277</t>
  </si>
  <si>
    <t xml:space="preserve">TSK-278</t>
  </si>
  <si>
    <t xml:space="preserve">TSK-279</t>
  </si>
  <si>
    <t xml:space="preserve">TSK-280</t>
  </si>
  <si>
    <t xml:space="preserve">TSK-281</t>
  </si>
  <si>
    <t xml:space="preserve">TSK-282</t>
  </si>
  <si>
    <t xml:space="preserve">TSK-283</t>
  </si>
  <si>
    <t xml:space="preserve">TSK-284</t>
  </si>
  <si>
    <t xml:space="preserve">TSK-285</t>
  </si>
  <si>
    <t xml:space="preserve">TSK-286</t>
  </si>
  <si>
    <t xml:space="preserve">TSK-287</t>
  </si>
  <si>
    <t xml:space="preserve">TSK-288</t>
  </si>
  <si>
    <t xml:space="preserve">TSK-289</t>
  </si>
  <si>
    <t xml:space="preserve">TSK-290</t>
  </si>
  <si>
    <t xml:space="preserve">TSK-291</t>
  </si>
  <si>
    <t xml:space="preserve">TSK-292</t>
  </si>
  <si>
    <t xml:space="preserve">TSK-293</t>
  </si>
  <si>
    <t xml:space="preserve">TSK-294</t>
  </si>
  <si>
    <t xml:space="preserve">TSK-295</t>
  </si>
  <si>
    <t xml:space="preserve">TSK-296</t>
  </si>
  <si>
    <t xml:space="preserve">TSK-297</t>
  </si>
  <si>
    <t xml:space="preserve">TSK-298</t>
  </si>
  <si>
    <t xml:space="preserve">TSK-299</t>
  </si>
  <si>
    <t xml:space="preserve">TSK-300</t>
  </si>
  <si>
    <t xml:space="preserve">Developments &amp; Decisions Log</t>
  </si>
  <si>
    <t xml:space="preserve">Milestones, decisions, scope changes, escalations and risk acceptances — facts, inferences and uncertainties kept separate.</t>
  </si>
  <si>
    <t xml:space="preserve">Development ID</t>
  </si>
  <si>
    <t xml:space="preserve">Development Type</t>
  </si>
  <si>
    <t xml:space="preserve">Title</t>
  </si>
  <si>
    <t xml:space="preserve">Description (Facts)</t>
  </si>
  <si>
    <t xml:space="preserve">Inference / Assessment</t>
  </si>
  <si>
    <t xml:space="preserve">Key Uncertainties</t>
  </si>
  <si>
    <t xml:space="preserve">Source / Trigger</t>
  </si>
  <si>
    <t xml:space="preserve">Impact Level</t>
  </si>
  <si>
    <t xml:space="preserve">Primary Risk Dimension</t>
  </si>
  <si>
    <t xml:space="preserve">RAF Alignment</t>
  </si>
  <si>
    <t xml:space="preserve">Decision / Escalation Required?</t>
  </si>
  <si>
    <t xml:space="preserve">Decision / Ask</t>
  </si>
  <si>
    <t xml:space="preserve">Decision Needed From</t>
  </si>
  <si>
    <t xml:space="preserve">Decision Needed By</t>
  </si>
  <si>
    <t xml:space="preserve">Decision Status</t>
  </si>
  <si>
    <t xml:space="preserve">Decision Outcome</t>
  </si>
  <si>
    <t xml:space="preserve">Committee Reporting?</t>
  </si>
  <si>
    <t xml:space="preserve">Reported In (Forum / Date)</t>
  </si>
  <si>
    <t xml:space="preserve">WR helper: in period</t>
  </si>
  <si>
    <t xml:space="preserve">WR helper: open decision</t>
  </si>
  <si>
    <t xml:space="preserve">DEV-001</t>
  </si>
  <si>
    <t xml:space="preserve">Scope Change</t>
  </si>
  <si>
    <t xml:space="preserve">Scoping &amp; Governance</t>
  </si>
  <si>
    <t xml:space="preserve">EASM scope extension to 3 acquired entities</t>
  </si>
  <si>
    <t xml:space="preserve">Root domains and IP ranges of 3 entities acquired in 2025–26 were outside the original EASM baseline</t>
  </si>
  <si>
    <t xml:space="preserve">Acquired estates likely run legacy remote-access stacks outside Group patch governance – elevated concentration of unmanaged exposure</t>
  </si>
  <si>
    <t xml:space="preserve">Completeness of acquired-entity domain list; contractual hosting arrangements</t>
  </si>
  <si>
    <t xml:space="preserve">Systemic / Concentration</t>
  </si>
  <si>
    <t xml:space="preserve">Not Assessed</t>
  </si>
  <si>
    <t xml:space="preserve">Approve extension of EASM scope to 3 acquired entities and +3 weeks on Phase 2</t>
  </si>
  <si>
    <t xml:space="preserve">Mission Sponsor</t>
  </si>
  <si>
    <t xml:space="preserve">Cyber Risk Forum – Nov 2026</t>
  </si>
  <si>
    <t xml:space="preserve">DEV-002</t>
  </si>
  <si>
    <t xml:space="preserve">DEV-003</t>
  </si>
  <si>
    <t xml:space="preserve">DEV-004</t>
  </si>
  <si>
    <t xml:space="preserve">DEV-005</t>
  </si>
  <si>
    <t xml:space="preserve">DEV-006</t>
  </si>
  <si>
    <t xml:space="preserve">DEV-007</t>
  </si>
  <si>
    <t xml:space="preserve">DEV-008</t>
  </si>
  <si>
    <t xml:space="preserve">DEV-009</t>
  </si>
  <si>
    <t xml:space="preserve">DEV-010</t>
  </si>
  <si>
    <t xml:space="preserve">DEV-011</t>
  </si>
  <si>
    <t xml:space="preserve">DEV-012</t>
  </si>
  <si>
    <t xml:space="preserve">DEV-013</t>
  </si>
  <si>
    <t xml:space="preserve">DEV-014</t>
  </si>
  <si>
    <t xml:space="preserve">DEV-015</t>
  </si>
  <si>
    <t xml:space="preserve">DEV-016</t>
  </si>
  <si>
    <t xml:space="preserve">DEV-017</t>
  </si>
  <si>
    <t xml:space="preserve">DEV-018</t>
  </si>
  <si>
    <t xml:space="preserve">DEV-019</t>
  </si>
  <si>
    <t xml:space="preserve">DEV-020</t>
  </si>
  <si>
    <t xml:space="preserve">DEV-021</t>
  </si>
  <si>
    <t xml:space="preserve">DEV-022</t>
  </si>
  <si>
    <t xml:space="preserve">DEV-023</t>
  </si>
  <si>
    <t xml:space="preserve">DEV-024</t>
  </si>
  <si>
    <t xml:space="preserve">DEV-025</t>
  </si>
  <si>
    <t xml:space="preserve">DEV-026</t>
  </si>
  <si>
    <t xml:space="preserve">DEV-027</t>
  </si>
  <si>
    <t xml:space="preserve">DEV-028</t>
  </si>
  <si>
    <t xml:space="preserve">DEV-029</t>
  </si>
  <si>
    <t xml:space="preserve">DEV-030</t>
  </si>
  <si>
    <t xml:space="preserve">DEV-031</t>
  </si>
  <si>
    <t xml:space="preserve">DEV-032</t>
  </si>
  <si>
    <t xml:space="preserve">DEV-033</t>
  </si>
  <si>
    <t xml:space="preserve">DEV-034</t>
  </si>
  <si>
    <t xml:space="preserve">DEV-035</t>
  </si>
  <si>
    <t xml:space="preserve">DEV-036</t>
  </si>
  <si>
    <t xml:space="preserve">DEV-037</t>
  </si>
  <si>
    <t xml:space="preserve">DEV-038</t>
  </si>
  <si>
    <t xml:space="preserve">DEV-039</t>
  </si>
  <si>
    <t xml:space="preserve">DEV-040</t>
  </si>
  <si>
    <t xml:space="preserve">DEV-041</t>
  </si>
  <si>
    <t xml:space="preserve">DEV-042</t>
  </si>
  <si>
    <t xml:space="preserve">DEV-043</t>
  </si>
  <si>
    <t xml:space="preserve">DEV-044</t>
  </si>
  <si>
    <t xml:space="preserve">DEV-045</t>
  </si>
  <si>
    <t xml:space="preserve">DEV-046</t>
  </si>
  <si>
    <t xml:space="preserve">DEV-047</t>
  </si>
  <si>
    <t xml:space="preserve">DEV-048</t>
  </si>
  <si>
    <t xml:space="preserve">DEV-049</t>
  </si>
  <si>
    <t xml:space="preserve">DEV-050</t>
  </si>
  <si>
    <t xml:space="preserve">DEV-051</t>
  </si>
  <si>
    <t xml:space="preserve">DEV-052</t>
  </si>
  <si>
    <t xml:space="preserve">DEV-053</t>
  </si>
  <si>
    <t xml:space="preserve">DEV-054</t>
  </si>
  <si>
    <t xml:space="preserve">DEV-055</t>
  </si>
  <si>
    <t xml:space="preserve">DEV-056</t>
  </si>
  <si>
    <t xml:space="preserve">DEV-057</t>
  </si>
  <si>
    <t xml:space="preserve">DEV-058</t>
  </si>
  <si>
    <t xml:space="preserve">DEV-059</t>
  </si>
  <si>
    <t xml:space="preserve">DEV-060</t>
  </si>
  <si>
    <t xml:space="preserve">DEV-061</t>
  </si>
  <si>
    <t xml:space="preserve">DEV-062</t>
  </si>
  <si>
    <t xml:space="preserve">DEV-063</t>
  </si>
  <si>
    <t xml:space="preserve">DEV-064</t>
  </si>
  <si>
    <t xml:space="preserve">DEV-065</t>
  </si>
  <si>
    <t xml:space="preserve">DEV-066</t>
  </si>
  <si>
    <t xml:space="preserve">DEV-067</t>
  </si>
  <si>
    <t xml:space="preserve">DEV-068</t>
  </si>
  <si>
    <t xml:space="preserve">DEV-069</t>
  </si>
  <si>
    <t xml:space="preserve">DEV-070</t>
  </si>
  <si>
    <t xml:space="preserve">DEV-071</t>
  </si>
  <si>
    <t xml:space="preserve">DEV-072</t>
  </si>
  <si>
    <t xml:space="preserve">DEV-073</t>
  </si>
  <si>
    <t xml:space="preserve">DEV-074</t>
  </si>
  <si>
    <t xml:space="preserve">DEV-075</t>
  </si>
  <si>
    <t xml:space="preserve">DEV-076</t>
  </si>
  <si>
    <t xml:space="preserve">DEV-077</t>
  </si>
  <si>
    <t xml:space="preserve">DEV-078</t>
  </si>
  <si>
    <t xml:space="preserve">DEV-079</t>
  </si>
  <si>
    <t xml:space="preserve">DEV-080</t>
  </si>
  <si>
    <t xml:space="preserve">DEV-081</t>
  </si>
  <si>
    <t xml:space="preserve">DEV-082</t>
  </si>
  <si>
    <t xml:space="preserve">DEV-083</t>
  </si>
  <si>
    <t xml:space="preserve">DEV-084</t>
  </si>
  <si>
    <t xml:space="preserve">DEV-085</t>
  </si>
  <si>
    <t xml:space="preserve">DEV-086</t>
  </si>
  <si>
    <t xml:space="preserve">DEV-087</t>
  </si>
  <si>
    <t xml:space="preserve">DEV-088</t>
  </si>
  <si>
    <t xml:space="preserve">DEV-089</t>
  </si>
  <si>
    <t xml:space="preserve">DEV-090</t>
  </si>
  <si>
    <t xml:space="preserve">DEV-091</t>
  </si>
  <si>
    <t xml:space="preserve">DEV-092</t>
  </si>
  <si>
    <t xml:space="preserve">DEV-093</t>
  </si>
  <si>
    <t xml:space="preserve">DEV-094</t>
  </si>
  <si>
    <t xml:space="preserve">DEV-095</t>
  </si>
  <si>
    <t xml:space="preserve">DEV-096</t>
  </si>
  <si>
    <t xml:space="preserve">DEV-097</t>
  </si>
  <si>
    <t xml:space="preserve">DEV-098</t>
  </si>
  <si>
    <t xml:space="preserve">DEV-099</t>
  </si>
  <si>
    <t xml:space="preserve">DEV-100</t>
  </si>
  <si>
    <t xml:space="preserve">DEV-101</t>
  </si>
  <si>
    <t xml:space="preserve">DEV-102</t>
  </si>
  <si>
    <t xml:space="preserve">DEV-103</t>
  </si>
  <si>
    <t xml:space="preserve">DEV-104</t>
  </si>
  <si>
    <t xml:space="preserve">DEV-105</t>
  </si>
  <si>
    <t xml:space="preserve">DEV-106</t>
  </si>
  <si>
    <t xml:space="preserve">DEV-107</t>
  </si>
  <si>
    <t xml:space="preserve">DEV-108</t>
  </si>
  <si>
    <t xml:space="preserve">DEV-109</t>
  </si>
  <si>
    <t xml:space="preserve">DEV-110</t>
  </si>
  <si>
    <t xml:space="preserve">DEV-111</t>
  </si>
  <si>
    <t xml:space="preserve">DEV-112</t>
  </si>
  <si>
    <t xml:space="preserve">DEV-113</t>
  </si>
  <si>
    <t xml:space="preserve">DEV-114</t>
  </si>
  <si>
    <t xml:space="preserve">DEV-115</t>
  </si>
  <si>
    <t xml:space="preserve">DEV-116</t>
  </si>
  <si>
    <t xml:space="preserve">DEV-117</t>
  </si>
  <si>
    <t xml:space="preserve">DEV-118</t>
  </si>
  <si>
    <t xml:space="preserve">DEV-119</t>
  </si>
  <si>
    <t xml:space="preserve">DEV-120</t>
  </si>
  <si>
    <t xml:space="preserve">DEV-121</t>
  </si>
  <si>
    <t xml:space="preserve">DEV-122</t>
  </si>
  <si>
    <t xml:space="preserve">DEV-123</t>
  </si>
  <si>
    <t xml:space="preserve">DEV-124</t>
  </si>
  <si>
    <t xml:space="preserve">DEV-125</t>
  </si>
  <si>
    <t xml:space="preserve">DEV-126</t>
  </si>
  <si>
    <t xml:space="preserve">DEV-127</t>
  </si>
  <si>
    <t xml:space="preserve">DEV-128</t>
  </si>
  <si>
    <t xml:space="preserve">DEV-129</t>
  </si>
  <si>
    <t xml:space="preserve">DEV-130</t>
  </si>
  <si>
    <t xml:space="preserve">DEV-131</t>
  </si>
  <si>
    <t xml:space="preserve">DEV-132</t>
  </si>
  <si>
    <t xml:space="preserve">DEV-133</t>
  </si>
  <si>
    <t xml:space="preserve">DEV-134</t>
  </si>
  <si>
    <t xml:space="preserve">DEV-135</t>
  </si>
  <si>
    <t xml:space="preserve">DEV-136</t>
  </si>
  <si>
    <t xml:space="preserve">DEV-137</t>
  </si>
  <si>
    <t xml:space="preserve">DEV-138</t>
  </si>
  <si>
    <t xml:space="preserve">DEV-139</t>
  </si>
  <si>
    <t xml:space="preserve">DEV-140</t>
  </si>
  <si>
    <t xml:space="preserve">DEV-141</t>
  </si>
  <si>
    <t xml:space="preserve">DEV-142</t>
  </si>
  <si>
    <t xml:space="preserve">DEV-143</t>
  </si>
  <si>
    <t xml:space="preserve">DEV-144</t>
  </si>
  <si>
    <t xml:space="preserve">DEV-145</t>
  </si>
  <si>
    <t xml:space="preserve">DEV-146</t>
  </si>
  <si>
    <t xml:space="preserve">DEV-147</t>
  </si>
  <si>
    <t xml:space="preserve">DEV-148</t>
  </si>
  <si>
    <t xml:space="preserve">DEV-149</t>
  </si>
  <si>
    <t xml:space="preserve">DEV-150</t>
  </si>
  <si>
    <t xml:space="preserve">DEV-151</t>
  </si>
  <si>
    <t xml:space="preserve">DEV-152</t>
  </si>
  <si>
    <t xml:space="preserve">DEV-153</t>
  </si>
  <si>
    <t xml:space="preserve">DEV-154</t>
  </si>
  <si>
    <t xml:space="preserve">DEV-155</t>
  </si>
  <si>
    <t xml:space="preserve">DEV-156</t>
  </si>
  <si>
    <t xml:space="preserve">DEV-157</t>
  </si>
  <si>
    <t xml:space="preserve">DEV-158</t>
  </si>
  <si>
    <t xml:space="preserve">DEV-159</t>
  </si>
  <si>
    <t xml:space="preserve">DEV-160</t>
  </si>
  <si>
    <t xml:space="preserve">DEV-161</t>
  </si>
  <si>
    <t xml:space="preserve">DEV-162</t>
  </si>
  <si>
    <t xml:space="preserve">DEV-163</t>
  </si>
  <si>
    <t xml:space="preserve">DEV-164</t>
  </si>
  <si>
    <t xml:space="preserve">DEV-165</t>
  </si>
  <si>
    <t xml:space="preserve">DEV-166</t>
  </si>
  <si>
    <t xml:space="preserve">DEV-167</t>
  </si>
  <si>
    <t xml:space="preserve">DEV-168</t>
  </si>
  <si>
    <t xml:space="preserve">DEV-169</t>
  </si>
  <si>
    <t xml:space="preserve">DEV-170</t>
  </si>
  <si>
    <t xml:space="preserve">DEV-171</t>
  </si>
  <si>
    <t xml:space="preserve">DEV-172</t>
  </si>
  <si>
    <t xml:space="preserve">DEV-173</t>
  </si>
  <si>
    <t xml:space="preserve">DEV-174</t>
  </si>
  <si>
    <t xml:space="preserve">DEV-175</t>
  </si>
  <si>
    <t xml:space="preserve">DEV-176</t>
  </si>
  <si>
    <t xml:space="preserve">DEV-177</t>
  </si>
  <si>
    <t xml:space="preserve">DEV-178</t>
  </si>
  <si>
    <t xml:space="preserve">DEV-179</t>
  </si>
  <si>
    <t xml:space="preserve">DEV-180</t>
  </si>
  <si>
    <t xml:space="preserve">DEV-181</t>
  </si>
  <si>
    <t xml:space="preserve">DEV-182</t>
  </si>
  <si>
    <t xml:space="preserve">DEV-183</t>
  </si>
  <si>
    <t xml:space="preserve">DEV-184</t>
  </si>
  <si>
    <t xml:space="preserve">DEV-185</t>
  </si>
  <si>
    <t xml:space="preserve">DEV-186</t>
  </si>
  <si>
    <t xml:space="preserve">DEV-187</t>
  </si>
  <si>
    <t xml:space="preserve">DEV-188</t>
  </si>
  <si>
    <t xml:space="preserve">DEV-189</t>
  </si>
  <si>
    <t xml:space="preserve">DEV-190</t>
  </si>
  <si>
    <t xml:space="preserve">DEV-191</t>
  </si>
  <si>
    <t xml:space="preserve">DEV-192</t>
  </si>
  <si>
    <t xml:space="preserve">DEV-193</t>
  </si>
  <si>
    <t xml:space="preserve">DEV-194</t>
  </si>
  <si>
    <t xml:space="preserve">DEV-195</t>
  </si>
  <si>
    <t xml:space="preserve">DEV-196</t>
  </si>
  <si>
    <t xml:space="preserve">DEV-197</t>
  </si>
  <si>
    <t xml:space="preserve">DEV-198</t>
  </si>
  <si>
    <t xml:space="preserve">DEV-199</t>
  </si>
  <si>
    <t xml:space="preserve">DEV-200</t>
  </si>
  <si>
    <t xml:space="preserve">DEV-201</t>
  </si>
  <si>
    <t xml:space="preserve">DEV-202</t>
  </si>
  <si>
    <t xml:space="preserve">DEV-203</t>
  </si>
  <si>
    <t xml:space="preserve">DEV-204</t>
  </si>
  <si>
    <t xml:space="preserve">DEV-205</t>
  </si>
  <si>
    <t xml:space="preserve">DEV-206</t>
  </si>
  <si>
    <t xml:space="preserve">DEV-207</t>
  </si>
  <si>
    <t xml:space="preserve">DEV-208</t>
  </si>
  <si>
    <t xml:space="preserve">DEV-209</t>
  </si>
  <si>
    <t xml:space="preserve">DEV-210</t>
  </si>
  <si>
    <t xml:space="preserve">DEV-211</t>
  </si>
  <si>
    <t xml:space="preserve">DEV-212</t>
  </si>
  <si>
    <t xml:space="preserve">DEV-213</t>
  </si>
  <si>
    <t xml:space="preserve">DEV-214</t>
  </si>
  <si>
    <t xml:space="preserve">DEV-215</t>
  </si>
  <si>
    <t xml:space="preserve">DEV-216</t>
  </si>
  <si>
    <t xml:space="preserve">DEV-217</t>
  </si>
  <si>
    <t xml:space="preserve">DEV-218</t>
  </si>
  <si>
    <t xml:space="preserve">DEV-219</t>
  </si>
  <si>
    <t xml:space="preserve">DEV-220</t>
  </si>
  <si>
    <t xml:space="preserve">DEV-221</t>
  </si>
  <si>
    <t xml:space="preserve">DEV-222</t>
  </si>
  <si>
    <t xml:space="preserve">DEV-223</t>
  </si>
  <si>
    <t xml:space="preserve">DEV-224</t>
  </si>
  <si>
    <t xml:space="preserve">DEV-225</t>
  </si>
  <si>
    <t xml:space="preserve">DEV-226</t>
  </si>
  <si>
    <t xml:space="preserve">DEV-227</t>
  </si>
  <si>
    <t xml:space="preserve">DEV-228</t>
  </si>
  <si>
    <t xml:space="preserve">DEV-229</t>
  </si>
  <si>
    <t xml:space="preserve">DEV-230</t>
  </si>
  <si>
    <t xml:space="preserve">DEV-231</t>
  </si>
  <si>
    <t xml:space="preserve">DEV-232</t>
  </si>
  <si>
    <t xml:space="preserve">DEV-233</t>
  </si>
  <si>
    <t xml:space="preserve">DEV-234</t>
  </si>
  <si>
    <t xml:space="preserve">DEV-235</t>
  </si>
  <si>
    <t xml:space="preserve">DEV-236</t>
  </si>
  <si>
    <t xml:space="preserve">DEV-237</t>
  </si>
  <si>
    <t xml:space="preserve">DEV-238</t>
  </si>
  <si>
    <t xml:space="preserve">DEV-239</t>
  </si>
  <si>
    <t xml:space="preserve">DEV-240</t>
  </si>
  <si>
    <t xml:space="preserve">DEV-241</t>
  </si>
  <si>
    <t xml:space="preserve">DEV-242</t>
  </si>
  <si>
    <t xml:space="preserve">DEV-243</t>
  </si>
  <si>
    <t xml:space="preserve">DEV-244</t>
  </si>
  <si>
    <t xml:space="preserve">DEV-245</t>
  </si>
  <si>
    <t xml:space="preserve">DEV-246</t>
  </si>
  <si>
    <t xml:space="preserve">DEV-247</t>
  </si>
  <si>
    <t xml:space="preserve">DEV-248</t>
  </si>
  <si>
    <t xml:space="preserve">DEV-249</t>
  </si>
  <si>
    <t xml:space="preserve">DEV-250</t>
  </si>
  <si>
    <t xml:space="preserve">DEV-251</t>
  </si>
  <si>
    <t xml:space="preserve">DEV-252</t>
  </si>
  <si>
    <t xml:space="preserve">DEV-253</t>
  </si>
  <si>
    <t xml:space="preserve">DEV-254</t>
  </si>
  <si>
    <t xml:space="preserve">DEV-255</t>
  </si>
  <si>
    <t xml:space="preserve">DEV-256</t>
  </si>
  <si>
    <t xml:space="preserve">DEV-257</t>
  </si>
  <si>
    <t xml:space="preserve">DEV-258</t>
  </si>
  <si>
    <t xml:space="preserve">DEV-259</t>
  </si>
  <si>
    <t xml:space="preserve">DEV-260</t>
  </si>
  <si>
    <t xml:space="preserve">DEV-261</t>
  </si>
  <si>
    <t xml:space="preserve">DEV-262</t>
  </si>
  <si>
    <t xml:space="preserve">DEV-263</t>
  </si>
  <si>
    <t xml:space="preserve">DEV-264</t>
  </si>
  <si>
    <t xml:space="preserve">DEV-265</t>
  </si>
  <si>
    <t xml:space="preserve">DEV-266</t>
  </si>
  <si>
    <t xml:space="preserve">DEV-267</t>
  </si>
  <si>
    <t xml:space="preserve">DEV-268</t>
  </si>
  <si>
    <t xml:space="preserve">DEV-269</t>
  </si>
  <si>
    <t xml:space="preserve">DEV-270</t>
  </si>
  <si>
    <t xml:space="preserve">DEV-271</t>
  </si>
  <si>
    <t xml:space="preserve">DEV-272</t>
  </si>
  <si>
    <t xml:space="preserve">DEV-273</t>
  </si>
  <si>
    <t xml:space="preserve">DEV-274</t>
  </si>
  <si>
    <t xml:space="preserve">DEV-275</t>
  </si>
  <si>
    <t xml:space="preserve">DEV-276</t>
  </si>
  <si>
    <t xml:space="preserve">DEV-277</t>
  </si>
  <si>
    <t xml:space="preserve">DEV-278</t>
  </si>
  <si>
    <t xml:space="preserve">DEV-279</t>
  </si>
  <si>
    <t xml:space="preserve">DEV-280</t>
  </si>
  <si>
    <t xml:space="preserve">DEV-281</t>
  </si>
  <si>
    <t xml:space="preserve">DEV-282</t>
  </si>
  <si>
    <t xml:space="preserve">DEV-283</t>
  </si>
  <si>
    <t xml:space="preserve">DEV-284</t>
  </si>
  <si>
    <t xml:space="preserve">DEV-285</t>
  </si>
  <si>
    <t xml:space="preserve">DEV-286</t>
  </si>
  <si>
    <t xml:space="preserve">DEV-287</t>
  </si>
  <si>
    <t xml:space="preserve">DEV-288</t>
  </si>
  <si>
    <t xml:space="preserve">DEV-289</t>
  </si>
  <si>
    <t xml:space="preserve">DEV-290</t>
  </si>
  <si>
    <t xml:space="preserve">DEV-291</t>
  </si>
  <si>
    <t xml:space="preserve">DEV-292</t>
  </si>
  <si>
    <t xml:space="preserve">DEV-293</t>
  </si>
  <si>
    <t xml:space="preserve">DEV-294</t>
  </si>
  <si>
    <t xml:space="preserve">DEV-295</t>
  </si>
  <si>
    <t xml:space="preserve">DEV-296</t>
  </si>
  <si>
    <t xml:space="preserve">DEV-297</t>
  </si>
  <si>
    <t xml:space="preserve">DEV-298</t>
  </si>
  <si>
    <t xml:space="preserve">DEV-299</t>
  </si>
  <si>
    <t xml:space="preserve">DEV-300</t>
  </si>
  <si>
    <t xml:space="preserve">EASM Findings Register</t>
  </si>
  <si>
    <t xml:space="preserve">External attack surface exposures translated from technical vector to operational, systemic and RAF impact — with remediation SLA and weekly change tracking.</t>
  </si>
  <si>
    <t xml:space="preserve">Finding ID</t>
  </si>
  <si>
    <t xml:space="preserve">Date Discovered</t>
  </si>
  <si>
    <t xml:space="preserve">Discovery Source</t>
  </si>
  <si>
    <t xml:space="preserve">Asset Type</t>
  </si>
  <si>
    <t xml:space="preserve">Asset Identifier (domain / IP / URL)</t>
  </si>
  <si>
    <t xml:space="preserve">Attribution Confidence</t>
  </si>
  <si>
    <t xml:space="preserve">Business Unit / Legal Entity</t>
  </si>
  <si>
    <t xml:space="preserve">Asset Owner (1LoD)</t>
  </si>
  <si>
    <t xml:space="preserve">In Asset Inventory?</t>
  </si>
  <si>
    <t xml:space="preserve">Exposure (Technical Vector)</t>
  </si>
  <si>
    <t xml:space="preserve">CVE / Weakness Ref</t>
  </si>
  <si>
    <t xml:space="preserve">Actively Exploited? (KEV / TI)</t>
  </si>
  <si>
    <t xml:space="preserve">Operational Vulnerability (2LoD View)</t>
  </si>
  <si>
    <t xml:space="preserve">Systemic / Concentration Risk</t>
  </si>
  <si>
    <t xml:space="preserve">Financial / Regulatory Impact</t>
  </si>
  <si>
    <t xml:space="preserve">Remediation Owner</t>
  </si>
  <si>
    <t xml:space="preserve">SLA (days)</t>
  </si>
  <si>
    <t xml:space="preserve">Remediation Target Date</t>
  </si>
  <si>
    <t xml:space="preserve">Remediation / Closure Date</t>
  </si>
  <si>
    <t xml:space="preserve">Last Material Change Date</t>
  </si>
  <si>
    <t xml:space="preserve">Material Change Description</t>
  </si>
  <si>
    <t xml:space="preserve">Weekly Report Tag</t>
  </si>
  <si>
    <t xml:space="preserve">SLA Flag</t>
  </si>
  <si>
    <t xml:space="preserve">Linked Task ID</t>
  </si>
  <si>
    <t xml:space="preserve">Risk Acceptance Ref</t>
  </si>
  <si>
    <t xml:space="preserve">WR helper: new/changed</t>
  </si>
  <si>
    <t xml:space="preserve">WR helper: remediation due</t>
  </si>
  <si>
    <t xml:space="preserve">WR helper: RAF breach</t>
  </si>
  <si>
    <t xml:space="preserve">FND-001</t>
  </si>
  <si>
    <t xml:space="preserve">EASM Platform</t>
  </si>
  <si>
    <t xml:space="preserve">Subdomain</t>
  </si>
  <si>
    <t xml:space="preserve">legacy-vpn.acquired-entity.example</t>
  </si>
  <si>
    <t xml:space="preserve">Retail Banking – Acquired Entity B</t>
  </si>
  <si>
    <t xml:space="preserve">TBC</t>
  </si>
  <si>
    <t xml:space="preserve">Legacy SSL VPN appliance exposed to internet with outdated firmware</t>
  </si>
  <si>
    <t xml:space="preserve">To be confirmed</t>
  </si>
  <si>
    <t xml:space="preserve">Unknown</t>
  </si>
  <si>
    <t xml:space="preserve">Unmanaged remote-access entry point outside Group patch governance</t>
  </si>
  <si>
    <t xml:space="preserve">Same VPN vendor used across several entities – single-vendor concentration in remote access</t>
  </si>
  <si>
    <t xml:space="preserve">Potential major ICT incident classification and supervisory notification if exploited</t>
  </si>
  <si>
    <t xml:space="preserve">Severity raised High → Critical after vendor advisory</t>
  </si>
  <si>
    <t xml:space="preserve">FND-002</t>
  </si>
  <si>
    <t xml:space="preserve">FND-003</t>
  </si>
  <si>
    <t xml:space="preserve">FND-004</t>
  </si>
  <si>
    <t xml:space="preserve">FND-005</t>
  </si>
  <si>
    <t xml:space="preserve">FND-006</t>
  </si>
  <si>
    <t xml:space="preserve">FND-007</t>
  </si>
  <si>
    <t xml:space="preserve">FND-008</t>
  </si>
  <si>
    <t xml:space="preserve">FND-009</t>
  </si>
  <si>
    <t xml:space="preserve">FND-010</t>
  </si>
  <si>
    <t xml:space="preserve">FND-011</t>
  </si>
  <si>
    <t xml:space="preserve">FND-012</t>
  </si>
  <si>
    <t xml:space="preserve">FND-013</t>
  </si>
  <si>
    <t xml:space="preserve">FND-014</t>
  </si>
  <si>
    <t xml:space="preserve">FND-015</t>
  </si>
  <si>
    <t xml:space="preserve">FND-016</t>
  </si>
  <si>
    <t xml:space="preserve">FND-017</t>
  </si>
  <si>
    <t xml:space="preserve">FND-018</t>
  </si>
  <si>
    <t xml:space="preserve">FND-019</t>
  </si>
  <si>
    <t xml:space="preserve">FND-020</t>
  </si>
  <si>
    <t xml:space="preserve">FND-021</t>
  </si>
  <si>
    <t xml:space="preserve">FND-022</t>
  </si>
  <si>
    <t xml:space="preserve">FND-023</t>
  </si>
  <si>
    <t xml:space="preserve">FND-024</t>
  </si>
  <si>
    <t xml:space="preserve">FND-025</t>
  </si>
  <si>
    <t xml:space="preserve">FND-026</t>
  </si>
  <si>
    <t xml:space="preserve">FND-027</t>
  </si>
  <si>
    <t xml:space="preserve">FND-028</t>
  </si>
  <si>
    <t xml:space="preserve">FND-029</t>
  </si>
  <si>
    <t xml:space="preserve">FND-030</t>
  </si>
  <si>
    <t xml:space="preserve">FND-031</t>
  </si>
  <si>
    <t xml:space="preserve">FND-032</t>
  </si>
  <si>
    <t xml:space="preserve">FND-033</t>
  </si>
  <si>
    <t xml:space="preserve">FND-034</t>
  </si>
  <si>
    <t xml:space="preserve">FND-035</t>
  </si>
  <si>
    <t xml:space="preserve">FND-036</t>
  </si>
  <si>
    <t xml:space="preserve">FND-037</t>
  </si>
  <si>
    <t xml:space="preserve">FND-038</t>
  </si>
  <si>
    <t xml:space="preserve">FND-039</t>
  </si>
  <si>
    <t xml:space="preserve">FND-040</t>
  </si>
  <si>
    <t xml:space="preserve">FND-041</t>
  </si>
  <si>
    <t xml:space="preserve">FND-042</t>
  </si>
  <si>
    <t xml:space="preserve">FND-043</t>
  </si>
  <si>
    <t xml:space="preserve">FND-044</t>
  </si>
  <si>
    <t xml:space="preserve">FND-045</t>
  </si>
  <si>
    <t xml:space="preserve">FND-046</t>
  </si>
  <si>
    <t xml:space="preserve">FND-047</t>
  </si>
  <si>
    <t xml:space="preserve">FND-048</t>
  </si>
  <si>
    <t xml:space="preserve">FND-049</t>
  </si>
  <si>
    <t xml:space="preserve">FND-050</t>
  </si>
  <si>
    <t xml:space="preserve">FND-051</t>
  </si>
  <si>
    <t xml:space="preserve">FND-052</t>
  </si>
  <si>
    <t xml:space="preserve">FND-053</t>
  </si>
  <si>
    <t xml:space="preserve">FND-054</t>
  </si>
  <si>
    <t xml:space="preserve">FND-055</t>
  </si>
  <si>
    <t xml:space="preserve">FND-056</t>
  </si>
  <si>
    <t xml:space="preserve">FND-057</t>
  </si>
  <si>
    <t xml:space="preserve">FND-058</t>
  </si>
  <si>
    <t xml:space="preserve">FND-059</t>
  </si>
  <si>
    <t xml:space="preserve">FND-060</t>
  </si>
  <si>
    <t xml:space="preserve">FND-061</t>
  </si>
  <si>
    <t xml:space="preserve">FND-062</t>
  </si>
  <si>
    <t xml:space="preserve">FND-063</t>
  </si>
  <si>
    <t xml:space="preserve">FND-064</t>
  </si>
  <si>
    <t xml:space="preserve">FND-065</t>
  </si>
  <si>
    <t xml:space="preserve">FND-066</t>
  </si>
  <si>
    <t xml:space="preserve">FND-067</t>
  </si>
  <si>
    <t xml:space="preserve">FND-068</t>
  </si>
  <si>
    <t xml:space="preserve">FND-069</t>
  </si>
  <si>
    <t xml:space="preserve">FND-070</t>
  </si>
  <si>
    <t xml:space="preserve">FND-071</t>
  </si>
  <si>
    <t xml:space="preserve">FND-072</t>
  </si>
  <si>
    <t xml:space="preserve">FND-073</t>
  </si>
  <si>
    <t xml:space="preserve">FND-074</t>
  </si>
  <si>
    <t xml:space="preserve">FND-075</t>
  </si>
  <si>
    <t xml:space="preserve">FND-076</t>
  </si>
  <si>
    <t xml:space="preserve">FND-077</t>
  </si>
  <si>
    <t xml:space="preserve">FND-078</t>
  </si>
  <si>
    <t xml:space="preserve">FND-079</t>
  </si>
  <si>
    <t xml:space="preserve">FND-080</t>
  </si>
  <si>
    <t xml:space="preserve">FND-081</t>
  </si>
  <si>
    <t xml:space="preserve">FND-082</t>
  </si>
  <si>
    <t xml:space="preserve">FND-083</t>
  </si>
  <si>
    <t xml:space="preserve">FND-084</t>
  </si>
  <si>
    <t xml:space="preserve">FND-085</t>
  </si>
  <si>
    <t xml:space="preserve">FND-086</t>
  </si>
  <si>
    <t xml:space="preserve">FND-087</t>
  </si>
  <si>
    <t xml:space="preserve">FND-088</t>
  </si>
  <si>
    <t xml:space="preserve">FND-089</t>
  </si>
  <si>
    <t xml:space="preserve">FND-090</t>
  </si>
  <si>
    <t xml:space="preserve">FND-091</t>
  </si>
  <si>
    <t xml:space="preserve">FND-092</t>
  </si>
  <si>
    <t xml:space="preserve">FND-093</t>
  </si>
  <si>
    <t xml:space="preserve">FND-094</t>
  </si>
  <si>
    <t xml:space="preserve">FND-095</t>
  </si>
  <si>
    <t xml:space="preserve">FND-096</t>
  </si>
  <si>
    <t xml:space="preserve">FND-097</t>
  </si>
  <si>
    <t xml:space="preserve">FND-098</t>
  </si>
  <si>
    <t xml:space="preserve">FND-099</t>
  </si>
  <si>
    <t xml:space="preserve">FND-100</t>
  </si>
  <si>
    <t xml:space="preserve">FND-101</t>
  </si>
  <si>
    <t xml:space="preserve">FND-102</t>
  </si>
  <si>
    <t xml:space="preserve">FND-103</t>
  </si>
  <si>
    <t xml:space="preserve">FND-104</t>
  </si>
  <si>
    <t xml:space="preserve">FND-105</t>
  </si>
  <si>
    <t xml:space="preserve">FND-106</t>
  </si>
  <si>
    <t xml:space="preserve">FND-107</t>
  </si>
  <si>
    <t xml:space="preserve">FND-108</t>
  </si>
  <si>
    <t xml:space="preserve">FND-109</t>
  </si>
  <si>
    <t xml:space="preserve">FND-110</t>
  </si>
  <si>
    <t xml:space="preserve">FND-111</t>
  </si>
  <si>
    <t xml:space="preserve">FND-112</t>
  </si>
  <si>
    <t xml:space="preserve">FND-113</t>
  </si>
  <si>
    <t xml:space="preserve">FND-114</t>
  </si>
  <si>
    <t xml:space="preserve">FND-115</t>
  </si>
  <si>
    <t xml:space="preserve">FND-116</t>
  </si>
  <si>
    <t xml:space="preserve">FND-117</t>
  </si>
  <si>
    <t xml:space="preserve">FND-118</t>
  </si>
  <si>
    <t xml:space="preserve">FND-119</t>
  </si>
  <si>
    <t xml:space="preserve">FND-120</t>
  </si>
  <si>
    <t xml:space="preserve">FND-121</t>
  </si>
  <si>
    <t xml:space="preserve">FND-122</t>
  </si>
  <si>
    <t xml:space="preserve">FND-123</t>
  </si>
  <si>
    <t xml:space="preserve">FND-124</t>
  </si>
  <si>
    <t xml:space="preserve">FND-125</t>
  </si>
  <si>
    <t xml:space="preserve">FND-126</t>
  </si>
  <si>
    <t xml:space="preserve">FND-127</t>
  </si>
  <si>
    <t xml:space="preserve">FND-128</t>
  </si>
  <si>
    <t xml:space="preserve">FND-129</t>
  </si>
  <si>
    <t xml:space="preserve">FND-130</t>
  </si>
  <si>
    <t xml:space="preserve">FND-131</t>
  </si>
  <si>
    <t xml:space="preserve">FND-132</t>
  </si>
  <si>
    <t xml:space="preserve">FND-133</t>
  </si>
  <si>
    <t xml:space="preserve">FND-134</t>
  </si>
  <si>
    <t xml:space="preserve">FND-135</t>
  </si>
  <si>
    <t xml:space="preserve">FND-136</t>
  </si>
  <si>
    <t xml:space="preserve">FND-137</t>
  </si>
  <si>
    <t xml:space="preserve">FND-138</t>
  </si>
  <si>
    <t xml:space="preserve">FND-139</t>
  </si>
  <si>
    <t xml:space="preserve">FND-140</t>
  </si>
  <si>
    <t xml:space="preserve">FND-141</t>
  </si>
  <si>
    <t xml:space="preserve">FND-142</t>
  </si>
  <si>
    <t xml:space="preserve">FND-143</t>
  </si>
  <si>
    <t xml:space="preserve">FND-144</t>
  </si>
  <si>
    <t xml:space="preserve">FND-145</t>
  </si>
  <si>
    <t xml:space="preserve">FND-146</t>
  </si>
  <si>
    <t xml:space="preserve">FND-147</t>
  </si>
  <si>
    <t xml:space="preserve">FND-148</t>
  </si>
  <si>
    <t xml:space="preserve">FND-149</t>
  </si>
  <si>
    <t xml:space="preserve">FND-150</t>
  </si>
  <si>
    <t xml:space="preserve">FND-151</t>
  </si>
  <si>
    <t xml:space="preserve">FND-152</t>
  </si>
  <si>
    <t xml:space="preserve">FND-153</t>
  </si>
  <si>
    <t xml:space="preserve">FND-154</t>
  </si>
  <si>
    <t xml:space="preserve">FND-155</t>
  </si>
  <si>
    <t xml:space="preserve">FND-156</t>
  </si>
  <si>
    <t xml:space="preserve">FND-157</t>
  </si>
  <si>
    <t xml:space="preserve">FND-158</t>
  </si>
  <si>
    <t xml:space="preserve">FND-159</t>
  </si>
  <si>
    <t xml:space="preserve">FND-160</t>
  </si>
  <si>
    <t xml:space="preserve">FND-161</t>
  </si>
  <si>
    <t xml:space="preserve">FND-162</t>
  </si>
  <si>
    <t xml:space="preserve">FND-163</t>
  </si>
  <si>
    <t xml:space="preserve">FND-164</t>
  </si>
  <si>
    <t xml:space="preserve">FND-165</t>
  </si>
  <si>
    <t xml:space="preserve">FND-166</t>
  </si>
  <si>
    <t xml:space="preserve">FND-167</t>
  </si>
  <si>
    <t xml:space="preserve">FND-168</t>
  </si>
  <si>
    <t xml:space="preserve">FND-169</t>
  </si>
  <si>
    <t xml:space="preserve">FND-170</t>
  </si>
  <si>
    <t xml:space="preserve">FND-171</t>
  </si>
  <si>
    <t xml:space="preserve">FND-172</t>
  </si>
  <si>
    <t xml:space="preserve">FND-173</t>
  </si>
  <si>
    <t xml:space="preserve">FND-174</t>
  </si>
  <si>
    <t xml:space="preserve">FND-175</t>
  </si>
  <si>
    <t xml:space="preserve">FND-176</t>
  </si>
  <si>
    <t xml:space="preserve">FND-177</t>
  </si>
  <si>
    <t xml:space="preserve">FND-178</t>
  </si>
  <si>
    <t xml:space="preserve">FND-179</t>
  </si>
  <si>
    <t xml:space="preserve">FND-180</t>
  </si>
  <si>
    <t xml:space="preserve">FND-181</t>
  </si>
  <si>
    <t xml:space="preserve">FND-182</t>
  </si>
  <si>
    <t xml:space="preserve">FND-183</t>
  </si>
  <si>
    <t xml:space="preserve">FND-184</t>
  </si>
  <si>
    <t xml:space="preserve">FND-185</t>
  </si>
  <si>
    <t xml:space="preserve">FND-186</t>
  </si>
  <si>
    <t xml:space="preserve">FND-187</t>
  </si>
  <si>
    <t xml:space="preserve">FND-188</t>
  </si>
  <si>
    <t xml:space="preserve">FND-189</t>
  </si>
  <si>
    <t xml:space="preserve">FND-190</t>
  </si>
  <si>
    <t xml:space="preserve">FND-191</t>
  </si>
  <si>
    <t xml:space="preserve">FND-192</t>
  </si>
  <si>
    <t xml:space="preserve">FND-193</t>
  </si>
  <si>
    <t xml:space="preserve">FND-194</t>
  </si>
  <si>
    <t xml:space="preserve">FND-195</t>
  </si>
  <si>
    <t xml:space="preserve">FND-196</t>
  </si>
  <si>
    <t xml:space="preserve">FND-197</t>
  </si>
  <si>
    <t xml:space="preserve">FND-198</t>
  </si>
  <si>
    <t xml:space="preserve">FND-199</t>
  </si>
  <si>
    <t xml:space="preserve">FND-200</t>
  </si>
  <si>
    <t xml:space="preserve">FND-201</t>
  </si>
  <si>
    <t xml:space="preserve">FND-202</t>
  </si>
  <si>
    <t xml:space="preserve">FND-203</t>
  </si>
  <si>
    <t xml:space="preserve">FND-204</t>
  </si>
  <si>
    <t xml:space="preserve">FND-205</t>
  </si>
  <si>
    <t xml:space="preserve">FND-206</t>
  </si>
  <si>
    <t xml:space="preserve">FND-207</t>
  </si>
  <si>
    <t xml:space="preserve">FND-208</t>
  </si>
  <si>
    <t xml:space="preserve">FND-209</t>
  </si>
  <si>
    <t xml:space="preserve">FND-210</t>
  </si>
  <si>
    <t xml:space="preserve">FND-211</t>
  </si>
  <si>
    <t xml:space="preserve">FND-212</t>
  </si>
  <si>
    <t xml:space="preserve">FND-213</t>
  </si>
  <si>
    <t xml:space="preserve">FND-214</t>
  </si>
  <si>
    <t xml:space="preserve">FND-215</t>
  </si>
  <si>
    <t xml:space="preserve">FND-216</t>
  </si>
  <si>
    <t xml:space="preserve">FND-217</t>
  </si>
  <si>
    <t xml:space="preserve">FND-218</t>
  </si>
  <si>
    <t xml:space="preserve">FND-219</t>
  </si>
  <si>
    <t xml:space="preserve">FND-220</t>
  </si>
  <si>
    <t xml:space="preserve">FND-221</t>
  </si>
  <si>
    <t xml:space="preserve">FND-222</t>
  </si>
  <si>
    <t xml:space="preserve">FND-223</t>
  </si>
  <si>
    <t xml:space="preserve">FND-224</t>
  </si>
  <si>
    <t xml:space="preserve">FND-225</t>
  </si>
  <si>
    <t xml:space="preserve">FND-226</t>
  </si>
  <si>
    <t xml:space="preserve">FND-227</t>
  </si>
  <si>
    <t xml:space="preserve">FND-228</t>
  </si>
  <si>
    <t xml:space="preserve">FND-229</t>
  </si>
  <si>
    <t xml:space="preserve">FND-230</t>
  </si>
  <si>
    <t xml:space="preserve">FND-231</t>
  </si>
  <si>
    <t xml:space="preserve">FND-232</t>
  </si>
  <si>
    <t xml:space="preserve">FND-233</t>
  </si>
  <si>
    <t xml:space="preserve">FND-234</t>
  </si>
  <si>
    <t xml:space="preserve">FND-235</t>
  </si>
  <si>
    <t xml:space="preserve">FND-236</t>
  </si>
  <si>
    <t xml:space="preserve">FND-237</t>
  </si>
  <si>
    <t xml:space="preserve">FND-238</t>
  </si>
  <si>
    <t xml:space="preserve">FND-239</t>
  </si>
  <si>
    <t xml:space="preserve">FND-240</t>
  </si>
  <si>
    <t xml:space="preserve">FND-241</t>
  </si>
  <si>
    <t xml:space="preserve">FND-242</t>
  </si>
  <si>
    <t xml:space="preserve">FND-243</t>
  </si>
  <si>
    <t xml:space="preserve">FND-244</t>
  </si>
  <si>
    <t xml:space="preserve">FND-245</t>
  </si>
  <si>
    <t xml:space="preserve">FND-246</t>
  </si>
  <si>
    <t xml:space="preserve">FND-247</t>
  </si>
  <si>
    <t xml:space="preserve">FND-248</t>
  </si>
  <si>
    <t xml:space="preserve">FND-249</t>
  </si>
  <si>
    <t xml:space="preserve">FND-250</t>
  </si>
  <si>
    <t xml:space="preserve">FND-251</t>
  </si>
  <si>
    <t xml:space="preserve">FND-252</t>
  </si>
  <si>
    <t xml:space="preserve">FND-253</t>
  </si>
  <si>
    <t xml:space="preserve">FND-254</t>
  </si>
  <si>
    <t xml:space="preserve">FND-255</t>
  </si>
  <si>
    <t xml:space="preserve">FND-256</t>
  </si>
  <si>
    <t xml:space="preserve">FND-257</t>
  </si>
  <si>
    <t xml:space="preserve">FND-258</t>
  </si>
  <si>
    <t xml:space="preserve">FND-259</t>
  </si>
  <si>
    <t xml:space="preserve">FND-260</t>
  </si>
  <si>
    <t xml:space="preserve">FND-261</t>
  </si>
  <si>
    <t xml:space="preserve">FND-262</t>
  </si>
  <si>
    <t xml:space="preserve">FND-263</t>
  </si>
  <si>
    <t xml:space="preserve">FND-264</t>
  </si>
  <si>
    <t xml:space="preserve">FND-265</t>
  </si>
  <si>
    <t xml:space="preserve">FND-266</t>
  </si>
  <si>
    <t xml:space="preserve">FND-267</t>
  </si>
  <si>
    <t xml:space="preserve">FND-268</t>
  </si>
  <si>
    <t xml:space="preserve">FND-269</t>
  </si>
  <si>
    <t xml:space="preserve">FND-270</t>
  </si>
  <si>
    <t xml:space="preserve">FND-271</t>
  </si>
  <si>
    <t xml:space="preserve">FND-272</t>
  </si>
  <si>
    <t xml:space="preserve">FND-273</t>
  </si>
  <si>
    <t xml:space="preserve">FND-274</t>
  </si>
  <si>
    <t xml:space="preserve">FND-275</t>
  </si>
  <si>
    <t xml:space="preserve">FND-276</t>
  </si>
  <si>
    <t xml:space="preserve">FND-277</t>
  </si>
  <si>
    <t xml:space="preserve">FND-278</t>
  </si>
  <si>
    <t xml:space="preserve">FND-279</t>
  </si>
  <si>
    <t xml:space="preserve">FND-280</t>
  </si>
  <si>
    <t xml:space="preserve">FND-281</t>
  </si>
  <si>
    <t xml:space="preserve">FND-282</t>
  </si>
  <si>
    <t xml:space="preserve">FND-283</t>
  </si>
  <si>
    <t xml:space="preserve">FND-284</t>
  </si>
  <si>
    <t xml:space="preserve">FND-285</t>
  </si>
  <si>
    <t xml:space="preserve">FND-286</t>
  </si>
  <si>
    <t xml:space="preserve">FND-287</t>
  </si>
  <si>
    <t xml:space="preserve">FND-288</t>
  </si>
  <si>
    <t xml:space="preserve">FND-289</t>
  </si>
  <si>
    <t xml:space="preserve">FND-290</t>
  </si>
  <si>
    <t xml:space="preserve">FND-291</t>
  </si>
  <si>
    <t xml:space="preserve">FND-292</t>
  </si>
  <si>
    <t xml:space="preserve">FND-293</t>
  </si>
  <si>
    <t xml:space="preserve">FND-294</t>
  </si>
  <si>
    <t xml:space="preserve">FND-295</t>
  </si>
  <si>
    <t xml:space="preserve">FND-296</t>
  </si>
  <si>
    <t xml:space="preserve">FND-297</t>
  </si>
  <si>
    <t xml:space="preserve">FND-298</t>
  </si>
  <si>
    <t xml:space="preserve">FND-299</t>
  </si>
  <si>
    <t xml:space="preserve">FND-300</t>
  </si>
  <si>
    <t xml:space="preserve">Stakeholder Register</t>
  </si>
  <si>
    <t xml:space="preserve">Who matters to the mission, their role, stance and contact cadence.</t>
  </si>
  <si>
    <t xml:space="preserve">Stakeholder ID</t>
  </si>
  <si>
    <t xml:space="preserve">Name</t>
  </si>
  <si>
    <t xml:space="preserve">Role / Title</t>
  </si>
  <si>
    <t xml:space="preserve">Function / Team</t>
  </si>
  <si>
    <t xml:space="preserve">Legal Entity / Region</t>
  </si>
  <si>
    <t xml:space="preserve">Email</t>
  </si>
  <si>
    <t xml:space="preserve">Role in Mission (RACI)</t>
  </si>
  <si>
    <t xml:space="preserve">Influence</t>
  </si>
  <si>
    <t xml:space="preserve">Stance</t>
  </si>
  <si>
    <t xml:space="preserve">Preferred Channel</t>
  </si>
  <si>
    <t xml:space="preserve">Last Contact</t>
  </si>
  <si>
    <t xml:space="preserve">Days Since Contact</t>
  </si>
  <si>
    <t xml:space="preserve">STK-001</t>
  </si>
  <si>
    <t xml:space="preserve">[Name]</t>
  </si>
  <si>
    <t xml:space="preserve">Head of Network Security</t>
  </si>
  <si>
    <t xml:space="preserve">Group Infrastructure</t>
  </si>
  <si>
    <t xml:space="preserve">Group / EU</t>
  </si>
  <si>
    <t xml:space="preserve">name@bank.example</t>
  </si>
  <si>
    <t xml:space="preserve">Responsible</t>
  </si>
  <si>
    <t xml:space="preserve">Neutral</t>
  </si>
  <si>
    <t xml:space="preserve">Owns remediation of perimeter assets; contests inventory gap</t>
  </si>
  <si>
    <t xml:space="preserve">STK-002</t>
  </si>
  <si>
    <t xml:space="preserve">STK-003</t>
  </si>
  <si>
    <t xml:space="preserve">STK-004</t>
  </si>
  <si>
    <t xml:space="preserve">STK-005</t>
  </si>
  <si>
    <t xml:space="preserve">STK-006</t>
  </si>
  <si>
    <t xml:space="preserve">STK-007</t>
  </si>
  <si>
    <t xml:space="preserve">STK-008</t>
  </si>
  <si>
    <t xml:space="preserve">STK-009</t>
  </si>
  <si>
    <t xml:space="preserve">STK-010</t>
  </si>
  <si>
    <t xml:space="preserve">STK-011</t>
  </si>
  <si>
    <t xml:space="preserve">STK-012</t>
  </si>
  <si>
    <t xml:space="preserve">STK-013</t>
  </si>
  <si>
    <t xml:space="preserve">STK-014</t>
  </si>
  <si>
    <t xml:space="preserve">STK-015</t>
  </si>
  <si>
    <t xml:space="preserve">STK-016</t>
  </si>
  <si>
    <t xml:space="preserve">STK-017</t>
  </si>
  <si>
    <t xml:space="preserve">STK-018</t>
  </si>
  <si>
    <t xml:space="preserve">STK-019</t>
  </si>
  <si>
    <t xml:space="preserve">STK-020</t>
  </si>
  <si>
    <t xml:space="preserve">STK-021</t>
  </si>
  <si>
    <t xml:space="preserve">STK-022</t>
  </si>
  <si>
    <t xml:space="preserve">STK-023</t>
  </si>
  <si>
    <t xml:space="preserve">STK-024</t>
  </si>
  <si>
    <t xml:space="preserve">STK-025</t>
  </si>
  <si>
    <t xml:space="preserve">STK-026</t>
  </si>
  <si>
    <t xml:space="preserve">STK-027</t>
  </si>
  <si>
    <t xml:space="preserve">STK-028</t>
  </si>
  <si>
    <t xml:space="preserve">STK-029</t>
  </si>
  <si>
    <t xml:space="preserve">STK-030</t>
  </si>
  <si>
    <t xml:space="preserve">STK-031</t>
  </si>
  <si>
    <t xml:space="preserve">STK-032</t>
  </si>
  <si>
    <t xml:space="preserve">STK-033</t>
  </si>
  <si>
    <t xml:space="preserve">STK-034</t>
  </si>
  <si>
    <t xml:space="preserve">STK-035</t>
  </si>
  <si>
    <t xml:space="preserve">STK-036</t>
  </si>
  <si>
    <t xml:space="preserve">STK-037</t>
  </si>
  <si>
    <t xml:space="preserve">STK-038</t>
  </si>
  <si>
    <t xml:space="preserve">STK-039</t>
  </si>
  <si>
    <t xml:space="preserve">STK-040</t>
  </si>
  <si>
    <t xml:space="preserve">STK-041</t>
  </si>
  <si>
    <t xml:space="preserve">STK-042</t>
  </si>
  <si>
    <t xml:space="preserve">STK-043</t>
  </si>
  <si>
    <t xml:space="preserve">STK-044</t>
  </si>
  <si>
    <t xml:space="preserve">STK-045</t>
  </si>
  <si>
    <t xml:space="preserve">STK-046</t>
  </si>
  <si>
    <t xml:space="preserve">STK-047</t>
  </si>
  <si>
    <t xml:space="preserve">STK-048</t>
  </si>
  <si>
    <t xml:space="preserve">STK-049</t>
  </si>
  <si>
    <t xml:space="preserve">STK-050</t>
  </si>
  <si>
    <t xml:space="preserve">STK-051</t>
  </si>
  <si>
    <t xml:space="preserve">STK-052</t>
  </si>
  <si>
    <t xml:space="preserve">STK-053</t>
  </si>
  <si>
    <t xml:space="preserve">STK-054</t>
  </si>
  <si>
    <t xml:space="preserve">STK-055</t>
  </si>
  <si>
    <t xml:space="preserve">STK-056</t>
  </si>
  <si>
    <t xml:space="preserve">STK-057</t>
  </si>
  <si>
    <t xml:space="preserve">STK-058</t>
  </si>
  <si>
    <t xml:space="preserve">STK-059</t>
  </si>
  <si>
    <t xml:space="preserve">STK-060</t>
  </si>
  <si>
    <t xml:space="preserve">STK-061</t>
  </si>
  <si>
    <t xml:space="preserve">STK-062</t>
  </si>
  <si>
    <t xml:space="preserve">STK-063</t>
  </si>
  <si>
    <t xml:space="preserve">STK-064</t>
  </si>
  <si>
    <t xml:space="preserve">STK-065</t>
  </si>
  <si>
    <t xml:space="preserve">STK-066</t>
  </si>
  <si>
    <t xml:space="preserve">STK-067</t>
  </si>
  <si>
    <t xml:space="preserve">STK-068</t>
  </si>
  <si>
    <t xml:space="preserve">STK-069</t>
  </si>
  <si>
    <t xml:space="preserve">STK-070</t>
  </si>
  <si>
    <t xml:space="preserve">STK-071</t>
  </si>
  <si>
    <t xml:space="preserve">STK-072</t>
  </si>
  <si>
    <t xml:space="preserve">STK-073</t>
  </si>
  <si>
    <t xml:space="preserve">STK-074</t>
  </si>
  <si>
    <t xml:space="preserve">STK-075</t>
  </si>
  <si>
    <t xml:space="preserve">STK-076</t>
  </si>
  <si>
    <t xml:space="preserve">STK-077</t>
  </si>
  <si>
    <t xml:space="preserve">STK-078</t>
  </si>
  <si>
    <t xml:space="preserve">STK-079</t>
  </si>
  <si>
    <t xml:space="preserve">STK-080</t>
  </si>
  <si>
    <t xml:space="preserve">STK-081</t>
  </si>
  <si>
    <t xml:space="preserve">STK-082</t>
  </si>
  <si>
    <t xml:space="preserve">STK-083</t>
  </si>
  <si>
    <t xml:space="preserve">STK-084</t>
  </si>
  <si>
    <t xml:space="preserve">STK-085</t>
  </si>
  <si>
    <t xml:space="preserve">STK-086</t>
  </si>
  <si>
    <t xml:space="preserve">STK-087</t>
  </si>
  <si>
    <t xml:space="preserve">STK-088</t>
  </si>
  <si>
    <t xml:space="preserve">STK-089</t>
  </si>
  <si>
    <t xml:space="preserve">STK-090</t>
  </si>
  <si>
    <t xml:space="preserve">STK-091</t>
  </si>
  <si>
    <t xml:space="preserve">STK-092</t>
  </si>
  <si>
    <t xml:space="preserve">STK-093</t>
  </si>
  <si>
    <t xml:space="preserve">STK-094</t>
  </si>
  <si>
    <t xml:space="preserve">STK-095</t>
  </si>
  <si>
    <t xml:space="preserve">STK-096</t>
  </si>
  <si>
    <t xml:space="preserve">STK-097</t>
  </si>
  <si>
    <t xml:space="preserve">STK-098</t>
  </si>
  <si>
    <t xml:space="preserve">STK-099</t>
  </si>
  <si>
    <t xml:space="preserve">STK-100</t>
  </si>
  <si>
    <t xml:space="preserve">STK-101</t>
  </si>
  <si>
    <t xml:space="preserve">STK-102</t>
  </si>
  <si>
    <t xml:space="preserve">STK-103</t>
  </si>
  <si>
    <t xml:space="preserve">STK-104</t>
  </si>
  <si>
    <t xml:space="preserve">STK-105</t>
  </si>
  <si>
    <t xml:space="preserve">STK-106</t>
  </si>
  <si>
    <t xml:space="preserve">STK-107</t>
  </si>
  <si>
    <t xml:space="preserve">STK-108</t>
  </si>
  <si>
    <t xml:space="preserve">STK-109</t>
  </si>
  <si>
    <t xml:space="preserve">STK-110</t>
  </si>
  <si>
    <t xml:space="preserve">STK-111</t>
  </si>
  <si>
    <t xml:space="preserve">STK-112</t>
  </si>
  <si>
    <t xml:space="preserve">STK-113</t>
  </si>
  <si>
    <t xml:space="preserve">STK-114</t>
  </si>
  <si>
    <t xml:space="preserve">STK-115</t>
  </si>
  <si>
    <t xml:space="preserve">STK-116</t>
  </si>
  <si>
    <t xml:space="preserve">STK-117</t>
  </si>
  <si>
    <t xml:space="preserve">STK-118</t>
  </si>
  <si>
    <t xml:space="preserve">STK-119</t>
  </si>
  <si>
    <t xml:space="preserve">STK-120</t>
  </si>
  <si>
    <t xml:space="preserve">STK-121</t>
  </si>
  <si>
    <t xml:space="preserve">STK-122</t>
  </si>
  <si>
    <t xml:space="preserve">STK-123</t>
  </si>
  <si>
    <t xml:space="preserve">STK-124</t>
  </si>
  <si>
    <t xml:space="preserve">STK-125</t>
  </si>
  <si>
    <t xml:space="preserve">STK-126</t>
  </si>
  <si>
    <t xml:space="preserve">STK-127</t>
  </si>
  <si>
    <t xml:space="preserve">STK-128</t>
  </si>
  <si>
    <t xml:space="preserve">STK-129</t>
  </si>
  <si>
    <t xml:space="preserve">STK-130</t>
  </si>
  <si>
    <t xml:space="preserve">STK-131</t>
  </si>
  <si>
    <t xml:space="preserve">STK-132</t>
  </si>
  <si>
    <t xml:space="preserve">STK-133</t>
  </si>
  <si>
    <t xml:space="preserve">STK-134</t>
  </si>
  <si>
    <t xml:space="preserve">STK-135</t>
  </si>
  <si>
    <t xml:space="preserve">STK-136</t>
  </si>
  <si>
    <t xml:space="preserve">STK-137</t>
  </si>
  <si>
    <t xml:space="preserve">STK-138</t>
  </si>
  <si>
    <t xml:space="preserve">STK-139</t>
  </si>
  <si>
    <t xml:space="preserve">STK-140</t>
  </si>
  <si>
    <t xml:space="preserve">STK-141</t>
  </si>
  <si>
    <t xml:space="preserve">STK-142</t>
  </si>
  <si>
    <t xml:space="preserve">STK-143</t>
  </si>
  <si>
    <t xml:space="preserve">STK-144</t>
  </si>
  <si>
    <t xml:space="preserve">STK-145</t>
  </si>
  <si>
    <t xml:space="preserve">STK-146</t>
  </si>
  <si>
    <t xml:space="preserve">STK-147</t>
  </si>
  <si>
    <t xml:space="preserve">STK-148</t>
  </si>
  <si>
    <t xml:space="preserve">STK-149</t>
  </si>
  <si>
    <t xml:space="preserve">STK-150</t>
  </si>
  <si>
    <t xml:space="preserve">STK-151</t>
  </si>
  <si>
    <t xml:space="preserve">STK-152</t>
  </si>
  <si>
    <t xml:space="preserve">STK-153</t>
  </si>
  <si>
    <t xml:space="preserve">STK-154</t>
  </si>
  <si>
    <t xml:space="preserve">STK-155</t>
  </si>
  <si>
    <t xml:space="preserve">STK-156</t>
  </si>
  <si>
    <t xml:space="preserve">STK-157</t>
  </si>
  <si>
    <t xml:space="preserve">STK-158</t>
  </si>
  <si>
    <t xml:space="preserve">STK-159</t>
  </si>
  <si>
    <t xml:space="preserve">STK-160</t>
  </si>
  <si>
    <t xml:space="preserve">STK-161</t>
  </si>
  <si>
    <t xml:space="preserve">STK-162</t>
  </si>
  <si>
    <t xml:space="preserve">STK-163</t>
  </si>
  <si>
    <t xml:space="preserve">STK-164</t>
  </si>
  <si>
    <t xml:space="preserve">STK-165</t>
  </si>
  <si>
    <t xml:space="preserve">STK-166</t>
  </si>
  <si>
    <t xml:space="preserve">STK-167</t>
  </si>
  <si>
    <t xml:space="preserve">STK-168</t>
  </si>
  <si>
    <t xml:space="preserve">STK-169</t>
  </si>
  <si>
    <t xml:space="preserve">STK-170</t>
  </si>
  <si>
    <t xml:space="preserve">STK-171</t>
  </si>
  <si>
    <t xml:space="preserve">STK-172</t>
  </si>
  <si>
    <t xml:space="preserve">STK-173</t>
  </si>
  <si>
    <t xml:space="preserve">STK-174</t>
  </si>
  <si>
    <t xml:space="preserve">STK-175</t>
  </si>
  <si>
    <t xml:space="preserve">STK-176</t>
  </si>
  <si>
    <t xml:space="preserve">STK-177</t>
  </si>
  <si>
    <t xml:space="preserve">STK-178</t>
  </si>
  <si>
    <t xml:space="preserve">STK-179</t>
  </si>
  <si>
    <t xml:space="preserve">STK-180</t>
  </si>
  <si>
    <t xml:space="preserve">STK-181</t>
  </si>
  <si>
    <t xml:space="preserve">STK-182</t>
  </si>
  <si>
    <t xml:space="preserve">STK-183</t>
  </si>
  <si>
    <t xml:space="preserve">STK-184</t>
  </si>
  <si>
    <t xml:space="preserve">STK-185</t>
  </si>
  <si>
    <t xml:space="preserve">STK-186</t>
  </si>
  <si>
    <t xml:space="preserve">STK-187</t>
  </si>
  <si>
    <t xml:space="preserve">STK-188</t>
  </si>
  <si>
    <t xml:space="preserve">STK-189</t>
  </si>
  <si>
    <t xml:space="preserve">STK-190</t>
  </si>
  <si>
    <t xml:space="preserve">STK-191</t>
  </si>
  <si>
    <t xml:space="preserve">STK-192</t>
  </si>
  <si>
    <t xml:space="preserve">STK-193</t>
  </si>
  <si>
    <t xml:space="preserve">STK-194</t>
  </si>
  <si>
    <t xml:space="preserve">STK-195</t>
  </si>
  <si>
    <t xml:space="preserve">STK-196</t>
  </si>
  <si>
    <t xml:space="preserve">STK-197</t>
  </si>
  <si>
    <t xml:space="preserve">STK-198</t>
  </si>
  <si>
    <t xml:space="preserve">STK-199</t>
  </si>
  <si>
    <t xml:space="preserve">STK-200</t>
  </si>
  <si>
    <t xml:space="preserve">STK-201</t>
  </si>
  <si>
    <t xml:space="preserve">STK-202</t>
  </si>
  <si>
    <t xml:space="preserve">STK-203</t>
  </si>
  <si>
    <t xml:space="preserve">STK-204</t>
  </si>
  <si>
    <t xml:space="preserve">STK-205</t>
  </si>
  <si>
    <t xml:space="preserve">STK-206</t>
  </si>
  <si>
    <t xml:space="preserve">STK-207</t>
  </si>
  <si>
    <t xml:space="preserve">STK-208</t>
  </si>
  <si>
    <t xml:space="preserve">STK-209</t>
  </si>
  <si>
    <t xml:space="preserve">STK-210</t>
  </si>
  <si>
    <t xml:space="preserve">STK-211</t>
  </si>
  <si>
    <t xml:space="preserve">STK-212</t>
  </si>
  <si>
    <t xml:space="preserve">STK-213</t>
  </si>
  <si>
    <t xml:space="preserve">STK-214</t>
  </si>
  <si>
    <t xml:space="preserve">STK-215</t>
  </si>
  <si>
    <t xml:space="preserve">STK-216</t>
  </si>
  <si>
    <t xml:space="preserve">STK-217</t>
  </si>
  <si>
    <t xml:space="preserve">STK-218</t>
  </si>
  <si>
    <t xml:space="preserve">STK-219</t>
  </si>
  <si>
    <t xml:space="preserve">STK-220</t>
  </si>
  <si>
    <t xml:space="preserve">STK-221</t>
  </si>
  <si>
    <t xml:space="preserve">STK-222</t>
  </si>
  <si>
    <t xml:space="preserve">STK-223</t>
  </si>
  <si>
    <t xml:space="preserve">STK-224</t>
  </si>
  <si>
    <t xml:space="preserve">STK-225</t>
  </si>
  <si>
    <t xml:space="preserve">STK-226</t>
  </si>
  <si>
    <t xml:space="preserve">STK-227</t>
  </si>
  <si>
    <t xml:space="preserve">STK-228</t>
  </si>
  <si>
    <t xml:space="preserve">STK-229</t>
  </si>
  <si>
    <t xml:space="preserve">STK-230</t>
  </si>
  <si>
    <t xml:space="preserve">STK-231</t>
  </si>
  <si>
    <t xml:space="preserve">STK-232</t>
  </si>
  <si>
    <t xml:space="preserve">STK-233</t>
  </si>
  <si>
    <t xml:space="preserve">STK-234</t>
  </si>
  <si>
    <t xml:space="preserve">STK-235</t>
  </si>
  <si>
    <t xml:space="preserve">STK-236</t>
  </si>
  <si>
    <t xml:space="preserve">STK-237</t>
  </si>
  <si>
    <t xml:space="preserve">STK-238</t>
  </si>
  <si>
    <t xml:space="preserve">STK-239</t>
  </si>
  <si>
    <t xml:space="preserve">STK-240</t>
  </si>
  <si>
    <t xml:space="preserve">STK-241</t>
  </si>
  <si>
    <t xml:space="preserve">STK-242</t>
  </si>
  <si>
    <t xml:space="preserve">STK-243</t>
  </si>
  <si>
    <t xml:space="preserve">STK-244</t>
  </si>
  <si>
    <t xml:space="preserve">STK-245</t>
  </si>
  <si>
    <t xml:space="preserve">STK-246</t>
  </si>
  <si>
    <t xml:space="preserve">STK-247</t>
  </si>
  <si>
    <t xml:space="preserve">STK-248</t>
  </si>
  <si>
    <t xml:space="preserve">STK-249</t>
  </si>
  <si>
    <t xml:space="preserve">STK-250</t>
  </si>
  <si>
    <t xml:space="preserve">STK-251</t>
  </si>
  <si>
    <t xml:space="preserve">STK-252</t>
  </si>
  <si>
    <t xml:space="preserve">STK-253</t>
  </si>
  <si>
    <t xml:space="preserve">STK-254</t>
  </si>
  <si>
    <t xml:space="preserve">STK-255</t>
  </si>
  <si>
    <t xml:space="preserve">STK-256</t>
  </si>
  <si>
    <t xml:space="preserve">STK-257</t>
  </si>
  <si>
    <t xml:space="preserve">STK-258</t>
  </si>
  <si>
    <t xml:space="preserve">STK-259</t>
  </si>
  <si>
    <t xml:space="preserve">STK-260</t>
  </si>
  <si>
    <t xml:space="preserve">STK-261</t>
  </si>
  <si>
    <t xml:space="preserve">STK-262</t>
  </si>
  <si>
    <t xml:space="preserve">STK-263</t>
  </si>
  <si>
    <t xml:space="preserve">STK-264</t>
  </si>
  <si>
    <t xml:space="preserve">STK-265</t>
  </si>
  <si>
    <t xml:space="preserve">STK-266</t>
  </si>
  <si>
    <t xml:space="preserve">STK-267</t>
  </si>
  <si>
    <t xml:space="preserve">STK-268</t>
  </si>
  <si>
    <t xml:space="preserve">STK-269</t>
  </si>
  <si>
    <t xml:space="preserve">STK-270</t>
  </si>
  <si>
    <t xml:space="preserve">STK-271</t>
  </si>
  <si>
    <t xml:space="preserve">STK-272</t>
  </si>
  <si>
    <t xml:space="preserve">STK-273</t>
  </si>
  <si>
    <t xml:space="preserve">STK-274</t>
  </si>
  <si>
    <t xml:space="preserve">STK-275</t>
  </si>
  <si>
    <t xml:space="preserve">STK-276</t>
  </si>
  <si>
    <t xml:space="preserve">STK-277</t>
  </si>
  <si>
    <t xml:space="preserve">STK-278</t>
  </si>
  <si>
    <t xml:space="preserve">STK-279</t>
  </si>
  <si>
    <t xml:space="preserve">STK-280</t>
  </si>
  <si>
    <t xml:space="preserve">STK-281</t>
  </si>
  <si>
    <t xml:space="preserve">STK-282</t>
  </si>
  <si>
    <t xml:space="preserve">STK-283</t>
  </si>
  <si>
    <t xml:space="preserve">STK-284</t>
  </si>
  <si>
    <t xml:space="preserve">STK-285</t>
  </si>
  <si>
    <t xml:space="preserve">STK-286</t>
  </si>
  <si>
    <t xml:space="preserve">STK-287</t>
  </si>
  <si>
    <t xml:space="preserve">STK-288</t>
  </si>
  <si>
    <t xml:space="preserve">STK-289</t>
  </si>
  <si>
    <t xml:space="preserve">STK-290</t>
  </si>
  <si>
    <t xml:space="preserve">STK-291</t>
  </si>
  <si>
    <t xml:space="preserve">STK-292</t>
  </si>
  <si>
    <t xml:space="preserve">STK-293</t>
  </si>
  <si>
    <t xml:space="preserve">STK-294</t>
  </si>
  <si>
    <t xml:space="preserve">STK-295</t>
  </si>
  <si>
    <t xml:space="preserve">STK-296</t>
  </si>
  <si>
    <t xml:space="preserve">STK-297</t>
  </si>
  <si>
    <t xml:space="preserve">STK-298</t>
  </si>
  <si>
    <t xml:space="preserve">STK-299</t>
  </si>
  <si>
    <t xml:space="preserve">STK-300</t>
  </si>
  <si>
    <t xml:space="preserve">Dropdown lists — edit or extend values here (keep entries within the bordered block, 15 slots per list).</t>
  </si>
  <si>
    <t xml:space="preserve">YesNo</t>
  </si>
  <si>
    <t xml:space="preserve">YesNoUnknown</t>
  </si>
  <si>
    <t xml:space="preserve">RAG</t>
  </si>
  <si>
    <t xml:space="preserve">TaskStatus</t>
  </si>
  <si>
    <t xml:space="preserve">MeetingType</t>
  </si>
  <si>
    <t xml:space="preserve">EmailCategory</t>
  </si>
  <si>
    <t xml:space="preserve">ResponseStatus</t>
  </si>
  <si>
    <t xml:space="preserve">TaskSource</t>
  </si>
  <si>
    <t xml:space="preserve">GoalStatus</t>
  </si>
  <si>
    <t xml:space="preserve">DevType</t>
  </si>
  <si>
    <t xml:space="preserve">DecisionStatus</t>
  </si>
  <si>
    <t xml:space="preserve">RiskDimension</t>
  </si>
  <si>
    <t xml:space="preserve">RAF</t>
  </si>
  <si>
    <t xml:space="preserve">AssetType</t>
  </si>
  <si>
    <t xml:space="preserve">DiscoverySource</t>
  </si>
  <si>
    <t xml:space="preserve">Confidence</t>
  </si>
  <si>
    <t xml:space="preserve">FindingStatus</t>
  </si>
  <si>
    <t xml:space="preserve">Confidentiality</t>
  </si>
  <si>
    <t xml:space="preserve">RACI</t>
  </si>
  <si>
    <t xml:space="preserve">Channel</t>
  </si>
  <si>
    <t xml:space="preserve">PhaseStatus</t>
  </si>
  <si>
    <t xml:space="preserve">Remediation SLA (days)</t>
  </si>
  <si>
    <t xml:space="preserve">Green</t>
  </si>
  <si>
    <t xml:space="preserve">Inbound</t>
  </si>
  <si>
    <t xml:space="preserve">Milestone</t>
  </si>
  <si>
    <t xml:space="preserve">Operational</t>
  </si>
  <si>
    <t xml:space="preserve">Within Appetite</t>
  </si>
  <si>
    <t xml:space="preserve">Domain</t>
  </si>
  <si>
    <t xml:space="preserve">Internal</t>
  </si>
  <si>
    <t xml:space="preserve">Supportive</t>
  </si>
  <si>
    <t xml:space="preserve">Evidence Submission</t>
  </si>
  <si>
    <t xml:space="preserve">Responded</t>
  </si>
  <si>
    <t xml:space="preserve">Decision</t>
  </si>
  <si>
    <t xml:space="preserve">Decided</t>
  </si>
  <si>
    <t xml:space="preserve">Within Tolerance</t>
  </si>
  <si>
    <t xml:space="preserve">Vulnerability Scanner</t>
  </si>
  <si>
    <t xml:space="preserve">Accountable</t>
  </si>
  <si>
    <t xml:space="preserve">Teams / Chat</t>
  </si>
  <si>
    <t xml:space="preserve">3LoD</t>
  </si>
  <si>
    <t xml:space="preserve">Status Update</t>
  </si>
  <si>
    <t xml:space="preserve">Escalated</t>
  </si>
  <si>
    <t xml:space="preserve">EASM Finding</t>
  </si>
  <si>
    <t xml:space="preserve">Key Finding</t>
  </si>
  <si>
    <t xml:space="preserve">Regulatory</t>
  </si>
  <si>
    <t xml:space="preserve">Breach - Tolerance</t>
  </si>
  <si>
    <t xml:space="preserve">IP Address / Range</t>
  </si>
  <si>
    <t xml:space="preserve">Threat Intel Feed</t>
  </si>
  <si>
    <t xml:space="preserve">Strictly Confidential</t>
  </si>
  <si>
    <t xml:space="preserve">Consulted</t>
  </si>
  <si>
    <t xml:space="preserve">Resistant</t>
  </si>
  <si>
    <t xml:space="preserve">Exposure Assessment</t>
  </si>
  <si>
    <t xml:space="preserve">Third Party</t>
  </si>
  <si>
    <t xml:space="preserve">Challenge / Pushback</t>
  </si>
  <si>
    <t xml:space="preserve">Closed</t>
  </si>
  <si>
    <t xml:space="preserve">Escalation</t>
  </si>
  <si>
    <t xml:space="preserve">Withdrawn</t>
  </si>
  <si>
    <t xml:space="preserve">Financial</t>
  </si>
  <si>
    <t xml:space="preserve">Breach - Appetite</t>
  </si>
  <si>
    <t xml:space="preserve">Web Application</t>
  </si>
  <si>
    <t xml:space="preserve">Certificate Transparency</t>
  </si>
  <si>
    <t xml:space="preserve">Informed</t>
  </si>
  <si>
    <t xml:space="preserve">Phone</t>
  </si>
  <si>
    <t xml:space="preserve">Delayed</t>
  </si>
  <si>
    <t xml:space="preserve">Cloud Exposure</t>
  </si>
  <si>
    <t xml:space="preserve">No Action Required</t>
  </si>
  <si>
    <t xml:space="preserve">Goal</t>
  </si>
  <si>
    <t xml:space="preserve">Reputational</t>
  </si>
  <si>
    <t xml:space="preserve">API Endpoint</t>
  </si>
  <si>
    <t xml:space="preserve">Passive DNS</t>
  </si>
  <si>
    <t xml:space="preserve">Formal Memo</t>
  </si>
  <si>
    <t xml:space="preserve">Shadow IT</t>
  </si>
  <si>
    <t xml:space="preserve">Decision / Approval</t>
  </si>
  <si>
    <t xml:space="preserve">Risk Acceptance</t>
  </si>
  <si>
    <t xml:space="preserve">Third-Party</t>
  </si>
  <si>
    <t xml:space="preserve">Exposed Service / Port</t>
  </si>
  <si>
    <t xml:space="preserve">Bug Bounty / Disclosure</t>
  </si>
  <si>
    <t xml:space="preserve">Third-Party / Supply Chain</t>
  </si>
  <si>
    <t xml:space="preserve">Vendor Communication</t>
  </si>
  <si>
    <t xml:space="preserve">Regulatory / Supervisory</t>
  </si>
  <si>
    <t xml:space="preserve">Cloud Resource</t>
  </si>
  <si>
    <t xml:space="preserve">Manual OSINT</t>
  </si>
  <si>
    <t xml:space="preserve">Key assumption: default SLA values for illustration only — align to the bank's Vulnerability Management Standard before use.</t>
  </si>
  <si>
    <t xml:space="preserve">Brand &amp; Domain Monitoring</t>
  </si>
  <si>
    <t xml:space="preserve">FYI</t>
  </si>
  <si>
    <t xml:space="preserve">Lesson Learned</t>
  </si>
  <si>
    <t xml:space="preserve">TLS Certificate</t>
  </si>
  <si>
    <t xml:space="preserve">1LoD Disclosure</t>
  </si>
  <si>
    <t xml:space="preserve">Credential &amp; Data Leakage</t>
  </si>
  <si>
    <t xml:space="preserve">Code Repository</t>
  </si>
  <si>
    <t xml:space="preserve">Third-Party Notification</t>
  </si>
  <si>
    <t xml:space="preserve">Remediation Oversight</t>
  </si>
  <si>
    <t xml:space="preserve">Mobile App</t>
  </si>
  <si>
    <t xml:space="preserve">Reporting &amp; RAF</t>
  </si>
  <si>
    <t xml:space="preserve">Email Infrastructure</t>
  </si>
  <si>
    <t xml:space="preserve">Third-Party Hosted Asset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</si>
</sst>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General"/>
    <numFmt numFmtId="167" formatCode="0"/>
    <numFmt numFmtId="168" formatCode="0%"/>
    <numFmt numFmtId="169" formatCode="0.0"/>
    <numFmt numFmtId="170" formatCode="\+0.0;\-0.0;0"/>
    <numFmt numFmtId="171" formatCode="hh:mm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47857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C00000"/>
      <name val="Courier New"/>
      <family val="0"/>
      <charset val="1"/>
    </font>
    <font>
      <sz val="9"/>
      <name val="Arial"/>
      <family val="0"/>
      <charset val="1"/>
    </font>
    <font>
      <sz val="9"/>
      <color rgb="FF059669"/>
      <name val="Courier New"/>
      <family val="0"/>
      <charset val="1"/>
    </font>
    <font>
      <i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47857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6"/>
      <color rgb="FF047857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4785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47857"/>
        <bgColor rgb="FF059669"/>
      </patternFill>
    </fill>
    <fill>
      <patternFill patternType="solid">
        <fgColor rgb="FFF2F2F2"/>
        <bgColor rgb="FFECFDF5"/>
      </patternFill>
    </fill>
    <fill>
      <patternFill patternType="solid">
        <fgColor rgb="FFD1FAE5"/>
        <bgColor rgb="FFCCFFFF"/>
      </patternFill>
    </fill>
    <fill>
      <patternFill patternType="solid">
        <fgColor rgb="FFFFFFFF"/>
        <bgColor rgb="FFECFDF5"/>
      </patternFill>
    </fill>
    <fill>
      <patternFill patternType="solid">
        <fgColor rgb="FFECFDF5"/>
        <bgColor rgb="FFF2F2F2"/>
      </patternFill>
    </fill>
    <fill>
      <patternFill patternType="solid">
        <fgColor rgb="FF7F7F7F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2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ont>
        <b val="1"/>
      </font>
      <fill>
        <patternFill>
          <bgColor rgb="FFF8CBAD"/>
        </patternFill>
      </fill>
    </dxf>
    <dxf>
      <font>
        <color rgb="FF000000"/>
      </font>
      <fill>
        <patternFill>
          <bgColor rgb="FFD1FAE5"/>
        </patternFill>
      </fill>
    </dxf>
    <dxf>
      <font>
        <color rgb="FF000000"/>
      </font>
      <fill>
        <patternFill>
          <bgColor rgb="FFFFE699"/>
        </patternFill>
      </fill>
    </dxf>
    <dxf>
      <font>
        <color rgb="FF000000"/>
      </font>
      <fill>
        <patternFill>
          <bgColor rgb="FFF8CBAD"/>
        </patternFill>
      </fill>
    </dxf>
    <dxf>
      <font>
        <color rgb="FF000000"/>
      </font>
      <fill>
        <patternFill>
          <bgColor rgb="FFD9D9D9"/>
        </patternFill>
      </fill>
    </dxf>
    <dxf>
      <fill>
        <patternFill>
          <bgColor rgb="FFF8CBAD"/>
        </patternFill>
      </fill>
    </dxf>
    <dxf>
      <font>
        <b val="1"/>
        <color rgb="FF047857"/>
      </font>
    </dxf>
    <dxf>
      <font>
        <b val="1"/>
        <color rgb="FF10B981"/>
      </font>
    </dxf>
    <dxf>
      <font>
        <b val="1"/>
        <color rgb="FFC00000"/>
      </font>
    </dxf>
    <dxf>
      <font>
        <color rgb="FFA6A6A6"/>
      </font>
    </dxf>
    <dxf>
      <font>
        <b val="1"/>
        <color rgb="FFA6A6A6"/>
      </font>
    </dxf>
    <dxf>
      <font>
        <b val="1"/>
        <color rgb="FF000000"/>
      </font>
      <fill>
        <patternFill>
          <bgColor rgb="FF10B981"/>
        </patternFill>
      </fill>
    </dxf>
    <dxf>
      <font>
        <b val="1"/>
        <color rgb="FF000000"/>
      </font>
      <fill>
        <patternFill>
          <bgColor rgb="FFFFC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C00000"/>
      </font>
      <fill>
        <patternFill>
          <bgColor rgb="FFF8CBAD"/>
        </patternFill>
      </fill>
    </dxf>
    <dxf>
      <fill>
        <patternFill>
          <bgColor rgb="FFD1FAE5"/>
        </patternFill>
      </fill>
    </dxf>
    <dxf>
      <fill>
        <patternFill patternType="solid">
          <fgColor rgb="FF04785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>
          <bgColor rgb="FFFFE699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b val="1"/>
        <color rgb="FF000000"/>
      </font>
      <fill>
        <patternFill>
          <bgColor rgb="FFF8CBAD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ont>
        <b val="1"/>
        <color rgb="FF000000"/>
      </font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BFBFBF"/>
      <rgbColor rgb="FF7F7F7F"/>
      <rgbColor rgb="FFA6A6A6"/>
      <rgbColor rgb="FF993366"/>
      <rgbColor rgb="FFECFDF5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CCFFFF"/>
      <rgbColor rgb="FFD1FAE5"/>
      <rgbColor rgb="FFFFE699"/>
      <rgbColor rgb="FF99CCFF"/>
      <rgbColor rgb="FFFF99CC"/>
      <rgbColor rgb="FFCC99FF"/>
      <rgbColor rgb="FFF8CBAD"/>
      <rgbColor rgb="FF3366FF"/>
      <rgbColor rgb="FF6EE7B7"/>
      <rgbColor rgb="FF99CC00"/>
      <rgbColor rgb="FFFFC000"/>
      <rgbColor rgb="FFFF9900"/>
      <rgbColor rgb="FFFF6600"/>
      <rgbColor rgb="FF595959"/>
      <rgbColor rgb="FF878787"/>
      <rgbColor rgb="FF003366"/>
      <rgbColor rgb="FF10B981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47857"/>
            </a:solidFill>
            <a:ln w="9360">
              <a:solidFill>
                <a:srgbClr val="04785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Dashboard!$D$5:$D$10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On Hold</c:v>
                </c:pt>
                <c:pt idx="4">
                  <c:v>Completed</c:v>
                </c:pt>
                <c:pt idx="5">
                  <c:v>Cancelled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9195567"/>
        <c:axId val="58651889"/>
      </c:barChart>
      <c:catAx>
        <c:axId val="9919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51889"/>
        <c:crosses val="autoZero"/>
        <c:auto val="1"/>
        <c:lblAlgn val="ctr"/>
        <c:lblOffset val="100"/>
        <c:noMultiLvlLbl val="0"/>
      </c:catAx>
      <c:valAx>
        <c:axId val="5865188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95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Severity (total vs open)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47857"/>
            </a:solidFill>
            <a:ln w="9360">
              <a:solidFill>
                <a:srgbClr val="04785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Dashboard!$D$13:$D$17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Informational</c:v>
                </c:pt>
              </c:strCache>
            </c:strRef>
          </c:cat>
          <c:val>
            <c:numRef>
              <c:f>Dashboard!$E$13:$E$17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Dashboard!F12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6ee7b7"/>
            </a:solidFill>
            <a:ln w="9360">
              <a:solidFill>
                <a:srgbClr val="6ee7b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Dashboard!$D$13:$D$17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Informational</c:v>
                </c:pt>
              </c:strCache>
            </c:strRef>
          </c:cat>
          <c:val>
            <c:numRef>
              <c:f>Dashboard!$F$13:$F$17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7112397"/>
        <c:axId val="19472292"/>
      </c:barChart>
      <c:catAx>
        <c:axId val="17112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2292"/>
        <c:crosses val="autoZero"/>
        <c:auto val="1"/>
        <c:lblAlgn val="ctr"/>
        <c:lblOffset val="100"/>
        <c:noMultiLvlLbl val="0"/>
      </c:catAx>
      <c:valAx>
        <c:axId val="194722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12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47857"/>
            </a:solidFill>
            <a:ln w="9360">
              <a:solidFill>
                <a:srgbClr val="04785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Dashboard!$D$20:$D$26</c:f>
              <c:strCache>
                <c:ptCount val="7"/>
                <c:pt idx="0">
                  <c:v>New</c:v>
                </c:pt>
                <c:pt idx="1">
                  <c:v>Validating</c:v>
                </c:pt>
                <c:pt idx="2">
                  <c:v>Confirmed</c:v>
                </c:pt>
                <c:pt idx="3">
                  <c:v>Remediation In Progress</c:v>
                </c:pt>
                <c:pt idx="4">
                  <c:v>Remediated</c:v>
                </c:pt>
                <c:pt idx="5">
                  <c:v>Risk Accepted</c:v>
                </c:pt>
                <c:pt idx="6">
                  <c:v>False Positive</c:v>
                </c:pt>
              </c:strCache>
            </c:strRef>
          </c:cat>
          <c:val>
            <c:numRef>
              <c:f>Dashboard!$E$20:$E$26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2392525"/>
        <c:axId val="33704907"/>
      </c:barChart>
      <c:catAx>
        <c:axId val="52392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04907"/>
        <c:crosses val="autoZero"/>
        <c:auto val="1"/>
        <c:lblAlgn val="ctr"/>
        <c:lblOffset val="100"/>
        <c:noMultiLvlLbl val="0"/>
      </c:catAx>
      <c:valAx>
        <c:axId val="337049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92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14</xdr:col>
      <xdr:colOff>383760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831708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130680</xdr:rowOff>
    </xdr:from>
    <xdr:to>
      <xdr:col>14</xdr:col>
      <xdr:colOff>383760</xdr:colOff>
      <xdr:row>30</xdr:row>
      <xdr:rowOff>173880</xdr:rowOff>
    </xdr:to>
    <xdr:graphicFrame>
      <xdr:nvGraphicFramePr>
        <xdr:cNvPr id="1" name="Chart 2"/>
        <xdr:cNvGraphicFramePr/>
      </xdr:nvGraphicFramePr>
      <xdr:xfrm>
        <a:off x="8317080" y="3429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131040</xdr:rowOff>
    </xdr:from>
    <xdr:to>
      <xdr:col>14</xdr:col>
      <xdr:colOff>383760</xdr:colOff>
      <xdr:row>45</xdr:row>
      <xdr:rowOff>174240</xdr:rowOff>
    </xdr:to>
    <xdr:graphicFrame>
      <xdr:nvGraphicFramePr>
        <xdr:cNvPr id="2" name="Chart 3"/>
        <xdr:cNvGraphicFramePr/>
      </xdr:nvGraphicFramePr>
      <xdr:xfrm>
        <a:off x="8317080" y="6286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B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23.85" hidden="false" customHeight="false" outlineLevel="0" collapsed="false">
      <c r="A10" s="5" t="s">
        <v>13</v>
      </c>
      <c r="B10" s="6" t="s">
        <v>14</v>
      </c>
    </row>
    <row r="11" customFormat="false" ht="23.8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3" t="s">
        <v>17</v>
      </c>
      <c r="B12" s="4"/>
    </row>
    <row r="13" customFormat="false" ht="15" hidden="false" customHeight="false" outlineLevel="0" collapsed="false">
      <c r="A13" s="5" t="s">
        <v>18</v>
      </c>
      <c r="B13" s="6" t="s">
        <v>19</v>
      </c>
    </row>
    <row r="14" customFormat="false" ht="23.8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23.8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23.8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3" t="s">
        <v>36</v>
      </c>
      <c r="B22" s="4"/>
    </row>
    <row r="23" customFormat="false" ht="15" hidden="false" customHeight="false" outlineLevel="0" collapsed="false">
      <c r="A23" s="5" t="s">
        <v>37</v>
      </c>
      <c r="B23" s="6" t="s">
        <v>38</v>
      </c>
    </row>
    <row r="24" customFormat="false" ht="15" hidden="false" customHeight="false" outlineLevel="0" collapsed="false">
      <c r="A24" s="7" t="s">
        <v>39</v>
      </c>
      <c r="B24" s="6" t="s">
        <v>40</v>
      </c>
    </row>
    <row r="25" customFormat="false" ht="15" hidden="false" customHeight="false" outlineLevel="0" collapsed="false">
      <c r="A25" s="8" t="s">
        <v>41</v>
      </c>
      <c r="B25" s="6" t="s">
        <v>42</v>
      </c>
    </row>
    <row r="26" customFormat="false" ht="15" hidden="false" customHeight="false" outlineLevel="0" collapsed="false">
      <c r="A26" s="5" t="s">
        <v>43</v>
      </c>
      <c r="B26" s="6" t="s">
        <v>44</v>
      </c>
    </row>
    <row r="27" customFormat="false" ht="23.85" hidden="false" customHeight="false" outlineLevel="0" collapsed="false">
      <c r="A27" s="5" t="s">
        <v>45</v>
      </c>
      <c r="B27" s="6" t="s">
        <v>46</v>
      </c>
    </row>
    <row r="28" customFormat="false" ht="23.85" hidden="false" customHeight="false" outlineLevel="0" collapsed="false">
      <c r="A28" s="5" t="s">
        <v>47</v>
      </c>
      <c r="B28" s="6" t="s">
        <v>48</v>
      </c>
    </row>
    <row r="29" customFormat="false" ht="15" hidden="false" customHeight="false" outlineLevel="0" collapsed="false">
      <c r="A29" s="3" t="s">
        <v>49</v>
      </c>
      <c r="B29" s="4"/>
    </row>
    <row r="30" customFormat="false" ht="15" hidden="false" customHeight="false" outlineLevel="0" collapsed="false">
      <c r="A30" s="5" t="s">
        <v>50</v>
      </c>
      <c r="B30" s="6" t="s">
        <v>51</v>
      </c>
    </row>
    <row r="31" customFormat="false" ht="23.85" hidden="false" customHeight="false" outlineLevel="0" collapsed="false">
      <c r="A31" s="5" t="s">
        <v>52</v>
      </c>
      <c r="B31" s="6" t="s">
        <v>53</v>
      </c>
    </row>
    <row r="32" customFormat="false" ht="15" hidden="false" customHeight="false" outlineLevel="0" collapsed="false">
      <c r="A32" s="5" t="s">
        <v>54</v>
      </c>
      <c r="B32" s="6" t="s">
        <v>55</v>
      </c>
    </row>
    <row r="33" customFormat="false" ht="15" hidden="false" customHeight="false" outlineLevel="0" collapsed="false">
      <c r="A33" s="5" t="s">
        <v>56</v>
      </c>
      <c r="B33" s="6" t="s">
        <v>57</v>
      </c>
    </row>
    <row r="34" customFormat="false" ht="15" hidden="false" customHeight="false" outlineLevel="0" collapsed="false">
      <c r="A34" s="5" t="s">
        <v>58</v>
      </c>
      <c r="B34" s="6" t="s">
        <v>59</v>
      </c>
    </row>
    <row r="35" customFormat="false" ht="15" hidden="false" customHeight="false" outlineLevel="0" collapsed="false">
      <c r="A35" s="5" t="s">
        <v>60</v>
      </c>
      <c r="B35" s="6" t="s">
        <v>61</v>
      </c>
    </row>
    <row r="36" customFormat="false" ht="15" hidden="false" customHeight="false" outlineLevel="0" collapsed="false">
      <c r="A36" s="5" t="s">
        <v>62</v>
      </c>
      <c r="B36" s="6" t="s">
        <v>63</v>
      </c>
    </row>
    <row r="37" customFormat="false" ht="15" hidden="false" customHeight="false" outlineLevel="0" collapsed="false">
      <c r="A37" s="5" t="s">
        <v>64</v>
      </c>
      <c r="B37" s="6" t="s">
        <v>65</v>
      </c>
    </row>
    <row r="38" customFormat="false" ht="23.85" hidden="false" customHeight="false" outlineLevel="0" collapsed="false">
      <c r="A38" s="5" t="s">
        <v>66</v>
      </c>
      <c r="B38" s="6" t="s">
        <v>67</v>
      </c>
    </row>
    <row r="39" customFormat="false" ht="15" hidden="false" customHeight="false" outlineLevel="0" collapsed="false">
      <c r="A39" s="5" t="s">
        <v>68</v>
      </c>
      <c r="B39" s="6" t="s">
        <v>69</v>
      </c>
    </row>
    <row r="40" customFormat="false" ht="15" hidden="false" customHeight="false" outlineLevel="0" collapsed="false">
      <c r="A40" s="5" t="s">
        <v>70</v>
      </c>
      <c r="B40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J2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8" min="8" style="0" width="48"/>
    <col collapsed="false" customWidth="true" hidden="true" outlineLevel="0" max="10" min="10" style="0" width="6"/>
  </cols>
  <sheetData>
    <row r="1" customFormat="false" ht="22.05" hidden="false" customHeight="false" outlineLevel="0" collapsed="false">
      <c r="A1" s="1" t="s">
        <v>72</v>
      </c>
    </row>
    <row r="2" customFormat="false" ht="15" hidden="false" customHeight="false" outlineLevel="0" collapsed="false">
      <c r="A2" s="9" t="str">
        <f aca="true">"Reporting period: "&amp;TEXT(F4,"dd-mmm-yyyy")&amp;" to "&amp;TEXT(F5,"dd-mmm-yyyy")&amp;"   |   Meeting date: "&amp;TEXT(C5,"dd-mmm-yyyy")&amp;"   |   Generated: "&amp;TEXT(TODAY(),"dd-mmm-yyyy")</f>
        <v>Reporting period: 14-Oct-2026 to 20-Oct-2026   |   Meeting date: 20-Oct-2026   |   Generated: 20-Oct-2026</v>
      </c>
    </row>
    <row r="4" customFormat="false" ht="15" hidden="false" customHeight="true" outlineLevel="0" collapsed="false">
      <c r="B4" s="10" t="s">
        <v>73</v>
      </c>
      <c r="C4" s="11"/>
      <c r="E4" s="10" t="s">
        <v>74</v>
      </c>
      <c r="F4" s="12" t="n">
        <f aca="false">IF(C7&lt;&gt;"",C7,IF(C6="",C5-6,IF(C5-C6&lt;=14,C6+1,C5-6)))</f>
        <v>46309</v>
      </c>
      <c r="H4" s="13" t="s">
        <v>75</v>
      </c>
    </row>
    <row r="5" customFormat="false" ht="15" hidden="false" customHeight="false" outlineLevel="0" collapsed="false">
      <c r="B5" s="10" t="s">
        <v>76</v>
      </c>
      <c r="C5" s="14" t="n">
        <f aca="true">IF(C4&lt;&gt;"",C4,IF(COUNT('Weekly Status Log'!$B$5:$B$108)=0,TODAY(),MAX('Weekly Status Log'!$B$5:$B$108)))</f>
        <v>46315</v>
      </c>
      <c r="E5" s="10" t="s">
        <v>77</v>
      </c>
      <c r="F5" s="12" t="n">
        <f aca="false">C5</f>
        <v>46315</v>
      </c>
      <c r="H5" s="13"/>
    </row>
    <row r="6" customFormat="false" ht="15" hidden="false" customHeight="false" outlineLevel="0" collapsed="false">
      <c r="B6" s="10" t="s">
        <v>78</v>
      </c>
      <c r="C6" s="12" t="str">
        <f aca="false">IF(_xlfn.MAXIFS('Weekly Status Log'!$B$5:$B$108,'Weekly Status Log'!$B$5:$B$108,"&lt;"&amp;C5)=0,"",_xlfn.MAXIFS('Weekly Status Log'!$B$5:$B$108,'Weekly Status Log'!$B$5:$B$108,"&lt;"&amp;C5))</f>
        <v/>
      </c>
      <c r="E6" s="10" t="s">
        <v>79</v>
      </c>
      <c r="F6" s="12" t="n">
        <f aca="false">C5+1</f>
        <v>46316</v>
      </c>
      <c r="H6" s="13"/>
    </row>
    <row r="7" customFormat="false" ht="15" hidden="false" customHeight="false" outlineLevel="0" collapsed="false">
      <c r="B7" s="10" t="s">
        <v>80</v>
      </c>
      <c r="C7" s="11"/>
      <c r="E7" s="10" t="s">
        <v>81</v>
      </c>
      <c r="F7" s="12" t="n">
        <f aca="false">C5+7</f>
        <v>46322</v>
      </c>
      <c r="H7" s="13"/>
    </row>
    <row r="8" customFormat="false" ht="15" hidden="false" customHeight="false" outlineLevel="0" collapsed="false">
      <c r="B8" s="10" t="s">
        <v>82</v>
      </c>
      <c r="C8" s="15" t="str">
        <f aca="false">IF(J8="","Not found — add a row","WSR-"&amp;TEXT(J8,"000"))</f>
        <v>WSR-001</v>
      </c>
      <c r="J8" s="16" t="n">
        <f aca="false">IFERROR(MATCH(C5,'Weekly Status Log'!$B$5:$B$108,0),"")</f>
        <v>1</v>
      </c>
    </row>
    <row r="10" customFormat="false" ht="19.5" hidden="false" customHeight="true" outlineLevel="0" collapsed="false">
      <c r="A10" s="3" t="s">
        <v>83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B11" s="17" t="s">
        <v>84</v>
      </c>
      <c r="C11" s="18" t="n">
        <f aca="false">'Mission Charter'!B9</f>
        <v>46296</v>
      </c>
      <c r="E11" s="19" t="s">
        <v>85</v>
      </c>
      <c r="F11" s="19"/>
      <c r="G11" s="18" t="n">
        <f aca="false">'Mission Charter'!B10</f>
        <v>46477</v>
      </c>
    </row>
    <row r="12" customFormat="false" ht="15" hidden="false" customHeight="false" outlineLevel="0" collapsed="false">
      <c r="B12" s="17" t="s">
        <v>86</v>
      </c>
      <c r="C12" s="20" t="n">
        <f aca="false">'Mission Charter'!B11</f>
        <v>19</v>
      </c>
      <c r="E12" s="19" t="s">
        <v>87</v>
      </c>
      <c r="F12" s="19"/>
      <c r="G12" s="20" t="n">
        <f aca="false">'Mission Charter'!B12</f>
        <v>162</v>
      </c>
    </row>
    <row r="13" customFormat="false" ht="15" hidden="false" customHeight="false" outlineLevel="0" collapsed="false">
      <c r="B13" s="17" t="s">
        <v>88</v>
      </c>
      <c r="C13" s="21" t="n">
        <f aca="false">'Mission Charter'!B13</f>
        <v>0.104972375690608</v>
      </c>
      <c r="E13" s="19" t="s">
        <v>89</v>
      </c>
      <c r="F13" s="19"/>
      <c r="G13" s="22" t="str">
        <f aca="false">COUNTIF('Mission Charter'!$F$28:$F$33,"Completed")&amp;" of 6"</f>
        <v>1 of 6</v>
      </c>
    </row>
    <row r="14" customFormat="false" ht="15" hidden="false" customHeight="false" outlineLevel="0" collapsed="false">
      <c r="B14" s="17" t="s">
        <v>90</v>
      </c>
      <c r="C14" s="23" t="str">
        <f aca="false">IFERROR(INDEX('Mission Charter'!$A$28:$A$33,MATCH("In Progress",'Mission Charter'!$F$28:$F$33,0)),IF(COUNTIF('Mission Charter'!$F$28:$F$33,"Completed")=6,"All phases complete","No phase In Progress"))</f>
        <v>2. Discovery &amp; Attribution</v>
      </c>
      <c r="D14" s="23"/>
      <c r="E14" s="19" t="s">
        <v>91</v>
      </c>
      <c r="F14" s="19"/>
      <c r="G14" s="18" t="n">
        <f aca="false">IFERROR(INDEX('Mission Charter'!$D$28:$D$33,MATCH("In Progress",'Mission Charter'!$F$28:$F$33,0)),"")</f>
        <v>46340</v>
      </c>
    </row>
    <row r="16" customFormat="false" ht="15" hidden="false" customHeight="false" outlineLevel="0" collapsed="false">
      <c r="A16" s="24" t="s">
        <v>92</v>
      </c>
      <c r="B16" s="24" t="s">
        <v>93</v>
      </c>
      <c r="C16" s="24" t="s">
        <v>94</v>
      </c>
      <c r="D16" s="24" t="s">
        <v>95</v>
      </c>
      <c r="E16" s="24" t="s">
        <v>85</v>
      </c>
      <c r="F16" s="24" t="s">
        <v>96</v>
      </c>
      <c r="G16" s="24" t="s">
        <v>97</v>
      </c>
      <c r="H16" s="24" t="s">
        <v>98</v>
      </c>
    </row>
    <row r="17" customFormat="false" ht="15" hidden="false" customHeight="false" outlineLevel="0" collapsed="false">
      <c r="B17" s="25" t="str">
        <f aca="false">IF('Mission Charter'!$B$9="","","Scale: "&amp;TEXT('Mission Charter'!$B$9,"dd-mmm-yy")&amp;" → "&amp;TEXT('Mission Charter'!$B$10,"dd-mmm-yy"))</f>
        <v>Scale: 01-Oct-26 → 31-Mar-27</v>
      </c>
      <c r="H17" s="26" t="str">
        <f aca="true">IF(OR('Mission Charter'!$B$9="",'Mission Charter'!$B$10="",'Mission Charter'!$B$10&lt;='Mission Charter'!$B$9),"",REPT(" ",ROUND(MIN(1,MAX(0,(TODAY()-'Mission Charter'!$B$9)/('Mission Charter'!$B$10-'Mission Charter'!$B$9)))*40,0))&amp;"▼ "&amp;TEXT(TODAY(),"dd-mmm"))</f>
        <v>    ▼ 20-Oct</v>
      </c>
    </row>
    <row r="18" customFormat="false" ht="15" hidden="false" customHeight="false" outlineLevel="0" collapsed="false">
      <c r="A18" s="27" t="s">
        <v>99</v>
      </c>
      <c r="B18" s="28" t="str">
        <f aca="false">'Mission Charter'!A28</f>
        <v>1. Scoping &amp; Baseline</v>
      </c>
      <c r="C18" s="28" t="str">
        <f aca="false">'Mission Charter'!F28</f>
        <v>Completed</v>
      </c>
      <c r="D18" s="29" t="n">
        <f aca="false">IF('Mission Charter'!C28="","",'Mission Charter'!C28)</f>
        <v>46296</v>
      </c>
      <c r="E18" s="29" t="n">
        <f aca="false">IF('Mission Charter'!D28="","",'Mission Charter'!D28)</f>
        <v>46312</v>
      </c>
      <c r="F18" s="29" t="n">
        <f aca="false">IF('Mission Charter'!E28="","",'Mission Charter'!E28)</f>
        <v>46311</v>
      </c>
      <c r="G18" s="30" t="n">
        <f aca="false">'Mission Charter'!G28</f>
        <v>-1</v>
      </c>
      <c r="H18" s="31" t="str">
        <f aca="false">IF(OR('Mission Charter'!C28="",'Mission Charter'!D28="",'Mission Charter'!$B$9="",'Mission Charter'!$B$10="",'Mission Charter'!$B$10&lt;='Mission Charter'!$B$9),"",REPT(" ",MAX(0,ROUND(('Mission Charter'!C28-'Mission Charter'!$B$9)/('Mission Charter'!$B$10-'Mission Charter'!$B$9)*40,0)))&amp;REPT("█",MAX(1,ROUND((MIN('Mission Charter'!D28,'Mission Charter'!$B$10)-MAX('Mission Charter'!C28,'Mission Charter'!$B$9))/('Mission Charter'!$B$10-'Mission Charter'!$B$9)*40,0))))</f>
        <v>████</v>
      </c>
    </row>
    <row r="19" customFormat="false" ht="15" hidden="false" customHeight="false" outlineLevel="0" collapsed="false">
      <c r="A19" s="27" t="s">
        <v>100</v>
      </c>
      <c r="B19" s="28" t="str">
        <f aca="false">'Mission Charter'!A29</f>
        <v>2. Discovery &amp; Attribution</v>
      </c>
      <c r="C19" s="28" t="str">
        <f aca="false">'Mission Charter'!F29</f>
        <v>In Progress</v>
      </c>
      <c r="D19" s="29" t="n">
        <f aca="false">IF('Mission Charter'!C29="","",'Mission Charter'!C29)</f>
        <v>46307</v>
      </c>
      <c r="E19" s="29" t="n">
        <f aca="false">IF('Mission Charter'!D29="","",'Mission Charter'!D29)</f>
        <v>46340</v>
      </c>
      <c r="F19" s="29" t="str">
        <f aca="false">IF('Mission Charter'!E29="","",'Mission Charter'!E29)</f>
        <v/>
      </c>
      <c r="G19" s="30" t="str">
        <f aca="false">'Mission Charter'!G29</f>
        <v/>
      </c>
      <c r="H19" s="31" t="str">
        <f aca="false">IF(OR('Mission Charter'!C29="",'Mission Charter'!D29="",'Mission Charter'!$B$9="",'Mission Charter'!$B$10="",'Mission Charter'!$B$10&lt;='Mission Charter'!$B$9),"",REPT(" ",MAX(0,ROUND(('Mission Charter'!C29-'Mission Charter'!$B$9)/('Mission Charter'!$B$10-'Mission Charter'!$B$9)*40,0)))&amp;REPT("█",MAX(1,ROUND((MIN('Mission Charter'!D29,'Mission Charter'!$B$10)-MAX('Mission Charter'!C29,'Mission Charter'!$B$9))/('Mission Charter'!$B$10-'Mission Charter'!$B$9)*40,0))))</f>
        <v>  ███████</v>
      </c>
    </row>
    <row r="20" customFormat="false" ht="15" hidden="false" customHeight="false" outlineLevel="0" collapsed="false">
      <c r="A20" s="27" t="s">
        <v>101</v>
      </c>
      <c r="B20" s="28" t="str">
        <f aca="false">'Mission Charter'!A30</f>
        <v>3. Exposure Assessment</v>
      </c>
      <c r="C20" s="28" t="str">
        <f aca="false">'Mission Charter'!F30</f>
        <v>Not Started</v>
      </c>
      <c r="D20" s="29" t="n">
        <f aca="false">IF('Mission Charter'!C30="","",'Mission Charter'!C30)</f>
        <v>46328</v>
      </c>
      <c r="E20" s="29" t="n">
        <f aca="false">IF('Mission Charter'!D30="","",'Mission Charter'!D30)</f>
        <v>46375</v>
      </c>
      <c r="F20" s="29" t="str">
        <f aca="false">IF('Mission Charter'!E30="","",'Mission Charter'!E30)</f>
        <v/>
      </c>
      <c r="G20" s="30" t="str">
        <f aca="false">'Mission Charter'!G30</f>
        <v/>
      </c>
      <c r="H20" s="31" t="str">
        <f aca="false">IF(OR('Mission Charter'!C30="",'Mission Charter'!D30="",'Mission Charter'!$B$9="",'Mission Charter'!$B$10="",'Mission Charter'!$B$10&lt;='Mission Charter'!$B$9),"",REPT(" ",MAX(0,ROUND(('Mission Charter'!C30-'Mission Charter'!$B$9)/('Mission Charter'!$B$10-'Mission Charter'!$B$9)*40,0)))&amp;REPT("█",MAX(1,ROUND((MIN('Mission Charter'!D30,'Mission Charter'!$B$10)-MAX('Mission Charter'!C30,'Mission Charter'!$B$9))/('Mission Charter'!$B$10-'Mission Charter'!$B$9)*40,0))))</f>
        <v>       ██████████</v>
      </c>
    </row>
    <row r="21" customFormat="false" ht="15" hidden="false" customHeight="false" outlineLevel="0" collapsed="false">
      <c r="A21" s="27" t="s">
        <v>102</v>
      </c>
      <c r="B21" s="28" t="str">
        <f aca="false">'Mission Charter'!A31</f>
        <v>4. Risk Translation &amp; 1LoD Challenge</v>
      </c>
      <c r="C21" s="28" t="str">
        <f aca="false">'Mission Charter'!F31</f>
        <v>Not Started</v>
      </c>
      <c r="D21" s="29" t="n">
        <f aca="false">IF('Mission Charter'!C31="","",'Mission Charter'!C31)</f>
        <v>46356</v>
      </c>
      <c r="E21" s="29" t="n">
        <f aca="false">IF('Mission Charter'!D31="","",'Mission Charter'!D31)</f>
        <v>46416</v>
      </c>
      <c r="F21" s="29" t="str">
        <f aca="false">IF('Mission Charter'!E31="","",'Mission Charter'!E31)</f>
        <v/>
      </c>
      <c r="G21" s="30" t="str">
        <f aca="false">'Mission Charter'!G31</f>
        <v/>
      </c>
      <c r="H21" s="31" t="str">
        <f aca="false">IF(OR('Mission Charter'!C31="",'Mission Charter'!D31="",'Mission Charter'!$B$9="",'Mission Charter'!$B$10="",'Mission Charter'!$B$10&lt;='Mission Charter'!$B$9),"",REPT(" ",MAX(0,ROUND(('Mission Charter'!C31-'Mission Charter'!$B$9)/('Mission Charter'!$B$10-'Mission Charter'!$B$9)*40,0)))&amp;REPT("█",MAX(1,ROUND((MIN('Mission Charter'!D31,'Mission Charter'!$B$10)-MAX('Mission Charter'!C31,'Mission Charter'!$B$9))/('Mission Charter'!$B$10-'Mission Charter'!$B$9)*40,0))))</f>
        <v>             █████████████</v>
      </c>
    </row>
    <row r="22" customFormat="false" ht="15" hidden="false" customHeight="false" outlineLevel="0" collapsed="false">
      <c r="A22" s="27" t="s">
        <v>103</v>
      </c>
      <c r="B22" s="28" t="str">
        <f aca="false">'Mission Charter'!A32</f>
        <v>5. Remediation Oversight</v>
      </c>
      <c r="C22" s="28" t="str">
        <f aca="false">'Mission Charter'!F32</f>
        <v>Not Started</v>
      </c>
      <c r="D22" s="29" t="n">
        <f aca="false">IF('Mission Charter'!C32="","",'Mission Charter'!C32)</f>
        <v>46391</v>
      </c>
      <c r="E22" s="29" t="n">
        <f aca="false">IF('Mission Charter'!D32="","",'Mission Charter'!D32)</f>
        <v>46458</v>
      </c>
      <c r="F22" s="29" t="str">
        <f aca="false">IF('Mission Charter'!E32="","",'Mission Charter'!E32)</f>
        <v/>
      </c>
      <c r="G22" s="30" t="str">
        <f aca="false">'Mission Charter'!G32</f>
        <v/>
      </c>
      <c r="H22" s="31" t="str">
        <f aca="false">IF(OR('Mission Charter'!C32="",'Mission Charter'!D32="",'Mission Charter'!$B$9="",'Mission Charter'!$B$10="",'Mission Charter'!$B$10&lt;='Mission Charter'!$B$9),"",REPT(" ",MAX(0,ROUND(('Mission Charter'!C32-'Mission Charter'!$B$9)/('Mission Charter'!$B$10-'Mission Charter'!$B$9)*40,0)))&amp;REPT("█",MAX(1,ROUND((MIN('Mission Charter'!D32,'Mission Charter'!$B$10)-MAX('Mission Charter'!C32,'Mission Charter'!$B$9))/('Mission Charter'!$B$10-'Mission Charter'!$B$9)*40,0))))</f>
        <v>                     ███████████████</v>
      </c>
    </row>
    <row r="23" customFormat="false" ht="15" hidden="false" customHeight="false" outlineLevel="0" collapsed="false">
      <c r="A23" s="27" t="s">
        <v>104</v>
      </c>
      <c r="B23" s="28" t="str">
        <f aca="false">'Mission Charter'!A33</f>
        <v>6. Reporting &amp; Closure</v>
      </c>
      <c r="C23" s="28" t="str">
        <f aca="false">'Mission Charter'!F33</f>
        <v>Not Started</v>
      </c>
      <c r="D23" s="29" t="n">
        <f aca="false">IF('Mission Charter'!C33="","",'Mission Charter'!C33)</f>
        <v>46447</v>
      </c>
      <c r="E23" s="29" t="n">
        <f aca="false">IF('Mission Charter'!D33="","",'Mission Charter'!D33)</f>
        <v>46477</v>
      </c>
      <c r="F23" s="29" t="str">
        <f aca="false">IF('Mission Charter'!E33="","",'Mission Charter'!E33)</f>
        <v/>
      </c>
      <c r="G23" s="30" t="str">
        <f aca="false">'Mission Charter'!G33</f>
        <v/>
      </c>
      <c r="H23" s="31" t="str">
        <f aca="false">IF(OR('Mission Charter'!C33="",'Mission Charter'!D33="",'Mission Charter'!$B$9="",'Mission Charter'!$B$10="",'Mission Charter'!$B$10&lt;='Mission Charter'!$B$9),"",REPT(" ",MAX(0,ROUND(('Mission Charter'!C33-'Mission Charter'!$B$9)/('Mission Charter'!$B$10-'Mission Charter'!$B$9)*40,0)))&amp;REPT("█",MAX(1,ROUND((MIN('Mission Charter'!D33,'Mission Charter'!$B$10)-MAX('Mission Charter'!C33,'Mission Charter'!$B$9))/('Mission Charter'!$B$10-'Mission Charter'!$B$9)*40,0))))</f>
        <v>                                 ███████</v>
      </c>
    </row>
    <row r="25" customFormat="false" ht="19.5" hidden="false" customHeight="true" outlineLevel="0" collapsed="false">
      <c r="A25" s="3" t="s">
        <v>105</v>
      </c>
      <c r="B25" s="4"/>
      <c r="C25" s="4"/>
      <c r="D25" s="4"/>
      <c r="E25" s="4"/>
      <c r="F25" s="4"/>
      <c r="G25" s="4"/>
      <c r="H25" s="4"/>
    </row>
    <row r="26" customFormat="false" ht="33.75" hidden="false" customHeight="true" outlineLevel="0" collapsed="false">
      <c r="B26" s="10" t="s">
        <v>106</v>
      </c>
      <c r="C26" s="32" t="str">
        <f aca="false">IF($J$8="","",IF(INDEX('Weekly Status Log'!$C$5:$C$108,$J$8)="","Not set",INDEX('Weekly Status Log'!$C$5:$C$108,$J$8)))</f>
        <v>Amber</v>
      </c>
      <c r="D26" s="33" t="str">
        <f aca="false">IF($J$8="","Add this week's row in the Weekly Status Log",IF(INDEX('Weekly Status Log'!$D$5:$D$108,$J$8)="","(one-sentence rationale not entered)",INDEX('Weekly Status Log'!$D$5:$D$108,$J$8)))</f>
        <v>Discovery is on plan, but attribution is constrained by an outstanding 1LoD CMDB extract and an open sponsor decision on scope extension.</v>
      </c>
      <c r="E26" s="33"/>
      <c r="F26" s="33"/>
      <c r="G26" s="33"/>
      <c r="H26" s="33"/>
    </row>
    <row r="27" customFormat="false" ht="15" hidden="false" customHeight="false" outlineLevel="0" collapsed="false">
      <c r="B27" s="17" t="s">
        <v>107</v>
      </c>
      <c r="C27" s="34" t="str">
        <f aca="false">IF($J$8="","",IF(INDEX('Weekly Status Log'!$M$5:$M$108,$J$8)="","—",INDEX('Weekly Status Log'!$M$5:$M$108,$J$8)))</f>
        <v>—</v>
      </c>
      <c r="D27" s="35" t="str">
        <f aca="false">IF($J$8="","",IF(INDEX('Weekly Status Log'!$N$5:$N$108,$J$8)="","",INDEX('Weekly Status Log'!$N$5:$N$108,$J$8)))</f>
        <v/>
      </c>
    </row>
    <row r="28" customFormat="false" ht="15" hidden="false" customHeight="false" outlineLevel="0" collapsed="false">
      <c r="B28" s="17" t="s">
        <v>108</v>
      </c>
      <c r="C28" s="32" t="str">
        <f aca="false">IF(COUNTIF(F32:F44,"Red")&gt;0,"Red",IF(COUNTIF(F32:F44,"Amber")&gt;0,"Amber","Green"))</f>
        <v>Amber</v>
      </c>
      <c r="D28" s="36" t="str">
        <f aca="false">COUNTIF(F32:F44,"Red")&amp;" Red and "&amp;COUNTIF(F32:F44,"Amber")&amp;" Amber driver(s) triggered — see table below"</f>
        <v>0 Red and 1 Amber driver(s) triggered — see table below</v>
      </c>
    </row>
    <row r="29" customFormat="false" ht="15" hidden="false" customHeight="false" outlineLevel="0" collapsed="false">
      <c r="B29" s="17" t="s">
        <v>109</v>
      </c>
      <c r="D29" s="37" t="str">
        <f aca="false">IF(OR(C26="",C26="Not set"),"Enter your RAG call in the Weekly Status Log",IF(MATCH(C26,{"Red","Amber","Green"},0)&gt;MATCH(C28,{"Red","Amber","Green"},0),"CHALLENGE: reported status is more favourable than the indicators — evidence the judgement before the meeting",IF(MATCH(C26,{"Red","Amber","Green"},0)&lt;MATCH(C28,{"Red","Amber","Green"},0),"Reported status is more conservative than the indicators — state the forward-looking concern","Consistent with indicators")))</f>
        <v>Consistent with indicators</v>
      </c>
      <c r="E29" s="37"/>
      <c r="F29" s="37"/>
      <c r="G29" s="37"/>
      <c r="H29" s="37"/>
    </row>
    <row r="31" customFormat="false" ht="15" hidden="false" customHeight="false" outlineLevel="0" collapsed="false">
      <c r="A31" s="38"/>
      <c r="B31" s="24" t="s">
        <v>110</v>
      </c>
      <c r="C31" s="24" t="s">
        <v>111</v>
      </c>
      <c r="D31" s="24" t="s">
        <v>112</v>
      </c>
      <c r="E31" s="24" t="s">
        <v>113</v>
      </c>
      <c r="F31" s="24" t="s">
        <v>114</v>
      </c>
      <c r="G31" s="24" t="s">
        <v>115</v>
      </c>
    </row>
    <row r="32" customFormat="false" ht="15" hidden="false" customHeight="false" outlineLevel="0" collapsed="false">
      <c r="B32" s="39" t="s">
        <v>116</v>
      </c>
      <c r="C32" s="40" t="n">
        <f aca="false">COUNTIFS('EASM Findings'!$AA$5:$AA$304,"SLA BREACH",'EASM Findings'!$L$5:$L$304,"Critical")+COUNTIFS('EASM Findings'!$AA$5:$AA$304,"SLA BREACH",'EASM Findings'!$L$5:$L$304,"High")</f>
        <v>0</v>
      </c>
      <c r="D32" s="39" t="s">
        <v>117</v>
      </c>
      <c r="E32" s="41" t="n">
        <v>1</v>
      </c>
      <c r="F32" s="42" t="str">
        <f aca="false">IF(C32&gt;=E32,D32,"—")</f>
        <v>—</v>
      </c>
      <c r="G32" s="39" t="s">
        <v>118</v>
      </c>
    </row>
    <row r="33" customFormat="false" ht="15" hidden="false" customHeight="false" outlineLevel="0" collapsed="false">
      <c r="B33" s="39" t="s">
        <v>119</v>
      </c>
      <c r="C33" s="40" t="n">
        <f aca="false">COUNTIFS('EASM Findings'!$E$5:$E$304,"&lt;&gt;",'EASM Findings'!$U$5:$U$304,"&lt;&gt;Remediated",'EASM Findings'!$U$5:$U$304,"&lt;&gt;False Positive",'EASM Findings'!$U$5:$U$304,"&lt;&gt;Risk Accepted",'EASM Findings'!$Q$5:$Q$304,"Breach - Appetite")+COUNTIF(Developments!$L$5:$L$304,"Breach - Appetite")</f>
        <v>0</v>
      </c>
      <c r="D33" s="39" t="s">
        <v>117</v>
      </c>
      <c r="E33" s="41" t="n">
        <v>1</v>
      </c>
      <c r="F33" s="42" t="str">
        <f aca="false">IF(C33&gt;=E33,D33,"—")</f>
        <v>—</v>
      </c>
      <c r="G33" s="39" t="s">
        <v>120</v>
      </c>
    </row>
    <row r="34" customFormat="false" ht="15" hidden="false" customHeight="false" outlineLevel="0" collapsed="false">
      <c r="B34" s="39" t="s">
        <v>121</v>
      </c>
      <c r="C34" s="40" t="n">
        <f aca="false">COUNTIF('Goals &amp; KPIs'!$P$5:$P$304,"Off Track")</f>
        <v>0</v>
      </c>
      <c r="D34" s="39" t="s">
        <v>117</v>
      </c>
      <c r="E34" s="41" t="n">
        <v>1</v>
      </c>
      <c r="F34" s="42" t="str">
        <f aca="false">IF(C34&gt;=E34,D34,"—")</f>
        <v>—</v>
      </c>
      <c r="G34" s="39" t="s">
        <v>122</v>
      </c>
    </row>
    <row r="35" customFormat="false" ht="15" hidden="false" customHeight="false" outlineLevel="0" collapsed="false">
      <c r="B35" s="39" t="s">
        <v>123</v>
      </c>
      <c r="C35" s="40" t="n">
        <f aca="false">COUNTIFS(Tasks!$X$5:$X$304,"OVERDUE",Tasks!$J$5:$J$304,"Critical")</f>
        <v>0</v>
      </c>
      <c r="D35" s="39" t="s">
        <v>117</v>
      </c>
      <c r="E35" s="41" t="n">
        <v>1</v>
      </c>
      <c r="F35" s="42" t="str">
        <f aca="false">IF(C35&gt;=E35,D35,"—")</f>
        <v>—</v>
      </c>
      <c r="G35" s="39" t="s">
        <v>124</v>
      </c>
    </row>
    <row r="36" customFormat="false" ht="15" hidden="false" customHeight="false" outlineLevel="0" collapsed="false">
      <c r="B36" s="39" t="s">
        <v>125</v>
      </c>
      <c r="C36" s="40" t="n">
        <f aca="true">IF(AND('Mission Charter'!$B$10&lt;&gt;"",TODAY()&gt;'Mission Charter'!$B$10,COUNTIF('Mission Charter'!$F$28:$F$33,"Completed")&lt;6),1,0)</f>
        <v>0</v>
      </c>
      <c r="D36" s="39" t="s">
        <v>117</v>
      </c>
      <c r="E36" s="41" t="n">
        <v>1</v>
      </c>
      <c r="F36" s="42" t="str">
        <f aca="false">IF(C36&gt;=E36,D36,"—")</f>
        <v>—</v>
      </c>
      <c r="G36" s="39" t="s">
        <v>56</v>
      </c>
    </row>
    <row r="37" customFormat="false" ht="15" hidden="false" customHeight="false" outlineLevel="0" collapsed="false">
      <c r="B37" s="39" t="s">
        <v>126</v>
      </c>
      <c r="C37" s="40" t="n">
        <f aca="false">COUNTIF(Tasks!$X$5:$X$304,"OVERDUE")</f>
        <v>0</v>
      </c>
      <c r="D37" s="39" t="s">
        <v>127</v>
      </c>
      <c r="E37" s="41" t="n">
        <v>1</v>
      </c>
      <c r="F37" s="42" t="str">
        <f aca="false">IF(C37&gt;=E37,D37,"—")</f>
        <v>—</v>
      </c>
      <c r="G37" s="39" t="s">
        <v>124</v>
      </c>
    </row>
    <row r="38" customFormat="false" ht="15" hidden="false" customHeight="false" outlineLevel="0" collapsed="false">
      <c r="B38" s="39" t="s">
        <v>128</v>
      </c>
      <c r="C38" s="40" t="n">
        <f aca="false">COUNTIF(Tasks!$K$5:$K$304,"Blocked")</f>
        <v>0</v>
      </c>
      <c r="D38" s="39" t="s">
        <v>127</v>
      </c>
      <c r="E38" s="41" t="n">
        <v>1</v>
      </c>
      <c r="F38" s="42" t="str">
        <f aca="false">IF(C38&gt;=E38,D38,"—")</f>
        <v>—</v>
      </c>
      <c r="G38" s="39" t="s">
        <v>124</v>
      </c>
    </row>
    <row r="39" customFormat="false" ht="15" hidden="false" customHeight="false" outlineLevel="0" collapsed="false">
      <c r="B39" s="39" t="s">
        <v>129</v>
      </c>
      <c r="C39" s="40" t="n">
        <f aca="false">COUNTIF('Goals &amp; KPIs'!$P$5:$P$304,"At Risk")</f>
        <v>0</v>
      </c>
      <c r="D39" s="39" t="s">
        <v>127</v>
      </c>
      <c r="E39" s="41" t="n">
        <v>1</v>
      </c>
      <c r="F39" s="42" t="str">
        <f aca="false">IF(C39&gt;=E39,D39,"—")</f>
        <v>—</v>
      </c>
      <c r="G39" s="39" t="s">
        <v>122</v>
      </c>
    </row>
    <row r="40" customFormat="false" ht="15" hidden="false" customHeight="false" outlineLevel="0" collapsed="false">
      <c r="B40" s="39" t="s">
        <v>130</v>
      </c>
      <c r="C40" s="40" t="n">
        <f aca="false">COUNTIF(Emails!$R$5:$R$304,"OVERDUE")</f>
        <v>0</v>
      </c>
      <c r="D40" s="39" t="s">
        <v>127</v>
      </c>
      <c r="E40" s="41" t="n">
        <v>1</v>
      </c>
      <c r="F40" s="42" t="str">
        <f aca="false">IF(C40&gt;=E40,D40,"—")</f>
        <v>—</v>
      </c>
      <c r="G40" s="39" t="s">
        <v>131</v>
      </c>
    </row>
    <row r="41" customFormat="false" ht="15" hidden="false" customHeight="false" outlineLevel="0" collapsed="false">
      <c r="B41" s="39" t="s">
        <v>132</v>
      </c>
      <c r="C41" s="40" t="n">
        <f aca="false">COUNT(Developments!$X$5:$X$304)</f>
        <v>1</v>
      </c>
      <c r="D41" s="39" t="s">
        <v>127</v>
      </c>
      <c r="E41" s="41" t="n">
        <v>1</v>
      </c>
      <c r="F41" s="42" t="str">
        <f aca="false">IF(C41&gt;=E41,D41,"—")</f>
        <v>Amber</v>
      </c>
      <c r="G41" s="39" t="s">
        <v>133</v>
      </c>
    </row>
    <row r="42" customFormat="false" ht="15" hidden="false" customHeight="false" outlineLevel="0" collapsed="false">
      <c r="B42" s="39" t="s">
        <v>134</v>
      </c>
      <c r="C42" s="40" t="n">
        <f aca="false">COUNTIF('EASM Findings'!$AA$5:$AA$304,"SLA BREACH")-COUNTIFS('EASM Findings'!$AA$5:$AA$304,"SLA BREACH",'EASM Findings'!$L$5:$L$304,"Critical")-COUNTIFS('EASM Findings'!$AA$5:$AA$304,"SLA BREACH",'EASM Findings'!$L$5:$L$304,"High")</f>
        <v>0</v>
      </c>
      <c r="D42" s="39" t="s">
        <v>127</v>
      </c>
      <c r="E42" s="41" t="n">
        <v>1</v>
      </c>
      <c r="F42" s="42" t="str">
        <f aca="false">IF(C42&gt;=E42,D42,"—")</f>
        <v>—</v>
      </c>
      <c r="G42" s="39" t="s">
        <v>118</v>
      </c>
    </row>
    <row r="43" customFormat="false" ht="15" hidden="false" customHeight="false" outlineLevel="0" collapsed="false">
      <c r="B43" s="39" t="s">
        <v>135</v>
      </c>
      <c r="C43" s="40" t="n">
        <f aca="false">COUNTIFS('EASM Findings'!$E$5:$E$304,"&lt;&gt;",'EASM Findings'!$U$5:$U$304,"&lt;&gt;Remediated",'EASM Findings'!$U$5:$U$304,"&lt;&gt;False Positive",'EASM Findings'!$U$5:$U$304,"&lt;&gt;Risk Accepted",'EASM Findings'!$Q$5:$Q$304,"Breach - Tolerance")+COUNTIF(Developments!$L$5:$L$304,"Breach - Tolerance")</f>
        <v>0</v>
      </c>
      <c r="D43" s="39" t="s">
        <v>127</v>
      </c>
      <c r="E43" s="41" t="n">
        <v>1</v>
      </c>
      <c r="F43" s="42" t="str">
        <f aca="false">IF(C43&gt;=E43,D43,"—")</f>
        <v>—</v>
      </c>
      <c r="G43" s="39" t="s">
        <v>120</v>
      </c>
    </row>
    <row r="44" customFormat="false" ht="15" hidden="false" customHeight="false" outlineLevel="0" collapsed="false">
      <c r="B44" s="39" t="s">
        <v>136</v>
      </c>
      <c r="C44" s="40" t="n">
        <f aca="false">COUNTIF('Mission Charter'!$F$28:$F$33,"Delayed")+COUNTIF('Mission Charter'!$G$28:$G$33,"&gt;0")</f>
        <v>0</v>
      </c>
      <c r="D44" s="39" t="s">
        <v>127</v>
      </c>
      <c r="E44" s="41" t="n">
        <v>1</v>
      </c>
      <c r="F44" s="42" t="str">
        <f aca="false">IF(C44&gt;=E44,D44,"—")</f>
        <v>—</v>
      </c>
      <c r="G44" s="39" t="s">
        <v>56</v>
      </c>
    </row>
    <row r="45" customFormat="false" ht="15" hidden="false" customHeight="false" outlineLevel="0" collapsed="false">
      <c r="B45" s="25" t="s">
        <v>137</v>
      </c>
    </row>
    <row r="47" customFormat="false" ht="19.5" hidden="false" customHeight="true" outlineLevel="0" collapsed="false">
      <c r="A47" s="3" t="s">
        <v>138</v>
      </c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43" t="s">
        <v>139</v>
      </c>
      <c r="H48" s="44" t="str">
        <f aca="false">"Showing "&amp;MIN(8,COUNT(Tasks!$Z$5:$Z$304))&amp;" of "&amp;COUNT(Tasks!$Z$5:$Z$304)&amp;IF(COUNT(Tasks!$Z$5:$Z$304)&gt;8,"  — see Tasks tab for the rest","")</f>
        <v>Showing 0 of 0</v>
      </c>
    </row>
    <row r="49" customFormat="false" ht="15" hidden="false" customHeight="false" outlineLevel="0" collapsed="false">
      <c r="A49" s="45" t="s">
        <v>140</v>
      </c>
      <c r="B49" s="45" t="s">
        <v>141</v>
      </c>
      <c r="C49" s="45" t="s">
        <v>142</v>
      </c>
      <c r="D49" s="45" t="s">
        <v>143</v>
      </c>
      <c r="E49" s="45" t="s">
        <v>94</v>
      </c>
      <c r="F49" s="45" t="s">
        <v>144</v>
      </c>
      <c r="G49" s="45" t="s">
        <v>145</v>
      </c>
      <c r="H49" s="45" t="s">
        <v>146</v>
      </c>
    </row>
    <row r="50" customFormat="false" ht="15" hidden="false" customHeight="false" outlineLevel="0" collapsed="false">
      <c r="A50" s="46" t="str">
        <f aca="false">IF($J50="","",IF(INDEX(Tasks!$A:$A,$J50)="","",INDEX(Tasks!$A:$A,$J50)))</f>
        <v/>
      </c>
      <c r="B50" s="47" t="str">
        <f aca="false">IF(COUNT(Tasks!$Z$5:$Z$304)=0,"— None —",IF($J50="","",IF(INDEX(Tasks!$F:$F,$J50)="","",INDEX(Tasks!$F:$F,$J50))))</f>
        <v>— None —</v>
      </c>
      <c r="C50" s="47" t="str">
        <f aca="false">IF($J50="","",IF(INDEX(Tasks!$E:$E,$J50)="","",INDEX(Tasks!$E:$E,$J50)))</f>
        <v/>
      </c>
      <c r="D50" s="47" t="str">
        <f aca="false">IF($J50="","",IF(INDEX(Tasks!$H:$H,$J50)="","",INDEX(Tasks!$H:$H,$J50)))</f>
        <v/>
      </c>
      <c r="E50" s="47" t="str">
        <f aca="false">IF($J50="","",IF(INDEX(Tasks!$K:$K,$J50)="","",INDEX(Tasks!$K:$K,$J50)))</f>
        <v/>
      </c>
      <c r="F50" s="48" t="str">
        <f aca="false">IF($J50="","",IF(INDEX(Tasks!$N:$N,$J50)="","",INDEX(Tasks!$N:$N,$J50)))</f>
        <v/>
      </c>
      <c r="G50" s="48" t="str">
        <f aca="false">IF($J50="","",IF(INDEX(Tasks!$M:$M,$J50)="","",INDEX(Tasks!$M:$M,$J50)))</f>
        <v/>
      </c>
      <c r="H50" s="47" t="str">
        <f aca="false">IF($J50="","",IF(INDEX(Tasks!$V:$V,$J50)="","",INDEX(Tasks!$V:$V,$J50)))</f>
        <v/>
      </c>
      <c r="J50" s="0" t="str">
        <f aca="false">IFERROR(SMALL(Tasks!$Z$5:$Z$304,1),"")</f>
        <v/>
      </c>
    </row>
    <row r="51" customFormat="false" ht="15" hidden="false" customHeight="false" outlineLevel="0" collapsed="false">
      <c r="A51" s="46" t="str">
        <f aca="false">IF($J51="","",IF(INDEX(Tasks!$A:$A,$J51)="","",INDEX(Tasks!$A:$A,$J51)))</f>
        <v/>
      </c>
      <c r="B51" s="47" t="str">
        <f aca="false">IF($J51="","",IF(INDEX(Tasks!$F:$F,$J51)="","",INDEX(Tasks!$F:$F,$J51)))</f>
        <v/>
      </c>
      <c r="C51" s="47" t="str">
        <f aca="false">IF($J51="","",IF(INDEX(Tasks!$E:$E,$J51)="","",INDEX(Tasks!$E:$E,$J51)))</f>
        <v/>
      </c>
      <c r="D51" s="47" t="str">
        <f aca="false">IF($J51="","",IF(INDEX(Tasks!$H:$H,$J51)="","",INDEX(Tasks!$H:$H,$J51)))</f>
        <v/>
      </c>
      <c r="E51" s="47" t="str">
        <f aca="false">IF($J51="","",IF(INDEX(Tasks!$K:$K,$J51)="","",INDEX(Tasks!$K:$K,$J51)))</f>
        <v/>
      </c>
      <c r="F51" s="48" t="str">
        <f aca="false">IF($J51="","",IF(INDEX(Tasks!$N:$N,$J51)="","",INDEX(Tasks!$N:$N,$J51)))</f>
        <v/>
      </c>
      <c r="G51" s="48" t="str">
        <f aca="false">IF($J51="","",IF(INDEX(Tasks!$M:$M,$J51)="","",INDEX(Tasks!$M:$M,$J51)))</f>
        <v/>
      </c>
      <c r="H51" s="47" t="str">
        <f aca="false">IF($J51="","",IF(INDEX(Tasks!$V:$V,$J51)="","",INDEX(Tasks!$V:$V,$J51)))</f>
        <v/>
      </c>
      <c r="J51" s="0" t="str">
        <f aca="false">IFERROR(SMALL(Tasks!$Z$5:$Z$304,2),"")</f>
        <v/>
      </c>
    </row>
    <row r="52" customFormat="false" ht="15" hidden="false" customHeight="false" outlineLevel="0" collapsed="false">
      <c r="A52" s="46" t="str">
        <f aca="false">IF($J52="","",IF(INDEX(Tasks!$A:$A,$J52)="","",INDEX(Tasks!$A:$A,$J52)))</f>
        <v/>
      </c>
      <c r="B52" s="47" t="str">
        <f aca="false">IF($J52="","",IF(INDEX(Tasks!$F:$F,$J52)="","",INDEX(Tasks!$F:$F,$J52)))</f>
        <v/>
      </c>
      <c r="C52" s="47" t="str">
        <f aca="false">IF($J52="","",IF(INDEX(Tasks!$E:$E,$J52)="","",INDEX(Tasks!$E:$E,$J52)))</f>
        <v/>
      </c>
      <c r="D52" s="47" t="str">
        <f aca="false">IF($J52="","",IF(INDEX(Tasks!$H:$H,$J52)="","",INDEX(Tasks!$H:$H,$J52)))</f>
        <v/>
      </c>
      <c r="E52" s="47" t="str">
        <f aca="false">IF($J52="","",IF(INDEX(Tasks!$K:$K,$J52)="","",INDEX(Tasks!$K:$K,$J52)))</f>
        <v/>
      </c>
      <c r="F52" s="48" t="str">
        <f aca="false">IF($J52="","",IF(INDEX(Tasks!$N:$N,$J52)="","",INDEX(Tasks!$N:$N,$J52)))</f>
        <v/>
      </c>
      <c r="G52" s="48" t="str">
        <f aca="false">IF($J52="","",IF(INDEX(Tasks!$M:$M,$J52)="","",INDEX(Tasks!$M:$M,$J52)))</f>
        <v/>
      </c>
      <c r="H52" s="47" t="str">
        <f aca="false">IF($J52="","",IF(INDEX(Tasks!$V:$V,$J52)="","",INDEX(Tasks!$V:$V,$J52)))</f>
        <v/>
      </c>
      <c r="J52" s="0" t="str">
        <f aca="false">IFERROR(SMALL(Tasks!$Z$5:$Z$304,3),"")</f>
        <v/>
      </c>
    </row>
    <row r="53" customFormat="false" ht="15" hidden="false" customHeight="false" outlineLevel="0" collapsed="false">
      <c r="A53" s="46" t="str">
        <f aca="false">IF($J53="","",IF(INDEX(Tasks!$A:$A,$J53)="","",INDEX(Tasks!$A:$A,$J53)))</f>
        <v/>
      </c>
      <c r="B53" s="47" t="str">
        <f aca="false">IF($J53="","",IF(INDEX(Tasks!$F:$F,$J53)="","",INDEX(Tasks!$F:$F,$J53)))</f>
        <v/>
      </c>
      <c r="C53" s="47" t="str">
        <f aca="false">IF($J53="","",IF(INDEX(Tasks!$E:$E,$J53)="","",INDEX(Tasks!$E:$E,$J53)))</f>
        <v/>
      </c>
      <c r="D53" s="47" t="str">
        <f aca="false">IF($J53="","",IF(INDEX(Tasks!$H:$H,$J53)="","",INDEX(Tasks!$H:$H,$J53)))</f>
        <v/>
      </c>
      <c r="E53" s="47" t="str">
        <f aca="false">IF($J53="","",IF(INDEX(Tasks!$K:$K,$J53)="","",INDEX(Tasks!$K:$K,$J53)))</f>
        <v/>
      </c>
      <c r="F53" s="48" t="str">
        <f aca="false">IF($J53="","",IF(INDEX(Tasks!$N:$N,$J53)="","",INDEX(Tasks!$N:$N,$J53)))</f>
        <v/>
      </c>
      <c r="G53" s="48" t="str">
        <f aca="false">IF($J53="","",IF(INDEX(Tasks!$M:$M,$J53)="","",INDEX(Tasks!$M:$M,$J53)))</f>
        <v/>
      </c>
      <c r="H53" s="47" t="str">
        <f aca="false">IF($J53="","",IF(INDEX(Tasks!$V:$V,$J53)="","",INDEX(Tasks!$V:$V,$J53)))</f>
        <v/>
      </c>
      <c r="J53" s="0" t="str">
        <f aca="false">IFERROR(SMALL(Tasks!$Z$5:$Z$304,4),"")</f>
        <v/>
      </c>
    </row>
    <row r="54" customFormat="false" ht="15" hidden="false" customHeight="false" outlineLevel="0" collapsed="false">
      <c r="A54" s="46" t="str">
        <f aca="false">IF($J54="","",IF(INDEX(Tasks!$A:$A,$J54)="","",INDEX(Tasks!$A:$A,$J54)))</f>
        <v/>
      </c>
      <c r="B54" s="47" t="str">
        <f aca="false">IF($J54="","",IF(INDEX(Tasks!$F:$F,$J54)="","",INDEX(Tasks!$F:$F,$J54)))</f>
        <v/>
      </c>
      <c r="C54" s="47" t="str">
        <f aca="false">IF($J54="","",IF(INDEX(Tasks!$E:$E,$J54)="","",INDEX(Tasks!$E:$E,$J54)))</f>
        <v/>
      </c>
      <c r="D54" s="47" t="str">
        <f aca="false">IF($J54="","",IF(INDEX(Tasks!$H:$H,$J54)="","",INDEX(Tasks!$H:$H,$J54)))</f>
        <v/>
      </c>
      <c r="E54" s="47" t="str">
        <f aca="false">IF($J54="","",IF(INDEX(Tasks!$K:$K,$J54)="","",INDEX(Tasks!$K:$K,$J54)))</f>
        <v/>
      </c>
      <c r="F54" s="48" t="str">
        <f aca="false">IF($J54="","",IF(INDEX(Tasks!$N:$N,$J54)="","",INDEX(Tasks!$N:$N,$J54)))</f>
        <v/>
      </c>
      <c r="G54" s="48" t="str">
        <f aca="false">IF($J54="","",IF(INDEX(Tasks!$M:$M,$J54)="","",INDEX(Tasks!$M:$M,$J54)))</f>
        <v/>
      </c>
      <c r="H54" s="47" t="str">
        <f aca="false">IF($J54="","",IF(INDEX(Tasks!$V:$V,$J54)="","",INDEX(Tasks!$V:$V,$J54)))</f>
        <v/>
      </c>
      <c r="J54" s="0" t="str">
        <f aca="false">IFERROR(SMALL(Tasks!$Z$5:$Z$304,5),"")</f>
        <v/>
      </c>
    </row>
    <row r="55" customFormat="false" ht="15" hidden="false" customHeight="false" outlineLevel="0" collapsed="false">
      <c r="A55" s="46" t="str">
        <f aca="false">IF($J55="","",IF(INDEX(Tasks!$A:$A,$J55)="","",INDEX(Tasks!$A:$A,$J55)))</f>
        <v/>
      </c>
      <c r="B55" s="47" t="str">
        <f aca="false">IF($J55="","",IF(INDEX(Tasks!$F:$F,$J55)="","",INDEX(Tasks!$F:$F,$J55)))</f>
        <v/>
      </c>
      <c r="C55" s="47" t="str">
        <f aca="false">IF($J55="","",IF(INDEX(Tasks!$E:$E,$J55)="","",INDEX(Tasks!$E:$E,$J55)))</f>
        <v/>
      </c>
      <c r="D55" s="47" t="str">
        <f aca="false">IF($J55="","",IF(INDEX(Tasks!$H:$H,$J55)="","",INDEX(Tasks!$H:$H,$J55)))</f>
        <v/>
      </c>
      <c r="E55" s="47" t="str">
        <f aca="false">IF($J55="","",IF(INDEX(Tasks!$K:$K,$J55)="","",INDEX(Tasks!$K:$K,$J55)))</f>
        <v/>
      </c>
      <c r="F55" s="48" t="str">
        <f aca="false">IF($J55="","",IF(INDEX(Tasks!$N:$N,$J55)="","",INDEX(Tasks!$N:$N,$J55)))</f>
        <v/>
      </c>
      <c r="G55" s="48" t="str">
        <f aca="false">IF($J55="","",IF(INDEX(Tasks!$M:$M,$J55)="","",INDEX(Tasks!$M:$M,$J55)))</f>
        <v/>
      </c>
      <c r="H55" s="47" t="str">
        <f aca="false">IF($J55="","",IF(INDEX(Tasks!$V:$V,$J55)="","",INDEX(Tasks!$V:$V,$J55)))</f>
        <v/>
      </c>
      <c r="J55" s="0" t="str">
        <f aca="false">IFERROR(SMALL(Tasks!$Z$5:$Z$304,6),"")</f>
        <v/>
      </c>
    </row>
    <row r="56" customFormat="false" ht="15" hidden="false" customHeight="false" outlineLevel="0" collapsed="false">
      <c r="A56" s="46" t="str">
        <f aca="false">IF($J56="","",IF(INDEX(Tasks!$A:$A,$J56)="","",INDEX(Tasks!$A:$A,$J56)))</f>
        <v/>
      </c>
      <c r="B56" s="47" t="str">
        <f aca="false">IF($J56="","",IF(INDEX(Tasks!$F:$F,$J56)="","",INDEX(Tasks!$F:$F,$J56)))</f>
        <v/>
      </c>
      <c r="C56" s="47" t="str">
        <f aca="false">IF($J56="","",IF(INDEX(Tasks!$E:$E,$J56)="","",INDEX(Tasks!$E:$E,$J56)))</f>
        <v/>
      </c>
      <c r="D56" s="47" t="str">
        <f aca="false">IF($J56="","",IF(INDEX(Tasks!$H:$H,$J56)="","",INDEX(Tasks!$H:$H,$J56)))</f>
        <v/>
      </c>
      <c r="E56" s="47" t="str">
        <f aca="false">IF($J56="","",IF(INDEX(Tasks!$K:$K,$J56)="","",INDEX(Tasks!$K:$K,$J56)))</f>
        <v/>
      </c>
      <c r="F56" s="48" t="str">
        <f aca="false">IF($J56="","",IF(INDEX(Tasks!$N:$N,$J56)="","",INDEX(Tasks!$N:$N,$J56)))</f>
        <v/>
      </c>
      <c r="G56" s="48" t="str">
        <f aca="false">IF($J56="","",IF(INDEX(Tasks!$M:$M,$J56)="","",INDEX(Tasks!$M:$M,$J56)))</f>
        <v/>
      </c>
      <c r="H56" s="47" t="str">
        <f aca="false">IF($J56="","",IF(INDEX(Tasks!$V:$V,$J56)="","",INDEX(Tasks!$V:$V,$J56)))</f>
        <v/>
      </c>
      <c r="J56" s="0" t="str">
        <f aca="false">IFERROR(SMALL(Tasks!$Z$5:$Z$304,7),"")</f>
        <v/>
      </c>
    </row>
    <row r="57" customFormat="false" ht="15" hidden="false" customHeight="false" outlineLevel="0" collapsed="false">
      <c r="A57" s="46" t="str">
        <f aca="false">IF($J57="","",IF(INDEX(Tasks!$A:$A,$J57)="","",INDEX(Tasks!$A:$A,$J57)))</f>
        <v/>
      </c>
      <c r="B57" s="47" t="str">
        <f aca="false">IF($J57="","",IF(INDEX(Tasks!$F:$F,$J57)="","",INDEX(Tasks!$F:$F,$J57)))</f>
        <v/>
      </c>
      <c r="C57" s="47" t="str">
        <f aca="false">IF($J57="","",IF(INDEX(Tasks!$E:$E,$J57)="","",INDEX(Tasks!$E:$E,$J57)))</f>
        <v/>
      </c>
      <c r="D57" s="47" t="str">
        <f aca="false">IF($J57="","",IF(INDEX(Tasks!$H:$H,$J57)="","",INDEX(Tasks!$H:$H,$J57)))</f>
        <v/>
      </c>
      <c r="E57" s="47" t="str">
        <f aca="false">IF($J57="","",IF(INDEX(Tasks!$K:$K,$J57)="","",INDEX(Tasks!$K:$K,$J57)))</f>
        <v/>
      </c>
      <c r="F57" s="48" t="str">
        <f aca="false">IF($J57="","",IF(INDEX(Tasks!$N:$N,$J57)="","",INDEX(Tasks!$N:$N,$J57)))</f>
        <v/>
      </c>
      <c r="G57" s="48" t="str">
        <f aca="false">IF($J57="","",IF(INDEX(Tasks!$M:$M,$J57)="","",INDEX(Tasks!$M:$M,$J57)))</f>
        <v/>
      </c>
      <c r="H57" s="47" t="str">
        <f aca="false">IF($J57="","",IF(INDEX(Tasks!$V:$V,$J57)="","",INDEX(Tasks!$V:$V,$J57)))</f>
        <v/>
      </c>
      <c r="J57" s="0" t="str">
        <f aca="false">IFERROR(SMALL(Tasks!$Z$5:$Z$304,8),"")</f>
        <v/>
      </c>
    </row>
    <row r="59" customFormat="false" ht="15" hidden="false" customHeight="false" outlineLevel="0" collapsed="false">
      <c r="A59" s="43" t="s">
        <v>147</v>
      </c>
      <c r="H59" s="44" t="str">
        <f aca="false">"Showing "&amp;MIN(8,COUNT(Tasks!$AA$5:$AA$304))&amp;" of "&amp;COUNT(Tasks!$AA$5:$AA$304)&amp;IF(COUNT(Tasks!$AA$5:$AA$304)&gt;8,"  — see Tasks tab for the rest","")</f>
        <v>Showing 1 of 1</v>
      </c>
    </row>
    <row r="60" customFormat="false" ht="15" hidden="false" customHeight="false" outlineLevel="0" collapsed="false">
      <c r="A60" s="45" t="s">
        <v>140</v>
      </c>
      <c r="B60" s="45" t="s">
        <v>141</v>
      </c>
      <c r="C60" s="45" t="s">
        <v>142</v>
      </c>
      <c r="D60" s="45" t="s">
        <v>143</v>
      </c>
      <c r="E60" s="45" t="s">
        <v>94</v>
      </c>
      <c r="F60" s="45" t="s">
        <v>148</v>
      </c>
      <c r="G60" s="45" t="s">
        <v>145</v>
      </c>
      <c r="H60" s="45" t="s">
        <v>149</v>
      </c>
    </row>
    <row r="61" customFormat="false" ht="22.35" hidden="false" customHeight="false" outlineLevel="0" collapsed="false">
      <c r="A61" s="46" t="str">
        <f aca="false">IF($J61="","",IF(INDEX(Tasks!$A:$A,$J61)="","",INDEX(Tasks!$A:$A,$J61)))</f>
        <v>TSK-001</v>
      </c>
      <c r="B61" s="47" t="str">
        <f aca="false">IF(COUNT(Tasks!$AA$5:$AA$304)=0,"— None —",IF($J61="","",IF(INDEX(Tasks!$F:$F,$J61)="","",INDEX(Tasks!$F:$F,$J61))))</f>
        <v>Reconcile EASM-discovered assets against CMDB extract; quantify unattributed / unknown assets by legal entity</v>
      </c>
      <c r="C61" s="47" t="str">
        <f aca="false">IF($J61="","",IF(INDEX(Tasks!$E:$E,$J61)="","",INDEX(Tasks!$E:$E,$J61)))</f>
        <v>Attribution &amp; Ownership</v>
      </c>
      <c r="D61" s="47" t="str">
        <f aca="false">IF($J61="","",IF(INDEX(Tasks!$H:$H,$J61)="","",INDEX(Tasks!$H:$H,$J61)))</f>
        <v>Me (2LoD CRI)</v>
      </c>
      <c r="E61" s="47" t="str">
        <f aca="false">IF($J61="","",IF(INDEX(Tasks!$K:$K,$J61)="","",INDEX(Tasks!$K:$K,$J61)))</f>
        <v>In Progress</v>
      </c>
      <c r="F61" s="48" t="n">
        <f aca="false">IF($J61="","",IF(INDEX(Tasks!$Q:$Q,$J61)="","",INDEX(Tasks!$Q:$Q,$J61)))</f>
        <v>46314</v>
      </c>
      <c r="G61" s="48" t="n">
        <f aca="false">IF($J61="","",IF(INDEX(Tasks!$M:$M,$J61)="","",INDEX(Tasks!$M:$M,$J61)))</f>
        <v>46332</v>
      </c>
      <c r="H61" s="47" t="str">
        <f aca="false">IF($J61="","",TEXT(INDEX(Tasks!$O:$O,$J61),"0%")&amp;" · "&amp;INDEX(Tasks!$R:$R,$J61))</f>
        <v>25% · CMDB extract received for 2 of 3 entities; reconciliation of Entity A complete (41 unmapped hosts)</v>
      </c>
      <c r="J61" s="16" t="n">
        <f aca="false">IFERROR(SMALL(Tasks!$AA$5:$AA$304,1),"")</f>
        <v>5</v>
      </c>
    </row>
    <row r="62" customFormat="false" ht="15" hidden="false" customHeight="false" outlineLevel="0" collapsed="false">
      <c r="A62" s="46" t="str">
        <f aca="false">IF($J62="","",IF(INDEX(Tasks!$A:$A,$J62)="","",INDEX(Tasks!$A:$A,$J62)))</f>
        <v/>
      </c>
      <c r="B62" s="47" t="str">
        <f aca="false">IF($J62="","",IF(INDEX(Tasks!$F:$F,$J62)="","",INDEX(Tasks!$F:$F,$J62)))</f>
        <v/>
      </c>
      <c r="C62" s="47" t="str">
        <f aca="false">IF($J62="","",IF(INDEX(Tasks!$E:$E,$J62)="","",INDEX(Tasks!$E:$E,$J62)))</f>
        <v/>
      </c>
      <c r="D62" s="47" t="str">
        <f aca="false">IF($J62="","",IF(INDEX(Tasks!$H:$H,$J62)="","",INDEX(Tasks!$H:$H,$J62)))</f>
        <v/>
      </c>
      <c r="E62" s="47" t="str">
        <f aca="false">IF($J62="","",IF(INDEX(Tasks!$K:$K,$J62)="","",INDEX(Tasks!$K:$K,$J62)))</f>
        <v/>
      </c>
      <c r="F62" s="48" t="str">
        <f aca="false">IF($J62="","",IF(INDEX(Tasks!$Q:$Q,$J62)="","",INDEX(Tasks!$Q:$Q,$J62)))</f>
        <v/>
      </c>
      <c r="G62" s="48" t="str">
        <f aca="false">IF($J62="","",IF(INDEX(Tasks!$M:$M,$J62)="","",INDEX(Tasks!$M:$M,$J62)))</f>
        <v/>
      </c>
      <c r="H62" s="47" t="str">
        <f aca="false">IF($J62="","",TEXT(INDEX(Tasks!$O:$O,$J62),"0%")&amp;" · "&amp;INDEX(Tasks!$R:$R,$J62))</f>
        <v/>
      </c>
      <c r="J62" s="0" t="str">
        <f aca="false">IFERROR(SMALL(Tasks!$AA$5:$AA$304,2),"")</f>
        <v/>
      </c>
    </row>
    <row r="63" customFormat="false" ht="15" hidden="false" customHeight="false" outlineLevel="0" collapsed="false">
      <c r="A63" s="46" t="str">
        <f aca="false">IF($J63="","",IF(INDEX(Tasks!$A:$A,$J63)="","",INDEX(Tasks!$A:$A,$J63)))</f>
        <v/>
      </c>
      <c r="B63" s="47" t="str">
        <f aca="false">IF($J63="","",IF(INDEX(Tasks!$F:$F,$J63)="","",INDEX(Tasks!$F:$F,$J63)))</f>
        <v/>
      </c>
      <c r="C63" s="47" t="str">
        <f aca="false">IF($J63="","",IF(INDEX(Tasks!$E:$E,$J63)="","",INDEX(Tasks!$E:$E,$J63)))</f>
        <v/>
      </c>
      <c r="D63" s="47" t="str">
        <f aca="false">IF($J63="","",IF(INDEX(Tasks!$H:$H,$J63)="","",INDEX(Tasks!$H:$H,$J63)))</f>
        <v/>
      </c>
      <c r="E63" s="47" t="str">
        <f aca="false">IF($J63="","",IF(INDEX(Tasks!$K:$K,$J63)="","",INDEX(Tasks!$K:$K,$J63)))</f>
        <v/>
      </c>
      <c r="F63" s="48" t="str">
        <f aca="false">IF($J63="","",IF(INDEX(Tasks!$Q:$Q,$J63)="","",INDEX(Tasks!$Q:$Q,$J63)))</f>
        <v/>
      </c>
      <c r="G63" s="48" t="str">
        <f aca="false">IF($J63="","",IF(INDEX(Tasks!$M:$M,$J63)="","",INDEX(Tasks!$M:$M,$J63)))</f>
        <v/>
      </c>
      <c r="H63" s="47" t="str">
        <f aca="false">IF($J63="","",TEXT(INDEX(Tasks!$O:$O,$J63),"0%")&amp;" · "&amp;INDEX(Tasks!$R:$R,$J63))</f>
        <v/>
      </c>
      <c r="J63" s="0" t="str">
        <f aca="false">IFERROR(SMALL(Tasks!$AA$5:$AA$304,3),"")</f>
        <v/>
      </c>
    </row>
    <row r="64" customFormat="false" ht="15" hidden="false" customHeight="false" outlineLevel="0" collapsed="false">
      <c r="A64" s="46" t="str">
        <f aca="false">IF($J64="","",IF(INDEX(Tasks!$A:$A,$J64)="","",INDEX(Tasks!$A:$A,$J64)))</f>
        <v/>
      </c>
      <c r="B64" s="47" t="str">
        <f aca="false">IF($J64="","",IF(INDEX(Tasks!$F:$F,$J64)="","",INDEX(Tasks!$F:$F,$J64)))</f>
        <v/>
      </c>
      <c r="C64" s="47" t="str">
        <f aca="false">IF($J64="","",IF(INDEX(Tasks!$E:$E,$J64)="","",INDEX(Tasks!$E:$E,$J64)))</f>
        <v/>
      </c>
      <c r="D64" s="47" t="str">
        <f aca="false">IF($J64="","",IF(INDEX(Tasks!$H:$H,$J64)="","",INDEX(Tasks!$H:$H,$J64)))</f>
        <v/>
      </c>
      <c r="E64" s="47" t="str">
        <f aca="false">IF($J64="","",IF(INDEX(Tasks!$K:$K,$J64)="","",INDEX(Tasks!$K:$K,$J64)))</f>
        <v/>
      </c>
      <c r="F64" s="48" t="str">
        <f aca="false">IF($J64="","",IF(INDEX(Tasks!$Q:$Q,$J64)="","",INDEX(Tasks!$Q:$Q,$J64)))</f>
        <v/>
      </c>
      <c r="G64" s="48" t="str">
        <f aca="false">IF($J64="","",IF(INDEX(Tasks!$M:$M,$J64)="","",INDEX(Tasks!$M:$M,$J64)))</f>
        <v/>
      </c>
      <c r="H64" s="47" t="str">
        <f aca="false">IF($J64="","",TEXT(INDEX(Tasks!$O:$O,$J64),"0%")&amp;" · "&amp;INDEX(Tasks!$R:$R,$J64))</f>
        <v/>
      </c>
      <c r="J64" s="0" t="str">
        <f aca="false">IFERROR(SMALL(Tasks!$AA$5:$AA$304,4),"")</f>
        <v/>
      </c>
    </row>
    <row r="65" customFormat="false" ht="15" hidden="false" customHeight="false" outlineLevel="0" collapsed="false">
      <c r="A65" s="46" t="str">
        <f aca="false">IF($J65="","",IF(INDEX(Tasks!$A:$A,$J65)="","",INDEX(Tasks!$A:$A,$J65)))</f>
        <v/>
      </c>
      <c r="B65" s="47" t="str">
        <f aca="false">IF($J65="","",IF(INDEX(Tasks!$F:$F,$J65)="","",INDEX(Tasks!$F:$F,$J65)))</f>
        <v/>
      </c>
      <c r="C65" s="47" t="str">
        <f aca="false">IF($J65="","",IF(INDEX(Tasks!$E:$E,$J65)="","",INDEX(Tasks!$E:$E,$J65)))</f>
        <v/>
      </c>
      <c r="D65" s="47" t="str">
        <f aca="false">IF($J65="","",IF(INDEX(Tasks!$H:$H,$J65)="","",INDEX(Tasks!$H:$H,$J65)))</f>
        <v/>
      </c>
      <c r="E65" s="47" t="str">
        <f aca="false">IF($J65="","",IF(INDEX(Tasks!$K:$K,$J65)="","",INDEX(Tasks!$K:$K,$J65)))</f>
        <v/>
      </c>
      <c r="F65" s="48" t="str">
        <f aca="false">IF($J65="","",IF(INDEX(Tasks!$Q:$Q,$J65)="","",INDEX(Tasks!$Q:$Q,$J65)))</f>
        <v/>
      </c>
      <c r="G65" s="48" t="str">
        <f aca="false">IF($J65="","",IF(INDEX(Tasks!$M:$M,$J65)="","",INDEX(Tasks!$M:$M,$J65)))</f>
        <v/>
      </c>
      <c r="H65" s="47" t="str">
        <f aca="false">IF($J65="","",TEXT(INDEX(Tasks!$O:$O,$J65),"0%")&amp;" · "&amp;INDEX(Tasks!$R:$R,$J65))</f>
        <v/>
      </c>
      <c r="J65" s="0" t="str">
        <f aca="false">IFERROR(SMALL(Tasks!$AA$5:$AA$304,5),"")</f>
        <v/>
      </c>
    </row>
    <row r="66" customFormat="false" ht="15" hidden="false" customHeight="false" outlineLevel="0" collapsed="false">
      <c r="A66" s="46" t="str">
        <f aca="false">IF($J66="","",IF(INDEX(Tasks!$A:$A,$J66)="","",INDEX(Tasks!$A:$A,$J66)))</f>
        <v/>
      </c>
      <c r="B66" s="47" t="str">
        <f aca="false">IF($J66="","",IF(INDEX(Tasks!$F:$F,$J66)="","",INDEX(Tasks!$F:$F,$J66)))</f>
        <v/>
      </c>
      <c r="C66" s="47" t="str">
        <f aca="false">IF($J66="","",IF(INDEX(Tasks!$E:$E,$J66)="","",INDEX(Tasks!$E:$E,$J66)))</f>
        <v/>
      </c>
      <c r="D66" s="47" t="str">
        <f aca="false">IF($J66="","",IF(INDEX(Tasks!$H:$H,$J66)="","",INDEX(Tasks!$H:$H,$J66)))</f>
        <v/>
      </c>
      <c r="E66" s="47" t="str">
        <f aca="false">IF($J66="","",IF(INDEX(Tasks!$K:$K,$J66)="","",INDEX(Tasks!$K:$K,$J66)))</f>
        <v/>
      </c>
      <c r="F66" s="48" t="str">
        <f aca="false">IF($J66="","",IF(INDEX(Tasks!$Q:$Q,$J66)="","",INDEX(Tasks!$Q:$Q,$J66)))</f>
        <v/>
      </c>
      <c r="G66" s="48" t="str">
        <f aca="false">IF($J66="","",IF(INDEX(Tasks!$M:$M,$J66)="","",INDEX(Tasks!$M:$M,$J66)))</f>
        <v/>
      </c>
      <c r="H66" s="47" t="str">
        <f aca="false">IF($J66="","",TEXT(INDEX(Tasks!$O:$O,$J66),"0%")&amp;" · "&amp;INDEX(Tasks!$R:$R,$J66))</f>
        <v/>
      </c>
      <c r="J66" s="0" t="str">
        <f aca="false">IFERROR(SMALL(Tasks!$AA$5:$AA$304,6),"")</f>
        <v/>
      </c>
    </row>
    <row r="67" customFormat="false" ht="15" hidden="false" customHeight="false" outlineLevel="0" collapsed="false">
      <c r="A67" s="46" t="str">
        <f aca="false">IF($J67="","",IF(INDEX(Tasks!$A:$A,$J67)="","",INDEX(Tasks!$A:$A,$J67)))</f>
        <v/>
      </c>
      <c r="B67" s="47" t="str">
        <f aca="false">IF($J67="","",IF(INDEX(Tasks!$F:$F,$J67)="","",INDEX(Tasks!$F:$F,$J67)))</f>
        <v/>
      </c>
      <c r="C67" s="47" t="str">
        <f aca="false">IF($J67="","",IF(INDEX(Tasks!$E:$E,$J67)="","",INDEX(Tasks!$E:$E,$J67)))</f>
        <v/>
      </c>
      <c r="D67" s="47" t="str">
        <f aca="false">IF($J67="","",IF(INDEX(Tasks!$H:$H,$J67)="","",INDEX(Tasks!$H:$H,$J67)))</f>
        <v/>
      </c>
      <c r="E67" s="47" t="str">
        <f aca="false">IF($J67="","",IF(INDEX(Tasks!$K:$K,$J67)="","",INDEX(Tasks!$K:$K,$J67)))</f>
        <v/>
      </c>
      <c r="F67" s="48" t="str">
        <f aca="false">IF($J67="","",IF(INDEX(Tasks!$Q:$Q,$J67)="","",INDEX(Tasks!$Q:$Q,$J67)))</f>
        <v/>
      </c>
      <c r="G67" s="48" t="str">
        <f aca="false">IF($J67="","",IF(INDEX(Tasks!$M:$M,$J67)="","",INDEX(Tasks!$M:$M,$J67)))</f>
        <v/>
      </c>
      <c r="H67" s="47" t="str">
        <f aca="false">IF($J67="","",TEXT(INDEX(Tasks!$O:$O,$J67),"0%")&amp;" · "&amp;INDEX(Tasks!$R:$R,$J67))</f>
        <v/>
      </c>
      <c r="J67" s="0" t="str">
        <f aca="false">IFERROR(SMALL(Tasks!$AA$5:$AA$304,7),"")</f>
        <v/>
      </c>
    </row>
    <row r="68" customFormat="false" ht="15" hidden="false" customHeight="false" outlineLevel="0" collapsed="false">
      <c r="A68" s="46" t="str">
        <f aca="false">IF($J68="","",IF(INDEX(Tasks!$A:$A,$J68)="","",INDEX(Tasks!$A:$A,$J68)))</f>
        <v/>
      </c>
      <c r="B68" s="47" t="str">
        <f aca="false">IF($J68="","",IF(INDEX(Tasks!$F:$F,$J68)="","",INDEX(Tasks!$F:$F,$J68)))</f>
        <v/>
      </c>
      <c r="C68" s="47" t="str">
        <f aca="false">IF($J68="","",IF(INDEX(Tasks!$E:$E,$J68)="","",INDEX(Tasks!$E:$E,$J68)))</f>
        <v/>
      </c>
      <c r="D68" s="47" t="str">
        <f aca="false">IF($J68="","",IF(INDEX(Tasks!$H:$H,$J68)="","",INDEX(Tasks!$H:$H,$J68)))</f>
        <v/>
      </c>
      <c r="E68" s="47" t="str">
        <f aca="false">IF($J68="","",IF(INDEX(Tasks!$K:$K,$J68)="","",INDEX(Tasks!$K:$K,$J68)))</f>
        <v/>
      </c>
      <c r="F68" s="48" t="str">
        <f aca="false">IF($J68="","",IF(INDEX(Tasks!$Q:$Q,$J68)="","",INDEX(Tasks!$Q:$Q,$J68)))</f>
        <v/>
      </c>
      <c r="G68" s="48" t="str">
        <f aca="false">IF($J68="","",IF(INDEX(Tasks!$M:$M,$J68)="","",INDEX(Tasks!$M:$M,$J68)))</f>
        <v/>
      </c>
      <c r="H68" s="47" t="str">
        <f aca="false">IF($J68="","",TEXT(INDEX(Tasks!$O:$O,$J68),"0%")&amp;" · "&amp;INDEX(Tasks!$R:$R,$J68))</f>
        <v/>
      </c>
      <c r="J68" s="0" t="str">
        <f aca="false">IFERROR(SMALL(Tasks!$AA$5:$AA$304,8),"")</f>
        <v/>
      </c>
    </row>
    <row r="70" customFormat="false" ht="15" hidden="false" customHeight="false" outlineLevel="0" collapsed="false">
      <c r="A70" s="43" t="s">
        <v>150</v>
      </c>
      <c r="H70" s="44" t="str">
        <f aca="false">"Showing "&amp;MIN(6,COUNT('Goals &amp; KPIs'!$T$5:$T$304))&amp;" of "&amp;COUNT('Goals &amp; KPIs'!$T$5:$T$304)&amp;IF(COUNT('Goals &amp; KPIs'!$T$5:$T$304)&gt;6,"  — see Goals &amp; KPIs tab for the rest","")</f>
        <v>Showing 1 of 1</v>
      </c>
    </row>
    <row r="71" customFormat="false" ht="15" hidden="false" customHeight="false" outlineLevel="0" collapsed="false">
      <c r="A71" s="45" t="s">
        <v>140</v>
      </c>
      <c r="B71" s="45" t="s">
        <v>151</v>
      </c>
      <c r="C71" s="45" t="s">
        <v>152</v>
      </c>
      <c r="D71" s="45" t="s">
        <v>153</v>
      </c>
      <c r="E71" s="45" t="s">
        <v>94</v>
      </c>
      <c r="F71" s="45" t="s">
        <v>148</v>
      </c>
      <c r="G71" s="45" t="s">
        <v>154</v>
      </c>
      <c r="H71" s="45" t="s">
        <v>155</v>
      </c>
    </row>
    <row r="72" customFormat="false" ht="22.35" hidden="false" customHeight="false" outlineLevel="0" collapsed="false">
      <c r="A72" s="46" t="str">
        <f aca="false">IF($J72="","",IF(INDEX('Goals &amp; KPIs'!$A:$A,$J72)="","",INDEX('Goals &amp; KPIs'!$A:$A,$J72)))</f>
        <v>GOL-001</v>
      </c>
      <c r="B72" s="47" t="str">
        <f aca="false">IF(COUNT('Goals &amp; KPIs'!$T$5:$T$304)=0,"— None —",IF($J72="","",INDEX('Goals &amp; KPIs'!$D:$D,$J72)))</f>
        <v>% of discovered internet-facing assets attributed to an accountable owner</v>
      </c>
      <c r="C72" s="47" t="str">
        <f aca="false">IF($J72="","",INDEX('Goals &amp; KPIs'!$I:$I,$J72)&amp;" → "&amp;INDEX('Goals &amp; KPIs'!$J:$J,$J72)&amp;" "&amp;INDEX('Goals &amp; KPIs'!$F:$F,$J72))</f>
        <v>66 → 70 %</v>
      </c>
      <c r="D72" s="47" t="str">
        <f aca="false">IF($J72="","",IF(INDEX('Goals &amp; KPIs'!$K:$K,$J72)="","",TEXT(INDEX('Goals &amp; KPIs'!$K:$K,$J72),"+0.0;-0.0;0")&amp;" WoW"))</f>
        <v>+4.0 WoW</v>
      </c>
      <c r="E72" s="47" t="str">
        <f aca="false">IF($J72="","",IF(INDEX('Goals &amp; KPIs'!$P:$P,$J72)="","",INDEX('Goals &amp; KPIs'!$P:$P,$J72)))</f>
        <v>On Track</v>
      </c>
      <c r="F72" s="48" t="n">
        <f aca="false">IF($J72="","",IF(INDEX('Goals &amp; KPIs'!$R:$R,$J72)="","",INDEX('Goals &amp; KPIs'!$R:$R,$J72)))</f>
        <v>46314</v>
      </c>
      <c r="G72" s="49" t="n">
        <f aca="false">IF($J72="","",IF(INDEX('Goals &amp; KPIs'!$L:$L,$J72)="","",INDEX('Goals &amp; KPIs'!$L:$L,$J72)))</f>
        <v>0.242424242424242</v>
      </c>
      <c r="H72" s="47" t="str">
        <f aca="false">IF($J72="","",IF(INDEX('Goals &amp; KPIs'!$S:$S,$J72)="","",INDEX('Goals &amp; KPIs'!$S:$S,$J72)))</f>
        <v>Uplift from Entity A reconciliation; Entity C extract outstanding (TSK-001)</v>
      </c>
      <c r="J72" s="16" t="n">
        <f aca="false">IFERROR(SMALL('Goals &amp; KPIs'!$T$5:$T$304,1),"")</f>
        <v>5</v>
      </c>
    </row>
    <row r="73" customFormat="false" ht="15" hidden="false" customHeight="false" outlineLevel="0" collapsed="false">
      <c r="A73" s="46" t="str">
        <f aca="false">IF($J73="","",IF(INDEX('Goals &amp; KPIs'!$A:$A,$J73)="","",INDEX('Goals &amp; KPIs'!$A:$A,$J73)))</f>
        <v/>
      </c>
      <c r="B73" s="47" t="str">
        <f aca="false">IF($J73="","",INDEX('Goals &amp; KPIs'!$D:$D,$J73))</f>
        <v/>
      </c>
      <c r="C73" s="47" t="str">
        <f aca="false">IF($J73="","",INDEX('Goals &amp; KPIs'!$I:$I,$J73)&amp;" → "&amp;INDEX('Goals &amp; KPIs'!$J:$J,$J73)&amp;" "&amp;INDEX('Goals &amp; KPIs'!$F:$F,$J73))</f>
        <v/>
      </c>
      <c r="D73" s="47" t="str">
        <f aca="false">IF($J73="","",IF(INDEX('Goals &amp; KPIs'!$K:$K,$J73)="","",TEXT(INDEX('Goals &amp; KPIs'!$K:$K,$J73),"+0.0;-0.0;0")&amp;" WoW"))</f>
        <v/>
      </c>
      <c r="E73" s="47" t="str">
        <f aca="false">IF($J73="","",IF(INDEX('Goals &amp; KPIs'!$P:$P,$J73)="","",INDEX('Goals &amp; KPIs'!$P:$P,$J73)))</f>
        <v/>
      </c>
      <c r="F73" s="48" t="str">
        <f aca="false">IF($J73="","",IF(INDEX('Goals &amp; KPIs'!$R:$R,$J73)="","",INDEX('Goals &amp; KPIs'!$R:$R,$J73)))</f>
        <v/>
      </c>
      <c r="G73" s="49" t="str">
        <f aca="false">IF($J73="","",IF(INDEX('Goals &amp; KPIs'!$L:$L,$J73)="","",INDEX('Goals &amp; KPIs'!$L:$L,$J73)))</f>
        <v/>
      </c>
      <c r="H73" s="47" t="str">
        <f aca="false">IF($J73="","",IF(INDEX('Goals &amp; KPIs'!$S:$S,$J73)="","",INDEX('Goals &amp; KPIs'!$S:$S,$J73)))</f>
        <v/>
      </c>
      <c r="J73" s="0" t="str">
        <f aca="false">IFERROR(SMALL('Goals &amp; KPIs'!$T$5:$T$304,2),"")</f>
        <v/>
      </c>
    </row>
    <row r="74" customFormat="false" ht="15" hidden="false" customHeight="false" outlineLevel="0" collapsed="false">
      <c r="A74" s="46" t="str">
        <f aca="false">IF($J74="","",IF(INDEX('Goals &amp; KPIs'!$A:$A,$J74)="","",INDEX('Goals &amp; KPIs'!$A:$A,$J74)))</f>
        <v/>
      </c>
      <c r="B74" s="47" t="str">
        <f aca="false">IF($J74="","",INDEX('Goals &amp; KPIs'!$D:$D,$J74))</f>
        <v/>
      </c>
      <c r="C74" s="47" t="str">
        <f aca="false">IF($J74="","",INDEX('Goals &amp; KPIs'!$I:$I,$J74)&amp;" → "&amp;INDEX('Goals &amp; KPIs'!$J:$J,$J74)&amp;" "&amp;INDEX('Goals &amp; KPIs'!$F:$F,$J74))</f>
        <v/>
      </c>
      <c r="D74" s="47" t="str">
        <f aca="false">IF($J74="","",IF(INDEX('Goals &amp; KPIs'!$K:$K,$J74)="","",TEXT(INDEX('Goals &amp; KPIs'!$K:$K,$J74),"+0.0;-0.0;0")&amp;" WoW"))</f>
        <v/>
      </c>
      <c r="E74" s="47" t="str">
        <f aca="false">IF($J74="","",IF(INDEX('Goals &amp; KPIs'!$P:$P,$J74)="","",INDEX('Goals &amp; KPIs'!$P:$P,$J74)))</f>
        <v/>
      </c>
      <c r="F74" s="48" t="str">
        <f aca="false">IF($J74="","",IF(INDEX('Goals &amp; KPIs'!$R:$R,$J74)="","",INDEX('Goals &amp; KPIs'!$R:$R,$J74)))</f>
        <v/>
      </c>
      <c r="G74" s="49" t="str">
        <f aca="false">IF($J74="","",IF(INDEX('Goals &amp; KPIs'!$L:$L,$J74)="","",INDEX('Goals &amp; KPIs'!$L:$L,$J74)))</f>
        <v/>
      </c>
      <c r="H74" s="47" t="str">
        <f aca="false">IF($J74="","",IF(INDEX('Goals &amp; KPIs'!$S:$S,$J74)="","",INDEX('Goals &amp; KPIs'!$S:$S,$J74)))</f>
        <v/>
      </c>
      <c r="J74" s="0" t="str">
        <f aca="false">IFERROR(SMALL('Goals &amp; KPIs'!$T$5:$T$304,3),"")</f>
        <v/>
      </c>
    </row>
    <row r="75" customFormat="false" ht="15" hidden="false" customHeight="false" outlineLevel="0" collapsed="false">
      <c r="A75" s="46" t="str">
        <f aca="false">IF($J75="","",IF(INDEX('Goals &amp; KPIs'!$A:$A,$J75)="","",INDEX('Goals &amp; KPIs'!$A:$A,$J75)))</f>
        <v/>
      </c>
      <c r="B75" s="47" t="str">
        <f aca="false">IF($J75="","",INDEX('Goals &amp; KPIs'!$D:$D,$J75))</f>
        <v/>
      </c>
      <c r="C75" s="47" t="str">
        <f aca="false">IF($J75="","",INDEX('Goals &amp; KPIs'!$I:$I,$J75)&amp;" → "&amp;INDEX('Goals &amp; KPIs'!$J:$J,$J75)&amp;" "&amp;INDEX('Goals &amp; KPIs'!$F:$F,$J75))</f>
        <v/>
      </c>
      <c r="D75" s="47" t="str">
        <f aca="false">IF($J75="","",IF(INDEX('Goals &amp; KPIs'!$K:$K,$J75)="","",TEXT(INDEX('Goals &amp; KPIs'!$K:$K,$J75),"+0.0;-0.0;0")&amp;" WoW"))</f>
        <v/>
      </c>
      <c r="E75" s="47" t="str">
        <f aca="false">IF($J75="","",IF(INDEX('Goals &amp; KPIs'!$P:$P,$J75)="","",INDEX('Goals &amp; KPIs'!$P:$P,$J75)))</f>
        <v/>
      </c>
      <c r="F75" s="48" t="str">
        <f aca="false">IF($J75="","",IF(INDEX('Goals &amp; KPIs'!$R:$R,$J75)="","",INDEX('Goals &amp; KPIs'!$R:$R,$J75)))</f>
        <v/>
      </c>
      <c r="G75" s="49" t="str">
        <f aca="false">IF($J75="","",IF(INDEX('Goals &amp; KPIs'!$L:$L,$J75)="","",INDEX('Goals &amp; KPIs'!$L:$L,$J75)))</f>
        <v/>
      </c>
      <c r="H75" s="47" t="str">
        <f aca="false">IF($J75="","",IF(INDEX('Goals &amp; KPIs'!$S:$S,$J75)="","",INDEX('Goals &amp; KPIs'!$S:$S,$J75)))</f>
        <v/>
      </c>
      <c r="J75" s="0" t="str">
        <f aca="false">IFERROR(SMALL('Goals &amp; KPIs'!$T$5:$T$304,4),"")</f>
        <v/>
      </c>
    </row>
    <row r="76" customFormat="false" ht="15" hidden="false" customHeight="false" outlineLevel="0" collapsed="false">
      <c r="A76" s="46" t="str">
        <f aca="false">IF($J76="","",IF(INDEX('Goals &amp; KPIs'!$A:$A,$J76)="","",INDEX('Goals &amp; KPIs'!$A:$A,$J76)))</f>
        <v/>
      </c>
      <c r="B76" s="47" t="str">
        <f aca="false">IF($J76="","",INDEX('Goals &amp; KPIs'!$D:$D,$J76))</f>
        <v/>
      </c>
      <c r="C76" s="47" t="str">
        <f aca="false">IF($J76="","",INDEX('Goals &amp; KPIs'!$I:$I,$J76)&amp;" → "&amp;INDEX('Goals &amp; KPIs'!$J:$J,$J76)&amp;" "&amp;INDEX('Goals &amp; KPIs'!$F:$F,$J76))</f>
        <v/>
      </c>
      <c r="D76" s="47" t="str">
        <f aca="false">IF($J76="","",IF(INDEX('Goals &amp; KPIs'!$K:$K,$J76)="","",TEXT(INDEX('Goals &amp; KPIs'!$K:$K,$J76),"+0.0;-0.0;0")&amp;" WoW"))</f>
        <v/>
      </c>
      <c r="E76" s="47" t="str">
        <f aca="false">IF($J76="","",IF(INDEX('Goals &amp; KPIs'!$P:$P,$J76)="","",INDEX('Goals &amp; KPIs'!$P:$P,$J76)))</f>
        <v/>
      </c>
      <c r="F76" s="48" t="str">
        <f aca="false">IF($J76="","",IF(INDEX('Goals &amp; KPIs'!$R:$R,$J76)="","",INDEX('Goals &amp; KPIs'!$R:$R,$J76)))</f>
        <v/>
      </c>
      <c r="G76" s="49" t="str">
        <f aca="false">IF($J76="","",IF(INDEX('Goals &amp; KPIs'!$L:$L,$J76)="","",INDEX('Goals &amp; KPIs'!$L:$L,$J76)))</f>
        <v/>
      </c>
      <c r="H76" s="47" t="str">
        <f aca="false">IF($J76="","",IF(INDEX('Goals &amp; KPIs'!$S:$S,$J76)="","",INDEX('Goals &amp; KPIs'!$S:$S,$J76)))</f>
        <v/>
      </c>
      <c r="J76" s="0" t="str">
        <f aca="false">IFERROR(SMALL('Goals &amp; KPIs'!$T$5:$T$304,5),"")</f>
        <v/>
      </c>
    </row>
    <row r="77" customFormat="false" ht="15" hidden="false" customHeight="false" outlineLevel="0" collapsed="false">
      <c r="A77" s="46" t="str">
        <f aca="false">IF($J77="","",IF(INDEX('Goals &amp; KPIs'!$A:$A,$J77)="","",INDEX('Goals &amp; KPIs'!$A:$A,$J77)))</f>
        <v/>
      </c>
      <c r="B77" s="47" t="str">
        <f aca="false">IF($J77="","",INDEX('Goals &amp; KPIs'!$D:$D,$J77))</f>
        <v/>
      </c>
      <c r="C77" s="47" t="str">
        <f aca="false">IF($J77="","",INDEX('Goals &amp; KPIs'!$I:$I,$J77)&amp;" → "&amp;INDEX('Goals &amp; KPIs'!$J:$J,$J77)&amp;" "&amp;INDEX('Goals &amp; KPIs'!$F:$F,$J77))</f>
        <v/>
      </c>
      <c r="D77" s="47" t="str">
        <f aca="false">IF($J77="","",IF(INDEX('Goals &amp; KPIs'!$K:$K,$J77)="","",TEXT(INDEX('Goals &amp; KPIs'!$K:$K,$J77),"+0.0;-0.0;0")&amp;" WoW"))</f>
        <v/>
      </c>
      <c r="E77" s="47" t="str">
        <f aca="false">IF($J77="","",IF(INDEX('Goals &amp; KPIs'!$P:$P,$J77)="","",INDEX('Goals &amp; KPIs'!$P:$P,$J77)))</f>
        <v/>
      </c>
      <c r="F77" s="48" t="str">
        <f aca="false">IF($J77="","",IF(INDEX('Goals &amp; KPIs'!$R:$R,$J77)="","",INDEX('Goals &amp; KPIs'!$R:$R,$J77)))</f>
        <v/>
      </c>
      <c r="G77" s="49" t="str">
        <f aca="false">IF($J77="","",IF(INDEX('Goals &amp; KPIs'!$L:$L,$J77)="","",INDEX('Goals &amp; KPIs'!$L:$L,$J77)))</f>
        <v/>
      </c>
      <c r="H77" s="47" t="str">
        <f aca="false">IF($J77="","",IF(INDEX('Goals &amp; KPIs'!$S:$S,$J77)="","",INDEX('Goals &amp; KPIs'!$S:$S,$J77)))</f>
        <v/>
      </c>
      <c r="J77" s="0" t="str">
        <f aca="false">IFERROR(SMALL('Goals &amp; KPIs'!$T$5:$T$304,6),"")</f>
        <v/>
      </c>
    </row>
    <row r="79" customFormat="false" ht="15" hidden="false" customHeight="false" outlineLevel="0" collapsed="false">
      <c r="A79" s="43" t="s">
        <v>156</v>
      </c>
      <c r="H79" s="44" t="str">
        <f aca="false">"Showing "&amp;MIN(6,COUNT(Developments!$W$5:$W$304))&amp;" of "&amp;COUNT(Developments!$W$5:$W$304)&amp;IF(COUNT(Developments!$W$5:$W$304)&gt;6,"  — see Developments tab for the rest","")</f>
        <v>Showing 1 of 1</v>
      </c>
    </row>
    <row r="80" customFormat="false" ht="15" hidden="false" customHeight="false" outlineLevel="0" collapsed="false">
      <c r="A80" s="45" t="s">
        <v>140</v>
      </c>
      <c r="B80" s="45" t="s">
        <v>157</v>
      </c>
      <c r="C80" s="45" t="s">
        <v>158</v>
      </c>
      <c r="D80" s="45" t="s">
        <v>159</v>
      </c>
      <c r="E80" s="45" t="s">
        <v>160</v>
      </c>
      <c r="F80" s="45" t="s">
        <v>161</v>
      </c>
      <c r="G80" s="45" t="s">
        <v>162</v>
      </c>
      <c r="H80" s="45" t="s">
        <v>163</v>
      </c>
    </row>
    <row r="81" customFormat="false" ht="32.8" hidden="false" customHeight="false" outlineLevel="0" collapsed="false">
      <c r="A81" s="46" t="str">
        <f aca="false">IF($J81="","",IF(INDEX(Developments!$A:$A,$J81)="","",INDEX(Developments!$A:$A,$J81)))</f>
        <v>DEV-001</v>
      </c>
      <c r="B81" s="47" t="str">
        <f aca="false">IF(COUNT(Developments!$W$5:$W$304)=0,"— None —",IF($J81="","",IF(INDEX(Developments!$E:$E,$J81)="","",INDEX(Developments!$E:$E,$J81))))</f>
        <v>EASM scope extension to 3 acquired entities</v>
      </c>
      <c r="C81" s="47" t="str">
        <f aca="false">IF($J81="","",IF(INDEX(Developments!$C:$C,$J81)="","",INDEX(Developments!$C:$C,$J81)))</f>
        <v>Scope Change</v>
      </c>
      <c r="D81" s="47" t="str">
        <f aca="false">IF($J81="","",IF(INDEX(Developments!$J:$J,$J81)="","",INDEX(Developments!$J:$J,$J81)))</f>
        <v>High</v>
      </c>
      <c r="E81" s="47" t="str">
        <f aca="false">IF($J81="","",IF(INDEX(Developments!$L:$L,$J81)="","",INDEX(Developments!$L:$L,$J81)))</f>
        <v>Not Assessed</v>
      </c>
      <c r="F81" s="48" t="n">
        <f aca="false">IF($J81="","",IF(INDEX(Developments!$B:$B,$J81)="","",INDEX(Developments!$B:$B,$J81)))</f>
        <v>46310</v>
      </c>
      <c r="G81" s="47" t="str">
        <f aca="false">IF($J81="","",IF(INDEX(Developments!$S:$S,$J81)="","",INDEX(Developments!$S:$S,$J81)))</f>
        <v>MTG-001; TSK-001</v>
      </c>
      <c r="H81" s="47" t="str">
        <f aca="false">IF($J81="","",IF(INDEX(Developments!$G:$G,$J81)="","",INDEX(Developments!$G:$G,$J81)))</f>
        <v>Acquired estates likely run legacy remote-access stacks outside Group patch governance – elevated concentration of unmanaged exposure</v>
      </c>
      <c r="J81" s="16" t="n">
        <f aca="false">IFERROR(SMALL(Developments!$W$5:$W$304,1),"")</f>
        <v>5</v>
      </c>
    </row>
    <row r="82" customFormat="false" ht="15" hidden="false" customHeight="false" outlineLevel="0" collapsed="false">
      <c r="A82" s="46" t="str">
        <f aca="false">IF($J82="","",IF(INDEX(Developments!$A:$A,$J82)="","",INDEX(Developments!$A:$A,$J82)))</f>
        <v/>
      </c>
      <c r="B82" s="47" t="str">
        <f aca="false">IF($J82="","",IF(INDEX(Developments!$E:$E,$J82)="","",INDEX(Developments!$E:$E,$J82)))</f>
        <v/>
      </c>
      <c r="C82" s="47" t="str">
        <f aca="false">IF($J82="","",IF(INDEX(Developments!$C:$C,$J82)="","",INDEX(Developments!$C:$C,$J82)))</f>
        <v/>
      </c>
      <c r="D82" s="47" t="str">
        <f aca="false">IF($J82="","",IF(INDEX(Developments!$J:$J,$J82)="","",INDEX(Developments!$J:$J,$J82)))</f>
        <v/>
      </c>
      <c r="E82" s="47" t="str">
        <f aca="false">IF($J82="","",IF(INDEX(Developments!$L:$L,$J82)="","",INDEX(Developments!$L:$L,$J82)))</f>
        <v/>
      </c>
      <c r="F82" s="48" t="str">
        <f aca="false">IF($J82="","",IF(INDEX(Developments!$B:$B,$J82)="","",INDEX(Developments!$B:$B,$J82)))</f>
        <v/>
      </c>
      <c r="G82" s="47" t="str">
        <f aca="false">IF($J82="","",IF(INDEX(Developments!$S:$S,$J82)="","",INDEX(Developments!$S:$S,$J82)))</f>
        <v/>
      </c>
      <c r="H82" s="47" t="str">
        <f aca="false">IF($J82="","",IF(INDEX(Developments!$G:$G,$J82)="","",INDEX(Developments!$G:$G,$J82)))</f>
        <v/>
      </c>
      <c r="J82" s="0" t="str">
        <f aca="false">IFERROR(SMALL(Developments!$W$5:$W$304,2),"")</f>
        <v/>
      </c>
    </row>
    <row r="83" customFormat="false" ht="15" hidden="false" customHeight="false" outlineLevel="0" collapsed="false">
      <c r="A83" s="46" t="str">
        <f aca="false">IF($J83="","",IF(INDEX(Developments!$A:$A,$J83)="","",INDEX(Developments!$A:$A,$J83)))</f>
        <v/>
      </c>
      <c r="B83" s="47" t="str">
        <f aca="false">IF($J83="","",IF(INDEX(Developments!$E:$E,$J83)="","",INDEX(Developments!$E:$E,$J83)))</f>
        <v/>
      </c>
      <c r="C83" s="47" t="str">
        <f aca="false">IF($J83="","",IF(INDEX(Developments!$C:$C,$J83)="","",INDEX(Developments!$C:$C,$J83)))</f>
        <v/>
      </c>
      <c r="D83" s="47" t="str">
        <f aca="false">IF($J83="","",IF(INDEX(Developments!$J:$J,$J83)="","",INDEX(Developments!$J:$J,$J83)))</f>
        <v/>
      </c>
      <c r="E83" s="47" t="str">
        <f aca="false">IF($J83="","",IF(INDEX(Developments!$L:$L,$J83)="","",INDEX(Developments!$L:$L,$J83)))</f>
        <v/>
      </c>
      <c r="F83" s="48" t="str">
        <f aca="false">IF($J83="","",IF(INDEX(Developments!$B:$B,$J83)="","",INDEX(Developments!$B:$B,$J83)))</f>
        <v/>
      </c>
      <c r="G83" s="47" t="str">
        <f aca="false">IF($J83="","",IF(INDEX(Developments!$S:$S,$J83)="","",INDEX(Developments!$S:$S,$J83)))</f>
        <v/>
      </c>
      <c r="H83" s="47" t="str">
        <f aca="false">IF($J83="","",IF(INDEX(Developments!$G:$G,$J83)="","",INDEX(Developments!$G:$G,$J83)))</f>
        <v/>
      </c>
      <c r="J83" s="0" t="str">
        <f aca="false">IFERROR(SMALL(Developments!$W$5:$W$304,3),"")</f>
        <v/>
      </c>
    </row>
    <row r="84" customFormat="false" ht="15" hidden="false" customHeight="false" outlineLevel="0" collapsed="false">
      <c r="A84" s="46" t="str">
        <f aca="false">IF($J84="","",IF(INDEX(Developments!$A:$A,$J84)="","",INDEX(Developments!$A:$A,$J84)))</f>
        <v/>
      </c>
      <c r="B84" s="47" t="str">
        <f aca="false">IF($J84="","",IF(INDEX(Developments!$E:$E,$J84)="","",INDEX(Developments!$E:$E,$J84)))</f>
        <v/>
      </c>
      <c r="C84" s="47" t="str">
        <f aca="false">IF($J84="","",IF(INDEX(Developments!$C:$C,$J84)="","",INDEX(Developments!$C:$C,$J84)))</f>
        <v/>
      </c>
      <c r="D84" s="47" t="str">
        <f aca="false">IF($J84="","",IF(INDEX(Developments!$J:$J,$J84)="","",INDEX(Developments!$J:$J,$J84)))</f>
        <v/>
      </c>
      <c r="E84" s="47" t="str">
        <f aca="false">IF($J84="","",IF(INDEX(Developments!$L:$L,$J84)="","",INDEX(Developments!$L:$L,$J84)))</f>
        <v/>
      </c>
      <c r="F84" s="48" t="str">
        <f aca="false">IF($J84="","",IF(INDEX(Developments!$B:$B,$J84)="","",INDEX(Developments!$B:$B,$J84)))</f>
        <v/>
      </c>
      <c r="G84" s="47" t="str">
        <f aca="false">IF($J84="","",IF(INDEX(Developments!$S:$S,$J84)="","",INDEX(Developments!$S:$S,$J84)))</f>
        <v/>
      </c>
      <c r="H84" s="47" t="str">
        <f aca="false">IF($J84="","",IF(INDEX(Developments!$G:$G,$J84)="","",INDEX(Developments!$G:$G,$J84)))</f>
        <v/>
      </c>
      <c r="J84" s="0" t="str">
        <f aca="false">IFERROR(SMALL(Developments!$W$5:$W$304,4),"")</f>
        <v/>
      </c>
    </row>
    <row r="85" customFormat="false" ht="15" hidden="false" customHeight="false" outlineLevel="0" collapsed="false">
      <c r="A85" s="46" t="str">
        <f aca="false">IF($J85="","",IF(INDEX(Developments!$A:$A,$J85)="","",INDEX(Developments!$A:$A,$J85)))</f>
        <v/>
      </c>
      <c r="B85" s="47" t="str">
        <f aca="false">IF($J85="","",IF(INDEX(Developments!$E:$E,$J85)="","",INDEX(Developments!$E:$E,$J85)))</f>
        <v/>
      </c>
      <c r="C85" s="47" t="str">
        <f aca="false">IF($J85="","",IF(INDEX(Developments!$C:$C,$J85)="","",INDEX(Developments!$C:$C,$J85)))</f>
        <v/>
      </c>
      <c r="D85" s="47" t="str">
        <f aca="false">IF($J85="","",IF(INDEX(Developments!$J:$J,$J85)="","",INDEX(Developments!$J:$J,$J85)))</f>
        <v/>
      </c>
      <c r="E85" s="47" t="str">
        <f aca="false">IF($J85="","",IF(INDEX(Developments!$L:$L,$J85)="","",INDEX(Developments!$L:$L,$J85)))</f>
        <v/>
      </c>
      <c r="F85" s="48" t="str">
        <f aca="false">IF($J85="","",IF(INDEX(Developments!$B:$B,$J85)="","",INDEX(Developments!$B:$B,$J85)))</f>
        <v/>
      </c>
      <c r="G85" s="47" t="str">
        <f aca="false">IF($J85="","",IF(INDEX(Developments!$S:$S,$J85)="","",INDEX(Developments!$S:$S,$J85)))</f>
        <v/>
      </c>
      <c r="H85" s="47" t="str">
        <f aca="false">IF($J85="","",IF(INDEX(Developments!$G:$G,$J85)="","",INDEX(Developments!$G:$G,$J85)))</f>
        <v/>
      </c>
      <c r="J85" s="0" t="str">
        <f aca="false">IFERROR(SMALL(Developments!$W$5:$W$304,5),"")</f>
        <v/>
      </c>
    </row>
    <row r="86" customFormat="false" ht="15" hidden="false" customHeight="false" outlineLevel="0" collapsed="false">
      <c r="A86" s="46" t="str">
        <f aca="false">IF($J86="","",IF(INDEX(Developments!$A:$A,$J86)="","",INDEX(Developments!$A:$A,$J86)))</f>
        <v/>
      </c>
      <c r="B86" s="47" t="str">
        <f aca="false">IF($J86="","",IF(INDEX(Developments!$E:$E,$J86)="","",INDEX(Developments!$E:$E,$J86)))</f>
        <v/>
      </c>
      <c r="C86" s="47" t="str">
        <f aca="false">IF($J86="","",IF(INDEX(Developments!$C:$C,$J86)="","",INDEX(Developments!$C:$C,$J86)))</f>
        <v/>
      </c>
      <c r="D86" s="47" t="str">
        <f aca="false">IF($J86="","",IF(INDEX(Developments!$J:$J,$J86)="","",INDEX(Developments!$J:$J,$J86)))</f>
        <v/>
      </c>
      <c r="E86" s="47" t="str">
        <f aca="false">IF($J86="","",IF(INDEX(Developments!$L:$L,$J86)="","",INDEX(Developments!$L:$L,$J86)))</f>
        <v/>
      </c>
      <c r="F86" s="48" t="str">
        <f aca="false">IF($J86="","",IF(INDEX(Developments!$B:$B,$J86)="","",INDEX(Developments!$B:$B,$J86)))</f>
        <v/>
      </c>
      <c r="G86" s="47" t="str">
        <f aca="false">IF($J86="","",IF(INDEX(Developments!$S:$S,$J86)="","",INDEX(Developments!$S:$S,$J86)))</f>
        <v/>
      </c>
      <c r="H86" s="47" t="str">
        <f aca="false">IF($J86="","",IF(INDEX(Developments!$G:$G,$J86)="","",INDEX(Developments!$G:$G,$J86)))</f>
        <v/>
      </c>
      <c r="J86" s="0" t="str">
        <f aca="false">IFERROR(SMALL(Developments!$W$5:$W$304,6),"")</f>
        <v/>
      </c>
    </row>
    <row r="88" customFormat="false" ht="15" hidden="false" customHeight="false" outlineLevel="0" collapsed="false">
      <c r="A88" s="43" t="s">
        <v>164</v>
      </c>
      <c r="H88" s="44" t="str">
        <f aca="false">"Showing "&amp;MIN(6,COUNT(Meetings!$X$5:$X$304))&amp;" of "&amp;COUNT(Meetings!$X$5:$X$304)&amp;IF(COUNT(Meetings!$X$5:$X$304)&gt;6,"  — see Meetings tab for the rest","")</f>
        <v>Showing 1 of 1</v>
      </c>
    </row>
    <row r="89" customFormat="false" ht="15" hidden="false" customHeight="false" outlineLevel="0" collapsed="false">
      <c r="A89" s="45" t="s">
        <v>140</v>
      </c>
      <c r="B89" s="45" t="s">
        <v>165</v>
      </c>
      <c r="C89" s="45" t="s">
        <v>158</v>
      </c>
      <c r="D89" s="45" t="s">
        <v>166</v>
      </c>
      <c r="E89" s="45" t="s">
        <v>167</v>
      </c>
      <c r="F89" s="45" t="s">
        <v>161</v>
      </c>
      <c r="G89" s="45" t="s">
        <v>168</v>
      </c>
      <c r="H89" s="45" t="s">
        <v>169</v>
      </c>
    </row>
    <row r="90" customFormat="false" ht="22.35" hidden="false" customHeight="false" outlineLevel="0" collapsed="false">
      <c r="A90" s="46" t="str">
        <f aca="false">IF($J90="","",IF(INDEX(Meetings!$A:$A,$J90)="","",INDEX(Meetings!$A:$A,$J90)))</f>
        <v>MTG-001</v>
      </c>
      <c r="B90" s="47" t="str">
        <f aca="false">IF(COUNT(Meetings!$X$5:$X$304)=0,"— None —",IF($J90="","",IF(INDEX(Meetings!$G:$G,$J90)="","",INDEX(Meetings!$G:$G,$J90))))</f>
        <v>EASM baseline – scope validation with Group Infrastructure</v>
      </c>
      <c r="C90" s="47" t="str">
        <f aca="false">IF($J90="","",IF(INDEX(Meetings!$E:$E,$J90)="","",INDEX(Meetings!$E:$E,$J90)))</f>
        <v>Working Session</v>
      </c>
      <c r="D90" s="47" t="str">
        <f aca="false">IF($J90="","",IF(INDEX(Meetings!$H:$H,$J90)="","",INDEX(Meetings!$H:$H,$J90)))</f>
        <v>Me (2LoD CRI)</v>
      </c>
      <c r="E90" s="47" t="str">
        <f aca="false">IF($J90="","",IF(INDEX(Meetings!$J:$J,$J90)="","",INDEX(Meetings!$J:$J,$J90)))</f>
        <v>Multiple</v>
      </c>
      <c r="F90" s="48" t="n">
        <f aca="false">IF($J90="","",IF(INDEX(Meetings!$B:$B,$J90)="","",INDEX(Meetings!$B:$B,$J90)))</f>
        <v>46310</v>
      </c>
      <c r="G90" s="48" t="n">
        <f aca="false">IF($J90="","",IF(INDEX(Meetings!$R:$R,$J90)="","",INDEX(Meetings!$R:$R,$J90)))</f>
        <v>46325</v>
      </c>
      <c r="H90" s="47" t="str">
        <f aca="false">IF($J90="","",IF(INDEX(Meetings!$M:$M,$J90)="","",INDEX(Meetings!$M:$M,$J90)))</f>
        <v>Scope extension to 3 acquired entities proposed to Mission Sponsor (DEV-001)</v>
      </c>
      <c r="J90" s="16" t="n">
        <f aca="false">IFERROR(SMALL(Meetings!$X$5:$X$304,1),"")</f>
        <v>5</v>
      </c>
    </row>
    <row r="91" customFormat="false" ht="15" hidden="false" customHeight="false" outlineLevel="0" collapsed="false">
      <c r="A91" s="46" t="str">
        <f aca="false">IF($J91="","",IF(INDEX(Meetings!$A:$A,$J91)="","",INDEX(Meetings!$A:$A,$J91)))</f>
        <v/>
      </c>
      <c r="B91" s="47" t="str">
        <f aca="false">IF($J91="","",IF(INDEX(Meetings!$G:$G,$J91)="","",INDEX(Meetings!$G:$G,$J91)))</f>
        <v/>
      </c>
      <c r="C91" s="47" t="str">
        <f aca="false">IF($J91="","",IF(INDEX(Meetings!$E:$E,$J91)="","",INDEX(Meetings!$E:$E,$J91)))</f>
        <v/>
      </c>
      <c r="D91" s="47" t="str">
        <f aca="false">IF($J91="","",IF(INDEX(Meetings!$H:$H,$J91)="","",INDEX(Meetings!$H:$H,$J91)))</f>
        <v/>
      </c>
      <c r="E91" s="47" t="str">
        <f aca="false">IF($J91="","",IF(INDEX(Meetings!$J:$J,$J91)="","",INDEX(Meetings!$J:$J,$J91)))</f>
        <v/>
      </c>
      <c r="F91" s="48" t="str">
        <f aca="false">IF($J91="","",IF(INDEX(Meetings!$B:$B,$J91)="","",INDEX(Meetings!$B:$B,$J91)))</f>
        <v/>
      </c>
      <c r="G91" s="48" t="str">
        <f aca="false">IF($J91="","",IF(INDEX(Meetings!$R:$R,$J91)="","",INDEX(Meetings!$R:$R,$J91)))</f>
        <v/>
      </c>
      <c r="H91" s="47" t="str">
        <f aca="false">IF($J91="","",IF(INDEX(Meetings!$M:$M,$J91)="","",INDEX(Meetings!$M:$M,$J91)))</f>
        <v/>
      </c>
      <c r="J91" s="0" t="str">
        <f aca="false">IFERROR(SMALL(Meetings!$X$5:$X$304,2),"")</f>
        <v/>
      </c>
    </row>
    <row r="92" customFormat="false" ht="15" hidden="false" customHeight="false" outlineLevel="0" collapsed="false">
      <c r="A92" s="46" t="str">
        <f aca="false">IF($J92="","",IF(INDEX(Meetings!$A:$A,$J92)="","",INDEX(Meetings!$A:$A,$J92)))</f>
        <v/>
      </c>
      <c r="B92" s="47" t="str">
        <f aca="false">IF($J92="","",IF(INDEX(Meetings!$G:$G,$J92)="","",INDEX(Meetings!$G:$G,$J92)))</f>
        <v/>
      </c>
      <c r="C92" s="47" t="str">
        <f aca="false">IF($J92="","",IF(INDEX(Meetings!$E:$E,$J92)="","",INDEX(Meetings!$E:$E,$J92)))</f>
        <v/>
      </c>
      <c r="D92" s="47" t="str">
        <f aca="false">IF($J92="","",IF(INDEX(Meetings!$H:$H,$J92)="","",INDEX(Meetings!$H:$H,$J92)))</f>
        <v/>
      </c>
      <c r="E92" s="47" t="str">
        <f aca="false">IF($J92="","",IF(INDEX(Meetings!$J:$J,$J92)="","",INDEX(Meetings!$J:$J,$J92)))</f>
        <v/>
      </c>
      <c r="F92" s="48" t="str">
        <f aca="false">IF($J92="","",IF(INDEX(Meetings!$B:$B,$J92)="","",INDEX(Meetings!$B:$B,$J92)))</f>
        <v/>
      </c>
      <c r="G92" s="48" t="str">
        <f aca="false">IF($J92="","",IF(INDEX(Meetings!$R:$R,$J92)="","",INDEX(Meetings!$R:$R,$J92)))</f>
        <v/>
      </c>
      <c r="H92" s="47" t="str">
        <f aca="false">IF($J92="","",IF(INDEX(Meetings!$M:$M,$J92)="","",INDEX(Meetings!$M:$M,$J92)))</f>
        <v/>
      </c>
      <c r="J92" s="0" t="str">
        <f aca="false">IFERROR(SMALL(Meetings!$X$5:$X$304,3),"")</f>
        <v/>
      </c>
    </row>
    <row r="93" customFormat="false" ht="15" hidden="false" customHeight="false" outlineLevel="0" collapsed="false">
      <c r="A93" s="46" t="str">
        <f aca="false">IF($J93="","",IF(INDEX(Meetings!$A:$A,$J93)="","",INDEX(Meetings!$A:$A,$J93)))</f>
        <v/>
      </c>
      <c r="B93" s="47" t="str">
        <f aca="false">IF($J93="","",IF(INDEX(Meetings!$G:$G,$J93)="","",INDEX(Meetings!$G:$G,$J93)))</f>
        <v/>
      </c>
      <c r="C93" s="47" t="str">
        <f aca="false">IF($J93="","",IF(INDEX(Meetings!$E:$E,$J93)="","",INDEX(Meetings!$E:$E,$J93)))</f>
        <v/>
      </c>
      <c r="D93" s="47" t="str">
        <f aca="false">IF($J93="","",IF(INDEX(Meetings!$H:$H,$J93)="","",INDEX(Meetings!$H:$H,$J93)))</f>
        <v/>
      </c>
      <c r="E93" s="47" t="str">
        <f aca="false">IF($J93="","",IF(INDEX(Meetings!$J:$J,$J93)="","",INDEX(Meetings!$J:$J,$J93)))</f>
        <v/>
      </c>
      <c r="F93" s="48" t="str">
        <f aca="false">IF($J93="","",IF(INDEX(Meetings!$B:$B,$J93)="","",INDEX(Meetings!$B:$B,$J93)))</f>
        <v/>
      </c>
      <c r="G93" s="48" t="str">
        <f aca="false">IF($J93="","",IF(INDEX(Meetings!$R:$R,$J93)="","",INDEX(Meetings!$R:$R,$J93)))</f>
        <v/>
      </c>
      <c r="H93" s="47" t="str">
        <f aca="false">IF($J93="","",IF(INDEX(Meetings!$M:$M,$J93)="","",INDEX(Meetings!$M:$M,$J93)))</f>
        <v/>
      </c>
      <c r="J93" s="0" t="str">
        <f aca="false">IFERROR(SMALL(Meetings!$X$5:$X$304,4),"")</f>
        <v/>
      </c>
    </row>
    <row r="94" customFormat="false" ht="15" hidden="false" customHeight="false" outlineLevel="0" collapsed="false">
      <c r="A94" s="46" t="str">
        <f aca="false">IF($J94="","",IF(INDEX(Meetings!$A:$A,$J94)="","",INDEX(Meetings!$A:$A,$J94)))</f>
        <v/>
      </c>
      <c r="B94" s="47" t="str">
        <f aca="false">IF($J94="","",IF(INDEX(Meetings!$G:$G,$J94)="","",INDEX(Meetings!$G:$G,$J94)))</f>
        <v/>
      </c>
      <c r="C94" s="47" t="str">
        <f aca="false">IF($J94="","",IF(INDEX(Meetings!$E:$E,$J94)="","",INDEX(Meetings!$E:$E,$J94)))</f>
        <v/>
      </c>
      <c r="D94" s="47" t="str">
        <f aca="false">IF($J94="","",IF(INDEX(Meetings!$H:$H,$J94)="","",INDEX(Meetings!$H:$H,$J94)))</f>
        <v/>
      </c>
      <c r="E94" s="47" t="str">
        <f aca="false">IF($J94="","",IF(INDEX(Meetings!$J:$J,$J94)="","",INDEX(Meetings!$J:$J,$J94)))</f>
        <v/>
      </c>
      <c r="F94" s="48" t="str">
        <f aca="false">IF($J94="","",IF(INDEX(Meetings!$B:$B,$J94)="","",INDEX(Meetings!$B:$B,$J94)))</f>
        <v/>
      </c>
      <c r="G94" s="48" t="str">
        <f aca="false">IF($J94="","",IF(INDEX(Meetings!$R:$R,$J94)="","",INDEX(Meetings!$R:$R,$J94)))</f>
        <v/>
      </c>
      <c r="H94" s="47" t="str">
        <f aca="false">IF($J94="","",IF(INDEX(Meetings!$M:$M,$J94)="","",INDEX(Meetings!$M:$M,$J94)))</f>
        <v/>
      </c>
      <c r="J94" s="0" t="str">
        <f aca="false">IFERROR(SMALL(Meetings!$X$5:$X$304,5),"")</f>
        <v/>
      </c>
    </row>
    <row r="95" customFormat="false" ht="15" hidden="false" customHeight="false" outlineLevel="0" collapsed="false">
      <c r="A95" s="46" t="str">
        <f aca="false">IF($J95="","",IF(INDEX(Meetings!$A:$A,$J95)="","",INDEX(Meetings!$A:$A,$J95)))</f>
        <v/>
      </c>
      <c r="B95" s="47" t="str">
        <f aca="false">IF($J95="","",IF(INDEX(Meetings!$G:$G,$J95)="","",INDEX(Meetings!$G:$G,$J95)))</f>
        <v/>
      </c>
      <c r="C95" s="47" t="str">
        <f aca="false">IF($J95="","",IF(INDEX(Meetings!$E:$E,$J95)="","",INDEX(Meetings!$E:$E,$J95)))</f>
        <v/>
      </c>
      <c r="D95" s="47" t="str">
        <f aca="false">IF($J95="","",IF(INDEX(Meetings!$H:$H,$J95)="","",INDEX(Meetings!$H:$H,$J95)))</f>
        <v/>
      </c>
      <c r="E95" s="47" t="str">
        <f aca="false">IF($J95="","",IF(INDEX(Meetings!$J:$J,$J95)="","",INDEX(Meetings!$J:$J,$J95)))</f>
        <v/>
      </c>
      <c r="F95" s="48" t="str">
        <f aca="false">IF($J95="","",IF(INDEX(Meetings!$B:$B,$J95)="","",INDEX(Meetings!$B:$B,$J95)))</f>
        <v/>
      </c>
      <c r="G95" s="48" t="str">
        <f aca="false">IF($J95="","",IF(INDEX(Meetings!$R:$R,$J95)="","",INDEX(Meetings!$R:$R,$J95)))</f>
        <v/>
      </c>
      <c r="H95" s="47" t="str">
        <f aca="false">IF($J95="","",IF(INDEX(Meetings!$M:$M,$J95)="","",INDEX(Meetings!$M:$M,$J95)))</f>
        <v/>
      </c>
      <c r="J95" s="0" t="str">
        <f aca="false">IFERROR(SMALL(Meetings!$X$5:$X$304,6),"")</f>
        <v/>
      </c>
    </row>
    <row r="97" customFormat="false" ht="31.5" hidden="false" customHeight="true" outlineLevel="0" collapsed="false">
      <c r="A97" s="50" t="s">
        <v>170</v>
      </c>
      <c r="B97" s="51" t="str">
        <f aca="false">IF($J$8="","(no Weekly Status Log entry for this meeting date)",IF(INDEX('Weekly Status Log'!$E$5:$E$108,$J$8)="","(no commentary entered)",INDEX('Weekly Status Log'!$E$5:$E$108,$J$8)))</f>
        <v>Phase 1 closed; Entity A reconciled (+4pp attribution); critical legacy VPN exposure identified at acquired Entity B.</v>
      </c>
      <c r="C97" s="51"/>
      <c r="D97" s="51"/>
      <c r="E97" s="51"/>
      <c r="F97" s="51"/>
      <c r="G97" s="51"/>
      <c r="H97" s="51"/>
    </row>
    <row r="99" customFormat="false" ht="19.5" hidden="false" customHeight="true" outlineLevel="0" collapsed="false">
      <c r="A99" s="3" t="s">
        <v>171</v>
      </c>
      <c r="B99" s="4"/>
      <c r="C99" s="4"/>
      <c r="D99" s="4"/>
      <c r="E99" s="4"/>
      <c r="F99" s="4"/>
      <c r="G99" s="4"/>
      <c r="H99" s="4"/>
    </row>
    <row r="100" customFormat="false" ht="15" hidden="false" customHeight="false" outlineLevel="0" collapsed="false">
      <c r="A100" s="43" t="s">
        <v>172</v>
      </c>
      <c r="H100" s="44" t="str">
        <f aca="false">"Showing "&amp;MIN(10,COUNT(Tasks!$AB$5:$AB$304))&amp;" of "&amp;COUNT(Tasks!$AB$5:$AB$304)&amp;IF(COUNT(Tasks!$AB$5:$AB$304)&gt;10,"  — see Tasks tab for the rest","")</f>
        <v>Showing 1 of 1</v>
      </c>
    </row>
    <row r="101" customFormat="false" ht="15" hidden="false" customHeight="false" outlineLevel="0" collapsed="false">
      <c r="A101" s="45" t="s">
        <v>140</v>
      </c>
      <c r="B101" s="45" t="s">
        <v>141</v>
      </c>
      <c r="C101" s="45" t="s">
        <v>142</v>
      </c>
      <c r="D101" s="45" t="s">
        <v>143</v>
      </c>
      <c r="E101" s="45" t="s">
        <v>173</v>
      </c>
      <c r="F101" s="45" t="s">
        <v>174</v>
      </c>
      <c r="G101" s="45" t="s">
        <v>145</v>
      </c>
      <c r="H101" s="45" t="s">
        <v>175</v>
      </c>
    </row>
    <row r="102" customFormat="false" ht="22.35" hidden="false" customHeight="false" outlineLevel="0" collapsed="false">
      <c r="A102" s="46" t="str">
        <f aca="false">IF($J102="","",IF(INDEX(Tasks!$A:$A,$J102)="","",INDEX(Tasks!$A:$A,$J102)))</f>
        <v>TSK-001</v>
      </c>
      <c r="B102" s="47" t="str">
        <f aca="false">IF(COUNT(Tasks!$AB$5:$AB$304)=0,"— None —",IF($J102="","",IF(INDEX(Tasks!$F:$F,$J102)="","",INDEX(Tasks!$F:$F,$J102))))</f>
        <v>Reconcile EASM-discovered assets against CMDB extract; quantify unattributed / unknown assets by legal entity</v>
      </c>
      <c r="C102" s="47" t="str">
        <f aca="false">IF($J102="","",IF(INDEX(Tasks!$E:$E,$J102)="","",INDEX(Tasks!$E:$E,$J102)))</f>
        <v>Attribution &amp; Ownership</v>
      </c>
      <c r="D102" s="47" t="str">
        <f aca="false">IF($J102="","",IF(INDEX(Tasks!$H:$H,$J102)="","",INDEX(Tasks!$H:$H,$J102)))</f>
        <v>Me (2LoD CRI)</v>
      </c>
      <c r="E102" s="47" t="str">
        <f aca="false">IF($J102="","",IF(INDEX(Tasks!$J:$J,$J102)="","",INDEX(Tasks!$J:$J,$J102)))</f>
        <v>High</v>
      </c>
      <c r="F102" s="48" t="n">
        <f aca="false">IF($J102="","",IF(INDEX(Tasks!$L:$L,$J102)="","",INDEX(Tasks!$L:$L,$J102)))</f>
        <v>46311</v>
      </c>
      <c r="G102" s="48" t="n">
        <f aca="false">IF($J102="","",IF(INDEX(Tasks!$M:$M,$J102)="","",INDEX(Tasks!$M:$M,$J102)))</f>
        <v>46332</v>
      </c>
      <c r="H102" s="47" t="str">
        <f aca="false">IF($J102="","",TEXT(INDEX(Tasks!$O:$O,$J102),"0%")&amp;IF(INDEX(Tasks!$X:$X,$J102)&lt;&gt;""," · "&amp;INDEX(Tasks!$X:$X,$J102),"")&amp;IF(INDEX(Tasks!$R:$R,$J102)&lt;&gt;""," · "&amp;INDEX(Tasks!$R:$R,$J102),""))</f>
        <v>25% · On Schedule · CMDB extract received for 2 of 3 entities; reconciliation of Entity A complete (41 unmapped hosts)</v>
      </c>
      <c r="J102" s="16" t="n">
        <f aca="false">IFERROR(SMALL(Tasks!$AB$5:$AB$304,1),"")</f>
        <v>5</v>
      </c>
    </row>
    <row r="103" customFormat="false" ht="15" hidden="false" customHeight="false" outlineLevel="0" collapsed="false">
      <c r="A103" s="46" t="str">
        <f aca="false">IF($J103="","",IF(INDEX(Tasks!$A:$A,$J103)="","",INDEX(Tasks!$A:$A,$J103)))</f>
        <v/>
      </c>
      <c r="B103" s="47" t="str">
        <f aca="false">IF($J103="","",IF(INDEX(Tasks!$F:$F,$J103)="","",INDEX(Tasks!$F:$F,$J103)))</f>
        <v/>
      </c>
      <c r="C103" s="47" t="str">
        <f aca="false">IF($J103="","",IF(INDEX(Tasks!$E:$E,$J103)="","",INDEX(Tasks!$E:$E,$J103)))</f>
        <v/>
      </c>
      <c r="D103" s="47" t="str">
        <f aca="false">IF($J103="","",IF(INDEX(Tasks!$H:$H,$J103)="","",INDEX(Tasks!$H:$H,$J103)))</f>
        <v/>
      </c>
      <c r="E103" s="47" t="str">
        <f aca="false">IF($J103="","",IF(INDEX(Tasks!$J:$J,$J103)="","",INDEX(Tasks!$J:$J,$J103)))</f>
        <v/>
      </c>
      <c r="F103" s="48" t="str">
        <f aca="false">IF($J103="","",IF(INDEX(Tasks!$L:$L,$J103)="","",INDEX(Tasks!$L:$L,$J103)))</f>
        <v/>
      </c>
      <c r="G103" s="48" t="str">
        <f aca="false">IF($J103="","",IF(INDEX(Tasks!$M:$M,$J103)="","",INDEX(Tasks!$M:$M,$J103)))</f>
        <v/>
      </c>
      <c r="H103" s="47" t="str">
        <f aca="false">IF($J103="","",TEXT(INDEX(Tasks!$O:$O,$J103),"0%")&amp;IF(INDEX(Tasks!$X:$X,$J103)&lt;&gt;""," · "&amp;INDEX(Tasks!$X:$X,$J103),"")&amp;IF(INDEX(Tasks!$R:$R,$J103)&lt;&gt;""," · "&amp;INDEX(Tasks!$R:$R,$J103),""))</f>
        <v/>
      </c>
      <c r="J103" s="0" t="str">
        <f aca="false">IFERROR(SMALL(Tasks!$AB$5:$AB$304,2),"")</f>
        <v/>
      </c>
    </row>
    <row r="104" customFormat="false" ht="15" hidden="false" customHeight="false" outlineLevel="0" collapsed="false">
      <c r="A104" s="46" t="str">
        <f aca="false">IF($J104="","",IF(INDEX(Tasks!$A:$A,$J104)="","",INDEX(Tasks!$A:$A,$J104)))</f>
        <v/>
      </c>
      <c r="B104" s="47" t="str">
        <f aca="false">IF($J104="","",IF(INDEX(Tasks!$F:$F,$J104)="","",INDEX(Tasks!$F:$F,$J104)))</f>
        <v/>
      </c>
      <c r="C104" s="47" t="str">
        <f aca="false">IF($J104="","",IF(INDEX(Tasks!$E:$E,$J104)="","",INDEX(Tasks!$E:$E,$J104)))</f>
        <v/>
      </c>
      <c r="D104" s="47" t="str">
        <f aca="false">IF($J104="","",IF(INDEX(Tasks!$H:$H,$J104)="","",INDEX(Tasks!$H:$H,$J104)))</f>
        <v/>
      </c>
      <c r="E104" s="47" t="str">
        <f aca="false">IF($J104="","",IF(INDEX(Tasks!$J:$J,$J104)="","",INDEX(Tasks!$J:$J,$J104)))</f>
        <v/>
      </c>
      <c r="F104" s="48" t="str">
        <f aca="false">IF($J104="","",IF(INDEX(Tasks!$L:$L,$J104)="","",INDEX(Tasks!$L:$L,$J104)))</f>
        <v/>
      </c>
      <c r="G104" s="48" t="str">
        <f aca="false">IF($J104="","",IF(INDEX(Tasks!$M:$M,$J104)="","",INDEX(Tasks!$M:$M,$J104)))</f>
        <v/>
      </c>
      <c r="H104" s="47" t="str">
        <f aca="false">IF($J104="","",TEXT(INDEX(Tasks!$O:$O,$J104),"0%")&amp;IF(INDEX(Tasks!$X:$X,$J104)&lt;&gt;""," · "&amp;INDEX(Tasks!$X:$X,$J104),"")&amp;IF(INDEX(Tasks!$R:$R,$J104)&lt;&gt;""," · "&amp;INDEX(Tasks!$R:$R,$J104),""))</f>
        <v/>
      </c>
      <c r="J104" s="0" t="str">
        <f aca="false">IFERROR(SMALL(Tasks!$AB$5:$AB$304,3),"")</f>
        <v/>
      </c>
    </row>
    <row r="105" customFormat="false" ht="15" hidden="false" customHeight="false" outlineLevel="0" collapsed="false">
      <c r="A105" s="46" t="str">
        <f aca="false">IF($J105="","",IF(INDEX(Tasks!$A:$A,$J105)="","",INDEX(Tasks!$A:$A,$J105)))</f>
        <v/>
      </c>
      <c r="B105" s="47" t="str">
        <f aca="false">IF($J105="","",IF(INDEX(Tasks!$F:$F,$J105)="","",INDEX(Tasks!$F:$F,$J105)))</f>
        <v/>
      </c>
      <c r="C105" s="47" t="str">
        <f aca="false">IF($J105="","",IF(INDEX(Tasks!$E:$E,$J105)="","",INDEX(Tasks!$E:$E,$J105)))</f>
        <v/>
      </c>
      <c r="D105" s="47" t="str">
        <f aca="false">IF($J105="","",IF(INDEX(Tasks!$H:$H,$J105)="","",INDEX(Tasks!$H:$H,$J105)))</f>
        <v/>
      </c>
      <c r="E105" s="47" t="str">
        <f aca="false">IF($J105="","",IF(INDEX(Tasks!$J:$J,$J105)="","",INDEX(Tasks!$J:$J,$J105)))</f>
        <v/>
      </c>
      <c r="F105" s="48" t="str">
        <f aca="false">IF($J105="","",IF(INDEX(Tasks!$L:$L,$J105)="","",INDEX(Tasks!$L:$L,$J105)))</f>
        <v/>
      </c>
      <c r="G105" s="48" t="str">
        <f aca="false">IF($J105="","",IF(INDEX(Tasks!$M:$M,$J105)="","",INDEX(Tasks!$M:$M,$J105)))</f>
        <v/>
      </c>
      <c r="H105" s="47" t="str">
        <f aca="false">IF($J105="","",TEXT(INDEX(Tasks!$O:$O,$J105),"0%")&amp;IF(INDEX(Tasks!$X:$X,$J105)&lt;&gt;""," · "&amp;INDEX(Tasks!$X:$X,$J105),"")&amp;IF(INDEX(Tasks!$R:$R,$J105)&lt;&gt;""," · "&amp;INDEX(Tasks!$R:$R,$J105),""))</f>
        <v/>
      </c>
      <c r="J105" s="0" t="str">
        <f aca="false">IFERROR(SMALL(Tasks!$AB$5:$AB$304,4),"")</f>
        <v/>
      </c>
    </row>
    <row r="106" customFormat="false" ht="15" hidden="false" customHeight="false" outlineLevel="0" collapsed="false">
      <c r="A106" s="46" t="str">
        <f aca="false">IF($J106="","",IF(INDEX(Tasks!$A:$A,$J106)="","",INDEX(Tasks!$A:$A,$J106)))</f>
        <v/>
      </c>
      <c r="B106" s="47" t="str">
        <f aca="false">IF($J106="","",IF(INDEX(Tasks!$F:$F,$J106)="","",INDEX(Tasks!$F:$F,$J106)))</f>
        <v/>
      </c>
      <c r="C106" s="47" t="str">
        <f aca="false">IF($J106="","",IF(INDEX(Tasks!$E:$E,$J106)="","",INDEX(Tasks!$E:$E,$J106)))</f>
        <v/>
      </c>
      <c r="D106" s="47" t="str">
        <f aca="false">IF($J106="","",IF(INDEX(Tasks!$H:$H,$J106)="","",INDEX(Tasks!$H:$H,$J106)))</f>
        <v/>
      </c>
      <c r="E106" s="47" t="str">
        <f aca="false">IF($J106="","",IF(INDEX(Tasks!$J:$J,$J106)="","",INDEX(Tasks!$J:$J,$J106)))</f>
        <v/>
      </c>
      <c r="F106" s="48" t="str">
        <f aca="false">IF($J106="","",IF(INDEX(Tasks!$L:$L,$J106)="","",INDEX(Tasks!$L:$L,$J106)))</f>
        <v/>
      </c>
      <c r="G106" s="48" t="str">
        <f aca="false">IF($J106="","",IF(INDEX(Tasks!$M:$M,$J106)="","",INDEX(Tasks!$M:$M,$J106)))</f>
        <v/>
      </c>
      <c r="H106" s="47" t="str">
        <f aca="false">IF($J106="","",TEXT(INDEX(Tasks!$O:$O,$J106),"0%")&amp;IF(INDEX(Tasks!$X:$X,$J106)&lt;&gt;""," · "&amp;INDEX(Tasks!$X:$X,$J106),"")&amp;IF(INDEX(Tasks!$R:$R,$J106)&lt;&gt;""," · "&amp;INDEX(Tasks!$R:$R,$J106),""))</f>
        <v/>
      </c>
      <c r="J106" s="0" t="str">
        <f aca="false">IFERROR(SMALL(Tasks!$AB$5:$AB$304,5),"")</f>
        <v/>
      </c>
    </row>
    <row r="107" customFormat="false" ht="15" hidden="false" customHeight="false" outlineLevel="0" collapsed="false">
      <c r="A107" s="46" t="str">
        <f aca="false">IF($J107="","",IF(INDEX(Tasks!$A:$A,$J107)="","",INDEX(Tasks!$A:$A,$J107)))</f>
        <v/>
      </c>
      <c r="B107" s="47" t="str">
        <f aca="false">IF($J107="","",IF(INDEX(Tasks!$F:$F,$J107)="","",INDEX(Tasks!$F:$F,$J107)))</f>
        <v/>
      </c>
      <c r="C107" s="47" t="str">
        <f aca="false">IF($J107="","",IF(INDEX(Tasks!$E:$E,$J107)="","",INDEX(Tasks!$E:$E,$J107)))</f>
        <v/>
      </c>
      <c r="D107" s="47" t="str">
        <f aca="false">IF($J107="","",IF(INDEX(Tasks!$H:$H,$J107)="","",INDEX(Tasks!$H:$H,$J107)))</f>
        <v/>
      </c>
      <c r="E107" s="47" t="str">
        <f aca="false">IF($J107="","",IF(INDEX(Tasks!$J:$J,$J107)="","",INDEX(Tasks!$J:$J,$J107)))</f>
        <v/>
      </c>
      <c r="F107" s="48" t="str">
        <f aca="false">IF($J107="","",IF(INDEX(Tasks!$L:$L,$J107)="","",INDEX(Tasks!$L:$L,$J107)))</f>
        <v/>
      </c>
      <c r="G107" s="48" t="str">
        <f aca="false">IF($J107="","",IF(INDEX(Tasks!$M:$M,$J107)="","",INDEX(Tasks!$M:$M,$J107)))</f>
        <v/>
      </c>
      <c r="H107" s="47" t="str">
        <f aca="false">IF($J107="","",TEXT(INDEX(Tasks!$O:$O,$J107),"0%")&amp;IF(INDEX(Tasks!$X:$X,$J107)&lt;&gt;""," · "&amp;INDEX(Tasks!$X:$X,$J107),"")&amp;IF(INDEX(Tasks!$R:$R,$J107)&lt;&gt;""," · "&amp;INDEX(Tasks!$R:$R,$J107),""))</f>
        <v/>
      </c>
      <c r="J107" s="0" t="str">
        <f aca="false">IFERROR(SMALL(Tasks!$AB$5:$AB$304,6),"")</f>
        <v/>
      </c>
    </row>
    <row r="108" customFormat="false" ht="15" hidden="false" customHeight="false" outlineLevel="0" collapsed="false">
      <c r="A108" s="46" t="str">
        <f aca="false">IF($J108="","",IF(INDEX(Tasks!$A:$A,$J108)="","",INDEX(Tasks!$A:$A,$J108)))</f>
        <v/>
      </c>
      <c r="B108" s="47" t="str">
        <f aca="false">IF($J108="","",IF(INDEX(Tasks!$F:$F,$J108)="","",INDEX(Tasks!$F:$F,$J108)))</f>
        <v/>
      </c>
      <c r="C108" s="47" t="str">
        <f aca="false">IF($J108="","",IF(INDEX(Tasks!$E:$E,$J108)="","",INDEX(Tasks!$E:$E,$J108)))</f>
        <v/>
      </c>
      <c r="D108" s="47" t="str">
        <f aca="false">IF($J108="","",IF(INDEX(Tasks!$H:$H,$J108)="","",INDEX(Tasks!$H:$H,$J108)))</f>
        <v/>
      </c>
      <c r="E108" s="47" t="str">
        <f aca="false">IF($J108="","",IF(INDEX(Tasks!$J:$J,$J108)="","",INDEX(Tasks!$J:$J,$J108)))</f>
        <v/>
      </c>
      <c r="F108" s="48" t="str">
        <f aca="false">IF($J108="","",IF(INDEX(Tasks!$L:$L,$J108)="","",INDEX(Tasks!$L:$L,$J108)))</f>
        <v/>
      </c>
      <c r="G108" s="48" t="str">
        <f aca="false">IF($J108="","",IF(INDEX(Tasks!$M:$M,$J108)="","",INDEX(Tasks!$M:$M,$J108)))</f>
        <v/>
      </c>
      <c r="H108" s="47" t="str">
        <f aca="false">IF($J108="","",TEXT(INDEX(Tasks!$O:$O,$J108),"0%")&amp;IF(INDEX(Tasks!$X:$X,$J108)&lt;&gt;""," · "&amp;INDEX(Tasks!$X:$X,$J108),"")&amp;IF(INDEX(Tasks!$R:$R,$J108)&lt;&gt;""," · "&amp;INDEX(Tasks!$R:$R,$J108),""))</f>
        <v/>
      </c>
      <c r="J108" s="0" t="str">
        <f aca="false">IFERROR(SMALL(Tasks!$AB$5:$AB$304,7),"")</f>
        <v/>
      </c>
    </row>
    <row r="109" customFormat="false" ht="15" hidden="false" customHeight="false" outlineLevel="0" collapsed="false">
      <c r="A109" s="46" t="str">
        <f aca="false">IF($J109="","",IF(INDEX(Tasks!$A:$A,$J109)="","",INDEX(Tasks!$A:$A,$J109)))</f>
        <v/>
      </c>
      <c r="B109" s="47" t="str">
        <f aca="false">IF($J109="","",IF(INDEX(Tasks!$F:$F,$J109)="","",INDEX(Tasks!$F:$F,$J109)))</f>
        <v/>
      </c>
      <c r="C109" s="47" t="str">
        <f aca="false">IF($J109="","",IF(INDEX(Tasks!$E:$E,$J109)="","",INDEX(Tasks!$E:$E,$J109)))</f>
        <v/>
      </c>
      <c r="D109" s="47" t="str">
        <f aca="false">IF($J109="","",IF(INDEX(Tasks!$H:$H,$J109)="","",INDEX(Tasks!$H:$H,$J109)))</f>
        <v/>
      </c>
      <c r="E109" s="47" t="str">
        <f aca="false">IF($J109="","",IF(INDEX(Tasks!$J:$J,$J109)="","",INDEX(Tasks!$J:$J,$J109)))</f>
        <v/>
      </c>
      <c r="F109" s="48" t="str">
        <f aca="false">IF($J109="","",IF(INDEX(Tasks!$L:$L,$J109)="","",INDEX(Tasks!$L:$L,$J109)))</f>
        <v/>
      </c>
      <c r="G109" s="48" t="str">
        <f aca="false">IF($J109="","",IF(INDEX(Tasks!$M:$M,$J109)="","",INDEX(Tasks!$M:$M,$J109)))</f>
        <v/>
      </c>
      <c r="H109" s="47" t="str">
        <f aca="false">IF($J109="","",TEXT(INDEX(Tasks!$O:$O,$J109),"0%")&amp;IF(INDEX(Tasks!$X:$X,$J109)&lt;&gt;""," · "&amp;INDEX(Tasks!$X:$X,$J109),"")&amp;IF(INDEX(Tasks!$R:$R,$J109)&lt;&gt;""," · "&amp;INDEX(Tasks!$R:$R,$J109),""))</f>
        <v/>
      </c>
      <c r="J109" s="0" t="str">
        <f aca="false">IFERROR(SMALL(Tasks!$AB$5:$AB$304,8),"")</f>
        <v/>
      </c>
    </row>
    <row r="110" customFormat="false" ht="15" hidden="false" customHeight="false" outlineLevel="0" collapsed="false">
      <c r="A110" s="46" t="str">
        <f aca="false">IF($J110="","",IF(INDEX(Tasks!$A:$A,$J110)="","",INDEX(Tasks!$A:$A,$J110)))</f>
        <v/>
      </c>
      <c r="B110" s="47" t="str">
        <f aca="false">IF($J110="","",IF(INDEX(Tasks!$F:$F,$J110)="","",INDEX(Tasks!$F:$F,$J110)))</f>
        <v/>
      </c>
      <c r="C110" s="47" t="str">
        <f aca="false">IF($J110="","",IF(INDEX(Tasks!$E:$E,$J110)="","",INDEX(Tasks!$E:$E,$J110)))</f>
        <v/>
      </c>
      <c r="D110" s="47" t="str">
        <f aca="false">IF($J110="","",IF(INDEX(Tasks!$H:$H,$J110)="","",INDEX(Tasks!$H:$H,$J110)))</f>
        <v/>
      </c>
      <c r="E110" s="47" t="str">
        <f aca="false">IF($J110="","",IF(INDEX(Tasks!$J:$J,$J110)="","",INDEX(Tasks!$J:$J,$J110)))</f>
        <v/>
      </c>
      <c r="F110" s="48" t="str">
        <f aca="false">IF($J110="","",IF(INDEX(Tasks!$L:$L,$J110)="","",INDEX(Tasks!$L:$L,$J110)))</f>
        <v/>
      </c>
      <c r="G110" s="48" t="str">
        <f aca="false">IF($J110="","",IF(INDEX(Tasks!$M:$M,$J110)="","",INDEX(Tasks!$M:$M,$J110)))</f>
        <v/>
      </c>
      <c r="H110" s="47" t="str">
        <f aca="false">IF($J110="","",TEXT(INDEX(Tasks!$O:$O,$J110),"0%")&amp;IF(INDEX(Tasks!$X:$X,$J110)&lt;&gt;""," · "&amp;INDEX(Tasks!$X:$X,$J110),"")&amp;IF(INDEX(Tasks!$R:$R,$J110)&lt;&gt;""," · "&amp;INDEX(Tasks!$R:$R,$J110),""))</f>
        <v/>
      </c>
      <c r="J110" s="0" t="str">
        <f aca="false">IFERROR(SMALL(Tasks!$AB$5:$AB$304,9),"")</f>
        <v/>
      </c>
    </row>
    <row r="111" customFormat="false" ht="15" hidden="false" customHeight="false" outlineLevel="0" collapsed="false">
      <c r="A111" s="46" t="str">
        <f aca="false">IF($J111="","",IF(INDEX(Tasks!$A:$A,$J111)="","",INDEX(Tasks!$A:$A,$J111)))</f>
        <v/>
      </c>
      <c r="B111" s="47" t="str">
        <f aca="false">IF($J111="","",IF(INDEX(Tasks!$F:$F,$J111)="","",INDEX(Tasks!$F:$F,$J111)))</f>
        <v/>
      </c>
      <c r="C111" s="47" t="str">
        <f aca="false">IF($J111="","",IF(INDEX(Tasks!$E:$E,$J111)="","",INDEX(Tasks!$E:$E,$J111)))</f>
        <v/>
      </c>
      <c r="D111" s="47" t="str">
        <f aca="false">IF($J111="","",IF(INDEX(Tasks!$H:$H,$J111)="","",INDEX(Tasks!$H:$H,$J111)))</f>
        <v/>
      </c>
      <c r="E111" s="47" t="str">
        <f aca="false">IF($J111="","",IF(INDEX(Tasks!$J:$J,$J111)="","",INDEX(Tasks!$J:$J,$J111)))</f>
        <v/>
      </c>
      <c r="F111" s="48" t="str">
        <f aca="false">IF($J111="","",IF(INDEX(Tasks!$L:$L,$J111)="","",INDEX(Tasks!$L:$L,$J111)))</f>
        <v/>
      </c>
      <c r="G111" s="48" t="str">
        <f aca="false">IF($J111="","",IF(INDEX(Tasks!$M:$M,$J111)="","",INDEX(Tasks!$M:$M,$J111)))</f>
        <v/>
      </c>
      <c r="H111" s="47" t="str">
        <f aca="false">IF($J111="","",TEXT(INDEX(Tasks!$O:$O,$J111),"0%")&amp;IF(INDEX(Tasks!$X:$X,$J111)&lt;&gt;""," · "&amp;INDEX(Tasks!$X:$X,$J111),"")&amp;IF(INDEX(Tasks!$R:$R,$J111)&lt;&gt;""," · "&amp;INDEX(Tasks!$R:$R,$J111),""))</f>
        <v/>
      </c>
      <c r="J111" s="0" t="str">
        <f aca="false">IFERROR(SMALL(Tasks!$AB$5:$AB$304,10),"")</f>
        <v/>
      </c>
    </row>
    <row r="113" customFormat="false" ht="31.5" hidden="false" customHeight="true" outlineLevel="0" collapsed="false">
      <c r="A113" s="50" t="s">
        <v>170</v>
      </c>
      <c r="B113" s="51" t="str">
        <f aca="false">IF($J$8="","(no Weekly Status Log entry for this meeting date)",IF(INDEX('Weekly Status Log'!$F$5:$F$108,$J$8)="","(no commentary entered)",INDEX('Weekly Status Log'!$F$5:$F$108,$J$8)))</f>
        <v>CMDB reconciliation for Entities B–C; validation of FND-001 with Network Security.</v>
      </c>
      <c r="C113" s="51"/>
      <c r="D113" s="51"/>
      <c r="E113" s="51"/>
      <c r="F113" s="51"/>
      <c r="G113" s="51"/>
      <c r="H113" s="51"/>
    </row>
    <row r="115" customFormat="false" ht="19.5" hidden="false" customHeight="true" outlineLevel="0" collapsed="false">
      <c r="A115" s="3" t="s">
        <v>176</v>
      </c>
      <c r="B115" s="4"/>
      <c r="C115" s="4"/>
      <c r="D115" s="4"/>
      <c r="E115" s="4"/>
      <c r="F115" s="4"/>
      <c r="G115" s="4"/>
      <c r="H115" s="4"/>
    </row>
    <row r="116" customFormat="false" ht="15" hidden="false" customHeight="false" outlineLevel="0" collapsed="false">
      <c r="B116" s="52" t="str">
        <f aca="false">"New in period: "&amp;COUNTIF('EASM Findings'!$Y$5:$Y$304,"NEW")&amp;"   |   Materially changed: "&amp;COUNTIF('EASM Findings'!$Y$5:$Y$304,"CHANGED")&amp;"   |   Open (total): "&amp;COUNTIFS('EASM Findings'!$E$5:$E$304,"&lt;&gt;",'EASM Findings'!$U$5:$U$304,"&lt;&gt;Remediated",'EASM Findings'!$U$5:$U$304,"&lt;&gt;False Positive",'EASM Findings'!$U$5:$U$304,"&lt;&gt;Risk Accepted")&amp;"   |   Open Critical/High: "&amp;(COUNTIFS('EASM Findings'!$E$5:$E$304,"&lt;&gt;",'EASM Findings'!$U$5:$U$304,"&lt;&gt;Remediated",'EASM Findings'!$U$5:$U$304,"&lt;&gt;False Positive",'EASM Findings'!$U$5:$U$304,"&lt;&gt;Risk Accepted",'EASM Findings'!$L$5:$L$304,"Critical")+COUNTIFS('EASM Findings'!$E$5:$E$304,"&lt;&gt;",'EASM Findings'!$U$5:$U$304,"&lt;&gt;Remediated",'EASM Findings'!$U$5:$U$304,"&lt;&gt;False Positive",'EASM Findings'!$U$5:$U$304,"&lt;&gt;Risk Accepted",'EASM Findings'!$L$5:$L$304,"High"))&amp;"   |   SLA breaches: "&amp;COUNTIF('EASM Findings'!$AA$5:$AA$304,"SLA BREACH")&amp;"   |   Actively exploited (open): "&amp;COUNTIFS('EASM Findings'!$E$5:$E$304,"&lt;&gt;",'EASM Findings'!$U$5:$U$304,"&lt;&gt;Remediated",'EASM Findings'!$U$5:$U$304,"&lt;&gt;False Positive",'EASM Findings'!$U$5:$U$304,"&lt;&gt;Risk Accepted",'EASM Findings'!$M$5:$M$304,"Yes")</f>
        <v>New in period: 1   |   Materially changed: 0   |   Open (total): 1   |   Open Critical/High: 1   |   SLA breaches: 0   |   Actively exploited (open): 0</v>
      </c>
      <c r="C116" s="52"/>
      <c r="D116" s="52"/>
      <c r="E116" s="52"/>
      <c r="F116" s="52"/>
      <c r="G116" s="52"/>
      <c r="H116" s="52"/>
    </row>
    <row r="118" customFormat="false" ht="15" hidden="false" customHeight="false" outlineLevel="0" collapsed="false">
      <c r="A118" s="43" t="s">
        <v>177</v>
      </c>
      <c r="H118" s="44" t="str">
        <f aca="false">"Showing "&amp;MIN(10,COUNT('EASM Findings'!$AE$5:$AE$304))&amp;" of "&amp;COUNT('EASM Findings'!$AE$5:$AE$304)&amp;IF(COUNT('EASM Findings'!$AE$5:$AE$304)&gt;10,"  — see EASM Findings tab for the rest","")</f>
        <v>Showing 1 of 1</v>
      </c>
    </row>
    <row r="119" customFormat="false" ht="15" hidden="false" customHeight="false" outlineLevel="0" collapsed="false">
      <c r="A119" s="45" t="s">
        <v>140</v>
      </c>
      <c r="B119" s="45" t="s">
        <v>178</v>
      </c>
      <c r="C119" s="45" t="s">
        <v>179</v>
      </c>
      <c r="D119" s="45" t="s">
        <v>180</v>
      </c>
      <c r="E119" s="45" t="s">
        <v>181</v>
      </c>
      <c r="F119" s="45" t="s">
        <v>182</v>
      </c>
      <c r="G119" s="45" t="s">
        <v>183</v>
      </c>
      <c r="H119" s="45" t="s">
        <v>184</v>
      </c>
    </row>
    <row r="120" customFormat="false" ht="22.35" hidden="false" customHeight="false" outlineLevel="0" collapsed="false">
      <c r="A120" s="46" t="str">
        <f aca="false">IF($J120="","",IF(INDEX('EASM Findings'!$A:$A,$J120)="","",INDEX('EASM Findings'!$A:$A,$J120)))</f>
        <v>FND-001</v>
      </c>
      <c r="B120" s="47" t="str">
        <f aca="false">IF(COUNT('EASM Findings'!$AE$5:$AE$304)=0,"— None —",IF($J120="","",INDEX('EASM Findings'!$E:$E,$J120)&amp;" — "&amp;INDEX('EASM Findings'!$J:$J,$J120)))</f>
        <v>legacy-vpn.acquired-entity.example — Legacy SSL VPN appliance exposed to internet with outdated firmware</v>
      </c>
      <c r="C120" s="47" t="str">
        <f aca="false">IF($J120="","",IF(INDEX('EASM Findings'!$L:$L,$J120)="","",INDEX('EASM Findings'!$L:$L,$J120)))</f>
        <v>Critical</v>
      </c>
      <c r="D120" s="47" t="str">
        <f aca="false">IF($J120="","",IF(INDEX('EASM Findings'!$R:$R,$J120)="","",INDEX('EASM Findings'!$R:$R,$J120)))</f>
        <v>Network Security (1LoD)</v>
      </c>
      <c r="E120" s="47" t="str">
        <f aca="false">IF($J120="","",IF(INDEX('EASM Findings'!$U:$U,$J120)="","",INDEX('EASM Findings'!$U:$U,$J120)))</f>
        <v>Validating</v>
      </c>
      <c r="F120" s="48" t="n">
        <f aca="false">IF($J120="","",IF(INDEX('EASM Findings'!$B:$B,$J120)="","",INDEX('EASM Findings'!$B:$B,$J120)))</f>
        <v>46311</v>
      </c>
      <c r="G120" s="48" t="n">
        <f aca="false">IF($J120="","",IF(INDEX('EASM Findings'!$T:$T,$J120)="","",INDEX('EASM Findings'!$T:$T,$J120)))</f>
        <v>46326</v>
      </c>
      <c r="H120" s="47" t="str">
        <f aca="false">IF($J120="","",INDEX('EASM Findings'!$Y:$Y,$J120)&amp;IF(INDEX('EASM Findings'!$X:$X,$J120)&lt;&gt;""," — "&amp;INDEX('EASM Findings'!$X:$X,$J120),"")&amp;IF(INDEX('EASM Findings'!$AA:$AA,$J120)&lt;&gt;""," | SLA: "&amp;INDEX('EASM Findings'!$AA:$AA,$J120),"")&amp;IF(INDEX('EASM Findings'!$Q:$Q,$J120)&lt;&gt;""," | RAF: "&amp;INDEX('EASM Findings'!$Q:$Q,$J120),""))</f>
        <v>NEW — Severity raised High → Critical after vendor advisory | SLA: Within SLA | RAF: Not Assessed</v>
      </c>
      <c r="J120" s="16" t="n">
        <f aca="false">IFERROR(SMALL('EASM Findings'!$AE$5:$AE$304,1),"")</f>
        <v>5</v>
      </c>
    </row>
    <row r="121" customFormat="false" ht="15" hidden="false" customHeight="false" outlineLevel="0" collapsed="false">
      <c r="A121" s="46" t="str">
        <f aca="false">IF($J121="","",IF(INDEX('EASM Findings'!$A:$A,$J121)="","",INDEX('EASM Findings'!$A:$A,$J121)))</f>
        <v/>
      </c>
      <c r="B121" s="47" t="str">
        <f aca="false">IF($J121="","",INDEX('EASM Findings'!$E:$E,$J121)&amp;" — "&amp;INDEX('EASM Findings'!$J:$J,$J121))</f>
        <v/>
      </c>
      <c r="C121" s="47" t="str">
        <f aca="false">IF($J121="","",IF(INDEX('EASM Findings'!$L:$L,$J121)="","",INDEX('EASM Findings'!$L:$L,$J121)))</f>
        <v/>
      </c>
      <c r="D121" s="47" t="str">
        <f aca="false">IF($J121="","",IF(INDEX('EASM Findings'!$R:$R,$J121)="","",INDEX('EASM Findings'!$R:$R,$J121)))</f>
        <v/>
      </c>
      <c r="E121" s="47" t="str">
        <f aca="false">IF($J121="","",IF(INDEX('EASM Findings'!$U:$U,$J121)="","",INDEX('EASM Findings'!$U:$U,$J121)))</f>
        <v/>
      </c>
      <c r="F121" s="48" t="str">
        <f aca="false">IF($J121="","",IF(INDEX('EASM Findings'!$B:$B,$J121)="","",INDEX('EASM Findings'!$B:$B,$J121)))</f>
        <v/>
      </c>
      <c r="G121" s="48" t="str">
        <f aca="false">IF($J121="","",IF(INDEX('EASM Findings'!$T:$T,$J121)="","",INDEX('EASM Findings'!$T:$T,$J121)))</f>
        <v/>
      </c>
      <c r="H121" s="47" t="str">
        <f aca="false">IF($J121="","",INDEX('EASM Findings'!$Y:$Y,$J121)&amp;IF(INDEX('EASM Findings'!$X:$X,$J121)&lt;&gt;""," — "&amp;INDEX('EASM Findings'!$X:$X,$J121),"")&amp;IF(INDEX('EASM Findings'!$AA:$AA,$J121)&lt;&gt;""," | SLA: "&amp;INDEX('EASM Findings'!$AA:$AA,$J121),"")&amp;IF(INDEX('EASM Findings'!$Q:$Q,$J121)&lt;&gt;""," | RAF: "&amp;INDEX('EASM Findings'!$Q:$Q,$J121),""))</f>
        <v/>
      </c>
      <c r="J121" s="0" t="str">
        <f aca="false">IFERROR(SMALL('EASM Findings'!$AE$5:$AE$304,2),"")</f>
        <v/>
      </c>
    </row>
    <row r="122" customFormat="false" ht="15" hidden="false" customHeight="false" outlineLevel="0" collapsed="false">
      <c r="A122" s="46" t="str">
        <f aca="false">IF($J122="","",IF(INDEX('EASM Findings'!$A:$A,$J122)="","",INDEX('EASM Findings'!$A:$A,$J122)))</f>
        <v/>
      </c>
      <c r="B122" s="47" t="str">
        <f aca="false">IF($J122="","",INDEX('EASM Findings'!$E:$E,$J122)&amp;" — "&amp;INDEX('EASM Findings'!$J:$J,$J122))</f>
        <v/>
      </c>
      <c r="C122" s="47" t="str">
        <f aca="false">IF($J122="","",IF(INDEX('EASM Findings'!$L:$L,$J122)="","",INDEX('EASM Findings'!$L:$L,$J122)))</f>
        <v/>
      </c>
      <c r="D122" s="47" t="str">
        <f aca="false">IF($J122="","",IF(INDEX('EASM Findings'!$R:$R,$J122)="","",INDEX('EASM Findings'!$R:$R,$J122)))</f>
        <v/>
      </c>
      <c r="E122" s="47" t="str">
        <f aca="false">IF($J122="","",IF(INDEX('EASM Findings'!$U:$U,$J122)="","",INDEX('EASM Findings'!$U:$U,$J122)))</f>
        <v/>
      </c>
      <c r="F122" s="48" t="str">
        <f aca="false">IF($J122="","",IF(INDEX('EASM Findings'!$B:$B,$J122)="","",INDEX('EASM Findings'!$B:$B,$J122)))</f>
        <v/>
      </c>
      <c r="G122" s="48" t="str">
        <f aca="false">IF($J122="","",IF(INDEX('EASM Findings'!$T:$T,$J122)="","",INDEX('EASM Findings'!$T:$T,$J122)))</f>
        <v/>
      </c>
      <c r="H122" s="47" t="str">
        <f aca="false">IF($J122="","",INDEX('EASM Findings'!$Y:$Y,$J122)&amp;IF(INDEX('EASM Findings'!$X:$X,$J122)&lt;&gt;""," — "&amp;INDEX('EASM Findings'!$X:$X,$J122),"")&amp;IF(INDEX('EASM Findings'!$AA:$AA,$J122)&lt;&gt;""," | SLA: "&amp;INDEX('EASM Findings'!$AA:$AA,$J122),"")&amp;IF(INDEX('EASM Findings'!$Q:$Q,$J122)&lt;&gt;""," | RAF: "&amp;INDEX('EASM Findings'!$Q:$Q,$J122),""))</f>
        <v/>
      </c>
      <c r="J122" s="0" t="str">
        <f aca="false">IFERROR(SMALL('EASM Findings'!$AE$5:$AE$304,3),"")</f>
        <v/>
      </c>
    </row>
    <row r="123" customFormat="false" ht="15" hidden="false" customHeight="false" outlineLevel="0" collapsed="false">
      <c r="A123" s="46" t="str">
        <f aca="false">IF($J123="","",IF(INDEX('EASM Findings'!$A:$A,$J123)="","",INDEX('EASM Findings'!$A:$A,$J123)))</f>
        <v/>
      </c>
      <c r="B123" s="47" t="str">
        <f aca="false">IF($J123="","",INDEX('EASM Findings'!$E:$E,$J123)&amp;" — "&amp;INDEX('EASM Findings'!$J:$J,$J123))</f>
        <v/>
      </c>
      <c r="C123" s="47" t="str">
        <f aca="false">IF($J123="","",IF(INDEX('EASM Findings'!$L:$L,$J123)="","",INDEX('EASM Findings'!$L:$L,$J123)))</f>
        <v/>
      </c>
      <c r="D123" s="47" t="str">
        <f aca="false">IF($J123="","",IF(INDEX('EASM Findings'!$R:$R,$J123)="","",INDEX('EASM Findings'!$R:$R,$J123)))</f>
        <v/>
      </c>
      <c r="E123" s="47" t="str">
        <f aca="false">IF($J123="","",IF(INDEX('EASM Findings'!$U:$U,$J123)="","",INDEX('EASM Findings'!$U:$U,$J123)))</f>
        <v/>
      </c>
      <c r="F123" s="48" t="str">
        <f aca="false">IF($J123="","",IF(INDEX('EASM Findings'!$B:$B,$J123)="","",INDEX('EASM Findings'!$B:$B,$J123)))</f>
        <v/>
      </c>
      <c r="G123" s="48" t="str">
        <f aca="false">IF($J123="","",IF(INDEX('EASM Findings'!$T:$T,$J123)="","",INDEX('EASM Findings'!$T:$T,$J123)))</f>
        <v/>
      </c>
      <c r="H123" s="47" t="str">
        <f aca="false">IF($J123="","",INDEX('EASM Findings'!$Y:$Y,$J123)&amp;IF(INDEX('EASM Findings'!$X:$X,$J123)&lt;&gt;""," — "&amp;INDEX('EASM Findings'!$X:$X,$J123),"")&amp;IF(INDEX('EASM Findings'!$AA:$AA,$J123)&lt;&gt;""," | SLA: "&amp;INDEX('EASM Findings'!$AA:$AA,$J123),"")&amp;IF(INDEX('EASM Findings'!$Q:$Q,$J123)&lt;&gt;""," | RAF: "&amp;INDEX('EASM Findings'!$Q:$Q,$J123),""))</f>
        <v/>
      </c>
      <c r="J123" s="0" t="str">
        <f aca="false">IFERROR(SMALL('EASM Findings'!$AE$5:$AE$304,4),"")</f>
        <v/>
      </c>
    </row>
    <row r="124" customFormat="false" ht="15" hidden="false" customHeight="false" outlineLevel="0" collapsed="false">
      <c r="A124" s="46" t="str">
        <f aca="false">IF($J124="","",IF(INDEX('EASM Findings'!$A:$A,$J124)="","",INDEX('EASM Findings'!$A:$A,$J124)))</f>
        <v/>
      </c>
      <c r="B124" s="47" t="str">
        <f aca="false">IF($J124="","",INDEX('EASM Findings'!$E:$E,$J124)&amp;" — "&amp;INDEX('EASM Findings'!$J:$J,$J124))</f>
        <v/>
      </c>
      <c r="C124" s="47" t="str">
        <f aca="false">IF($J124="","",IF(INDEX('EASM Findings'!$L:$L,$J124)="","",INDEX('EASM Findings'!$L:$L,$J124)))</f>
        <v/>
      </c>
      <c r="D124" s="47" t="str">
        <f aca="false">IF($J124="","",IF(INDEX('EASM Findings'!$R:$R,$J124)="","",INDEX('EASM Findings'!$R:$R,$J124)))</f>
        <v/>
      </c>
      <c r="E124" s="47" t="str">
        <f aca="false">IF($J124="","",IF(INDEX('EASM Findings'!$U:$U,$J124)="","",INDEX('EASM Findings'!$U:$U,$J124)))</f>
        <v/>
      </c>
      <c r="F124" s="48" t="str">
        <f aca="false">IF($J124="","",IF(INDEX('EASM Findings'!$B:$B,$J124)="","",INDEX('EASM Findings'!$B:$B,$J124)))</f>
        <v/>
      </c>
      <c r="G124" s="48" t="str">
        <f aca="false">IF($J124="","",IF(INDEX('EASM Findings'!$T:$T,$J124)="","",INDEX('EASM Findings'!$T:$T,$J124)))</f>
        <v/>
      </c>
      <c r="H124" s="47" t="str">
        <f aca="false">IF($J124="","",INDEX('EASM Findings'!$Y:$Y,$J124)&amp;IF(INDEX('EASM Findings'!$X:$X,$J124)&lt;&gt;""," — "&amp;INDEX('EASM Findings'!$X:$X,$J124),"")&amp;IF(INDEX('EASM Findings'!$AA:$AA,$J124)&lt;&gt;""," | SLA: "&amp;INDEX('EASM Findings'!$AA:$AA,$J124),"")&amp;IF(INDEX('EASM Findings'!$Q:$Q,$J124)&lt;&gt;""," | RAF: "&amp;INDEX('EASM Findings'!$Q:$Q,$J124),""))</f>
        <v/>
      </c>
      <c r="J124" s="0" t="str">
        <f aca="false">IFERROR(SMALL('EASM Findings'!$AE$5:$AE$304,5),"")</f>
        <v/>
      </c>
    </row>
    <row r="125" customFormat="false" ht="15" hidden="false" customHeight="false" outlineLevel="0" collapsed="false">
      <c r="A125" s="46" t="str">
        <f aca="false">IF($J125="","",IF(INDEX('EASM Findings'!$A:$A,$J125)="","",INDEX('EASM Findings'!$A:$A,$J125)))</f>
        <v/>
      </c>
      <c r="B125" s="47" t="str">
        <f aca="false">IF($J125="","",INDEX('EASM Findings'!$E:$E,$J125)&amp;" — "&amp;INDEX('EASM Findings'!$J:$J,$J125))</f>
        <v/>
      </c>
      <c r="C125" s="47" t="str">
        <f aca="false">IF($J125="","",IF(INDEX('EASM Findings'!$L:$L,$J125)="","",INDEX('EASM Findings'!$L:$L,$J125)))</f>
        <v/>
      </c>
      <c r="D125" s="47" t="str">
        <f aca="false">IF($J125="","",IF(INDEX('EASM Findings'!$R:$R,$J125)="","",INDEX('EASM Findings'!$R:$R,$J125)))</f>
        <v/>
      </c>
      <c r="E125" s="47" t="str">
        <f aca="false">IF($J125="","",IF(INDEX('EASM Findings'!$U:$U,$J125)="","",INDEX('EASM Findings'!$U:$U,$J125)))</f>
        <v/>
      </c>
      <c r="F125" s="48" t="str">
        <f aca="false">IF($J125="","",IF(INDEX('EASM Findings'!$B:$B,$J125)="","",INDEX('EASM Findings'!$B:$B,$J125)))</f>
        <v/>
      </c>
      <c r="G125" s="48" t="str">
        <f aca="false">IF($J125="","",IF(INDEX('EASM Findings'!$T:$T,$J125)="","",INDEX('EASM Findings'!$T:$T,$J125)))</f>
        <v/>
      </c>
      <c r="H125" s="47" t="str">
        <f aca="false">IF($J125="","",INDEX('EASM Findings'!$Y:$Y,$J125)&amp;IF(INDEX('EASM Findings'!$X:$X,$J125)&lt;&gt;""," — "&amp;INDEX('EASM Findings'!$X:$X,$J125),"")&amp;IF(INDEX('EASM Findings'!$AA:$AA,$J125)&lt;&gt;""," | SLA: "&amp;INDEX('EASM Findings'!$AA:$AA,$J125),"")&amp;IF(INDEX('EASM Findings'!$Q:$Q,$J125)&lt;&gt;""," | RAF: "&amp;INDEX('EASM Findings'!$Q:$Q,$J125),""))</f>
        <v/>
      </c>
      <c r="J125" s="0" t="str">
        <f aca="false">IFERROR(SMALL('EASM Findings'!$AE$5:$AE$304,6),"")</f>
        <v/>
      </c>
    </row>
    <row r="126" customFormat="false" ht="15" hidden="false" customHeight="false" outlineLevel="0" collapsed="false">
      <c r="A126" s="46" t="str">
        <f aca="false">IF($J126="","",IF(INDEX('EASM Findings'!$A:$A,$J126)="","",INDEX('EASM Findings'!$A:$A,$J126)))</f>
        <v/>
      </c>
      <c r="B126" s="47" t="str">
        <f aca="false">IF($J126="","",INDEX('EASM Findings'!$E:$E,$J126)&amp;" — "&amp;INDEX('EASM Findings'!$J:$J,$J126))</f>
        <v/>
      </c>
      <c r="C126" s="47" t="str">
        <f aca="false">IF($J126="","",IF(INDEX('EASM Findings'!$L:$L,$J126)="","",INDEX('EASM Findings'!$L:$L,$J126)))</f>
        <v/>
      </c>
      <c r="D126" s="47" t="str">
        <f aca="false">IF($J126="","",IF(INDEX('EASM Findings'!$R:$R,$J126)="","",INDEX('EASM Findings'!$R:$R,$J126)))</f>
        <v/>
      </c>
      <c r="E126" s="47" t="str">
        <f aca="false">IF($J126="","",IF(INDEX('EASM Findings'!$U:$U,$J126)="","",INDEX('EASM Findings'!$U:$U,$J126)))</f>
        <v/>
      </c>
      <c r="F126" s="48" t="str">
        <f aca="false">IF($J126="","",IF(INDEX('EASM Findings'!$B:$B,$J126)="","",INDEX('EASM Findings'!$B:$B,$J126)))</f>
        <v/>
      </c>
      <c r="G126" s="48" t="str">
        <f aca="false">IF($J126="","",IF(INDEX('EASM Findings'!$T:$T,$J126)="","",INDEX('EASM Findings'!$T:$T,$J126)))</f>
        <v/>
      </c>
      <c r="H126" s="47" t="str">
        <f aca="false">IF($J126="","",INDEX('EASM Findings'!$Y:$Y,$J126)&amp;IF(INDEX('EASM Findings'!$X:$X,$J126)&lt;&gt;""," — "&amp;INDEX('EASM Findings'!$X:$X,$J126),"")&amp;IF(INDEX('EASM Findings'!$AA:$AA,$J126)&lt;&gt;""," | SLA: "&amp;INDEX('EASM Findings'!$AA:$AA,$J126),"")&amp;IF(INDEX('EASM Findings'!$Q:$Q,$J126)&lt;&gt;""," | RAF: "&amp;INDEX('EASM Findings'!$Q:$Q,$J126),""))</f>
        <v/>
      </c>
      <c r="J126" s="0" t="str">
        <f aca="false">IFERROR(SMALL('EASM Findings'!$AE$5:$AE$304,7),"")</f>
        <v/>
      </c>
    </row>
    <row r="127" customFormat="false" ht="15" hidden="false" customHeight="false" outlineLevel="0" collapsed="false">
      <c r="A127" s="46" t="str">
        <f aca="false">IF($J127="","",IF(INDEX('EASM Findings'!$A:$A,$J127)="","",INDEX('EASM Findings'!$A:$A,$J127)))</f>
        <v/>
      </c>
      <c r="B127" s="47" t="str">
        <f aca="false">IF($J127="","",INDEX('EASM Findings'!$E:$E,$J127)&amp;" — "&amp;INDEX('EASM Findings'!$J:$J,$J127))</f>
        <v/>
      </c>
      <c r="C127" s="47" t="str">
        <f aca="false">IF($J127="","",IF(INDEX('EASM Findings'!$L:$L,$J127)="","",INDEX('EASM Findings'!$L:$L,$J127)))</f>
        <v/>
      </c>
      <c r="D127" s="47" t="str">
        <f aca="false">IF($J127="","",IF(INDEX('EASM Findings'!$R:$R,$J127)="","",INDEX('EASM Findings'!$R:$R,$J127)))</f>
        <v/>
      </c>
      <c r="E127" s="47" t="str">
        <f aca="false">IF($J127="","",IF(INDEX('EASM Findings'!$U:$U,$J127)="","",INDEX('EASM Findings'!$U:$U,$J127)))</f>
        <v/>
      </c>
      <c r="F127" s="48" t="str">
        <f aca="false">IF($J127="","",IF(INDEX('EASM Findings'!$B:$B,$J127)="","",INDEX('EASM Findings'!$B:$B,$J127)))</f>
        <v/>
      </c>
      <c r="G127" s="48" t="str">
        <f aca="false">IF($J127="","",IF(INDEX('EASM Findings'!$T:$T,$J127)="","",INDEX('EASM Findings'!$T:$T,$J127)))</f>
        <v/>
      </c>
      <c r="H127" s="47" t="str">
        <f aca="false">IF($J127="","",INDEX('EASM Findings'!$Y:$Y,$J127)&amp;IF(INDEX('EASM Findings'!$X:$X,$J127)&lt;&gt;""," — "&amp;INDEX('EASM Findings'!$X:$X,$J127),"")&amp;IF(INDEX('EASM Findings'!$AA:$AA,$J127)&lt;&gt;""," | SLA: "&amp;INDEX('EASM Findings'!$AA:$AA,$J127),"")&amp;IF(INDEX('EASM Findings'!$Q:$Q,$J127)&lt;&gt;""," | RAF: "&amp;INDEX('EASM Findings'!$Q:$Q,$J127),""))</f>
        <v/>
      </c>
      <c r="J127" s="0" t="str">
        <f aca="false">IFERROR(SMALL('EASM Findings'!$AE$5:$AE$304,8),"")</f>
        <v/>
      </c>
    </row>
    <row r="128" customFormat="false" ht="15" hidden="false" customHeight="false" outlineLevel="0" collapsed="false">
      <c r="A128" s="46" t="str">
        <f aca="false">IF($J128="","",IF(INDEX('EASM Findings'!$A:$A,$J128)="","",INDEX('EASM Findings'!$A:$A,$J128)))</f>
        <v/>
      </c>
      <c r="B128" s="47" t="str">
        <f aca="false">IF($J128="","",INDEX('EASM Findings'!$E:$E,$J128)&amp;" — "&amp;INDEX('EASM Findings'!$J:$J,$J128))</f>
        <v/>
      </c>
      <c r="C128" s="47" t="str">
        <f aca="false">IF($J128="","",IF(INDEX('EASM Findings'!$L:$L,$J128)="","",INDEX('EASM Findings'!$L:$L,$J128)))</f>
        <v/>
      </c>
      <c r="D128" s="47" t="str">
        <f aca="false">IF($J128="","",IF(INDEX('EASM Findings'!$R:$R,$J128)="","",INDEX('EASM Findings'!$R:$R,$J128)))</f>
        <v/>
      </c>
      <c r="E128" s="47" t="str">
        <f aca="false">IF($J128="","",IF(INDEX('EASM Findings'!$U:$U,$J128)="","",INDEX('EASM Findings'!$U:$U,$J128)))</f>
        <v/>
      </c>
      <c r="F128" s="48" t="str">
        <f aca="false">IF($J128="","",IF(INDEX('EASM Findings'!$B:$B,$J128)="","",INDEX('EASM Findings'!$B:$B,$J128)))</f>
        <v/>
      </c>
      <c r="G128" s="48" t="str">
        <f aca="false">IF($J128="","",IF(INDEX('EASM Findings'!$T:$T,$J128)="","",INDEX('EASM Findings'!$T:$T,$J128)))</f>
        <v/>
      </c>
      <c r="H128" s="47" t="str">
        <f aca="false">IF($J128="","",INDEX('EASM Findings'!$Y:$Y,$J128)&amp;IF(INDEX('EASM Findings'!$X:$X,$J128)&lt;&gt;""," — "&amp;INDEX('EASM Findings'!$X:$X,$J128),"")&amp;IF(INDEX('EASM Findings'!$AA:$AA,$J128)&lt;&gt;""," | SLA: "&amp;INDEX('EASM Findings'!$AA:$AA,$J128),"")&amp;IF(INDEX('EASM Findings'!$Q:$Q,$J128)&lt;&gt;""," | RAF: "&amp;INDEX('EASM Findings'!$Q:$Q,$J128),""))</f>
        <v/>
      </c>
      <c r="J128" s="0" t="str">
        <f aca="false">IFERROR(SMALL('EASM Findings'!$AE$5:$AE$304,9),"")</f>
        <v/>
      </c>
    </row>
    <row r="129" customFormat="false" ht="15" hidden="false" customHeight="false" outlineLevel="0" collapsed="false">
      <c r="A129" s="46" t="str">
        <f aca="false">IF($J129="","",IF(INDEX('EASM Findings'!$A:$A,$J129)="","",INDEX('EASM Findings'!$A:$A,$J129)))</f>
        <v/>
      </c>
      <c r="B129" s="47" t="str">
        <f aca="false">IF($J129="","",INDEX('EASM Findings'!$E:$E,$J129)&amp;" — "&amp;INDEX('EASM Findings'!$J:$J,$J129))</f>
        <v/>
      </c>
      <c r="C129" s="47" t="str">
        <f aca="false">IF($J129="","",IF(INDEX('EASM Findings'!$L:$L,$J129)="","",INDEX('EASM Findings'!$L:$L,$J129)))</f>
        <v/>
      </c>
      <c r="D129" s="47" t="str">
        <f aca="false">IF($J129="","",IF(INDEX('EASM Findings'!$R:$R,$J129)="","",INDEX('EASM Findings'!$R:$R,$J129)))</f>
        <v/>
      </c>
      <c r="E129" s="47" t="str">
        <f aca="false">IF($J129="","",IF(INDEX('EASM Findings'!$U:$U,$J129)="","",INDEX('EASM Findings'!$U:$U,$J129)))</f>
        <v/>
      </c>
      <c r="F129" s="48" t="str">
        <f aca="false">IF($J129="","",IF(INDEX('EASM Findings'!$B:$B,$J129)="","",INDEX('EASM Findings'!$B:$B,$J129)))</f>
        <v/>
      </c>
      <c r="G129" s="48" t="str">
        <f aca="false">IF($J129="","",IF(INDEX('EASM Findings'!$T:$T,$J129)="","",INDEX('EASM Findings'!$T:$T,$J129)))</f>
        <v/>
      </c>
      <c r="H129" s="47" t="str">
        <f aca="false">IF($J129="","",INDEX('EASM Findings'!$Y:$Y,$J129)&amp;IF(INDEX('EASM Findings'!$X:$X,$J129)&lt;&gt;""," — "&amp;INDEX('EASM Findings'!$X:$X,$J129),"")&amp;IF(INDEX('EASM Findings'!$AA:$AA,$J129)&lt;&gt;""," | SLA: "&amp;INDEX('EASM Findings'!$AA:$AA,$J129),"")&amp;IF(INDEX('EASM Findings'!$Q:$Q,$J129)&lt;&gt;""," | RAF: "&amp;INDEX('EASM Findings'!$Q:$Q,$J129),""))</f>
        <v/>
      </c>
      <c r="J129" s="0" t="str">
        <f aca="false">IFERROR(SMALL('EASM Findings'!$AE$5:$AE$304,10),"")</f>
        <v/>
      </c>
    </row>
    <row r="131" customFormat="false" ht="15" hidden="false" customHeight="false" outlineLevel="0" collapsed="false">
      <c r="A131" s="43" t="s">
        <v>185</v>
      </c>
      <c r="H131" s="44" t="str">
        <f aca="false">"Showing "&amp;MIN(6,COUNT('EASM Findings'!$AF$5:$AF$304))&amp;" of "&amp;COUNT('EASM Findings'!$AF$5:$AF$304)&amp;IF(COUNT('EASM Findings'!$AF$5:$AF$304)&gt;6,"  — see EASM Findings tab for the rest","")</f>
        <v>Showing 0 of 0</v>
      </c>
    </row>
    <row r="132" customFormat="false" ht="15" hidden="false" customHeight="false" outlineLevel="0" collapsed="false">
      <c r="A132" s="45" t="s">
        <v>140</v>
      </c>
      <c r="B132" s="45" t="s">
        <v>178</v>
      </c>
      <c r="C132" s="45" t="s">
        <v>179</v>
      </c>
      <c r="D132" s="45" t="s">
        <v>180</v>
      </c>
      <c r="E132" s="45" t="s">
        <v>94</v>
      </c>
      <c r="F132" s="45" t="s">
        <v>182</v>
      </c>
      <c r="G132" s="45" t="s">
        <v>183</v>
      </c>
      <c r="H132" s="45" t="s">
        <v>186</v>
      </c>
    </row>
    <row r="133" customFormat="false" ht="15" hidden="false" customHeight="false" outlineLevel="0" collapsed="false">
      <c r="A133" s="46" t="str">
        <f aca="false">IF($J133="","",IF(INDEX('EASM Findings'!$A:$A,$J133)="","",INDEX('EASM Findings'!$A:$A,$J133)))</f>
        <v/>
      </c>
      <c r="B133" s="47" t="str">
        <f aca="false">IF(COUNT('EASM Findings'!$AF$5:$AF$304)=0,"— None —",IF($J133="","",INDEX('EASM Findings'!$E:$E,$J133)&amp;" — "&amp;INDEX('EASM Findings'!$J:$J,$J133)))</f>
        <v>— None —</v>
      </c>
      <c r="C133" s="47" t="str">
        <f aca="false">IF($J133="","",IF(INDEX('EASM Findings'!$L:$L,$J133)="","",INDEX('EASM Findings'!$L:$L,$J133)))</f>
        <v/>
      </c>
      <c r="D133" s="47" t="str">
        <f aca="false">IF($J133="","",IF(INDEX('EASM Findings'!$R:$R,$J133)="","",INDEX('EASM Findings'!$R:$R,$J133)))</f>
        <v/>
      </c>
      <c r="E133" s="47" t="str">
        <f aca="false">IF($J133="","",IF(INDEX('EASM Findings'!$U:$U,$J133)="","",INDEX('EASM Findings'!$U:$U,$J133)))</f>
        <v/>
      </c>
      <c r="F133" s="48" t="str">
        <f aca="false">IF($J133="","",IF(INDEX('EASM Findings'!$B:$B,$J133)="","",INDEX('EASM Findings'!$B:$B,$J133)))</f>
        <v/>
      </c>
      <c r="G133" s="48" t="str">
        <f aca="false">IF($J133="","",IF(INDEX('EASM Findings'!$T:$T,$J133)="","",INDEX('EASM Findings'!$T:$T,$J133)))</f>
        <v/>
      </c>
      <c r="H133" s="47" t="str">
        <f aca="false">IF($J133="","",IF(INDEX('EASM Findings'!$AA:$AA,$J133)="","",INDEX('EASM Findings'!$AA:$AA,$J133)))</f>
        <v/>
      </c>
      <c r="J133" s="0" t="str">
        <f aca="false">IFERROR(SMALL('EASM Findings'!$AF$5:$AF$304,1),"")</f>
        <v/>
      </c>
    </row>
    <row r="134" customFormat="false" ht="15" hidden="false" customHeight="false" outlineLevel="0" collapsed="false">
      <c r="A134" s="46" t="str">
        <f aca="false">IF($J134="","",IF(INDEX('EASM Findings'!$A:$A,$J134)="","",INDEX('EASM Findings'!$A:$A,$J134)))</f>
        <v/>
      </c>
      <c r="B134" s="47" t="str">
        <f aca="false">IF($J134="","",INDEX('EASM Findings'!$E:$E,$J134)&amp;" — "&amp;INDEX('EASM Findings'!$J:$J,$J134))</f>
        <v/>
      </c>
      <c r="C134" s="47" t="str">
        <f aca="false">IF($J134="","",IF(INDEX('EASM Findings'!$L:$L,$J134)="","",INDEX('EASM Findings'!$L:$L,$J134)))</f>
        <v/>
      </c>
      <c r="D134" s="47" t="str">
        <f aca="false">IF($J134="","",IF(INDEX('EASM Findings'!$R:$R,$J134)="","",INDEX('EASM Findings'!$R:$R,$J134)))</f>
        <v/>
      </c>
      <c r="E134" s="47" t="str">
        <f aca="false">IF($J134="","",IF(INDEX('EASM Findings'!$U:$U,$J134)="","",INDEX('EASM Findings'!$U:$U,$J134)))</f>
        <v/>
      </c>
      <c r="F134" s="48" t="str">
        <f aca="false">IF($J134="","",IF(INDEX('EASM Findings'!$B:$B,$J134)="","",INDEX('EASM Findings'!$B:$B,$J134)))</f>
        <v/>
      </c>
      <c r="G134" s="48" t="str">
        <f aca="false">IF($J134="","",IF(INDEX('EASM Findings'!$T:$T,$J134)="","",INDEX('EASM Findings'!$T:$T,$J134)))</f>
        <v/>
      </c>
      <c r="H134" s="47" t="str">
        <f aca="false">IF($J134="","",IF(INDEX('EASM Findings'!$AA:$AA,$J134)="","",INDEX('EASM Findings'!$AA:$AA,$J134)))</f>
        <v/>
      </c>
      <c r="J134" s="0" t="str">
        <f aca="false">IFERROR(SMALL('EASM Findings'!$AF$5:$AF$304,2),"")</f>
        <v/>
      </c>
    </row>
    <row r="135" customFormat="false" ht="15" hidden="false" customHeight="false" outlineLevel="0" collapsed="false">
      <c r="A135" s="46" t="str">
        <f aca="false">IF($J135="","",IF(INDEX('EASM Findings'!$A:$A,$J135)="","",INDEX('EASM Findings'!$A:$A,$J135)))</f>
        <v/>
      </c>
      <c r="B135" s="47" t="str">
        <f aca="false">IF($J135="","",INDEX('EASM Findings'!$E:$E,$J135)&amp;" — "&amp;INDEX('EASM Findings'!$J:$J,$J135))</f>
        <v/>
      </c>
      <c r="C135" s="47" t="str">
        <f aca="false">IF($J135="","",IF(INDEX('EASM Findings'!$L:$L,$J135)="","",INDEX('EASM Findings'!$L:$L,$J135)))</f>
        <v/>
      </c>
      <c r="D135" s="47" t="str">
        <f aca="false">IF($J135="","",IF(INDEX('EASM Findings'!$R:$R,$J135)="","",INDEX('EASM Findings'!$R:$R,$J135)))</f>
        <v/>
      </c>
      <c r="E135" s="47" t="str">
        <f aca="false">IF($J135="","",IF(INDEX('EASM Findings'!$U:$U,$J135)="","",INDEX('EASM Findings'!$U:$U,$J135)))</f>
        <v/>
      </c>
      <c r="F135" s="48" t="str">
        <f aca="false">IF($J135="","",IF(INDEX('EASM Findings'!$B:$B,$J135)="","",INDEX('EASM Findings'!$B:$B,$J135)))</f>
        <v/>
      </c>
      <c r="G135" s="48" t="str">
        <f aca="false">IF($J135="","",IF(INDEX('EASM Findings'!$T:$T,$J135)="","",INDEX('EASM Findings'!$T:$T,$J135)))</f>
        <v/>
      </c>
      <c r="H135" s="47" t="str">
        <f aca="false">IF($J135="","",IF(INDEX('EASM Findings'!$AA:$AA,$J135)="","",INDEX('EASM Findings'!$AA:$AA,$J135)))</f>
        <v/>
      </c>
      <c r="J135" s="0" t="str">
        <f aca="false">IFERROR(SMALL('EASM Findings'!$AF$5:$AF$304,3),"")</f>
        <v/>
      </c>
    </row>
    <row r="136" customFormat="false" ht="15" hidden="false" customHeight="false" outlineLevel="0" collapsed="false">
      <c r="A136" s="46" t="str">
        <f aca="false">IF($J136="","",IF(INDEX('EASM Findings'!$A:$A,$J136)="","",INDEX('EASM Findings'!$A:$A,$J136)))</f>
        <v/>
      </c>
      <c r="B136" s="47" t="str">
        <f aca="false">IF($J136="","",INDEX('EASM Findings'!$E:$E,$J136)&amp;" — "&amp;INDEX('EASM Findings'!$J:$J,$J136))</f>
        <v/>
      </c>
      <c r="C136" s="47" t="str">
        <f aca="false">IF($J136="","",IF(INDEX('EASM Findings'!$L:$L,$J136)="","",INDEX('EASM Findings'!$L:$L,$J136)))</f>
        <v/>
      </c>
      <c r="D136" s="47" t="str">
        <f aca="false">IF($J136="","",IF(INDEX('EASM Findings'!$R:$R,$J136)="","",INDEX('EASM Findings'!$R:$R,$J136)))</f>
        <v/>
      </c>
      <c r="E136" s="47" t="str">
        <f aca="false">IF($J136="","",IF(INDEX('EASM Findings'!$U:$U,$J136)="","",INDEX('EASM Findings'!$U:$U,$J136)))</f>
        <v/>
      </c>
      <c r="F136" s="48" t="str">
        <f aca="false">IF($J136="","",IF(INDEX('EASM Findings'!$B:$B,$J136)="","",INDEX('EASM Findings'!$B:$B,$J136)))</f>
        <v/>
      </c>
      <c r="G136" s="48" t="str">
        <f aca="false">IF($J136="","",IF(INDEX('EASM Findings'!$T:$T,$J136)="","",INDEX('EASM Findings'!$T:$T,$J136)))</f>
        <v/>
      </c>
      <c r="H136" s="47" t="str">
        <f aca="false">IF($J136="","",IF(INDEX('EASM Findings'!$AA:$AA,$J136)="","",INDEX('EASM Findings'!$AA:$AA,$J136)))</f>
        <v/>
      </c>
      <c r="J136" s="0" t="str">
        <f aca="false">IFERROR(SMALL('EASM Findings'!$AF$5:$AF$304,4),"")</f>
        <v/>
      </c>
    </row>
    <row r="137" customFormat="false" ht="15" hidden="false" customHeight="false" outlineLevel="0" collapsed="false">
      <c r="A137" s="46" t="str">
        <f aca="false">IF($J137="","",IF(INDEX('EASM Findings'!$A:$A,$J137)="","",INDEX('EASM Findings'!$A:$A,$J137)))</f>
        <v/>
      </c>
      <c r="B137" s="47" t="str">
        <f aca="false">IF($J137="","",INDEX('EASM Findings'!$E:$E,$J137)&amp;" — "&amp;INDEX('EASM Findings'!$J:$J,$J137))</f>
        <v/>
      </c>
      <c r="C137" s="47" t="str">
        <f aca="false">IF($J137="","",IF(INDEX('EASM Findings'!$L:$L,$J137)="","",INDEX('EASM Findings'!$L:$L,$J137)))</f>
        <v/>
      </c>
      <c r="D137" s="47" t="str">
        <f aca="false">IF($J137="","",IF(INDEX('EASM Findings'!$R:$R,$J137)="","",INDEX('EASM Findings'!$R:$R,$J137)))</f>
        <v/>
      </c>
      <c r="E137" s="47" t="str">
        <f aca="false">IF($J137="","",IF(INDEX('EASM Findings'!$U:$U,$J137)="","",INDEX('EASM Findings'!$U:$U,$J137)))</f>
        <v/>
      </c>
      <c r="F137" s="48" t="str">
        <f aca="false">IF($J137="","",IF(INDEX('EASM Findings'!$B:$B,$J137)="","",INDEX('EASM Findings'!$B:$B,$J137)))</f>
        <v/>
      </c>
      <c r="G137" s="48" t="str">
        <f aca="false">IF($J137="","",IF(INDEX('EASM Findings'!$T:$T,$J137)="","",INDEX('EASM Findings'!$T:$T,$J137)))</f>
        <v/>
      </c>
      <c r="H137" s="47" t="str">
        <f aca="false">IF($J137="","",IF(INDEX('EASM Findings'!$AA:$AA,$J137)="","",INDEX('EASM Findings'!$AA:$AA,$J137)))</f>
        <v/>
      </c>
      <c r="J137" s="0" t="str">
        <f aca="false">IFERROR(SMALL('EASM Findings'!$AF$5:$AF$304,5),"")</f>
        <v/>
      </c>
    </row>
    <row r="138" customFormat="false" ht="15" hidden="false" customHeight="false" outlineLevel="0" collapsed="false">
      <c r="A138" s="46" t="str">
        <f aca="false">IF($J138="","",IF(INDEX('EASM Findings'!$A:$A,$J138)="","",INDEX('EASM Findings'!$A:$A,$J138)))</f>
        <v/>
      </c>
      <c r="B138" s="47" t="str">
        <f aca="false">IF($J138="","",INDEX('EASM Findings'!$E:$E,$J138)&amp;" — "&amp;INDEX('EASM Findings'!$J:$J,$J138))</f>
        <v/>
      </c>
      <c r="C138" s="47" t="str">
        <f aca="false">IF($J138="","",IF(INDEX('EASM Findings'!$L:$L,$J138)="","",INDEX('EASM Findings'!$L:$L,$J138)))</f>
        <v/>
      </c>
      <c r="D138" s="47" t="str">
        <f aca="false">IF($J138="","",IF(INDEX('EASM Findings'!$R:$R,$J138)="","",INDEX('EASM Findings'!$R:$R,$J138)))</f>
        <v/>
      </c>
      <c r="E138" s="47" t="str">
        <f aca="false">IF($J138="","",IF(INDEX('EASM Findings'!$U:$U,$J138)="","",INDEX('EASM Findings'!$U:$U,$J138)))</f>
        <v/>
      </c>
      <c r="F138" s="48" t="str">
        <f aca="false">IF($J138="","",IF(INDEX('EASM Findings'!$B:$B,$J138)="","",INDEX('EASM Findings'!$B:$B,$J138)))</f>
        <v/>
      </c>
      <c r="G138" s="48" t="str">
        <f aca="false">IF($J138="","",IF(INDEX('EASM Findings'!$T:$T,$J138)="","",INDEX('EASM Findings'!$T:$T,$J138)))</f>
        <v/>
      </c>
      <c r="H138" s="47" t="str">
        <f aca="false">IF($J138="","",IF(INDEX('EASM Findings'!$AA:$AA,$J138)="","",INDEX('EASM Findings'!$AA:$AA,$J138)))</f>
        <v/>
      </c>
      <c r="J138" s="0" t="str">
        <f aca="false">IFERROR(SMALL('EASM Findings'!$AF$5:$AF$304,6),"")</f>
        <v/>
      </c>
    </row>
    <row r="140" customFormat="false" ht="31.5" hidden="false" customHeight="true" outlineLevel="0" collapsed="false">
      <c r="A140" s="50" t="s">
        <v>170</v>
      </c>
      <c r="B140" s="51" t="str">
        <f aca="false">IF($J$8="","(no Weekly Status Log entry for this meeting date)",IF(INDEX('Weekly Status Log'!$G$5:$G$108,$J$8)="","(no commentary entered)",INDEX('Weekly Status Log'!$G$5:$G$108,$J$8)))</f>
        <v>FND-001 (Critical) under validation; single-vendor remote-access concentration across acquired entities.</v>
      </c>
      <c r="C140" s="51"/>
      <c r="D140" s="51"/>
      <c r="E140" s="51"/>
      <c r="F140" s="51"/>
      <c r="G140" s="51"/>
      <c r="H140" s="51"/>
    </row>
    <row r="142" customFormat="false" ht="19.5" hidden="false" customHeight="true" outlineLevel="0" collapsed="false">
      <c r="A142" s="3" t="s">
        <v>187</v>
      </c>
      <c r="B142" s="4"/>
      <c r="C142" s="4"/>
      <c r="D142" s="4"/>
      <c r="E142" s="4"/>
      <c r="F142" s="4"/>
      <c r="G142" s="4"/>
      <c r="H142" s="4"/>
    </row>
    <row r="143" customFormat="false" ht="15" hidden="false" customHeight="false" outlineLevel="0" collapsed="false">
      <c r="A143" s="43" t="s">
        <v>188</v>
      </c>
      <c r="H143" s="44" t="str">
        <f aca="false">"Showing "&amp;MIN(8,COUNT(Tasks!$AC$5:$AC$304))&amp;" of "&amp;COUNT(Tasks!$AC$5:$AC$304)&amp;IF(COUNT(Tasks!$AC$5:$AC$304)&gt;8,"  — see Tasks tab for the rest","")</f>
        <v>Showing 1 of 1</v>
      </c>
    </row>
    <row r="144" customFormat="false" ht="15" hidden="false" customHeight="false" outlineLevel="0" collapsed="false">
      <c r="A144" s="45" t="s">
        <v>140</v>
      </c>
      <c r="B144" s="45" t="s">
        <v>141</v>
      </c>
      <c r="C144" s="45" t="s">
        <v>142</v>
      </c>
      <c r="D144" s="45" t="s">
        <v>189</v>
      </c>
      <c r="E144" s="45" t="s">
        <v>94</v>
      </c>
      <c r="F144" s="45" t="s">
        <v>190</v>
      </c>
      <c r="G144" s="45" t="s">
        <v>191</v>
      </c>
      <c r="H144" s="45" t="s">
        <v>192</v>
      </c>
    </row>
    <row r="145" customFormat="false" ht="22.35" hidden="false" customHeight="false" outlineLevel="0" collapsed="false">
      <c r="A145" s="46" t="str">
        <f aca="false">IF($J145="","",IF(INDEX(Tasks!$A:$A,$J145)="","",INDEX(Tasks!$A:$A,$J145)))</f>
        <v>TSK-001</v>
      </c>
      <c r="B145" s="47" t="str">
        <f aca="false">IF(COUNT(Tasks!$AC$5:$AC$304)=0,"— None —",IF($J145="","",IF(INDEX(Tasks!$F:$F,$J145)="","",INDEX(Tasks!$F:$F,$J145))))</f>
        <v>Reconcile EASM-discovered assets against CMDB extract; quantify unattributed / unknown assets by legal entity</v>
      </c>
      <c r="C145" s="47" t="str">
        <f aca="false">IF($J145="","",IF(INDEX(Tasks!$E:$E,$J145)="","",INDEX(Tasks!$E:$E,$J145)))</f>
        <v>Attribution &amp; Ownership</v>
      </c>
      <c r="D145" s="47" t="str">
        <f aca="false">IF($J145="","",IF(INDEX(Tasks!$S:$S,$J145)="","",INDEX(Tasks!$S:$S,$J145)))</f>
        <v>Network Security (1LoD)</v>
      </c>
      <c r="E145" s="47" t="str">
        <f aca="false">IF($J145="","",IF(INDEX(Tasks!$K:$K,$J145)="","",INDEX(Tasks!$K:$K,$J145)))</f>
        <v>In Progress</v>
      </c>
      <c r="F145" s="48" t="n">
        <f aca="false">IF($J145="","",IF(INDEX(Tasks!$T:$T,$J145)="","",INDEX(Tasks!$T:$T,$J145)))</f>
        <v>46318</v>
      </c>
      <c r="G145" s="48" t="n">
        <f aca="false">IF($J145="","",IF(INDEX(Tasks!$M:$M,$J145)="","",INDEX(Tasks!$M:$M,$J145)))</f>
        <v>46332</v>
      </c>
      <c r="H145" s="47" t="str">
        <f aca="false">IF($J145="","",IF(INDEX(Tasks!$U:$U,$J145)="","",INDEX(Tasks!$U:$U,$J145)))</f>
        <v>CMDB extract for acquired Entity C outstanding (EML-001)</v>
      </c>
      <c r="J145" s="16" t="n">
        <f aca="false">IFERROR(SMALL(Tasks!$AC$5:$AC$304,1),"")</f>
        <v>5</v>
      </c>
    </row>
    <row r="146" customFormat="false" ht="15" hidden="false" customHeight="false" outlineLevel="0" collapsed="false">
      <c r="A146" s="46" t="str">
        <f aca="false">IF($J146="","",IF(INDEX(Tasks!$A:$A,$J146)="","",INDEX(Tasks!$A:$A,$J146)))</f>
        <v/>
      </c>
      <c r="B146" s="47" t="str">
        <f aca="false">IF($J146="","",IF(INDEX(Tasks!$F:$F,$J146)="","",INDEX(Tasks!$F:$F,$J146)))</f>
        <v/>
      </c>
      <c r="C146" s="47" t="str">
        <f aca="false">IF($J146="","",IF(INDEX(Tasks!$E:$E,$J146)="","",INDEX(Tasks!$E:$E,$J146)))</f>
        <v/>
      </c>
      <c r="D146" s="47" t="str">
        <f aca="false">IF($J146="","",IF(INDEX(Tasks!$S:$S,$J146)="","",INDEX(Tasks!$S:$S,$J146)))</f>
        <v/>
      </c>
      <c r="E146" s="47" t="str">
        <f aca="false">IF($J146="","",IF(INDEX(Tasks!$K:$K,$J146)="","",INDEX(Tasks!$K:$K,$J146)))</f>
        <v/>
      </c>
      <c r="F146" s="48" t="str">
        <f aca="false">IF($J146="","",IF(INDEX(Tasks!$T:$T,$J146)="","",INDEX(Tasks!$T:$T,$J146)))</f>
        <v/>
      </c>
      <c r="G146" s="48" t="str">
        <f aca="false">IF($J146="","",IF(INDEX(Tasks!$M:$M,$J146)="","",INDEX(Tasks!$M:$M,$J146)))</f>
        <v/>
      </c>
      <c r="H146" s="47" t="str">
        <f aca="false">IF($J146="","",IF(INDEX(Tasks!$U:$U,$J146)="","",INDEX(Tasks!$U:$U,$J146)))</f>
        <v/>
      </c>
      <c r="J146" s="0" t="str">
        <f aca="false">IFERROR(SMALL(Tasks!$AC$5:$AC$304,2),"")</f>
        <v/>
      </c>
    </row>
    <row r="147" customFormat="false" ht="15" hidden="false" customHeight="false" outlineLevel="0" collapsed="false">
      <c r="A147" s="46" t="str">
        <f aca="false">IF($J147="","",IF(INDEX(Tasks!$A:$A,$J147)="","",INDEX(Tasks!$A:$A,$J147)))</f>
        <v/>
      </c>
      <c r="B147" s="47" t="str">
        <f aca="false">IF($J147="","",IF(INDEX(Tasks!$F:$F,$J147)="","",INDEX(Tasks!$F:$F,$J147)))</f>
        <v/>
      </c>
      <c r="C147" s="47" t="str">
        <f aca="false">IF($J147="","",IF(INDEX(Tasks!$E:$E,$J147)="","",INDEX(Tasks!$E:$E,$J147)))</f>
        <v/>
      </c>
      <c r="D147" s="47" t="str">
        <f aca="false">IF($J147="","",IF(INDEX(Tasks!$S:$S,$J147)="","",INDEX(Tasks!$S:$S,$J147)))</f>
        <v/>
      </c>
      <c r="E147" s="47" t="str">
        <f aca="false">IF($J147="","",IF(INDEX(Tasks!$K:$K,$J147)="","",INDEX(Tasks!$K:$K,$J147)))</f>
        <v/>
      </c>
      <c r="F147" s="48" t="str">
        <f aca="false">IF($J147="","",IF(INDEX(Tasks!$T:$T,$J147)="","",INDEX(Tasks!$T:$T,$J147)))</f>
        <v/>
      </c>
      <c r="G147" s="48" t="str">
        <f aca="false">IF($J147="","",IF(INDEX(Tasks!$M:$M,$J147)="","",INDEX(Tasks!$M:$M,$J147)))</f>
        <v/>
      </c>
      <c r="H147" s="47" t="str">
        <f aca="false">IF($J147="","",IF(INDEX(Tasks!$U:$U,$J147)="","",INDEX(Tasks!$U:$U,$J147)))</f>
        <v/>
      </c>
      <c r="J147" s="0" t="str">
        <f aca="false">IFERROR(SMALL(Tasks!$AC$5:$AC$304,3),"")</f>
        <v/>
      </c>
    </row>
    <row r="148" customFormat="false" ht="15" hidden="false" customHeight="false" outlineLevel="0" collapsed="false">
      <c r="A148" s="46" t="str">
        <f aca="false">IF($J148="","",IF(INDEX(Tasks!$A:$A,$J148)="","",INDEX(Tasks!$A:$A,$J148)))</f>
        <v/>
      </c>
      <c r="B148" s="47" t="str">
        <f aca="false">IF($J148="","",IF(INDEX(Tasks!$F:$F,$J148)="","",INDEX(Tasks!$F:$F,$J148)))</f>
        <v/>
      </c>
      <c r="C148" s="47" t="str">
        <f aca="false">IF($J148="","",IF(INDEX(Tasks!$E:$E,$J148)="","",INDEX(Tasks!$E:$E,$J148)))</f>
        <v/>
      </c>
      <c r="D148" s="47" t="str">
        <f aca="false">IF($J148="","",IF(INDEX(Tasks!$S:$S,$J148)="","",INDEX(Tasks!$S:$S,$J148)))</f>
        <v/>
      </c>
      <c r="E148" s="47" t="str">
        <f aca="false">IF($J148="","",IF(INDEX(Tasks!$K:$K,$J148)="","",INDEX(Tasks!$K:$K,$J148)))</f>
        <v/>
      </c>
      <c r="F148" s="48" t="str">
        <f aca="false">IF($J148="","",IF(INDEX(Tasks!$T:$T,$J148)="","",INDEX(Tasks!$T:$T,$J148)))</f>
        <v/>
      </c>
      <c r="G148" s="48" t="str">
        <f aca="false">IF($J148="","",IF(INDEX(Tasks!$M:$M,$J148)="","",INDEX(Tasks!$M:$M,$J148)))</f>
        <v/>
      </c>
      <c r="H148" s="47" t="str">
        <f aca="false">IF($J148="","",IF(INDEX(Tasks!$U:$U,$J148)="","",INDEX(Tasks!$U:$U,$J148)))</f>
        <v/>
      </c>
      <c r="J148" s="0" t="str">
        <f aca="false">IFERROR(SMALL(Tasks!$AC$5:$AC$304,4),"")</f>
        <v/>
      </c>
    </row>
    <row r="149" customFormat="false" ht="15" hidden="false" customHeight="false" outlineLevel="0" collapsed="false">
      <c r="A149" s="46" t="str">
        <f aca="false">IF($J149="","",IF(INDEX(Tasks!$A:$A,$J149)="","",INDEX(Tasks!$A:$A,$J149)))</f>
        <v/>
      </c>
      <c r="B149" s="47" t="str">
        <f aca="false">IF($J149="","",IF(INDEX(Tasks!$F:$F,$J149)="","",INDEX(Tasks!$F:$F,$J149)))</f>
        <v/>
      </c>
      <c r="C149" s="47" t="str">
        <f aca="false">IF($J149="","",IF(INDEX(Tasks!$E:$E,$J149)="","",INDEX(Tasks!$E:$E,$J149)))</f>
        <v/>
      </c>
      <c r="D149" s="47" t="str">
        <f aca="false">IF($J149="","",IF(INDEX(Tasks!$S:$S,$J149)="","",INDEX(Tasks!$S:$S,$J149)))</f>
        <v/>
      </c>
      <c r="E149" s="47" t="str">
        <f aca="false">IF($J149="","",IF(INDEX(Tasks!$K:$K,$J149)="","",INDEX(Tasks!$K:$K,$J149)))</f>
        <v/>
      </c>
      <c r="F149" s="48" t="str">
        <f aca="false">IF($J149="","",IF(INDEX(Tasks!$T:$T,$J149)="","",INDEX(Tasks!$T:$T,$J149)))</f>
        <v/>
      </c>
      <c r="G149" s="48" t="str">
        <f aca="false">IF($J149="","",IF(INDEX(Tasks!$M:$M,$J149)="","",INDEX(Tasks!$M:$M,$J149)))</f>
        <v/>
      </c>
      <c r="H149" s="47" t="str">
        <f aca="false">IF($J149="","",IF(INDEX(Tasks!$U:$U,$J149)="","",INDEX(Tasks!$U:$U,$J149)))</f>
        <v/>
      </c>
      <c r="J149" s="0" t="str">
        <f aca="false">IFERROR(SMALL(Tasks!$AC$5:$AC$304,5),"")</f>
        <v/>
      </c>
    </row>
    <row r="150" customFormat="false" ht="15" hidden="false" customHeight="false" outlineLevel="0" collapsed="false">
      <c r="A150" s="46" t="str">
        <f aca="false">IF($J150="","",IF(INDEX(Tasks!$A:$A,$J150)="","",INDEX(Tasks!$A:$A,$J150)))</f>
        <v/>
      </c>
      <c r="B150" s="47" t="str">
        <f aca="false">IF($J150="","",IF(INDEX(Tasks!$F:$F,$J150)="","",INDEX(Tasks!$F:$F,$J150)))</f>
        <v/>
      </c>
      <c r="C150" s="47" t="str">
        <f aca="false">IF($J150="","",IF(INDEX(Tasks!$E:$E,$J150)="","",INDEX(Tasks!$E:$E,$J150)))</f>
        <v/>
      </c>
      <c r="D150" s="47" t="str">
        <f aca="false">IF($J150="","",IF(INDEX(Tasks!$S:$S,$J150)="","",INDEX(Tasks!$S:$S,$J150)))</f>
        <v/>
      </c>
      <c r="E150" s="47" t="str">
        <f aca="false">IF($J150="","",IF(INDEX(Tasks!$K:$K,$J150)="","",INDEX(Tasks!$K:$K,$J150)))</f>
        <v/>
      </c>
      <c r="F150" s="48" t="str">
        <f aca="false">IF($J150="","",IF(INDEX(Tasks!$T:$T,$J150)="","",INDEX(Tasks!$T:$T,$J150)))</f>
        <v/>
      </c>
      <c r="G150" s="48" t="str">
        <f aca="false">IF($J150="","",IF(INDEX(Tasks!$M:$M,$J150)="","",INDEX(Tasks!$M:$M,$J150)))</f>
        <v/>
      </c>
      <c r="H150" s="47" t="str">
        <f aca="false">IF($J150="","",IF(INDEX(Tasks!$U:$U,$J150)="","",INDEX(Tasks!$U:$U,$J150)))</f>
        <v/>
      </c>
      <c r="J150" s="0" t="str">
        <f aca="false">IFERROR(SMALL(Tasks!$AC$5:$AC$304,6),"")</f>
        <v/>
      </c>
    </row>
    <row r="151" customFormat="false" ht="15" hidden="false" customHeight="false" outlineLevel="0" collapsed="false">
      <c r="A151" s="46" t="str">
        <f aca="false">IF($J151="","",IF(INDEX(Tasks!$A:$A,$J151)="","",INDEX(Tasks!$A:$A,$J151)))</f>
        <v/>
      </c>
      <c r="B151" s="47" t="str">
        <f aca="false">IF($J151="","",IF(INDEX(Tasks!$F:$F,$J151)="","",INDEX(Tasks!$F:$F,$J151)))</f>
        <v/>
      </c>
      <c r="C151" s="47" t="str">
        <f aca="false">IF($J151="","",IF(INDEX(Tasks!$E:$E,$J151)="","",INDEX(Tasks!$E:$E,$J151)))</f>
        <v/>
      </c>
      <c r="D151" s="47" t="str">
        <f aca="false">IF($J151="","",IF(INDEX(Tasks!$S:$S,$J151)="","",INDEX(Tasks!$S:$S,$J151)))</f>
        <v/>
      </c>
      <c r="E151" s="47" t="str">
        <f aca="false">IF($J151="","",IF(INDEX(Tasks!$K:$K,$J151)="","",INDEX(Tasks!$K:$K,$J151)))</f>
        <v/>
      </c>
      <c r="F151" s="48" t="str">
        <f aca="false">IF($J151="","",IF(INDEX(Tasks!$T:$T,$J151)="","",INDEX(Tasks!$T:$T,$J151)))</f>
        <v/>
      </c>
      <c r="G151" s="48" t="str">
        <f aca="false">IF($J151="","",IF(INDEX(Tasks!$M:$M,$J151)="","",INDEX(Tasks!$M:$M,$J151)))</f>
        <v/>
      </c>
      <c r="H151" s="47" t="str">
        <f aca="false">IF($J151="","",IF(INDEX(Tasks!$U:$U,$J151)="","",INDEX(Tasks!$U:$U,$J151)))</f>
        <v/>
      </c>
      <c r="J151" s="0" t="str">
        <f aca="false">IFERROR(SMALL(Tasks!$AC$5:$AC$304,7),"")</f>
        <v/>
      </c>
    </row>
    <row r="152" customFormat="false" ht="15" hidden="false" customHeight="false" outlineLevel="0" collapsed="false">
      <c r="A152" s="46" t="str">
        <f aca="false">IF($J152="","",IF(INDEX(Tasks!$A:$A,$J152)="","",INDEX(Tasks!$A:$A,$J152)))</f>
        <v/>
      </c>
      <c r="B152" s="47" t="str">
        <f aca="false">IF($J152="","",IF(INDEX(Tasks!$F:$F,$J152)="","",INDEX(Tasks!$F:$F,$J152)))</f>
        <v/>
      </c>
      <c r="C152" s="47" t="str">
        <f aca="false">IF($J152="","",IF(INDEX(Tasks!$E:$E,$J152)="","",INDEX(Tasks!$E:$E,$J152)))</f>
        <v/>
      </c>
      <c r="D152" s="47" t="str">
        <f aca="false">IF($J152="","",IF(INDEX(Tasks!$S:$S,$J152)="","",INDEX(Tasks!$S:$S,$J152)))</f>
        <v/>
      </c>
      <c r="E152" s="47" t="str">
        <f aca="false">IF($J152="","",IF(INDEX(Tasks!$K:$K,$J152)="","",INDEX(Tasks!$K:$K,$J152)))</f>
        <v/>
      </c>
      <c r="F152" s="48" t="str">
        <f aca="false">IF($J152="","",IF(INDEX(Tasks!$T:$T,$J152)="","",INDEX(Tasks!$T:$T,$J152)))</f>
        <v/>
      </c>
      <c r="G152" s="48" t="str">
        <f aca="false">IF($J152="","",IF(INDEX(Tasks!$M:$M,$J152)="","",INDEX(Tasks!$M:$M,$J152)))</f>
        <v/>
      </c>
      <c r="H152" s="47" t="str">
        <f aca="false">IF($J152="","",IF(INDEX(Tasks!$U:$U,$J152)="","",INDEX(Tasks!$U:$U,$J152)))</f>
        <v/>
      </c>
      <c r="J152" s="0" t="str">
        <f aca="false">IFERROR(SMALL(Tasks!$AC$5:$AC$304,8),"")</f>
        <v/>
      </c>
    </row>
    <row r="154" customFormat="false" ht="15" hidden="false" customHeight="false" outlineLevel="0" collapsed="false">
      <c r="A154" s="43" t="s">
        <v>193</v>
      </c>
      <c r="H154" s="44" t="str">
        <f aca="false">"Showing "&amp;MIN(6,COUNT(Emails!$V$5:$V$304))&amp;" of "&amp;COUNT(Emails!$V$5:$V$304)&amp;IF(COUNT(Emails!$V$5:$V$304)&gt;6,"  — see Emails tab for the rest","")</f>
        <v>Showing 1 of 1</v>
      </c>
    </row>
    <row r="155" customFormat="false" ht="15" hidden="false" customHeight="false" outlineLevel="0" collapsed="false">
      <c r="A155" s="45" t="s">
        <v>140</v>
      </c>
      <c r="B155" s="45" t="s">
        <v>194</v>
      </c>
      <c r="C155" s="45" t="s">
        <v>195</v>
      </c>
      <c r="D155" s="45" t="s">
        <v>196</v>
      </c>
      <c r="E155" s="45" t="s">
        <v>197</v>
      </c>
      <c r="F155" s="45" t="s">
        <v>198</v>
      </c>
      <c r="G155" s="45" t="s">
        <v>199</v>
      </c>
      <c r="H155" s="45" t="s">
        <v>200</v>
      </c>
    </row>
    <row r="156" customFormat="false" ht="22.35" hidden="false" customHeight="false" outlineLevel="0" collapsed="false">
      <c r="A156" s="46" t="str">
        <f aca="false">IF($J156="","",IF(INDEX(Emails!$A:$A,$J156)="","",INDEX(Emails!$A:$A,$J156)))</f>
        <v>EML-001</v>
      </c>
      <c r="B156" s="47" t="str">
        <f aca="false">IF(COUNT(Emails!$V$5:$V$304)=0,"— None —",IF($J156="","",IF(INDEX(Emails!$G:$G,$J156)="","",INDEX(Emails!$G:$G,$J156))))</f>
        <v>RFI – CMDB extract of internet-facing assets</v>
      </c>
      <c r="C156" s="47" t="str">
        <f aca="false">IF($J156="","",IF(INDEX(Emails!$H:$H,$J156)="","",INDEX(Emails!$H:$H,$J156)))</f>
        <v>Request for Information</v>
      </c>
      <c r="D156" s="47" t="str">
        <f aca="false">IF($J156="","",IF(INDEX(Emails!$E:$E,$J156)="","",INDEX(Emails!$E:$E,$J156)))</f>
        <v>Head of Network Security; cc CISO Office</v>
      </c>
      <c r="E156" s="47" t="str">
        <f aca="false">IF($J156="","",IF(INDEX(Emails!$O:$O,$J156)="","",INDEX(Emails!$O:$O,$J156)))</f>
        <v>Awaiting Response</v>
      </c>
      <c r="F156" s="48" t="n">
        <f aca="false">IF($J156="","",IF(INDEX(Emails!$B:$B,$J156)="","",INDEX(Emails!$B:$B,$J156)))</f>
        <v>46311</v>
      </c>
      <c r="G156" s="48" t="n">
        <f aca="false">IF($J156="","",IF(INDEX(Emails!$N:$N,$J156)="","",INDEX(Emails!$N:$N,$J156)))</f>
        <v>46318</v>
      </c>
      <c r="H156" s="47" t="str">
        <f aca="false">IF($J156="","",INDEX(Emails!$R:$R,$J156)&amp;IF(INDEX(Emails!$K:$K,$J156)&lt;&gt;""," — "&amp;INDEX(Emails!$K:$K,$J156),""))</f>
        <v>Open — Full extract incl. owner, legal entity, hosting and last patch date</v>
      </c>
      <c r="J156" s="16" t="n">
        <f aca="false">IFERROR(SMALL(Emails!$V$5:$V$304,1),"")</f>
        <v>5</v>
      </c>
    </row>
    <row r="157" customFormat="false" ht="15" hidden="false" customHeight="false" outlineLevel="0" collapsed="false">
      <c r="A157" s="46" t="str">
        <f aca="false">IF($J157="","",IF(INDEX(Emails!$A:$A,$J157)="","",INDEX(Emails!$A:$A,$J157)))</f>
        <v/>
      </c>
      <c r="B157" s="47" t="str">
        <f aca="false">IF($J157="","",IF(INDEX(Emails!$G:$G,$J157)="","",INDEX(Emails!$G:$G,$J157)))</f>
        <v/>
      </c>
      <c r="C157" s="47" t="str">
        <f aca="false">IF($J157="","",IF(INDEX(Emails!$H:$H,$J157)="","",INDEX(Emails!$H:$H,$J157)))</f>
        <v/>
      </c>
      <c r="D157" s="47" t="str">
        <f aca="false">IF($J157="","",IF(INDEX(Emails!$E:$E,$J157)="","",INDEX(Emails!$E:$E,$J157)))</f>
        <v/>
      </c>
      <c r="E157" s="47" t="str">
        <f aca="false">IF($J157="","",IF(INDEX(Emails!$O:$O,$J157)="","",INDEX(Emails!$O:$O,$J157)))</f>
        <v/>
      </c>
      <c r="F157" s="48" t="str">
        <f aca="false">IF($J157="","",IF(INDEX(Emails!$B:$B,$J157)="","",INDEX(Emails!$B:$B,$J157)))</f>
        <v/>
      </c>
      <c r="G157" s="48" t="str">
        <f aca="false">IF($J157="","",IF(INDEX(Emails!$N:$N,$J157)="","",INDEX(Emails!$N:$N,$J157)))</f>
        <v/>
      </c>
      <c r="H157" s="47" t="str">
        <f aca="false">IF($J157="","",INDEX(Emails!$R:$R,$J157)&amp;IF(INDEX(Emails!$K:$K,$J157)&lt;&gt;""," — "&amp;INDEX(Emails!$K:$K,$J157),""))</f>
        <v/>
      </c>
      <c r="J157" s="0" t="str">
        <f aca="false">IFERROR(SMALL(Emails!$V$5:$V$304,2),"")</f>
        <v/>
      </c>
    </row>
    <row r="158" customFormat="false" ht="15" hidden="false" customHeight="false" outlineLevel="0" collapsed="false">
      <c r="A158" s="46" t="str">
        <f aca="false">IF($J158="","",IF(INDEX(Emails!$A:$A,$J158)="","",INDEX(Emails!$A:$A,$J158)))</f>
        <v/>
      </c>
      <c r="B158" s="47" t="str">
        <f aca="false">IF($J158="","",IF(INDEX(Emails!$G:$G,$J158)="","",INDEX(Emails!$G:$G,$J158)))</f>
        <v/>
      </c>
      <c r="C158" s="47" t="str">
        <f aca="false">IF($J158="","",IF(INDEX(Emails!$H:$H,$J158)="","",INDEX(Emails!$H:$H,$J158)))</f>
        <v/>
      </c>
      <c r="D158" s="47" t="str">
        <f aca="false">IF($J158="","",IF(INDEX(Emails!$E:$E,$J158)="","",INDEX(Emails!$E:$E,$J158)))</f>
        <v/>
      </c>
      <c r="E158" s="47" t="str">
        <f aca="false">IF($J158="","",IF(INDEX(Emails!$O:$O,$J158)="","",INDEX(Emails!$O:$O,$J158)))</f>
        <v/>
      </c>
      <c r="F158" s="48" t="str">
        <f aca="false">IF($J158="","",IF(INDEX(Emails!$B:$B,$J158)="","",INDEX(Emails!$B:$B,$J158)))</f>
        <v/>
      </c>
      <c r="G158" s="48" t="str">
        <f aca="false">IF($J158="","",IF(INDEX(Emails!$N:$N,$J158)="","",INDEX(Emails!$N:$N,$J158)))</f>
        <v/>
      </c>
      <c r="H158" s="47" t="str">
        <f aca="false">IF($J158="","",INDEX(Emails!$R:$R,$J158)&amp;IF(INDEX(Emails!$K:$K,$J158)&lt;&gt;""," — "&amp;INDEX(Emails!$K:$K,$J158),""))</f>
        <v/>
      </c>
      <c r="J158" s="0" t="str">
        <f aca="false">IFERROR(SMALL(Emails!$V$5:$V$304,3),"")</f>
        <v/>
      </c>
    </row>
    <row r="159" customFormat="false" ht="15" hidden="false" customHeight="false" outlineLevel="0" collapsed="false">
      <c r="A159" s="46" t="str">
        <f aca="false">IF($J159="","",IF(INDEX(Emails!$A:$A,$J159)="","",INDEX(Emails!$A:$A,$J159)))</f>
        <v/>
      </c>
      <c r="B159" s="47" t="str">
        <f aca="false">IF($J159="","",IF(INDEX(Emails!$G:$G,$J159)="","",INDEX(Emails!$G:$G,$J159)))</f>
        <v/>
      </c>
      <c r="C159" s="47" t="str">
        <f aca="false">IF($J159="","",IF(INDEX(Emails!$H:$H,$J159)="","",INDEX(Emails!$H:$H,$J159)))</f>
        <v/>
      </c>
      <c r="D159" s="47" t="str">
        <f aca="false">IF($J159="","",IF(INDEX(Emails!$E:$E,$J159)="","",INDEX(Emails!$E:$E,$J159)))</f>
        <v/>
      </c>
      <c r="E159" s="47" t="str">
        <f aca="false">IF($J159="","",IF(INDEX(Emails!$O:$O,$J159)="","",INDEX(Emails!$O:$O,$J159)))</f>
        <v/>
      </c>
      <c r="F159" s="48" t="str">
        <f aca="false">IF($J159="","",IF(INDEX(Emails!$B:$B,$J159)="","",INDEX(Emails!$B:$B,$J159)))</f>
        <v/>
      </c>
      <c r="G159" s="48" t="str">
        <f aca="false">IF($J159="","",IF(INDEX(Emails!$N:$N,$J159)="","",INDEX(Emails!$N:$N,$J159)))</f>
        <v/>
      </c>
      <c r="H159" s="47" t="str">
        <f aca="false">IF($J159="","",INDEX(Emails!$R:$R,$J159)&amp;IF(INDEX(Emails!$K:$K,$J159)&lt;&gt;""," — "&amp;INDEX(Emails!$K:$K,$J159),""))</f>
        <v/>
      </c>
      <c r="J159" s="0" t="str">
        <f aca="false">IFERROR(SMALL(Emails!$V$5:$V$304,4),"")</f>
        <v/>
      </c>
    </row>
    <row r="160" customFormat="false" ht="15" hidden="false" customHeight="false" outlineLevel="0" collapsed="false">
      <c r="A160" s="46" t="str">
        <f aca="false">IF($J160="","",IF(INDEX(Emails!$A:$A,$J160)="","",INDEX(Emails!$A:$A,$J160)))</f>
        <v/>
      </c>
      <c r="B160" s="47" t="str">
        <f aca="false">IF($J160="","",IF(INDEX(Emails!$G:$G,$J160)="","",INDEX(Emails!$G:$G,$J160)))</f>
        <v/>
      </c>
      <c r="C160" s="47" t="str">
        <f aca="false">IF($J160="","",IF(INDEX(Emails!$H:$H,$J160)="","",INDEX(Emails!$H:$H,$J160)))</f>
        <v/>
      </c>
      <c r="D160" s="47" t="str">
        <f aca="false">IF($J160="","",IF(INDEX(Emails!$E:$E,$J160)="","",INDEX(Emails!$E:$E,$J160)))</f>
        <v/>
      </c>
      <c r="E160" s="47" t="str">
        <f aca="false">IF($J160="","",IF(INDEX(Emails!$O:$O,$J160)="","",INDEX(Emails!$O:$O,$J160)))</f>
        <v/>
      </c>
      <c r="F160" s="48" t="str">
        <f aca="false">IF($J160="","",IF(INDEX(Emails!$B:$B,$J160)="","",INDEX(Emails!$B:$B,$J160)))</f>
        <v/>
      </c>
      <c r="G160" s="48" t="str">
        <f aca="false">IF($J160="","",IF(INDEX(Emails!$N:$N,$J160)="","",INDEX(Emails!$N:$N,$J160)))</f>
        <v/>
      </c>
      <c r="H160" s="47" t="str">
        <f aca="false">IF($J160="","",INDEX(Emails!$R:$R,$J160)&amp;IF(INDEX(Emails!$K:$K,$J160)&lt;&gt;""," — "&amp;INDEX(Emails!$K:$K,$J160),""))</f>
        <v/>
      </c>
      <c r="J160" s="0" t="str">
        <f aca="false">IFERROR(SMALL(Emails!$V$5:$V$304,5),"")</f>
        <v/>
      </c>
    </row>
    <row r="161" customFormat="false" ht="15" hidden="false" customHeight="false" outlineLevel="0" collapsed="false">
      <c r="A161" s="46" t="str">
        <f aca="false">IF($J161="","",IF(INDEX(Emails!$A:$A,$J161)="","",INDEX(Emails!$A:$A,$J161)))</f>
        <v/>
      </c>
      <c r="B161" s="47" t="str">
        <f aca="false">IF($J161="","",IF(INDEX(Emails!$G:$G,$J161)="","",INDEX(Emails!$G:$G,$J161)))</f>
        <v/>
      </c>
      <c r="C161" s="47" t="str">
        <f aca="false">IF($J161="","",IF(INDEX(Emails!$H:$H,$J161)="","",INDEX(Emails!$H:$H,$J161)))</f>
        <v/>
      </c>
      <c r="D161" s="47" t="str">
        <f aca="false">IF($J161="","",IF(INDEX(Emails!$E:$E,$J161)="","",INDEX(Emails!$E:$E,$J161)))</f>
        <v/>
      </c>
      <c r="E161" s="47" t="str">
        <f aca="false">IF($J161="","",IF(INDEX(Emails!$O:$O,$J161)="","",INDEX(Emails!$O:$O,$J161)))</f>
        <v/>
      </c>
      <c r="F161" s="48" t="str">
        <f aca="false">IF($J161="","",IF(INDEX(Emails!$B:$B,$J161)="","",INDEX(Emails!$B:$B,$J161)))</f>
        <v/>
      </c>
      <c r="G161" s="48" t="str">
        <f aca="false">IF($J161="","",IF(INDEX(Emails!$N:$N,$J161)="","",INDEX(Emails!$N:$N,$J161)))</f>
        <v/>
      </c>
      <c r="H161" s="47" t="str">
        <f aca="false">IF($J161="","",INDEX(Emails!$R:$R,$J161)&amp;IF(INDEX(Emails!$K:$K,$J161)&lt;&gt;""," — "&amp;INDEX(Emails!$K:$K,$J161),""))</f>
        <v/>
      </c>
      <c r="J161" s="0" t="str">
        <f aca="false">IFERROR(SMALL(Emails!$V$5:$V$304,6),"")</f>
        <v/>
      </c>
    </row>
    <row r="163" customFormat="false" ht="31.5" hidden="false" customHeight="true" outlineLevel="0" collapsed="false">
      <c r="A163" s="50" t="s">
        <v>170</v>
      </c>
      <c r="B163" s="51" t="str">
        <f aca="false">IF($J$8="","(no Weekly Status Log entry for this meeting date)",IF(INDEX('Weekly Status Log'!$H$5:$H$108,$J$8)="","(no commentary entered)",INDEX('Weekly Status Log'!$H$5:$H$108,$J$8)))</f>
        <v>Entity C CMDB extract (Network Security, needed 23-Oct).</v>
      </c>
      <c r="C163" s="51"/>
      <c r="D163" s="51"/>
      <c r="E163" s="51"/>
      <c r="F163" s="51"/>
      <c r="G163" s="51"/>
      <c r="H163" s="51"/>
    </row>
    <row r="165" customFormat="false" ht="19.5" hidden="false" customHeight="true" outlineLevel="0" collapsed="false">
      <c r="A165" s="3" t="s">
        <v>201</v>
      </c>
      <c r="B165" s="4"/>
      <c r="C165" s="4"/>
      <c r="D165" s="4"/>
      <c r="E165" s="4"/>
      <c r="F165" s="4"/>
      <c r="G165" s="4"/>
      <c r="H165" s="4"/>
    </row>
    <row r="166" customFormat="false" ht="15" hidden="false" customHeight="false" outlineLevel="0" collapsed="false">
      <c r="A166" s="43" t="s">
        <v>202</v>
      </c>
      <c r="H166" s="44" t="str">
        <f aca="false">"Showing "&amp;MIN(10,COUNT(Tasks!$AD$5:$AD$304))&amp;" of "&amp;COUNT(Tasks!$AD$5:$AD$304)&amp;IF(COUNT(Tasks!$AD$5:$AD$304)&gt;10,"  — see Tasks tab for the rest","")</f>
        <v>Showing 1 of 1</v>
      </c>
    </row>
    <row r="167" customFormat="false" ht="15" hidden="false" customHeight="false" outlineLevel="0" collapsed="false">
      <c r="A167" s="25" t="s">
        <v>203</v>
      </c>
    </row>
    <row r="168" customFormat="false" ht="15" hidden="false" customHeight="false" outlineLevel="0" collapsed="false">
      <c r="A168" s="45" t="s">
        <v>140</v>
      </c>
      <c r="B168" s="45" t="s">
        <v>141</v>
      </c>
      <c r="C168" s="45" t="s">
        <v>142</v>
      </c>
      <c r="D168" s="45" t="s">
        <v>143</v>
      </c>
      <c r="E168" s="45" t="s">
        <v>173</v>
      </c>
      <c r="F168" s="45" t="s">
        <v>174</v>
      </c>
      <c r="G168" s="45" t="s">
        <v>145</v>
      </c>
      <c r="H168" s="45" t="s">
        <v>204</v>
      </c>
    </row>
    <row r="169" customFormat="false" ht="22.35" hidden="false" customHeight="false" outlineLevel="0" collapsed="false">
      <c r="A169" s="46" t="str">
        <f aca="false">IF($J169="","",IF(INDEX(Tasks!$A:$A,$J169)="","",INDEX(Tasks!$A:$A,$J169)))</f>
        <v>TSK-001</v>
      </c>
      <c r="B169" s="47" t="str">
        <f aca="false">IF(COUNT(Tasks!$AD$5:$AD$304)=0,"— None —",IF($J169="","",IF(INDEX(Tasks!$F:$F,$J169)="","",INDEX(Tasks!$F:$F,$J169))))</f>
        <v>Reconcile EASM-discovered assets against CMDB extract; quantify unattributed / unknown assets by legal entity</v>
      </c>
      <c r="C169" s="47" t="str">
        <f aca="false">IF($J169="","",IF(INDEX(Tasks!$E:$E,$J169)="","",INDEX(Tasks!$E:$E,$J169)))</f>
        <v>Attribution &amp; Ownership</v>
      </c>
      <c r="D169" s="47" t="str">
        <f aca="false">IF($J169="","",IF(INDEX(Tasks!$H:$H,$J169)="","",INDEX(Tasks!$H:$H,$J169)))</f>
        <v>Me (2LoD CRI)</v>
      </c>
      <c r="E169" s="47" t="str">
        <f aca="false">IF($J169="","",IF(INDEX(Tasks!$J:$J,$J169)="","",INDEX(Tasks!$J:$J,$J169)))</f>
        <v>High</v>
      </c>
      <c r="F169" s="48" t="n">
        <f aca="false">IF($J169="","",IF(INDEX(Tasks!$L:$L,$J169)="","",INDEX(Tasks!$L:$L,$J169)))</f>
        <v>46311</v>
      </c>
      <c r="G169" s="48" t="n">
        <f aca="false">IF($J169="","",IF(INDEX(Tasks!$M:$M,$J169)="","",INDEX(Tasks!$M:$M,$J169)))</f>
        <v>46332</v>
      </c>
      <c r="H169" s="47" t="str">
        <f aca="false">IF($J169="","",INDEX(Tasks!$K:$K,$J169)&amp;IF(INDEX(Tasks!$X:$X,$J169)&lt;&gt;""," · "&amp;INDEX(Tasks!$X:$X,$J169),""))</f>
        <v>In Progress · On Schedule</v>
      </c>
      <c r="J169" s="16" t="n">
        <f aca="false">IFERROR(SMALL(Tasks!$AD$5:$AD$304,1),"")</f>
        <v>5</v>
      </c>
    </row>
    <row r="170" customFormat="false" ht="15" hidden="false" customHeight="false" outlineLevel="0" collapsed="false">
      <c r="A170" s="46" t="str">
        <f aca="false">IF($J170="","",IF(INDEX(Tasks!$A:$A,$J170)="","",INDEX(Tasks!$A:$A,$J170)))</f>
        <v/>
      </c>
      <c r="B170" s="47" t="str">
        <f aca="false">IF($J170="","",IF(INDEX(Tasks!$F:$F,$J170)="","",INDEX(Tasks!$F:$F,$J170)))</f>
        <v/>
      </c>
      <c r="C170" s="47" t="str">
        <f aca="false">IF($J170="","",IF(INDEX(Tasks!$E:$E,$J170)="","",INDEX(Tasks!$E:$E,$J170)))</f>
        <v/>
      </c>
      <c r="D170" s="47" t="str">
        <f aca="false">IF($J170="","",IF(INDEX(Tasks!$H:$H,$J170)="","",INDEX(Tasks!$H:$H,$J170)))</f>
        <v/>
      </c>
      <c r="E170" s="47" t="str">
        <f aca="false">IF($J170="","",IF(INDEX(Tasks!$J:$J,$J170)="","",INDEX(Tasks!$J:$J,$J170)))</f>
        <v/>
      </c>
      <c r="F170" s="48" t="str">
        <f aca="false">IF($J170="","",IF(INDEX(Tasks!$L:$L,$J170)="","",INDEX(Tasks!$L:$L,$J170)))</f>
        <v/>
      </c>
      <c r="G170" s="48" t="str">
        <f aca="false">IF($J170="","",IF(INDEX(Tasks!$M:$M,$J170)="","",INDEX(Tasks!$M:$M,$J170)))</f>
        <v/>
      </c>
      <c r="H170" s="47" t="str">
        <f aca="false">IF($J170="","",INDEX(Tasks!$K:$K,$J170)&amp;IF(INDEX(Tasks!$X:$X,$J170)&lt;&gt;""," · "&amp;INDEX(Tasks!$X:$X,$J170),""))</f>
        <v/>
      </c>
      <c r="J170" s="0" t="str">
        <f aca="false">IFERROR(SMALL(Tasks!$AD$5:$AD$304,2),"")</f>
        <v/>
      </c>
    </row>
    <row r="171" customFormat="false" ht="15" hidden="false" customHeight="false" outlineLevel="0" collapsed="false">
      <c r="A171" s="46" t="str">
        <f aca="false">IF($J171="","",IF(INDEX(Tasks!$A:$A,$J171)="","",INDEX(Tasks!$A:$A,$J171)))</f>
        <v/>
      </c>
      <c r="B171" s="47" t="str">
        <f aca="false">IF($J171="","",IF(INDEX(Tasks!$F:$F,$J171)="","",INDEX(Tasks!$F:$F,$J171)))</f>
        <v/>
      </c>
      <c r="C171" s="47" t="str">
        <f aca="false">IF($J171="","",IF(INDEX(Tasks!$E:$E,$J171)="","",INDEX(Tasks!$E:$E,$J171)))</f>
        <v/>
      </c>
      <c r="D171" s="47" t="str">
        <f aca="false">IF($J171="","",IF(INDEX(Tasks!$H:$H,$J171)="","",INDEX(Tasks!$H:$H,$J171)))</f>
        <v/>
      </c>
      <c r="E171" s="47" t="str">
        <f aca="false">IF($J171="","",IF(INDEX(Tasks!$J:$J,$J171)="","",INDEX(Tasks!$J:$J,$J171)))</f>
        <v/>
      </c>
      <c r="F171" s="48" t="str">
        <f aca="false">IF($J171="","",IF(INDEX(Tasks!$L:$L,$J171)="","",INDEX(Tasks!$L:$L,$J171)))</f>
        <v/>
      </c>
      <c r="G171" s="48" t="str">
        <f aca="false">IF($J171="","",IF(INDEX(Tasks!$M:$M,$J171)="","",INDEX(Tasks!$M:$M,$J171)))</f>
        <v/>
      </c>
      <c r="H171" s="47" t="str">
        <f aca="false">IF($J171="","",INDEX(Tasks!$K:$K,$J171)&amp;IF(INDEX(Tasks!$X:$X,$J171)&lt;&gt;""," · "&amp;INDEX(Tasks!$X:$X,$J171),""))</f>
        <v/>
      </c>
      <c r="J171" s="0" t="str">
        <f aca="false">IFERROR(SMALL(Tasks!$AD$5:$AD$304,3),"")</f>
        <v/>
      </c>
    </row>
    <row r="172" customFormat="false" ht="15" hidden="false" customHeight="false" outlineLevel="0" collapsed="false">
      <c r="A172" s="46" t="str">
        <f aca="false">IF($J172="","",IF(INDEX(Tasks!$A:$A,$J172)="","",INDEX(Tasks!$A:$A,$J172)))</f>
        <v/>
      </c>
      <c r="B172" s="47" t="str">
        <f aca="false">IF($J172="","",IF(INDEX(Tasks!$F:$F,$J172)="","",INDEX(Tasks!$F:$F,$J172)))</f>
        <v/>
      </c>
      <c r="C172" s="47" t="str">
        <f aca="false">IF($J172="","",IF(INDEX(Tasks!$E:$E,$J172)="","",INDEX(Tasks!$E:$E,$J172)))</f>
        <v/>
      </c>
      <c r="D172" s="47" t="str">
        <f aca="false">IF($J172="","",IF(INDEX(Tasks!$H:$H,$J172)="","",INDEX(Tasks!$H:$H,$J172)))</f>
        <v/>
      </c>
      <c r="E172" s="47" t="str">
        <f aca="false">IF($J172="","",IF(INDEX(Tasks!$J:$J,$J172)="","",INDEX(Tasks!$J:$J,$J172)))</f>
        <v/>
      </c>
      <c r="F172" s="48" t="str">
        <f aca="false">IF($J172="","",IF(INDEX(Tasks!$L:$L,$J172)="","",INDEX(Tasks!$L:$L,$J172)))</f>
        <v/>
      </c>
      <c r="G172" s="48" t="str">
        <f aca="false">IF($J172="","",IF(INDEX(Tasks!$M:$M,$J172)="","",INDEX(Tasks!$M:$M,$J172)))</f>
        <v/>
      </c>
      <c r="H172" s="47" t="str">
        <f aca="false">IF($J172="","",INDEX(Tasks!$K:$K,$J172)&amp;IF(INDEX(Tasks!$X:$X,$J172)&lt;&gt;""," · "&amp;INDEX(Tasks!$X:$X,$J172),""))</f>
        <v/>
      </c>
      <c r="J172" s="0" t="str">
        <f aca="false">IFERROR(SMALL(Tasks!$AD$5:$AD$304,4),"")</f>
        <v/>
      </c>
    </row>
    <row r="173" customFormat="false" ht="15" hidden="false" customHeight="false" outlineLevel="0" collapsed="false">
      <c r="A173" s="46" t="str">
        <f aca="false">IF($J173="","",IF(INDEX(Tasks!$A:$A,$J173)="","",INDEX(Tasks!$A:$A,$J173)))</f>
        <v/>
      </c>
      <c r="B173" s="47" t="str">
        <f aca="false">IF($J173="","",IF(INDEX(Tasks!$F:$F,$J173)="","",INDEX(Tasks!$F:$F,$J173)))</f>
        <v/>
      </c>
      <c r="C173" s="47" t="str">
        <f aca="false">IF($J173="","",IF(INDEX(Tasks!$E:$E,$J173)="","",INDEX(Tasks!$E:$E,$J173)))</f>
        <v/>
      </c>
      <c r="D173" s="47" t="str">
        <f aca="false">IF($J173="","",IF(INDEX(Tasks!$H:$H,$J173)="","",INDEX(Tasks!$H:$H,$J173)))</f>
        <v/>
      </c>
      <c r="E173" s="47" t="str">
        <f aca="false">IF($J173="","",IF(INDEX(Tasks!$J:$J,$J173)="","",INDEX(Tasks!$J:$J,$J173)))</f>
        <v/>
      </c>
      <c r="F173" s="48" t="str">
        <f aca="false">IF($J173="","",IF(INDEX(Tasks!$L:$L,$J173)="","",INDEX(Tasks!$L:$L,$J173)))</f>
        <v/>
      </c>
      <c r="G173" s="48" t="str">
        <f aca="false">IF($J173="","",IF(INDEX(Tasks!$M:$M,$J173)="","",INDEX(Tasks!$M:$M,$J173)))</f>
        <v/>
      </c>
      <c r="H173" s="47" t="str">
        <f aca="false">IF($J173="","",INDEX(Tasks!$K:$K,$J173)&amp;IF(INDEX(Tasks!$X:$X,$J173)&lt;&gt;""," · "&amp;INDEX(Tasks!$X:$X,$J173),""))</f>
        <v/>
      </c>
      <c r="J173" s="0" t="str">
        <f aca="false">IFERROR(SMALL(Tasks!$AD$5:$AD$304,5),"")</f>
        <v/>
      </c>
    </row>
    <row r="174" customFormat="false" ht="15" hidden="false" customHeight="false" outlineLevel="0" collapsed="false">
      <c r="A174" s="46" t="str">
        <f aca="false">IF($J174="","",IF(INDEX(Tasks!$A:$A,$J174)="","",INDEX(Tasks!$A:$A,$J174)))</f>
        <v/>
      </c>
      <c r="B174" s="47" t="str">
        <f aca="false">IF($J174="","",IF(INDEX(Tasks!$F:$F,$J174)="","",INDEX(Tasks!$F:$F,$J174)))</f>
        <v/>
      </c>
      <c r="C174" s="47" t="str">
        <f aca="false">IF($J174="","",IF(INDEX(Tasks!$E:$E,$J174)="","",INDEX(Tasks!$E:$E,$J174)))</f>
        <v/>
      </c>
      <c r="D174" s="47" t="str">
        <f aca="false">IF($J174="","",IF(INDEX(Tasks!$H:$H,$J174)="","",INDEX(Tasks!$H:$H,$J174)))</f>
        <v/>
      </c>
      <c r="E174" s="47" t="str">
        <f aca="false">IF($J174="","",IF(INDEX(Tasks!$J:$J,$J174)="","",INDEX(Tasks!$J:$J,$J174)))</f>
        <v/>
      </c>
      <c r="F174" s="48" t="str">
        <f aca="false">IF($J174="","",IF(INDEX(Tasks!$L:$L,$J174)="","",INDEX(Tasks!$L:$L,$J174)))</f>
        <v/>
      </c>
      <c r="G174" s="48" t="str">
        <f aca="false">IF($J174="","",IF(INDEX(Tasks!$M:$M,$J174)="","",INDEX(Tasks!$M:$M,$J174)))</f>
        <v/>
      </c>
      <c r="H174" s="47" t="str">
        <f aca="false">IF($J174="","",INDEX(Tasks!$K:$K,$J174)&amp;IF(INDEX(Tasks!$X:$X,$J174)&lt;&gt;""," · "&amp;INDEX(Tasks!$X:$X,$J174),""))</f>
        <v/>
      </c>
      <c r="J174" s="0" t="str">
        <f aca="false">IFERROR(SMALL(Tasks!$AD$5:$AD$304,6),"")</f>
        <v/>
      </c>
    </row>
    <row r="175" customFormat="false" ht="15" hidden="false" customHeight="false" outlineLevel="0" collapsed="false">
      <c r="A175" s="46" t="str">
        <f aca="false">IF($J175="","",IF(INDEX(Tasks!$A:$A,$J175)="","",INDEX(Tasks!$A:$A,$J175)))</f>
        <v/>
      </c>
      <c r="B175" s="47" t="str">
        <f aca="false">IF($J175="","",IF(INDEX(Tasks!$F:$F,$J175)="","",INDEX(Tasks!$F:$F,$J175)))</f>
        <v/>
      </c>
      <c r="C175" s="47" t="str">
        <f aca="false">IF($J175="","",IF(INDEX(Tasks!$E:$E,$J175)="","",INDEX(Tasks!$E:$E,$J175)))</f>
        <v/>
      </c>
      <c r="D175" s="47" t="str">
        <f aca="false">IF($J175="","",IF(INDEX(Tasks!$H:$H,$J175)="","",INDEX(Tasks!$H:$H,$J175)))</f>
        <v/>
      </c>
      <c r="E175" s="47" t="str">
        <f aca="false">IF($J175="","",IF(INDEX(Tasks!$J:$J,$J175)="","",INDEX(Tasks!$J:$J,$J175)))</f>
        <v/>
      </c>
      <c r="F175" s="48" t="str">
        <f aca="false">IF($J175="","",IF(INDEX(Tasks!$L:$L,$J175)="","",INDEX(Tasks!$L:$L,$J175)))</f>
        <v/>
      </c>
      <c r="G175" s="48" t="str">
        <f aca="false">IF($J175="","",IF(INDEX(Tasks!$M:$M,$J175)="","",INDEX(Tasks!$M:$M,$J175)))</f>
        <v/>
      </c>
      <c r="H175" s="47" t="str">
        <f aca="false">IF($J175="","",INDEX(Tasks!$K:$K,$J175)&amp;IF(INDEX(Tasks!$X:$X,$J175)&lt;&gt;""," · "&amp;INDEX(Tasks!$X:$X,$J175),""))</f>
        <v/>
      </c>
      <c r="J175" s="0" t="str">
        <f aca="false">IFERROR(SMALL(Tasks!$AD$5:$AD$304,7),"")</f>
        <v/>
      </c>
    </row>
    <row r="176" customFormat="false" ht="15" hidden="false" customHeight="false" outlineLevel="0" collapsed="false">
      <c r="A176" s="46" t="str">
        <f aca="false">IF($J176="","",IF(INDEX(Tasks!$A:$A,$J176)="","",INDEX(Tasks!$A:$A,$J176)))</f>
        <v/>
      </c>
      <c r="B176" s="47" t="str">
        <f aca="false">IF($J176="","",IF(INDEX(Tasks!$F:$F,$J176)="","",INDEX(Tasks!$F:$F,$J176)))</f>
        <v/>
      </c>
      <c r="C176" s="47" t="str">
        <f aca="false">IF($J176="","",IF(INDEX(Tasks!$E:$E,$J176)="","",INDEX(Tasks!$E:$E,$J176)))</f>
        <v/>
      </c>
      <c r="D176" s="47" t="str">
        <f aca="false">IF($J176="","",IF(INDEX(Tasks!$H:$H,$J176)="","",INDEX(Tasks!$H:$H,$J176)))</f>
        <v/>
      </c>
      <c r="E176" s="47" t="str">
        <f aca="false">IF($J176="","",IF(INDEX(Tasks!$J:$J,$J176)="","",INDEX(Tasks!$J:$J,$J176)))</f>
        <v/>
      </c>
      <c r="F176" s="48" t="str">
        <f aca="false">IF($J176="","",IF(INDEX(Tasks!$L:$L,$J176)="","",INDEX(Tasks!$L:$L,$J176)))</f>
        <v/>
      </c>
      <c r="G176" s="48" t="str">
        <f aca="false">IF($J176="","",IF(INDEX(Tasks!$M:$M,$J176)="","",INDEX(Tasks!$M:$M,$J176)))</f>
        <v/>
      </c>
      <c r="H176" s="47" t="str">
        <f aca="false">IF($J176="","",INDEX(Tasks!$K:$K,$J176)&amp;IF(INDEX(Tasks!$X:$X,$J176)&lt;&gt;""," · "&amp;INDEX(Tasks!$X:$X,$J176),""))</f>
        <v/>
      </c>
      <c r="J176" s="0" t="str">
        <f aca="false">IFERROR(SMALL(Tasks!$AD$5:$AD$304,8),"")</f>
        <v/>
      </c>
    </row>
    <row r="177" customFormat="false" ht="15" hidden="false" customHeight="false" outlineLevel="0" collapsed="false">
      <c r="A177" s="46" t="str">
        <f aca="false">IF($J177="","",IF(INDEX(Tasks!$A:$A,$J177)="","",INDEX(Tasks!$A:$A,$J177)))</f>
        <v/>
      </c>
      <c r="B177" s="47" t="str">
        <f aca="false">IF($J177="","",IF(INDEX(Tasks!$F:$F,$J177)="","",INDEX(Tasks!$F:$F,$J177)))</f>
        <v/>
      </c>
      <c r="C177" s="47" t="str">
        <f aca="false">IF($J177="","",IF(INDEX(Tasks!$E:$E,$J177)="","",INDEX(Tasks!$E:$E,$J177)))</f>
        <v/>
      </c>
      <c r="D177" s="47" t="str">
        <f aca="false">IF($J177="","",IF(INDEX(Tasks!$H:$H,$J177)="","",INDEX(Tasks!$H:$H,$J177)))</f>
        <v/>
      </c>
      <c r="E177" s="47" t="str">
        <f aca="false">IF($J177="","",IF(INDEX(Tasks!$J:$J,$J177)="","",INDEX(Tasks!$J:$J,$J177)))</f>
        <v/>
      </c>
      <c r="F177" s="48" t="str">
        <f aca="false">IF($J177="","",IF(INDEX(Tasks!$L:$L,$J177)="","",INDEX(Tasks!$L:$L,$J177)))</f>
        <v/>
      </c>
      <c r="G177" s="48" t="str">
        <f aca="false">IF($J177="","",IF(INDEX(Tasks!$M:$M,$J177)="","",INDEX(Tasks!$M:$M,$J177)))</f>
        <v/>
      </c>
      <c r="H177" s="47" t="str">
        <f aca="false">IF($J177="","",INDEX(Tasks!$K:$K,$J177)&amp;IF(INDEX(Tasks!$X:$X,$J177)&lt;&gt;""," · "&amp;INDEX(Tasks!$X:$X,$J177),""))</f>
        <v/>
      </c>
      <c r="J177" s="0" t="str">
        <f aca="false">IFERROR(SMALL(Tasks!$AD$5:$AD$304,9),"")</f>
        <v/>
      </c>
    </row>
    <row r="178" customFormat="false" ht="15" hidden="false" customHeight="false" outlineLevel="0" collapsed="false">
      <c r="A178" s="46" t="str">
        <f aca="false">IF($J178="","",IF(INDEX(Tasks!$A:$A,$J178)="","",INDEX(Tasks!$A:$A,$J178)))</f>
        <v/>
      </c>
      <c r="B178" s="47" t="str">
        <f aca="false">IF($J178="","",IF(INDEX(Tasks!$F:$F,$J178)="","",INDEX(Tasks!$F:$F,$J178)))</f>
        <v/>
      </c>
      <c r="C178" s="47" t="str">
        <f aca="false">IF($J178="","",IF(INDEX(Tasks!$E:$E,$J178)="","",INDEX(Tasks!$E:$E,$J178)))</f>
        <v/>
      </c>
      <c r="D178" s="47" t="str">
        <f aca="false">IF($J178="","",IF(INDEX(Tasks!$H:$H,$J178)="","",INDEX(Tasks!$H:$H,$J178)))</f>
        <v/>
      </c>
      <c r="E178" s="47" t="str">
        <f aca="false">IF($J178="","",IF(INDEX(Tasks!$J:$J,$J178)="","",INDEX(Tasks!$J:$J,$J178)))</f>
        <v/>
      </c>
      <c r="F178" s="48" t="str">
        <f aca="false">IF($J178="","",IF(INDEX(Tasks!$L:$L,$J178)="","",INDEX(Tasks!$L:$L,$J178)))</f>
        <v/>
      </c>
      <c r="G178" s="48" t="str">
        <f aca="false">IF($J178="","",IF(INDEX(Tasks!$M:$M,$J178)="","",INDEX(Tasks!$M:$M,$J178)))</f>
        <v/>
      </c>
      <c r="H178" s="47" t="str">
        <f aca="false">IF($J178="","",INDEX(Tasks!$K:$K,$J178)&amp;IF(INDEX(Tasks!$X:$X,$J178)&lt;&gt;""," · "&amp;INDEX(Tasks!$X:$X,$J178),""))</f>
        <v/>
      </c>
      <c r="J178" s="0" t="str">
        <f aca="false">IFERROR(SMALL(Tasks!$AD$5:$AD$304,10),"")</f>
        <v/>
      </c>
    </row>
    <row r="180" customFormat="false" ht="31.5" hidden="false" customHeight="true" outlineLevel="0" collapsed="false">
      <c r="A180" s="50" t="s">
        <v>170</v>
      </c>
      <c r="B180" s="51" t="str">
        <f aca="false">IF($J$8="","(no Weekly Status Log entry for this meeting date)",IF(INDEX('Weekly Status Log'!$I$5:$I$108,$J$8)="","(no commentary entered)",INDEX('Weekly Status Log'!$I$5:$I$108,$J$8)))</f>
        <v>Complete reconciliation; confirm FND-001 exploitability and remediation owner; prepare Phase 3 test plan.</v>
      </c>
      <c r="C180" s="51"/>
      <c r="D180" s="51"/>
      <c r="E180" s="51"/>
      <c r="F180" s="51"/>
      <c r="G180" s="51"/>
      <c r="H180" s="51"/>
    </row>
    <row r="182" customFormat="false" ht="19.5" hidden="false" customHeight="true" outlineLevel="0" collapsed="false">
      <c r="A182" s="3" t="s">
        <v>205</v>
      </c>
      <c r="B182" s="4"/>
      <c r="C182" s="4"/>
      <c r="D182" s="4"/>
      <c r="E182" s="4"/>
      <c r="F182" s="4"/>
      <c r="G182" s="4"/>
      <c r="H182" s="4"/>
    </row>
    <row r="183" customFormat="false" ht="15" hidden="false" customHeight="false" outlineLevel="0" collapsed="false">
      <c r="A183" s="43" t="s">
        <v>206</v>
      </c>
      <c r="H183" s="44" t="str">
        <f aca="false">"Showing "&amp;MIN(6,COUNT(Developments!$X$5:$X$304))&amp;" of "&amp;COUNT(Developments!$X$5:$X$304)&amp;IF(COUNT(Developments!$X$5:$X$304)&gt;6,"  — see Developments tab for the rest","")</f>
        <v>Showing 1 of 1</v>
      </c>
    </row>
    <row r="184" customFormat="false" ht="15" hidden="false" customHeight="false" outlineLevel="0" collapsed="false">
      <c r="A184" s="45" t="s">
        <v>140</v>
      </c>
      <c r="B184" s="45" t="s">
        <v>207</v>
      </c>
      <c r="C184" s="45" t="s">
        <v>158</v>
      </c>
      <c r="D184" s="45" t="s">
        <v>208</v>
      </c>
      <c r="E184" s="45" t="s">
        <v>209</v>
      </c>
      <c r="F184" s="45" t="s">
        <v>210</v>
      </c>
      <c r="G184" s="45" t="s">
        <v>190</v>
      </c>
      <c r="H184" s="45" t="s">
        <v>211</v>
      </c>
    </row>
    <row r="185" customFormat="false" ht="22.35" hidden="false" customHeight="false" outlineLevel="0" collapsed="false">
      <c r="A185" s="46" t="str">
        <f aca="false">IF($J185="","",IF(INDEX(Developments!$A:$A,$J185)="","",INDEX(Developments!$A:$A,$J185)))</f>
        <v>DEV-001</v>
      </c>
      <c r="B185" s="47" t="str">
        <f aca="false">IF(COUNT(Developments!$X$5:$X$304)=0,"— None —",IF($J185="","",IF(INDEX(Developments!$N:$N,$J185)="","",INDEX(Developments!$N:$N,$J185))))</f>
        <v>Approve extension of EASM scope to 3 acquired entities and +3 weeks on Phase 2</v>
      </c>
      <c r="C185" s="47" t="str">
        <f aca="false">IF($J185="","",IF(INDEX(Developments!$C:$C,$J185)="","",INDEX(Developments!$C:$C,$J185)))</f>
        <v>Scope Change</v>
      </c>
      <c r="D185" s="47" t="str">
        <f aca="false">IF($J185="","",IF(INDEX(Developments!$O:$O,$J185)="","",INDEX(Developments!$O:$O,$J185)))</f>
        <v>Mission Sponsor</v>
      </c>
      <c r="E185" s="47" t="str">
        <f aca="false">IF($J185="","",IF(INDEX(Developments!$Q:$Q,$J185)="","",INDEX(Developments!$Q:$Q,$J185)))</f>
        <v>Open</v>
      </c>
      <c r="F185" s="48" t="n">
        <f aca="false">IF($J185="","",IF(INDEX(Developments!$B:$B,$J185)="","",INDEX(Developments!$B:$B,$J185)))</f>
        <v>46310</v>
      </c>
      <c r="G185" s="48" t="n">
        <f aca="false">IF($J185="","",IF(INDEX(Developments!$P:$P,$J185)="","",INDEX(Developments!$P:$P,$J185)))</f>
        <v>46325</v>
      </c>
      <c r="H185" s="47" t="str">
        <f aca="false">IF($J185="","",INDEX(Developments!$J:$J,$J185)&amp;" impact · "&amp;INDEX(Developments!$K:$K,$J185)&amp;" · RAF: "&amp;INDEX(Developments!$L:$L,$J185))</f>
        <v>High impact · Systemic / Concentration · RAF: Not Assessed</v>
      </c>
      <c r="J185" s="16" t="n">
        <f aca="false">IFERROR(SMALL(Developments!$X$5:$X$304,1),"")</f>
        <v>5</v>
      </c>
    </row>
    <row r="186" customFormat="false" ht="15" hidden="false" customHeight="false" outlineLevel="0" collapsed="false">
      <c r="A186" s="46" t="str">
        <f aca="false">IF($J186="","",IF(INDEX(Developments!$A:$A,$J186)="","",INDEX(Developments!$A:$A,$J186)))</f>
        <v/>
      </c>
      <c r="B186" s="47" t="str">
        <f aca="false">IF($J186="","",IF(INDEX(Developments!$N:$N,$J186)="","",INDEX(Developments!$N:$N,$J186)))</f>
        <v/>
      </c>
      <c r="C186" s="47" t="str">
        <f aca="false">IF($J186="","",IF(INDEX(Developments!$C:$C,$J186)="","",INDEX(Developments!$C:$C,$J186)))</f>
        <v/>
      </c>
      <c r="D186" s="47" t="str">
        <f aca="false">IF($J186="","",IF(INDEX(Developments!$O:$O,$J186)="","",INDEX(Developments!$O:$O,$J186)))</f>
        <v/>
      </c>
      <c r="E186" s="47" t="str">
        <f aca="false">IF($J186="","",IF(INDEX(Developments!$Q:$Q,$J186)="","",INDEX(Developments!$Q:$Q,$J186)))</f>
        <v/>
      </c>
      <c r="F186" s="48" t="str">
        <f aca="false">IF($J186="","",IF(INDEX(Developments!$B:$B,$J186)="","",INDEX(Developments!$B:$B,$J186)))</f>
        <v/>
      </c>
      <c r="G186" s="48" t="str">
        <f aca="false">IF($J186="","",IF(INDEX(Developments!$P:$P,$J186)="","",INDEX(Developments!$P:$P,$J186)))</f>
        <v/>
      </c>
      <c r="H186" s="47" t="str">
        <f aca="false">IF($J186="","",INDEX(Developments!$J:$J,$J186)&amp;" impact · "&amp;INDEX(Developments!$K:$K,$J186)&amp;" · RAF: "&amp;INDEX(Developments!$L:$L,$J186))</f>
        <v/>
      </c>
      <c r="J186" s="0" t="str">
        <f aca="false">IFERROR(SMALL(Developments!$X$5:$X$304,2),"")</f>
        <v/>
      </c>
    </row>
    <row r="187" customFormat="false" ht="15" hidden="false" customHeight="false" outlineLevel="0" collapsed="false">
      <c r="A187" s="46" t="str">
        <f aca="false">IF($J187="","",IF(INDEX(Developments!$A:$A,$J187)="","",INDEX(Developments!$A:$A,$J187)))</f>
        <v/>
      </c>
      <c r="B187" s="47" t="str">
        <f aca="false">IF($J187="","",IF(INDEX(Developments!$N:$N,$J187)="","",INDEX(Developments!$N:$N,$J187)))</f>
        <v/>
      </c>
      <c r="C187" s="47" t="str">
        <f aca="false">IF($J187="","",IF(INDEX(Developments!$C:$C,$J187)="","",INDEX(Developments!$C:$C,$J187)))</f>
        <v/>
      </c>
      <c r="D187" s="47" t="str">
        <f aca="false">IF($J187="","",IF(INDEX(Developments!$O:$O,$J187)="","",INDEX(Developments!$O:$O,$J187)))</f>
        <v/>
      </c>
      <c r="E187" s="47" t="str">
        <f aca="false">IF($J187="","",IF(INDEX(Developments!$Q:$Q,$J187)="","",INDEX(Developments!$Q:$Q,$J187)))</f>
        <v/>
      </c>
      <c r="F187" s="48" t="str">
        <f aca="false">IF($J187="","",IF(INDEX(Developments!$B:$B,$J187)="","",INDEX(Developments!$B:$B,$J187)))</f>
        <v/>
      </c>
      <c r="G187" s="48" t="str">
        <f aca="false">IF($J187="","",IF(INDEX(Developments!$P:$P,$J187)="","",INDEX(Developments!$P:$P,$J187)))</f>
        <v/>
      </c>
      <c r="H187" s="47" t="str">
        <f aca="false">IF($J187="","",INDEX(Developments!$J:$J,$J187)&amp;" impact · "&amp;INDEX(Developments!$K:$K,$J187)&amp;" · RAF: "&amp;INDEX(Developments!$L:$L,$J187))</f>
        <v/>
      </c>
      <c r="J187" s="0" t="str">
        <f aca="false">IFERROR(SMALL(Developments!$X$5:$X$304,3),"")</f>
        <v/>
      </c>
    </row>
    <row r="188" customFormat="false" ht="15" hidden="false" customHeight="false" outlineLevel="0" collapsed="false">
      <c r="A188" s="46" t="str">
        <f aca="false">IF($J188="","",IF(INDEX(Developments!$A:$A,$J188)="","",INDEX(Developments!$A:$A,$J188)))</f>
        <v/>
      </c>
      <c r="B188" s="47" t="str">
        <f aca="false">IF($J188="","",IF(INDEX(Developments!$N:$N,$J188)="","",INDEX(Developments!$N:$N,$J188)))</f>
        <v/>
      </c>
      <c r="C188" s="47" t="str">
        <f aca="false">IF($J188="","",IF(INDEX(Developments!$C:$C,$J188)="","",INDEX(Developments!$C:$C,$J188)))</f>
        <v/>
      </c>
      <c r="D188" s="47" t="str">
        <f aca="false">IF($J188="","",IF(INDEX(Developments!$O:$O,$J188)="","",INDEX(Developments!$O:$O,$J188)))</f>
        <v/>
      </c>
      <c r="E188" s="47" t="str">
        <f aca="false">IF($J188="","",IF(INDEX(Developments!$Q:$Q,$J188)="","",INDEX(Developments!$Q:$Q,$J188)))</f>
        <v/>
      </c>
      <c r="F188" s="48" t="str">
        <f aca="false">IF($J188="","",IF(INDEX(Developments!$B:$B,$J188)="","",INDEX(Developments!$B:$B,$J188)))</f>
        <v/>
      </c>
      <c r="G188" s="48" t="str">
        <f aca="false">IF($J188="","",IF(INDEX(Developments!$P:$P,$J188)="","",INDEX(Developments!$P:$P,$J188)))</f>
        <v/>
      </c>
      <c r="H188" s="47" t="str">
        <f aca="false">IF($J188="","",INDEX(Developments!$J:$J,$J188)&amp;" impact · "&amp;INDEX(Developments!$K:$K,$J188)&amp;" · RAF: "&amp;INDEX(Developments!$L:$L,$J188))</f>
        <v/>
      </c>
      <c r="J188" s="0" t="str">
        <f aca="false">IFERROR(SMALL(Developments!$X$5:$X$304,4),"")</f>
        <v/>
      </c>
    </row>
    <row r="189" customFormat="false" ht="15" hidden="false" customHeight="false" outlineLevel="0" collapsed="false">
      <c r="A189" s="46" t="str">
        <f aca="false">IF($J189="","",IF(INDEX(Developments!$A:$A,$J189)="","",INDEX(Developments!$A:$A,$J189)))</f>
        <v/>
      </c>
      <c r="B189" s="47" t="str">
        <f aca="false">IF($J189="","",IF(INDEX(Developments!$N:$N,$J189)="","",INDEX(Developments!$N:$N,$J189)))</f>
        <v/>
      </c>
      <c r="C189" s="47" t="str">
        <f aca="false">IF($J189="","",IF(INDEX(Developments!$C:$C,$J189)="","",INDEX(Developments!$C:$C,$J189)))</f>
        <v/>
      </c>
      <c r="D189" s="47" t="str">
        <f aca="false">IF($J189="","",IF(INDEX(Developments!$O:$O,$J189)="","",INDEX(Developments!$O:$O,$J189)))</f>
        <v/>
      </c>
      <c r="E189" s="47" t="str">
        <f aca="false">IF($J189="","",IF(INDEX(Developments!$Q:$Q,$J189)="","",INDEX(Developments!$Q:$Q,$J189)))</f>
        <v/>
      </c>
      <c r="F189" s="48" t="str">
        <f aca="false">IF($J189="","",IF(INDEX(Developments!$B:$B,$J189)="","",INDEX(Developments!$B:$B,$J189)))</f>
        <v/>
      </c>
      <c r="G189" s="48" t="str">
        <f aca="false">IF($J189="","",IF(INDEX(Developments!$P:$P,$J189)="","",INDEX(Developments!$P:$P,$J189)))</f>
        <v/>
      </c>
      <c r="H189" s="47" t="str">
        <f aca="false">IF($J189="","",INDEX(Developments!$J:$J,$J189)&amp;" impact · "&amp;INDEX(Developments!$K:$K,$J189)&amp;" · RAF: "&amp;INDEX(Developments!$L:$L,$J189))</f>
        <v/>
      </c>
      <c r="J189" s="0" t="str">
        <f aca="false">IFERROR(SMALL(Developments!$X$5:$X$304,5),"")</f>
        <v/>
      </c>
    </row>
    <row r="190" customFormat="false" ht="15" hidden="false" customHeight="false" outlineLevel="0" collapsed="false">
      <c r="A190" s="46" t="str">
        <f aca="false">IF($J190="","",IF(INDEX(Developments!$A:$A,$J190)="","",INDEX(Developments!$A:$A,$J190)))</f>
        <v/>
      </c>
      <c r="B190" s="47" t="str">
        <f aca="false">IF($J190="","",IF(INDEX(Developments!$N:$N,$J190)="","",INDEX(Developments!$N:$N,$J190)))</f>
        <v/>
      </c>
      <c r="C190" s="47" t="str">
        <f aca="false">IF($J190="","",IF(INDEX(Developments!$C:$C,$J190)="","",INDEX(Developments!$C:$C,$J190)))</f>
        <v/>
      </c>
      <c r="D190" s="47" t="str">
        <f aca="false">IF($J190="","",IF(INDEX(Developments!$O:$O,$J190)="","",INDEX(Developments!$O:$O,$J190)))</f>
        <v/>
      </c>
      <c r="E190" s="47" t="str">
        <f aca="false">IF($J190="","",IF(INDEX(Developments!$Q:$Q,$J190)="","",INDEX(Developments!$Q:$Q,$J190)))</f>
        <v/>
      </c>
      <c r="F190" s="48" t="str">
        <f aca="false">IF($J190="","",IF(INDEX(Developments!$B:$B,$J190)="","",INDEX(Developments!$B:$B,$J190)))</f>
        <v/>
      </c>
      <c r="G190" s="48" t="str">
        <f aca="false">IF($J190="","",IF(INDEX(Developments!$P:$P,$J190)="","",INDEX(Developments!$P:$P,$J190)))</f>
        <v/>
      </c>
      <c r="H190" s="47" t="str">
        <f aca="false">IF($J190="","",INDEX(Developments!$J:$J,$J190)&amp;" impact · "&amp;INDEX(Developments!$K:$K,$J190)&amp;" · RAF: "&amp;INDEX(Developments!$L:$L,$J190))</f>
        <v/>
      </c>
      <c r="J190" s="0" t="str">
        <f aca="false">IFERROR(SMALL(Developments!$X$5:$X$304,6),"")</f>
        <v/>
      </c>
    </row>
    <row r="192" customFormat="false" ht="15" hidden="false" customHeight="false" outlineLevel="0" collapsed="false">
      <c r="A192" s="43" t="s">
        <v>212</v>
      </c>
      <c r="H192" s="44" t="str">
        <f aca="false">"Showing "&amp;MIN(6,COUNT('EASM Findings'!$AG$5:$AG$304))&amp;" of "&amp;COUNT('EASM Findings'!$AG$5:$AG$304)&amp;IF(COUNT('EASM Findings'!$AG$5:$AG$304)&gt;6,"  — see EASM Findings tab for the rest","")</f>
        <v>Showing 0 of 0</v>
      </c>
    </row>
    <row r="193" customFormat="false" ht="15" hidden="false" customHeight="false" outlineLevel="0" collapsed="false">
      <c r="A193" s="45" t="s">
        <v>140</v>
      </c>
      <c r="B193" s="45" t="s">
        <v>178</v>
      </c>
      <c r="C193" s="45" t="s">
        <v>179</v>
      </c>
      <c r="D193" s="45" t="s">
        <v>180</v>
      </c>
      <c r="E193" s="45" t="s">
        <v>94</v>
      </c>
      <c r="F193" s="45" t="s">
        <v>182</v>
      </c>
      <c r="G193" s="45" t="s">
        <v>183</v>
      </c>
      <c r="H193" s="45" t="s">
        <v>213</v>
      </c>
    </row>
    <row r="194" customFormat="false" ht="15" hidden="false" customHeight="false" outlineLevel="0" collapsed="false">
      <c r="A194" s="46" t="str">
        <f aca="false">IF($J194="","",IF(INDEX('EASM Findings'!$A:$A,$J194)="","",INDEX('EASM Findings'!$A:$A,$J194)))</f>
        <v/>
      </c>
      <c r="B194" s="47" t="str">
        <f aca="false">IF(COUNT('EASM Findings'!$AG$5:$AG$304)=0,"— None —",IF($J194="","",INDEX('EASM Findings'!$E:$E,$J194)&amp;" — "&amp;INDEX('EASM Findings'!$J:$J,$J194)))</f>
        <v>— None —</v>
      </c>
      <c r="C194" s="47" t="str">
        <f aca="false">IF($J194="","",IF(INDEX('EASM Findings'!$L:$L,$J194)="","",INDEX('EASM Findings'!$L:$L,$J194)))</f>
        <v/>
      </c>
      <c r="D194" s="47" t="str">
        <f aca="false">IF($J194="","",IF(INDEX('EASM Findings'!$R:$R,$J194)="","",INDEX('EASM Findings'!$R:$R,$J194)))</f>
        <v/>
      </c>
      <c r="E194" s="47" t="str">
        <f aca="false">IF($J194="","",IF(INDEX('EASM Findings'!$U:$U,$J194)="","",INDEX('EASM Findings'!$U:$U,$J194)))</f>
        <v/>
      </c>
      <c r="F194" s="48" t="str">
        <f aca="false">IF($J194="","",IF(INDEX('EASM Findings'!$B:$B,$J194)="","",INDEX('EASM Findings'!$B:$B,$J194)))</f>
        <v/>
      </c>
      <c r="G194" s="48" t="str">
        <f aca="false">IF($J194="","",IF(INDEX('EASM Findings'!$T:$T,$J194)="","",INDEX('EASM Findings'!$T:$T,$J194)))</f>
        <v/>
      </c>
      <c r="H194" s="47" t="str">
        <f aca="false">IF($J194="","",INDEX('EASM Findings'!$Q:$Q,$J194)&amp;IF(INDEX('EASM Findings'!$P:$P,$J194)&lt;&gt;""," — "&amp;INDEX('EASM Findings'!$P:$P,$J194),""))</f>
        <v/>
      </c>
      <c r="J194" s="0" t="str">
        <f aca="false">IFERROR(SMALL('EASM Findings'!$AG$5:$AG$304,1),"")</f>
        <v/>
      </c>
    </row>
    <row r="195" customFormat="false" ht="15" hidden="false" customHeight="false" outlineLevel="0" collapsed="false">
      <c r="A195" s="46" t="str">
        <f aca="false">IF($J195="","",IF(INDEX('EASM Findings'!$A:$A,$J195)="","",INDEX('EASM Findings'!$A:$A,$J195)))</f>
        <v/>
      </c>
      <c r="B195" s="47" t="str">
        <f aca="false">IF($J195="","",INDEX('EASM Findings'!$E:$E,$J195)&amp;" — "&amp;INDEX('EASM Findings'!$J:$J,$J195))</f>
        <v/>
      </c>
      <c r="C195" s="47" t="str">
        <f aca="false">IF($J195="","",IF(INDEX('EASM Findings'!$L:$L,$J195)="","",INDEX('EASM Findings'!$L:$L,$J195)))</f>
        <v/>
      </c>
      <c r="D195" s="47" t="str">
        <f aca="false">IF($J195="","",IF(INDEX('EASM Findings'!$R:$R,$J195)="","",INDEX('EASM Findings'!$R:$R,$J195)))</f>
        <v/>
      </c>
      <c r="E195" s="47" t="str">
        <f aca="false">IF($J195="","",IF(INDEX('EASM Findings'!$U:$U,$J195)="","",INDEX('EASM Findings'!$U:$U,$J195)))</f>
        <v/>
      </c>
      <c r="F195" s="48" t="str">
        <f aca="false">IF($J195="","",IF(INDEX('EASM Findings'!$B:$B,$J195)="","",INDEX('EASM Findings'!$B:$B,$J195)))</f>
        <v/>
      </c>
      <c r="G195" s="48" t="str">
        <f aca="false">IF($J195="","",IF(INDEX('EASM Findings'!$T:$T,$J195)="","",INDEX('EASM Findings'!$T:$T,$J195)))</f>
        <v/>
      </c>
      <c r="H195" s="47" t="str">
        <f aca="false">IF($J195="","",INDEX('EASM Findings'!$Q:$Q,$J195)&amp;IF(INDEX('EASM Findings'!$P:$P,$J195)&lt;&gt;""," — "&amp;INDEX('EASM Findings'!$P:$P,$J195),""))</f>
        <v/>
      </c>
      <c r="J195" s="0" t="str">
        <f aca="false">IFERROR(SMALL('EASM Findings'!$AG$5:$AG$304,2),"")</f>
        <v/>
      </c>
    </row>
    <row r="196" customFormat="false" ht="15" hidden="false" customHeight="false" outlineLevel="0" collapsed="false">
      <c r="A196" s="46" t="str">
        <f aca="false">IF($J196="","",IF(INDEX('EASM Findings'!$A:$A,$J196)="","",INDEX('EASM Findings'!$A:$A,$J196)))</f>
        <v/>
      </c>
      <c r="B196" s="47" t="str">
        <f aca="false">IF($J196="","",INDEX('EASM Findings'!$E:$E,$J196)&amp;" — "&amp;INDEX('EASM Findings'!$J:$J,$J196))</f>
        <v/>
      </c>
      <c r="C196" s="47" t="str">
        <f aca="false">IF($J196="","",IF(INDEX('EASM Findings'!$L:$L,$J196)="","",INDEX('EASM Findings'!$L:$L,$J196)))</f>
        <v/>
      </c>
      <c r="D196" s="47" t="str">
        <f aca="false">IF($J196="","",IF(INDEX('EASM Findings'!$R:$R,$J196)="","",INDEX('EASM Findings'!$R:$R,$J196)))</f>
        <v/>
      </c>
      <c r="E196" s="47" t="str">
        <f aca="false">IF($J196="","",IF(INDEX('EASM Findings'!$U:$U,$J196)="","",INDEX('EASM Findings'!$U:$U,$J196)))</f>
        <v/>
      </c>
      <c r="F196" s="48" t="str">
        <f aca="false">IF($J196="","",IF(INDEX('EASM Findings'!$B:$B,$J196)="","",INDEX('EASM Findings'!$B:$B,$J196)))</f>
        <v/>
      </c>
      <c r="G196" s="48" t="str">
        <f aca="false">IF($J196="","",IF(INDEX('EASM Findings'!$T:$T,$J196)="","",INDEX('EASM Findings'!$T:$T,$J196)))</f>
        <v/>
      </c>
      <c r="H196" s="47" t="str">
        <f aca="false">IF($J196="","",INDEX('EASM Findings'!$Q:$Q,$J196)&amp;IF(INDEX('EASM Findings'!$P:$P,$J196)&lt;&gt;""," — "&amp;INDEX('EASM Findings'!$P:$P,$J196),""))</f>
        <v/>
      </c>
      <c r="J196" s="0" t="str">
        <f aca="false">IFERROR(SMALL('EASM Findings'!$AG$5:$AG$304,3),"")</f>
        <v/>
      </c>
    </row>
    <row r="197" customFormat="false" ht="15" hidden="false" customHeight="false" outlineLevel="0" collapsed="false">
      <c r="A197" s="46" t="str">
        <f aca="false">IF($J197="","",IF(INDEX('EASM Findings'!$A:$A,$J197)="","",INDEX('EASM Findings'!$A:$A,$J197)))</f>
        <v/>
      </c>
      <c r="B197" s="47" t="str">
        <f aca="false">IF($J197="","",INDEX('EASM Findings'!$E:$E,$J197)&amp;" — "&amp;INDEX('EASM Findings'!$J:$J,$J197))</f>
        <v/>
      </c>
      <c r="C197" s="47" t="str">
        <f aca="false">IF($J197="","",IF(INDEX('EASM Findings'!$L:$L,$J197)="","",INDEX('EASM Findings'!$L:$L,$J197)))</f>
        <v/>
      </c>
      <c r="D197" s="47" t="str">
        <f aca="false">IF($J197="","",IF(INDEX('EASM Findings'!$R:$R,$J197)="","",INDEX('EASM Findings'!$R:$R,$J197)))</f>
        <v/>
      </c>
      <c r="E197" s="47" t="str">
        <f aca="false">IF($J197="","",IF(INDEX('EASM Findings'!$U:$U,$J197)="","",INDEX('EASM Findings'!$U:$U,$J197)))</f>
        <v/>
      </c>
      <c r="F197" s="48" t="str">
        <f aca="false">IF($J197="","",IF(INDEX('EASM Findings'!$B:$B,$J197)="","",INDEX('EASM Findings'!$B:$B,$J197)))</f>
        <v/>
      </c>
      <c r="G197" s="48" t="str">
        <f aca="false">IF($J197="","",IF(INDEX('EASM Findings'!$T:$T,$J197)="","",INDEX('EASM Findings'!$T:$T,$J197)))</f>
        <v/>
      </c>
      <c r="H197" s="47" t="str">
        <f aca="false">IF($J197="","",INDEX('EASM Findings'!$Q:$Q,$J197)&amp;IF(INDEX('EASM Findings'!$P:$P,$J197)&lt;&gt;""," — "&amp;INDEX('EASM Findings'!$P:$P,$J197),""))</f>
        <v/>
      </c>
      <c r="J197" s="0" t="str">
        <f aca="false">IFERROR(SMALL('EASM Findings'!$AG$5:$AG$304,4),"")</f>
        <v/>
      </c>
    </row>
    <row r="198" customFormat="false" ht="15" hidden="false" customHeight="false" outlineLevel="0" collapsed="false">
      <c r="A198" s="46" t="str">
        <f aca="false">IF($J198="","",IF(INDEX('EASM Findings'!$A:$A,$J198)="","",INDEX('EASM Findings'!$A:$A,$J198)))</f>
        <v/>
      </c>
      <c r="B198" s="47" t="str">
        <f aca="false">IF($J198="","",INDEX('EASM Findings'!$E:$E,$J198)&amp;" — "&amp;INDEX('EASM Findings'!$J:$J,$J198))</f>
        <v/>
      </c>
      <c r="C198" s="47" t="str">
        <f aca="false">IF($J198="","",IF(INDEX('EASM Findings'!$L:$L,$J198)="","",INDEX('EASM Findings'!$L:$L,$J198)))</f>
        <v/>
      </c>
      <c r="D198" s="47" t="str">
        <f aca="false">IF($J198="","",IF(INDEX('EASM Findings'!$R:$R,$J198)="","",INDEX('EASM Findings'!$R:$R,$J198)))</f>
        <v/>
      </c>
      <c r="E198" s="47" t="str">
        <f aca="false">IF($J198="","",IF(INDEX('EASM Findings'!$U:$U,$J198)="","",INDEX('EASM Findings'!$U:$U,$J198)))</f>
        <v/>
      </c>
      <c r="F198" s="48" t="str">
        <f aca="false">IF($J198="","",IF(INDEX('EASM Findings'!$B:$B,$J198)="","",INDEX('EASM Findings'!$B:$B,$J198)))</f>
        <v/>
      </c>
      <c r="G198" s="48" t="str">
        <f aca="false">IF($J198="","",IF(INDEX('EASM Findings'!$T:$T,$J198)="","",INDEX('EASM Findings'!$T:$T,$J198)))</f>
        <v/>
      </c>
      <c r="H198" s="47" t="str">
        <f aca="false">IF($J198="","",INDEX('EASM Findings'!$Q:$Q,$J198)&amp;IF(INDEX('EASM Findings'!$P:$P,$J198)&lt;&gt;""," — "&amp;INDEX('EASM Findings'!$P:$P,$J198),""))</f>
        <v/>
      </c>
      <c r="J198" s="0" t="str">
        <f aca="false">IFERROR(SMALL('EASM Findings'!$AG$5:$AG$304,5),"")</f>
        <v/>
      </c>
    </row>
    <row r="199" customFormat="false" ht="15" hidden="false" customHeight="false" outlineLevel="0" collapsed="false">
      <c r="A199" s="46" t="str">
        <f aca="false">IF($J199="","",IF(INDEX('EASM Findings'!$A:$A,$J199)="","",INDEX('EASM Findings'!$A:$A,$J199)))</f>
        <v/>
      </c>
      <c r="B199" s="47" t="str">
        <f aca="false">IF($J199="","",INDEX('EASM Findings'!$E:$E,$J199)&amp;" — "&amp;INDEX('EASM Findings'!$J:$J,$J199))</f>
        <v/>
      </c>
      <c r="C199" s="47" t="str">
        <f aca="false">IF($J199="","",IF(INDEX('EASM Findings'!$L:$L,$J199)="","",INDEX('EASM Findings'!$L:$L,$J199)))</f>
        <v/>
      </c>
      <c r="D199" s="47" t="str">
        <f aca="false">IF($J199="","",IF(INDEX('EASM Findings'!$R:$R,$J199)="","",INDEX('EASM Findings'!$R:$R,$J199)))</f>
        <v/>
      </c>
      <c r="E199" s="47" t="str">
        <f aca="false">IF($J199="","",IF(INDEX('EASM Findings'!$U:$U,$J199)="","",INDEX('EASM Findings'!$U:$U,$J199)))</f>
        <v/>
      </c>
      <c r="F199" s="48" t="str">
        <f aca="false">IF($J199="","",IF(INDEX('EASM Findings'!$B:$B,$J199)="","",INDEX('EASM Findings'!$B:$B,$J199)))</f>
        <v/>
      </c>
      <c r="G199" s="48" t="str">
        <f aca="false">IF($J199="","",IF(INDEX('EASM Findings'!$T:$T,$J199)="","",INDEX('EASM Findings'!$T:$T,$J199)))</f>
        <v/>
      </c>
      <c r="H199" s="47" t="str">
        <f aca="false">IF($J199="","",INDEX('EASM Findings'!$Q:$Q,$J199)&amp;IF(INDEX('EASM Findings'!$P:$P,$J199)&lt;&gt;""," — "&amp;INDEX('EASM Findings'!$P:$P,$J199),""))</f>
        <v/>
      </c>
      <c r="J199" s="0" t="str">
        <f aca="false">IFERROR(SMALL('EASM Findings'!$AG$5:$AG$304,6),"")</f>
        <v/>
      </c>
    </row>
    <row r="201" customFormat="false" ht="31.5" hidden="false" customHeight="true" outlineLevel="0" collapsed="false">
      <c r="A201" s="50" t="s">
        <v>170</v>
      </c>
      <c r="B201" s="51" t="str">
        <f aca="false">IF($J$8="","(no Weekly Status Log entry for this meeting date)",IF(INDEX('Weekly Status Log'!$J$5:$J$108,$J$8)="","(no commentary entered)",INDEX('Weekly Status Log'!$J$5:$J$108,$J$8)))</f>
        <v>Sponsor approval of scope extension and +3 weeks on Phase 2 (DEV-001, by 30-Oct).</v>
      </c>
      <c r="C201" s="51"/>
      <c r="D201" s="51"/>
      <c r="E201" s="51"/>
      <c r="F201" s="51"/>
      <c r="G201" s="51"/>
      <c r="H201" s="51"/>
    </row>
    <row r="203" customFormat="false" ht="15" hidden="false" customHeight="false" outlineLevel="0" collapsed="false">
      <c r="A203" s="25" t="s">
        <v>214</v>
      </c>
    </row>
  </sheetData>
  <mergeCells count="15">
    <mergeCell ref="H4:H7"/>
    <mergeCell ref="E11:F11"/>
    <mergeCell ref="E12:F12"/>
    <mergeCell ref="E13:F13"/>
    <mergeCell ref="C14:D14"/>
    <mergeCell ref="E14:F14"/>
    <mergeCell ref="D26:H26"/>
    <mergeCell ref="D29:H29"/>
    <mergeCell ref="B97:H97"/>
    <mergeCell ref="B113:H113"/>
    <mergeCell ref="B116:H116"/>
    <mergeCell ref="B140:H140"/>
    <mergeCell ref="B163:H163"/>
    <mergeCell ref="B180:H180"/>
    <mergeCell ref="B201:H201"/>
  </mergeCells>
  <conditionalFormatting sqref="C8">
    <cfRule type="expression" priority="2" aboveAverage="0" equalAverage="0" bottom="0" percent="0" rank="0" text="" dxfId="0">
      <formula>LEFT(C8,3)="Not"</formula>
    </cfRule>
  </conditionalFormatting>
  <conditionalFormatting sqref="C18:C23"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1">
      <formula>"Achieved"</formula>
    </cfRule>
    <cfRule type="cellIs" priority="5" operator="equal" aboveAverage="0" equalAverage="0" bottom="0" percent="0" rank="0" text="" dxfId="1">
      <formula>"Remediated"</formula>
    </cfRule>
    <cfRule type="cellIs" priority="6" operator="equal" aboveAverage="0" equalAverage="0" bottom="0" percent="0" rank="0" text="" dxfId="1">
      <formula>"Responded"</formula>
    </cfRule>
    <cfRule type="cellIs" priority="7" operator="equal" aboveAverage="0" equalAverage="0" bottom="0" percent="0" rank="0" text="" dxfId="1">
      <formula>"Closed"</formula>
    </cfRule>
    <cfRule type="cellIs" priority="8" operator="equal" aboveAverage="0" equalAverage="0" bottom="0" percent="0" rank="0" text="" dxfId="1">
      <formula>"Decided"</formula>
    </cfRule>
    <cfRule type="cellIs" priority="9" operator="equal" aboveAverage="0" equalAverage="0" bottom="0" percent="0" rank="0" text="" dxfId="2">
      <formula>"In Progress"</formula>
    </cfRule>
    <cfRule type="cellIs" priority="10" operator="equal" aboveAverage="0" equalAverage="0" bottom="0" percent="0" rank="0" text="" dxfId="2">
      <formula>"Remediation In Progress"</formula>
    </cfRule>
    <cfRule type="cellIs" priority="11" operator="equal" aboveAverage="0" equalAverage="0" bottom="0" percent="0" rank="0" text="" dxfId="2">
      <formula>"At Risk"</formula>
    </cfRule>
    <cfRule type="cellIs" priority="12" operator="equal" aboveAverage="0" equalAverage="0" bottom="0" percent="0" rank="0" text="" dxfId="2">
      <formula>"Validating"</formula>
    </cfRule>
    <cfRule type="cellIs" priority="13" operator="equal" aboveAverage="0" equalAverage="0" bottom="0" percent="0" rank="0" text="" dxfId="2">
      <formula>"Awaiting Response"</formula>
    </cfRule>
    <cfRule type="cellIs" priority="14" operator="equal" aboveAverage="0" equalAverage="0" bottom="0" percent="0" rank="0" text="" dxfId="2">
      <formula>"Open"</formula>
    </cfRule>
    <cfRule type="cellIs" priority="15" operator="equal" aboveAverage="0" equalAverage="0" bottom="0" percent="0" rank="0" text="" dxfId="3">
      <formula>"Blocked"</formula>
    </cfRule>
    <cfRule type="cellIs" priority="16" operator="equal" aboveAverage="0" equalAverage="0" bottom="0" percent="0" rank="0" text="" dxfId="3">
      <formula>"Off Track"</formula>
    </cfRule>
    <cfRule type="cellIs" priority="17" operator="equal" aboveAverage="0" equalAverage="0" bottom="0" percent="0" rank="0" text="" dxfId="3">
      <formula>"Escalated"</formula>
    </cfRule>
    <cfRule type="cellIs" priority="18" operator="equal" aboveAverage="0" equalAverage="0" bottom="0" percent="0" rank="0" text="" dxfId="3">
      <formula>"Confirmed"</formula>
    </cfRule>
    <cfRule type="cellIs" priority="19" operator="equal" aboveAverage="0" equalAverage="0" bottom="0" percent="0" rank="0" text="" dxfId="3">
      <formula>"Delayed"</formula>
    </cfRule>
    <cfRule type="cellIs" priority="20" operator="equal" aboveAverage="0" equalAverage="0" bottom="0" percent="0" rank="0" text="" dxfId="4">
      <formula>"Cancelled"</formula>
    </cfRule>
    <cfRule type="cellIs" priority="21" operator="equal" aboveAverage="0" equalAverage="0" bottom="0" percent="0" rank="0" text="" dxfId="4">
      <formula>"False Positive"</formula>
    </cfRule>
    <cfRule type="cellIs" priority="22" operator="equal" aboveAverage="0" equalAverage="0" bottom="0" percent="0" rank="0" text="" dxfId="4">
      <formula>"Deferred"</formula>
    </cfRule>
    <cfRule type="cellIs" priority="23" operator="equal" aboveAverage="0" equalAverage="0" bottom="0" percent="0" rank="0" text="" dxfId="4">
      <formula>"On Hold"</formula>
    </cfRule>
    <cfRule type="cellIs" priority="24" operator="equal" aboveAverage="0" equalAverage="0" bottom="0" percent="0" rank="0" text="" dxfId="4">
      <formula>"Withdrawn"</formula>
    </cfRule>
  </conditionalFormatting>
  <conditionalFormatting sqref="G18:G23">
    <cfRule type="cellIs" priority="25" operator="greaterThan" aboveAverage="0" equalAverage="0" bottom="0" percent="0" rank="0" text="" dxfId="5">
      <formula>0</formula>
    </cfRule>
  </conditionalFormatting>
  <conditionalFormatting sqref="H18:H23">
    <cfRule type="expression" priority="26" aboveAverage="0" equalAverage="0" bottom="0" percent="0" rank="0" text="" dxfId="6">
      <formula>$C18="Completed"</formula>
    </cfRule>
    <cfRule type="expression" priority="27" aboveAverage="0" equalAverage="0" bottom="0" percent="0" rank="0" text="" dxfId="7">
      <formula>$C18="In Progress"</formula>
    </cfRule>
    <cfRule type="expression" priority="28" aboveAverage="0" equalAverage="0" bottom="0" percent="0" rank="0" text="" dxfId="8">
      <formula>$C18="Delayed"</formula>
    </cfRule>
    <cfRule type="expression" priority="29" aboveAverage="0" equalAverage="0" bottom="0" percent="0" rank="0" text="" dxfId="9">
      <formula>$C18="Not Started"</formula>
    </cfRule>
    <cfRule type="expression" priority="30" aboveAverage="0" equalAverage="0" bottom="0" percent="0" rank="0" text="" dxfId="10">
      <formula>$C18="On Hold"</formula>
    </cfRule>
  </conditionalFormatting>
  <conditionalFormatting sqref="F32:F44">
    <cfRule type="cellIs" priority="31" operator="equal" aboveAverage="0" equalAverage="0" bottom="0" percent="0" rank="0" text="" dxfId="11">
      <formula>"Green"</formula>
    </cfRule>
    <cfRule type="cellIs" priority="32" operator="equal" aboveAverage="0" equalAverage="0" bottom="0" percent="0" rank="0" text="" dxfId="12">
      <formula>"Amber"</formula>
    </cfRule>
    <cfRule type="cellIs" priority="33" operator="equal" aboveAverage="0" equalAverage="0" bottom="0" percent="0" rank="0" text="" dxfId="13">
      <formula>"Red"</formula>
    </cfRule>
  </conditionalFormatting>
  <conditionalFormatting sqref="D29">
    <cfRule type="expression" priority="34" aboveAverage="0" equalAverage="0" bottom="0" percent="0" rank="0" text="" dxfId="14">
      <formula>LEFT(D29,9)="CHALLENGE"</formula>
    </cfRule>
    <cfRule type="expression" priority="35" aboveAverage="0" equalAverage="0" bottom="0" percent="0" rank="0" text="" dxfId="15">
      <formula>LEFT(D29,10)="Consistent"</formula>
    </cfRule>
  </conditionalFormatting>
  <conditionalFormatting sqref="C26:C28">
    <cfRule type="cellIs" priority="36" operator="equal" aboveAverage="0" equalAverage="0" bottom="0" percent="0" rank="0" text="" dxfId="11">
      <formula>"Green"</formula>
    </cfRule>
    <cfRule type="cellIs" priority="37" operator="equal" aboveAverage="0" equalAverage="0" bottom="0" percent="0" rank="0" text="" dxfId="12">
      <formula>"Amber"</formula>
    </cfRule>
    <cfRule type="cellIs" priority="38" operator="equal" aboveAverage="0" equalAverage="0" bottom="0" percent="0" rank="0" text="" dxfId="13">
      <formula>"Red"</formula>
    </cfRule>
  </conditionalFormatting>
  <conditionalFormatting sqref="H48">
    <cfRule type="expression" priority="39" aboveAverage="0" equalAverage="0" bottom="0" percent="0" rank="0" text="" dxfId="8">
      <formula>COUNT(Tasks!$Z$5:$Z$304)&gt;8</formula>
    </cfRule>
  </conditionalFormatting>
  <conditionalFormatting sqref="C50:E57">
    <cfRule type="cellIs" priority="40" operator="equal" aboveAverage="0" equalAverage="0" bottom="0" percent="0" rank="0" text="" dxfId="13">
      <formula>"Critical"</formula>
    </cfRule>
    <cfRule type="cellIs" priority="41" operator="equal" aboveAverage="0" equalAverage="0" bottom="0" percent="0" rank="0" text="" dxfId="0">
      <formula>"High"</formula>
    </cfRule>
  </conditionalFormatting>
  <conditionalFormatting sqref="E50:E57">
    <cfRule type="cellIs" priority="42" operator="equal" aboveAverage="0" equalAverage="0" bottom="0" percent="0" rank="0" text="" dxfId="1">
      <formula>"Completed"</formula>
    </cfRule>
    <cfRule type="cellIs" priority="43" operator="equal" aboveAverage="0" equalAverage="0" bottom="0" percent="0" rank="0" text="" dxfId="1">
      <formula>"Achieved"</formula>
    </cfRule>
    <cfRule type="cellIs" priority="44" operator="equal" aboveAverage="0" equalAverage="0" bottom="0" percent="0" rank="0" text="" dxfId="1">
      <formula>"Remediated"</formula>
    </cfRule>
    <cfRule type="cellIs" priority="45" operator="equal" aboveAverage="0" equalAverage="0" bottom="0" percent="0" rank="0" text="" dxfId="1">
      <formula>"Responded"</formula>
    </cfRule>
    <cfRule type="cellIs" priority="46" operator="equal" aboveAverage="0" equalAverage="0" bottom="0" percent="0" rank="0" text="" dxfId="1">
      <formula>"Closed"</formula>
    </cfRule>
    <cfRule type="cellIs" priority="47" operator="equal" aboveAverage="0" equalAverage="0" bottom="0" percent="0" rank="0" text="" dxfId="1">
      <formula>"Decided"</formula>
    </cfRule>
    <cfRule type="cellIs" priority="48" operator="equal" aboveAverage="0" equalAverage="0" bottom="0" percent="0" rank="0" text="" dxfId="2">
      <formula>"In Progress"</formula>
    </cfRule>
    <cfRule type="cellIs" priority="49" operator="equal" aboveAverage="0" equalAverage="0" bottom="0" percent="0" rank="0" text="" dxfId="2">
      <formula>"Remediation In Progress"</formula>
    </cfRule>
    <cfRule type="cellIs" priority="50" operator="equal" aboveAverage="0" equalAverage="0" bottom="0" percent="0" rank="0" text="" dxfId="2">
      <formula>"At Risk"</formula>
    </cfRule>
    <cfRule type="cellIs" priority="51" operator="equal" aboveAverage="0" equalAverage="0" bottom="0" percent="0" rank="0" text="" dxfId="2">
      <formula>"Validating"</formula>
    </cfRule>
    <cfRule type="cellIs" priority="52" operator="equal" aboveAverage="0" equalAverage="0" bottom="0" percent="0" rank="0" text="" dxfId="2">
      <formula>"Awaiting Response"</formula>
    </cfRule>
    <cfRule type="cellIs" priority="53" operator="equal" aboveAverage="0" equalAverage="0" bottom="0" percent="0" rank="0" text="" dxfId="2">
      <formula>"Open"</formula>
    </cfRule>
    <cfRule type="cellIs" priority="54" operator="equal" aboveAverage="0" equalAverage="0" bottom="0" percent="0" rank="0" text="" dxfId="3">
      <formula>"Blocked"</formula>
    </cfRule>
    <cfRule type="cellIs" priority="55" operator="equal" aboveAverage="0" equalAverage="0" bottom="0" percent="0" rank="0" text="" dxfId="3">
      <formula>"Off Track"</formula>
    </cfRule>
    <cfRule type="cellIs" priority="56" operator="equal" aboveAverage="0" equalAverage="0" bottom="0" percent="0" rank="0" text="" dxfId="3">
      <formula>"Escalated"</formula>
    </cfRule>
    <cfRule type="cellIs" priority="57" operator="equal" aboveAverage="0" equalAverage="0" bottom="0" percent="0" rank="0" text="" dxfId="3">
      <formula>"Confirmed"</formula>
    </cfRule>
    <cfRule type="cellIs" priority="58" operator="equal" aboveAverage="0" equalAverage="0" bottom="0" percent="0" rank="0" text="" dxfId="3">
      <formula>"Delayed"</formula>
    </cfRule>
    <cfRule type="cellIs" priority="59" operator="equal" aboveAverage="0" equalAverage="0" bottom="0" percent="0" rank="0" text="" dxfId="4">
      <formula>"Cancelled"</formula>
    </cfRule>
    <cfRule type="cellIs" priority="60" operator="equal" aboveAverage="0" equalAverage="0" bottom="0" percent="0" rank="0" text="" dxfId="4">
      <formula>"False Positive"</formula>
    </cfRule>
    <cfRule type="cellIs" priority="61" operator="equal" aboveAverage="0" equalAverage="0" bottom="0" percent="0" rank="0" text="" dxfId="4">
      <formula>"Deferred"</formula>
    </cfRule>
    <cfRule type="cellIs" priority="62" operator="equal" aboveAverage="0" equalAverage="0" bottom="0" percent="0" rank="0" text="" dxfId="4">
      <formula>"On Hold"</formula>
    </cfRule>
    <cfRule type="cellIs" priority="63" operator="equal" aboveAverage="0" equalAverage="0" bottom="0" percent="0" rank="0" text="" dxfId="4">
      <formula>"Withdrawn"</formula>
    </cfRule>
  </conditionalFormatting>
  <conditionalFormatting sqref="G50:H57">
    <cfRule type="expression" priority="64" aboveAverage="0" equalAverage="0" bottom="0" percent="0" rank="0" text="" dxfId="8">
      <formula>ISNUMBER(SEARCH("OVERDUE",G50))</formula>
    </cfRule>
    <cfRule type="expression" priority="65" aboveAverage="0" equalAverage="0" bottom="0" percent="0" rank="0" text="" dxfId="8">
      <formula>ISNUMBER(SEARCH("SLA BREACH",G50))</formula>
    </cfRule>
    <cfRule type="expression" priority="66" aboveAverage="0" equalAverage="0" bottom="0" percent="0" rank="0" text="" dxfId="8">
      <formula>ISNUMBER(SEARCH("Breach",G50))</formula>
    </cfRule>
  </conditionalFormatting>
  <conditionalFormatting sqref="H50:H57">
    <cfRule type="expression" priority="67" aboveAverage="0" equalAverage="0" bottom="0" percent="0" rank="0" text="" dxfId="6">
      <formula>LEFT(H50,3)="NEW"</formula>
    </cfRule>
  </conditionalFormatting>
  <conditionalFormatting sqref="H59">
    <cfRule type="expression" priority="68" aboveAverage="0" equalAverage="0" bottom="0" percent="0" rank="0" text="" dxfId="8">
      <formula>COUNT(Tasks!$AA$5:$AA$304)&gt;8</formula>
    </cfRule>
  </conditionalFormatting>
  <conditionalFormatting sqref="C61:E68">
    <cfRule type="cellIs" priority="69" operator="equal" aboveAverage="0" equalAverage="0" bottom="0" percent="0" rank="0" text="" dxfId="13">
      <formula>"Critical"</formula>
    </cfRule>
    <cfRule type="cellIs" priority="70" operator="equal" aboveAverage="0" equalAverage="0" bottom="0" percent="0" rank="0" text="" dxfId="0">
      <formula>"High"</formula>
    </cfRule>
  </conditionalFormatting>
  <conditionalFormatting sqref="E61:E68">
    <cfRule type="cellIs" priority="71" operator="equal" aboveAverage="0" equalAverage="0" bottom="0" percent="0" rank="0" text="" dxfId="1">
      <formula>"Completed"</formula>
    </cfRule>
    <cfRule type="cellIs" priority="72" operator="equal" aboveAverage="0" equalAverage="0" bottom="0" percent="0" rank="0" text="" dxfId="1">
      <formula>"Achieved"</formula>
    </cfRule>
    <cfRule type="cellIs" priority="73" operator="equal" aboveAverage="0" equalAverage="0" bottom="0" percent="0" rank="0" text="" dxfId="1">
      <formula>"Remediated"</formula>
    </cfRule>
    <cfRule type="cellIs" priority="74" operator="equal" aboveAverage="0" equalAverage="0" bottom="0" percent="0" rank="0" text="" dxfId="1">
      <formula>"Responded"</formula>
    </cfRule>
    <cfRule type="cellIs" priority="75" operator="equal" aboveAverage="0" equalAverage="0" bottom="0" percent="0" rank="0" text="" dxfId="1">
      <formula>"Closed"</formula>
    </cfRule>
    <cfRule type="cellIs" priority="76" operator="equal" aboveAverage="0" equalAverage="0" bottom="0" percent="0" rank="0" text="" dxfId="1">
      <formula>"Decided"</formula>
    </cfRule>
    <cfRule type="cellIs" priority="77" operator="equal" aboveAverage="0" equalAverage="0" bottom="0" percent="0" rank="0" text="" dxfId="2">
      <formula>"In Progress"</formula>
    </cfRule>
    <cfRule type="cellIs" priority="78" operator="equal" aboveAverage="0" equalAverage="0" bottom="0" percent="0" rank="0" text="" dxfId="2">
      <formula>"Remediation In Progress"</formula>
    </cfRule>
    <cfRule type="cellIs" priority="79" operator="equal" aboveAverage="0" equalAverage="0" bottom="0" percent="0" rank="0" text="" dxfId="2">
      <formula>"At Risk"</formula>
    </cfRule>
    <cfRule type="cellIs" priority="80" operator="equal" aboveAverage="0" equalAverage="0" bottom="0" percent="0" rank="0" text="" dxfId="2">
      <formula>"Validating"</formula>
    </cfRule>
    <cfRule type="cellIs" priority="81" operator="equal" aboveAverage="0" equalAverage="0" bottom="0" percent="0" rank="0" text="" dxfId="2">
      <formula>"Awaiting Response"</formula>
    </cfRule>
    <cfRule type="cellIs" priority="82" operator="equal" aboveAverage="0" equalAverage="0" bottom="0" percent="0" rank="0" text="" dxfId="2">
      <formula>"Open"</formula>
    </cfRule>
    <cfRule type="cellIs" priority="83" operator="equal" aboveAverage="0" equalAverage="0" bottom="0" percent="0" rank="0" text="" dxfId="3">
      <formula>"Blocked"</formula>
    </cfRule>
    <cfRule type="cellIs" priority="84" operator="equal" aboveAverage="0" equalAverage="0" bottom="0" percent="0" rank="0" text="" dxfId="3">
      <formula>"Off Track"</formula>
    </cfRule>
    <cfRule type="cellIs" priority="85" operator="equal" aboveAverage="0" equalAverage="0" bottom="0" percent="0" rank="0" text="" dxfId="3">
      <formula>"Escalated"</formula>
    </cfRule>
    <cfRule type="cellIs" priority="86" operator="equal" aboveAverage="0" equalAverage="0" bottom="0" percent="0" rank="0" text="" dxfId="3">
      <formula>"Confirmed"</formula>
    </cfRule>
    <cfRule type="cellIs" priority="87" operator="equal" aboveAverage="0" equalAverage="0" bottom="0" percent="0" rank="0" text="" dxfId="3">
      <formula>"Delayed"</formula>
    </cfRule>
    <cfRule type="cellIs" priority="88" operator="equal" aboveAverage="0" equalAverage="0" bottom="0" percent="0" rank="0" text="" dxfId="4">
      <formula>"Cancelled"</formula>
    </cfRule>
    <cfRule type="cellIs" priority="89" operator="equal" aboveAverage="0" equalAverage="0" bottom="0" percent="0" rank="0" text="" dxfId="4">
      <formula>"False Positive"</formula>
    </cfRule>
    <cfRule type="cellIs" priority="90" operator="equal" aboveAverage="0" equalAverage="0" bottom="0" percent="0" rank="0" text="" dxfId="4">
      <formula>"Deferred"</formula>
    </cfRule>
    <cfRule type="cellIs" priority="91" operator="equal" aboveAverage="0" equalAverage="0" bottom="0" percent="0" rank="0" text="" dxfId="4">
      <formula>"On Hold"</formula>
    </cfRule>
    <cfRule type="cellIs" priority="92" operator="equal" aboveAverage="0" equalAverage="0" bottom="0" percent="0" rank="0" text="" dxfId="4">
      <formula>"Withdrawn"</formula>
    </cfRule>
  </conditionalFormatting>
  <conditionalFormatting sqref="G61:H68">
    <cfRule type="expression" priority="93" aboveAverage="0" equalAverage="0" bottom="0" percent="0" rank="0" text="" dxfId="8">
      <formula>ISNUMBER(SEARCH("OVERDUE",G61))</formula>
    </cfRule>
    <cfRule type="expression" priority="94" aboveAverage="0" equalAverage="0" bottom="0" percent="0" rank="0" text="" dxfId="8">
      <formula>ISNUMBER(SEARCH("SLA BREACH",G61))</formula>
    </cfRule>
    <cfRule type="expression" priority="95" aboveAverage="0" equalAverage="0" bottom="0" percent="0" rank="0" text="" dxfId="8">
      <formula>ISNUMBER(SEARCH("Breach",G61))</formula>
    </cfRule>
  </conditionalFormatting>
  <conditionalFormatting sqref="H61:H68">
    <cfRule type="expression" priority="96" aboveAverage="0" equalAverage="0" bottom="0" percent="0" rank="0" text="" dxfId="6">
      <formula>LEFT(H61,3)="NEW"</formula>
    </cfRule>
  </conditionalFormatting>
  <conditionalFormatting sqref="H70">
    <cfRule type="expression" priority="97" aboveAverage="0" equalAverage="0" bottom="0" percent="0" rank="0" text="" dxfId="8">
      <formula>COUNT('Goals &amp; KPIs'!$T$5:$T$304)&gt;6</formula>
    </cfRule>
  </conditionalFormatting>
  <conditionalFormatting sqref="C72:E77">
    <cfRule type="cellIs" priority="98" operator="equal" aboveAverage="0" equalAverage="0" bottom="0" percent="0" rank="0" text="" dxfId="13">
      <formula>"Critical"</formula>
    </cfRule>
    <cfRule type="cellIs" priority="99" operator="equal" aboveAverage="0" equalAverage="0" bottom="0" percent="0" rank="0" text="" dxfId="0">
      <formula>"High"</formula>
    </cfRule>
  </conditionalFormatting>
  <conditionalFormatting sqref="E72:E77">
    <cfRule type="cellIs" priority="100" operator="equal" aboveAverage="0" equalAverage="0" bottom="0" percent="0" rank="0" text="" dxfId="1">
      <formula>"Completed"</formula>
    </cfRule>
    <cfRule type="cellIs" priority="101" operator="equal" aboveAverage="0" equalAverage="0" bottom="0" percent="0" rank="0" text="" dxfId="1">
      <formula>"Achieved"</formula>
    </cfRule>
    <cfRule type="cellIs" priority="102" operator="equal" aboveAverage="0" equalAverage="0" bottom="0" percent="0" rank="0" text="" dxfId="1">
      <formula>"Remediated"</formula>
    </cfRule>
    <cfRule type="cellIs" priority="103" operator="equal" aboveAverage="0" equalAverage="0" bottom="0" percent="0" rank="0" text="" dxfId="1">
      <formula>"Responded"</formula>
    </cfRule>
    <cfRule type="cellIs" priority="104" operator="equal" aboveAverage="0" equalAverage="0" bottom="0" percent="0" rank="0" text="" dxfId="1">
      <formula>"Closed"</formula>
    </cfRule>
    <cfRule type="cellIs" priority="105" operator="equal" aboveAverage="0" equalAverage="0" bottom="0" percent="0" rank="0" text="" dxfId="1">
      <formula>"Decided"</formula>
    </cfRule>
    <cfRule type="cellIs" priority="106" operator="equal" aboveAverage="0" equalAverage="0" bottom="0" percent="0" rank="0" text="" dxfId="2">
      <formula>"In Progress"</formula>
    </cfRule>
    <cfRule type="cellIs" priority="107" operator="equal" aboveAverage="0" equalAverage="0" bottom="0" percent="0" rank="0" text="" dxfId="2">
      <formula>"Remediation In Progress"</formula>
    </cfRule>
    <cfRule type="cellIs" priority="108" operator="equal" aboveAverage="0" equalAverage="0" bottom="0" percent="0" rank="0" text="" dxfId="2">
      <formula>"At Risk"</formula>
    </cfRule>
    <cfRule type="cellIs" priority="109" operator="equal" aboveAverage="0" equalAverage="0" bottom="0" percent="0" rank="0" text="" dxfId="2">
      <formula>"Validating"</formula>
    </cfRule>
    <cfRule type="cellIs" priority="110" operator="equal" aboveAverage="0" equalAverage="0" bottom="0" percent="0" rank="0" text="" dxfId="2">
      <formula>"Awaiting Response"</formula>
    </cfRule>
    <cfRule type="cellIs" priority="111" operator="equal" aboveAverage="0" equalAverage="0" bottom="0" percent="0" rank="0" text="" dxfId="2">
      <formula>"Open"</formula>
    </cfRule>
    <cfRule type="cellIs" priority="112" operator="equal" aboveAverage="0" equalAverage="0" bottom="0" percent="0" rank="0" text="" dxfId="3">
      <formula>"Blocked"</formula>
    </cfRule>
    <cfRule type="cellIs" priority="113" operator="equal" aboveAverage="0" equalAverage="0" bottom="0" percent="0" rank="0" text="" dxfId="3">
      <formula>"Off Track"</formula>
    </cfRule>
    <cfRule type="cellIs" priority="114" operator="equal" aboveAverage="0" equalAverage="0" bottom="0" percent="0" rank="0" text="" dxfId="3">
      <formula>"Escalated"</formula>
    </cfRule>
    <cfRule type="cellIs" priority="115" operator="equal" aboveAverage="0" equalAverage="0" bottom="0" percent="0" rank="0" text="" dxfId="3">
      <formula>"Confirmed"</formula>
    </cfRule>
    <cfRule type="cellIs" priority="116" operator="equal" aboveAverage="0" equalAverage="0" bottom="0" percent="0" rank="0" text="" dxfId="3">
      <formula>"Delayed"</formula>
    </cfRule>
    <cfRule type="cellIs" priority="117" operator="equal" aboveAverage="0" equalAverage="0" bottom="0" percent="0" rank="0" text="" dxfId="4">
      <formula>"Cancelled"</formula>
    </cfRule>
    <cfRule type="cellIs" priority="118" operator="equal" aboveAverage="0" equalAverage="0" bottom="0" percent="0" rank="0" text="" dxfId="4">
      <formula>"False Positive"</formula>
    </cfRule>
    <cfRule type="cellIs" priority="119" operator="equal" aboveAverage="0" equalAverage="0" bottom="0" percent="0" rank="0" text="" dxfId="4">
      <formula>"Deferred"</formula>
    </cfRule>
    <cfRule type="cellIs" priority="120" operator="equal" aboveAverage="0" equalAverage="0" bottom="0" percent="0" rank="0" text="" dxfId="4">
      <formula>"On Hold"</formula>
    </cfRule>
    <cfRule type="cellIs" priority="121" operator="equal" aboveAverage="0" equalAverage="0" bottom="0" percent="0" rank="0" text="" dxfId="4">
      <formula>"Withdrawn"</formula>
    </cfRule>
  </conditionalFormatting>
  <conditionalFormatting sqref="G72:H77">
    <cfRule type="expression" priority="122" aboveAverage="0" equalAverage="0" bottom="0" percent="0" rank="0" text="" dxfId="8">
      <formula>ISNUMBER(SEARCH("OVERDUE",G72))</formula>
    </cfRule>
    <cfRule type="expression" priority="123" aboveAverage="0" equalAverage="0" bottom="0" percent="0" rank="0" text="" dxfId="8">
      <formula>ISNUMBER(SEARCH("SLA BREACH",G72))</formula>
    </cfRule>
    <cfRule type="expression" priority="124" aboveAverage="0" equalAverage="0" bottom="0" percent="0" rank="0" text="" dxfId="8">
      <formula>ISNUMBER(SEARCH("Breach",G72))</formula>
    </cfRule>
  </conditionalFormatting>
  <conditionalFormatting sqref="H72:H77">
    <cfRule type="expression" priority="125" aboveAverage="0" equalAverage="0" bottom="0" percent="0" rank="0" text="" dxfId="6">
      <formula>LEFT(H72,3)="NEW"</formula>
    </cfRule>
  </conditionalFormatting>
  <conditionalFormatting sqref="H79">
    <cfRule type="expression" priority="126" aboveAverage="0" equalAverage="0" bottom="0" percent="0" rank="0" text="" dxfId="8">
      <formula>COUNT(Developments!$W$5:$W$304)&gt;6</formula>
    </cfRule>
  </conditionalFormatting>
  <conditionalFormatting sqref="C81:E86">
    <cfRule type="cellIs" priority="127" operator="equal" aboveAverage="0" equalAverage="0" bottom="0" percent="0" rank="0" text="" dxfId="13">
      <formula>"Critical"</formula>
    </cfRule>
    <cfRule type="cellIs" priority="128" operator="equal" aboveAverage="0" equalAverage="0" bottom="0" percent="0" rank="0" text="" dxfId="0">
      <formula>"High"</formula>
    </cfRule>
  </conditionalFormatting>
  <conditionalFormatting sqref="E81:E86">
    <cfRule type="cellIs" priority="129" operator="equal" aboveAverage="0" equalAverage="0" bottom="0" percent="0" rank="0" text="" dxfId="1">
      <formula>"Completed"</formula>
    </cfRule>
    <cfRule type="cellIs" priority="130" operator="equal" aboveAverage="0" equalAverage="0" bottom="0" percent="0" rank="0" text="" dxfId="1">
      <formula>"Achieved"</formula>
    </cfRule>
    <cfRule type="cellIs" priority="131" operator="equal" aboveAverage="0" equalAverage="0" bottom="0" percent="0" rank="0" text="" dxfId="1">
      <formula>"Remediated"</formula>
    </cfRule>
    <cfRule type="cellIs" priority="132" operator="equal" aboveAverage="0" equalAverage="0" bottom="0" percent="0" rank="0" text="" dxfId="1">
      <formula>"Responded"</formula>
    </cfRule>
    <cfRule type="cellIs" priority="133" operator="equal" aboveAverage="0" equalAverage="0" bottom="0" percent="0" rank="0" text="" dxfId="1">
      <formula>"Closed"</formula>
    </cfRule>
    <cfRule type="cellIs" priority="134" operator="equal" aboveAverage="0" equalAverage="0" bottom="0" percent="0" rank="0" text="" dxfId="1">
      <formula>"Decided"</formula>
    </cfRule>
    <cfRule type="cellIs" priority="135" operator="equal" aboveAverage="0" equalAverage="0" bottom="0" percent="0" rank="0" text="" dxfId="2">
      <formula>"In Progress"</formula>
    </cfRule>
    <cfRule type="cellIs" priority="136" operator="equal" aboveAverage="0" equalAverage="0" bottom="0" percent="0" rank="0" text="" dxfId="2">
      <formula>"Remediation In Progress"</formula>
    </cfRule>
    <cfRule type="cellIs" priority="137" operator="equal" aboveAverage="0" equalAverage="0" bottom="0" percent="0" rank="0" text="" dxfId="2">
      <formula>"At Risk"</formula>
    </cfRule>
    <cfRule type="cellIs" priority="138" operator="equal" aboveAverage="0" equalAverage="0" bottom="0" percent="0" rank="0" text="" dxfId="2">
      <formula>"Validating"</formula>
    </cfRule>
    <cfRule type="cellIs" priority="139" operator="equal" aboveAverage="0" equalAverage="0" bottom="0" percent="0" rank="0" text="" dxfId="2">
      <formula>"Awaiting Response"</formula>
    </cfRule>
    <cfRule type="cellIs" priority="140" operator="equal" aboveAverage="0" equalAverage="0" bottom="0" percent="0" rank="0" text="" dxfId="2">
      <formula>"Open"</formula>
    </cfRule>
    <cfRule type="cellIs" priority="141" operator="equal" aboveAverage="0" equalAverage="0" bottom="0" percent="0" rank="0" text="" dxfId="3">
      <formula>"Blocked"</formula>
    </cfRule>
    <cfRule type="cellIs" priority="142" operator="equal" aboveAverage="0" equalAverage="0" bottom="0" percent="0" rank="0" text="" dxfId="3">
      <formula>"Off Track"</formula>
    </cfRule>
    <cfRule type="cellIs" priority="143" operator="equal" aboveAverage="0" equalAverage="0" bottom="0" percent="0" rank="0" text="" dxfId="3">
      <formula>"Escalated"</formula>
    </cfRule>
    <cfRule type="cellIs" priority="144" operator="equal" aboveAverage="0" equalAverage="0" bottom="0" percent="0" rank="0" text="" dxfId="3">
      <formula>"Confirmed"</formula>
    </cfRule>
    <cfRule type="cellIs" priority="145" operator="equal" aboveAverage="0" equalAverage="0" bottom="0" percent="0" rank="0" text="" dxfId="3">
      <formula>"Delayed"</formula>
    </cfRule>
    <cfRule type="cellIs" priority="146" operator="equal" aboveAverage="0" equalAverage="0" bottom="0" percent="0" rank="0" text="" dxfId="4">
      <formula>"Cancelled"</formula>
    </cfRule>
    <cfRule type="cellIs" priority="147" operator="equal" aboveAverage="0" equalAverage="0" bottom="0" percent="0" rank="0" text="" dxfId="4">
      <formula>"False Positive"</formula>
    </cfRule>
    <cfRule type="cellIs" priority="148" operator="equal" aboveAverage="0" equalAverage="0" bottom="0" percent="0" rank="0" text="" dxfId="4">
      <formula>"Deferred"</formula>
    </cfRule>
    <cfRule type="cellIs" priority="149" operator="equal" aboveAverage="0" equalAverage="0" bottom="0" percent="0" rank="0" text="" dxfId="4">
      <formula>"On Hold"</formula>
    </cfRule>
    <cfRule type="cellIs" priority="150" operator="equal" aboveAverage="0" equalAverage="0" bottom="0" percent="0" rank="0" text="" dxfId="4">
      <formula>"Withdrawn"</formula>
    </cfRule>
  </conditionalFormatting>
  <conditionalFormatting sqref="G81:H86">
    <cfRule type="expression" priority="151" aboveAverage="0" equalAverage="0" bottom="0" percent="0" rank="0" text="" dxfId="8">
      <formula>ISNUMBER(SEARCH("OVERDUE",G81))</formula>
    </cfRule>
    <cfRule type="expression" priority="152" aboveAverage="0" equalAverage="0" bottom="0" percent="0" rank="0" text="" dxfId="8">
      <formula>ISNUMBER(SEARCH("SLA BREACH",G81))</formula>
    </cfRule>
    <cfRule type="expression" priority="153" aboveAverage="0" equalAverage="0" bottom="0" percent="0" rank="0" text="" dxfId="8">
      <formula>ISNUMBER(SEARCH("Breach",G81))</formula>
    </cfRule>
  </conditionalFormatting>
  <conditionalFormatting sqref="H81:H86">
    <cfRule type="expression" priority="154" aboveAverage="0" equalAverage="0" bottom="0" percent="0" rank="0" text="" dxfId="6">
      <formula>LEFT(H81,3)="NEW"</formula>
    </cfRule>
  </conditionalFormatting>
  <conditionalFormatting sqref="H88">
    <cfRule type="expression" priority="155" aboveAverage="0" equalAverage="0" bottom="0" percent="0" rank="0" text="" dxfId="8">
      <formula>COUNT(Meetings!$X$5:$X$304)&gt;6</formula>
    </cfRule>
  </conditionalFormatting>
  <conditionalFormatting sqref="C90:E95">
    <cfRule type="cellIs" priority="156" operator="equal" aboveAverage="0" equalAverage="0" bottom="0" percent="0" rank="0" text="" dxfId="13">
      <formula>"Critical"</formula>
    </cfRule>
    <cfRule type="cellIs" priority="157" operator="equal" aboveAverage="0" equalAverage="0" bottom="0" percent="0" rank="0" text="" dxfId="0">
      <formula>"High"</formula>
    </cfRule>
  </conditionalFormatting>
  <conditionalFormatting sqref="E90:E95">
    <cfRule type="cellIs" priority="158" operator="equal" aboveAverage="0" equalAverage="0" bottom="0" percent="0" rank="0" text="" dxfId="1">
      <formula>"Completed"</formula>
    </cfRule>
    <cfRule type="cellIs" priority="159" operator="equal" aboveAverage="0" equalAverage="0" bottom="0" percent="0" rank="0" text="" dxfId="1">
      <formula>"Achieved"</formula>
    </cfRule>
    <cfRule type="cellIs" priority="160" operator="equal" aboveAverage="0" equalAverage="0" bottom="0" percent="0" rank="0" text="" dxfId="1">
      <formula>"Remediated"</formula>
    </cfRule>
    <cfRule type="cellIs" priority="161" operator="equal" aboveAverage="0" equalAverage="0" bottom="0" percent="0" rank="0" text="" dxfId="1">
      <formula>"Responded"</formula>
    </cfRule>
    <cfRule type="cellIs" priority="162" operator="equal" aboveAverage="0" equalAverage="0" bottom="0" percent="0" rank="0" text="" dxfId="1">
      <formula>"Closed"</formula>
    </cfRule>
    <cfRule type="cellIs" priority="163" operator="equal" aboveAverage="0" equalAverage="0" bottom="0" percent="0" rank="0" text="" dxfId="1">
      <formula>"Decided"</formula>
    </cfRule>
    <cfRule type="cellIs" priority="164" operator="equal" aboveAverage="0" equalAverage="0" bottom="0" percent="0" rank="0" text="" dxfId="2">
      <formula>"In Progress"</formula>
    </cfRule>
    <cfRule type="cellIs" priority="165" operator="equal" aboveAverage="0" equalAverage="0" bottom="0" percent="0" rank="0" text="" dxfId="2">
      <formula>"Remediation In Progress"</formula>
    </cfRule>
    <cfRule type="cellIs" priority="166" operator="equal" aboveAverage="0" equalAverage="0" bottom="0" percent="0" rank="0" text="" dxfId="2">
      <formula>"At Risk"</formula>
    </cfRule>
    <cfRule type="cellIs" priority="167" operator="equal" aboveAverage="0" equalAverage="0" bottom="0" percent="0" rank="0" text="" dxfId="2">
      <formula>"Validating"</formula>
    </cfRule>
    <cfRule type="cellIs" priority="168" operator="equal" aboveAverage="0" equalAverage="0" bottom="0" percent="0" rank="0" text="" dxfId="2">
      <formula>"Awaiting Response"</formula>
    </cfRule>
    <cfRule type="cellIs" priority="169" operator="equal" aboveAverage="0" equalAverage="0" bottom="0" percent="0" rank="0" text="" dxfId="2">
      <formula>"Open"</formula>
    </cfRule>
    <cfRule type="cellIs" priority="170" operator="equal" aboveAverage="0" equalAverage="0" bottom="0" percent="0" rank="0" text="" dxfId="3">
      <formula>"Blocked"</formula>
    </cfRule>
    <cfRule type="cellIs" priority="171" operator="equal" aboveAverage="0" equalAverage="0" bottom="0" percent="0" rank="0" text="" dxfId="3">
      <formula>"Off Track"</formula>
    </cfRule>
    <cfRule type="cellIs" priority="172" operator="equal" aboveAverage="0" equalAverage="0" bottom="0" percent="0" rank="0" text="" dxfId="3">
      <formula>"Escalated"</formula>
    </cfRule>
    <cfRule type="cellIs" priority="173" operator="equal" aboveAverage="0" equalAverage="0" bottom="0" percent="0" rank="0" text="" dxfId="3">
      <formula>"Confirmed"</formula>
    </cfRule>
    <cfRule type="cellIs" priority="174" operator="equal" aboveAverage="0" equalAverage="0" bottom="0" percent="0" rank="0" text="" dxfId="3">
      <formula>"Delayed"</formula>
    </cfRule>
    <cfRule type="cellIs" priority="175" operator="equal" aboveAverage="0" equalAverage="0" bottom="0" percent="0" rank="0" text="" dxfId="4">
      <formula>"Cancelled"</formula>
    </cfRule>
    <cfRule type="cellIs" priority="176" operator="equal" aboveAverage="0" equalAverage="0" bottom="0" percent="0" rank="0" text="" dxfId="4">
      <formula>"False Positive"</formula>
    </cfRule>
    <cfRule type="cellIs" priority="177" operator="equal" aboveAverage="0" equalAverage="0" bottom="0" percent="0" rank="0" text="" dxfId="4">
      <formula>"Deferred"</formula>
    </cfRule>
    <cfRule type="cellIs" priority="178" operator="equal" aboveAverage="0" equalAverage="0" bottom="0" percent="0" rank="0" text="" dxfId="4">
      <formula>"On Hold"</formula>
    </cfRule>
    <cfRule type="cellIs" priority="179" operator="equal" aboveAverage="0" equalAverage="0" bottom="0" percent="0" rank="0" text="" dxfId="4">
      <formula>"Withdrawn"</formula>
    </cfRule>
  </conditionalFormatting>
  <conditionalFormatting sqref="G90:H95">
    <cfRule type="expression" priority="180" aboveAverage="0" equalAverage="0" bottom="0" percent="0" rank="0" text="" dxfId="8">
      <formula>ISNUMBER(SEARCH("OVERDUE",G90))</formula>
    </cfRule>
    <cfRule type="expression" priority="181" aboveAverage="0" equalAverage="0" bottom="0" percent="0" rank="0" text="" dxfId="8">
      <formula>ISNUMBER(SEARCH("SLA BREACH",G90))</formula>
    </cfRule>
    <cfRule type="expression" priority="182" aboveAverage="0" equalAverage="0" bottom="0" percent="0" rank="0" text="" dxfId="8">
      <formula>ISNUMBER(SEARCH("Breach",G90))</formula>
    </cfRule>
  </conditionalFormatting>
  <conditionalFormatting sqref="H90:H95">
    <cfRule type="expression" priority="183" aboveAverage="0" equalAverage="0" bottom="0" percent="0" rank="0" text="" dxfId="6">
      <formula>LEFT(H90,3)="NEW"</formula>
    </cfRule>
  </conditionalFormatting>
  <conditionalFormatting sqref="H100">
    <cfRule type="expression" priority="184" aboveAverage="0" equalAverage="0" bottom="0" percent="0" rank="0" text="" dxfId="8">
      <formula>COUNT(Tasks!$AB$5:$AB$304)&gt;10</formula>
    </cfRule>
  </conditionalFormatting>
  <conditionalFormatting sqref="C102:E111">
    <cfRule type="cellIs" priority="185" operator="equal" aboveAverage="0" equalAverage="0" bottom="0" percent="0" rank="0" text="" dxfId="13">
      <formula>"Critical"</formula>
    </cfRule>
    <cfRule type="cellIs" priority="186" operator="equal" aboveAverage="0" equalAverage="0" bottom="0" percent="0" rank="0" text="" dxfId="0">
      <formula>"High"</formula>
    </cfRule>
  </conditionalFormatting>
  <conditionalFormatting sqref="E102:E111">
    <cfRule type="cellIs" priority="187" operator="equal" aboveAverage="0" equalAverage="0" bottom="0" percent="0" rank="0" text="" dxfId="1">
      <formula>"Completed"</formula>
    </cfRule>
    <cfRule type="cellIs" priority="188" operator="equal" aboveAverage="0" equalAverage="0" bottom="0" percent="0" rank="0" text="" dxfId="1">
      <formula>"Achieved"</formula>
    </cfRule>
    <cfRule type="cellIs" priority="189" operator="equal" aboveAverage="0" equalAverage="0" bottom="0" percent="0" rank="0" text="" dxfId="1">
      <formula>"Remediated"</formula>
    </cfRule>
    <cfRule type="cellIs" priority="190" operator="equal" aboveAverage="0" equalAverage="0" bottom="0" percent="0" rank="0" text="" dxfId="1">
      <formula>"Responded"</formula>
    </cfRule>
    <cfRule type="cellIs" priority="191" operator="equal" aboveAverage="0" equalAverage="0" bottom="0" percent="0" rank="0" text="" dxfId="1">
      <formula>"Closed"</formula>
    </cfRule>
    <cfRule type="cellIs" priority="192" operator="equal" aboveAverage="0" equalAverage="0" bottom="0" percent="0" rank="0" text="" dxfId="1">
      <formula>"Decided"</formula>
    </cfRule>
    <cfRule type="cellIs" priority="193" operator="equal" aboveAverage="0" equalAverage="0" bottom="0" percent="0" rank="0" text="" dxfId="2">
      <formula>"In Progress"</formula>
    </cfRule>
    <cfRule type="cellIs" priority="194" operator="equal" aboveAverage="0" equalAverage="0" bottom="0" percent="0" rank="0" text="" dxfId="2">
      <formula>"Remediation In Progress"</formula>
    </cfRule>
    <cfRule type="cellIs" priority="195" operator="equal" aboveAverage="0" equalAverage="0" bottom="0" percent="0" rank="0" text="" dxfId="2">
      <formula>"At Risk"</formula>
    </cfRule>
    <cfRule type="cellIs" priority="196" operator="equal" aboveAverage="0" equalAverage="0" bottom="0" percent="0" rank="0" text="" dxfId="2">
      <formula>"Validating"</formula>
    </cfRule>
    <cfRule type="cellIs" priority="197" operator="equal" aboveAverage="0" equalAverage="0" bottom="0" percent="0" rank="0" text="" dxfId="2">
      <formula>"Awaiting Response"</formula>
    </cfRule>
    <cfRule type="cellIs" priority="198" operator="equal" aboveAverage="0" equalAverage="0" bottom="0" percent="0" rank="0" text="" dxfId="2">
      <formula>"Open"</formula>
    </cfRule>
    <cfRule type="cellIs" priority="199" operator="equal" aboveAverage="0" equalAverage="0" bottom="0" percent="0" rank="0" text="" dxfId="3">
      <formula>"Blocked"</formula>
    </cfRule>
    <cfRule type="cellIs" priority="200" operator="equal" aboveAverage="0" equalAverage="0" bottom="0" percent="0" rank="0" text="" dxfId="3">
      <formula>"Off Track"</formula>
    </cfRule>
    <cfRule type="cellIs" priority="201" operator="equal" aboveAverage="0" equalAverage="0" bottom="0" percent="0" rank="0" text="" dxfId="3">
      <formula>"Escalated"</formula>
    </cfRule>
    <cfRule type="cellIs" priority="202" operator="equal" aboveAverage="0" equalAverage="0" bottom="0" percent="0" rank="0" text="" dxfId="3">
      <formula>"Confirmed"</formula>
    </cfRule>
    <cfRule type="cellIs" priority="203" operator="equal" aboveAverage="0" equalAverage="0" bottom="0" percent="0" rank="0" text="" dxfId="3">
      <formula>"Delayed"</formula>
    </cfRule>
    <cfRule type="cellIs" priority="204" operator="equal" aboveAverage="0" equalAverage="0" bottom="0" percent="0" rank="0" text="" dxfId="4">
      <formula>"Cancelled"</formula>
    </cfRule>
    <cfRule type="cellIs" priority="205" operator="equal" aboveAverage="0" equalAverage="0" bottom="0" percent="0" rank="0" text="" dxfId="4">
      <formula>"False Positive"</formula>
    </cfRule>
    <cfRule type="cellIs" priority="206" operator="equal" aboveAverage="0" equalAverage="0" bottom="0" percent="0" rank="0" text="" dxfId="4">
      <formula>"Deferred"</formula>
    </cfRule>
    <cfRule type="cellIs" priority="207" operator="equal" aboveAverage="0" equalAverage="0" bottom="0" percent="0" rank="0" text="" dxfId="4">
      <formula>"On Hold"</formula>
    </cfRule>
    <cfRule type="cellIs" priority="208" operator="equal" aboveAverage="0" equalAverage="0" bottom="0" percent="0" rank="0" text="" dxfId="4">
      <formula>"Withdrawn"</formula>
    </cfRule>
  </conditionalFormatting>
  <conditionalFormatting sqref="G102:H111">
    <cfRule type="expression" priority="209" aboveAverage="0" equalAverage="0" bottom="0" percent="0" rank="0" text="" dxfId="8">
      <formula>ISNUMBER(SEARCH("OVERDUE",G102))</formula>
    </cfRule>
    <cfRule type="expression" priority="210" aboveAverage="0" equalAverage="0" bottom="0" percent="0" rank="0" text="" dxfId="8">
      <formula>ISNUMBER(SEARCH("SLA BREACH",G102))</formula>
    </cfRule>
    <cfRule type="expression" priority="211" aboveAverage="0" equalAverage="0" bottom="0" percent="0" rank="0" text="" dxfId="8">
      <formula>ISNUMBER(SEARCH("Breach",G102))</formula>
    </cfRule>
  </conditionalFormatting>
  <conditionalFormatting sqref="H102:H111">
    <cfRule type="expression" priority="212" aboveAverage="0" equalAverage="0" bottom="0" percent="0" rank="0" text="" dxfId="6">
      <formula>LEFT(H102,3)="NEW"</formula>
    </cfRule>
  </conditionalFormatting>
  <conditionalFormatting sqref="H118">
    <cfRule type="expression" priority="213" aboveAverage="0" equalAverage="0" bottom="0" percent="0" rank="0" text="" dxfId="8">
      <formula>COUNT('EASM Findings'!$AE$5:$AE$304)&gt;10</formula>
    </cfRule>
  </conditionalFormatting>
  <conditionalFormatting sqref="C120:E129">
    <cfRule type="cellIs" priority="214" operator="equal" aboveAverage="0" equalAverage="0" bottom="0" percent="0" rank="0" text="" dxfId="13">
      <formula>"Critical"</formula>
    </cfRule>
    <cfRule type="cellIs" priority="215" operator="equal" aboveAverage="0" equalAverage="0" bottom="0" percent="0" rank="0" text="" dxfId="0">
      <formula>"High"</formula>
    </cfRule>
  </conditionalFormatting>
  <conditionalFormatting sqref="E120:E129">
    <cfRule type="cellIs" priority="216" operator="equal" aboveAverage="0" equalAverage="0" bottom="0" percent="0" rank="0" text="" dxfId="1">
      <formula>"Completed"</formula>
    </cfRule>
    <cfRule type="cellIs" priority="217" operator="equal" aboveAverage="0" equalAverage="0" bottom="0" percent="0" rank="0" text="" dxfId="1">
      <formula>"Achieved"</formula>
    </cfRule>
    <cfRule type="cellIs" priority="218" operator="equal" aboveAverage="0" equalAverage="0" bottom="0" percent="0" rank="0" text="" dxfId="1">
      <formula>"Remediated"</formula>
    </cfRule>
    <cfRule type="cellIs" priority="219" operator="equal" aboveAverage="0" equalAverage="0" bottom="0" percent="0" rank="0" text="" dxfId="1">
      <formula>"Responded"</formula>
    </cfRule>
    <cfRule type="cellIs" priority="220" operator="equal" aboveAverage="0" equalAverage="0" bottom="0" percent="0" rank="0" text="" dxfId="1">
      <formula>"Closed"</formula>
    </cfRule>
    <cfRule type="cellIs" priority="221" operator="equal" aboveAverage="0" equalAverage="0" bottom="0" percent="0" rank="0" text="" dxfId="1">
      <formula>"Decided"</formula>
    </cfRule>
    <cfRule type="cellIs" priority="222" operator="equal" aboveAverage="0" equalAverage="0" bottom="0" percent="0" rank="0" text="" dxfId="2">
      <formula>"In Progress"</formula>
    </cfRule>
    <cfRule type="cellIs" priority="223" operator="equal" aboveAverage="0" equalAverage="0" bottom="0" percent="0" rank="0" text="" dxfId="2">
      <formula>"Remediation In Progress"</formula>
    </cfRule>
    <cfRule type="cellIs" priority="224" operator="equal" aboveAverage="0" equalAverage="0" bottom="0" percent="0" rank="0" text="" dxfId="2">
      <formula>"At Risk"</formula>
    </cfRule>
    <cfRule type="cellIs" priority="225" operator="equal" aboveAverage="0" equalAverage="0" bottom="0" percent="0" rank="0" text="" dxfId="2">
      <formula>"Validating"</formula>
    </cfRule>
    <cfRule type="cellIs" priority="226" operator="equal" aboveAverage="0" equalAverage="0" bottom="0" percent="0" rank="0" text="" dxfId="2">
      <formula>"Awaiting Response"</formula>
    </cfRule>
    <cfRule type="cellIs" priority="227" operator="equal" aboveAverage="0" equalAverage="0" bottom="0" percent="0" rank="0" text="" dxfId="2">
      <formula>"Open"</formula>
    </cfRule>
    <cfRule type="cellIs" priority="228" operator="equal" aboveAverage="0" equalAverage="0" bottom="0" percent="0" rank="0" text="" dxfId="3">
      <formula>"Blocked"</formula>
    </cfRule>
    <cfRule type="cellIs" priority="229" operator="equal" aboveAverage="0" equalAverage="0" bottom="0" percent="0" rank="0" text="" dxfId="3">
      <formula>"Off Track"</formula>
    </cfRule>
    <cfRule type="cellIs" priority="230" operator="equal" aboveAverage="0" equalAverage="0" bottom="0" percent="0" rank="0" text="" dxfId="3">
      <formula>"Escalated"</formula>
    </cfRule>
    <cfRule type="cellIs" priority="231" operator="equal" aboveAverage="0" equalAverage="0" bottom="0" percent="0" rank="0" text="" dxfId="3">
      <formula>"Confirmed"</formula>
    </cfRule>
    <cfRule type="cellIs" priority="232" operator="equal" aboveAverage="0" equalAverage="0" bottom="0" percent="0" rank="0" text="" dxfId="3">
      <formula>"Delayed"</formula>
    </cfRule>
    <cfRule type="cellIs" priority="233" operator="equal" aboveAverage="0" equalAverage="0" bottom="0" percent="0" rank="0" text="" dxfId="4">
      <formula>"Cancelled"</formula>
    </cfRule>
    <cfRule type="cellIs" priority="234" operator="equal" aboveAverage="0" equalAverage="0" bottom="0" percent="0" rank="0" text="" dxfId="4">
      <formula>"False Positive"</formula>
    </cfRule>
    <cfRule type="cellIs" priority="235" operator="equal" aboveAverage="0" equalAverage="0" bottom="0" percent="0" rank="0" text="" dxfId="4">
      <formula>"Deferred"</formula>
    </cfRule>
    <cfRule type="cellIs" priority="236" operator="equal" aboveAverage="0" equalAverage="0" bottom="0" percent="0" rank="0" text="" dxfId="4">
      <formula>"On Hold"</formula>
    </cfRule>
    <cfRule type="cellIs" priority="237" operator="equal" aboveAverage="0" equalAverage="0" bottom="0" percent="0" rank="0" text="" dxfId="4">
      <formula>"Withdrawn"</formula>
    </cfRule>
  </conditionalFormatting>
  <conditionalFormatting sqref="G120:H129">
    <cfRule type="expression" priority="238" aboveAverage="0" equalAverage="0" bottom="0" percent="0" rank="0" text="" dxfId="8">
      <formula>ISNUMBER(SEARCH("OVERDUE",G120))</formula>
    </cfRule>
    <cfRule type="expression" priority="239" aboveAverage="0" equalAverage="0" bottom="0" percent="0" rank="0" text="" dxfId="8">
      <formula>ISNUMBER(SEARCH("SLA BREACH",G120))</formula>
    </cfRule>
    <cfRule type="expression" priority="240" aboveAverage="0" equalAverage="0" bottom="0" percent="0" rank="0" text="" dxfId="8">
      <formula>ISNUMBER(SEARCH("Breach",G120))</formula>
    </cfRule>
  </conditionalFormatting>
  <conditionalFormatting sqref="H120:H129">
    <cfRule type="expression" priority="241" aboveAverage="0" equalAverage="0" bottom="0" percent="0" rank="0" text="" dxfId="6">
      <formula>LEFT(H120,3)="NEW"</formula>
    </cfRule>
  </conditionalFormatting>
  <conditionalFormatting sqref="H131">
    <cfRule type="expression" priority="242" aboveAverage="0" equalAverage="0" bottom="0" percent="0" rank="0" text="" dxfId="8">
      <formula>COUNT('EASM Findings'!$AF$5:$AF$304)&gt;6</formula>
    </cfRule>
  </conditionalFormatting>
  <conditionalFormatting sqref="C133:E138">
    <cfRule type="cellIs" priority="243" operator="equal" aboveAverage="0" equalAverage="0" bottom="0" percent="0" rank="0" text="" dxfId="13">
      <formula>"Critical"</formula>
    </cfRule>
    <cfRule type="cellIs" priority="244" operator="equal" aboveAverage="0" equalAverage="0" bottom="0" percent="0" rank="0" text="" dxfId="0">
      <formula>"High"</formula>
    </cfRule>
  </conditionalFormatting>
  <conditionalFormatting sqref="E133:E138">
    <cfRule type="cellIs" priority="245" operator="equal" aboveAverage="0" equalAverage="0" bottom="0" percent="0" rank="0" text="" dxfId="1">
      <formula>"Completed"</formula>
    </cfRule>
    <cfRule type="cellIs" priority="246" operator="equal" aboveAverage="0" equalAverage="0" bottom="0" percent="0" rank="0" text="" dxfId="1">
      <formula>"Achieved"</formula>
    </cfRule>
    <cfRule type="cellIs" priority="247" operator="equal" aboveAverage="0" equalAverage="0" bottom="0" percent="0" rank="0" text="" dxfId="1">
      <formula>"Remediated"</formula>
    </cfRule>
    <cfRule type="cellIs" priority="248" operator="equal" aboveAverage="0" equalAverage="0" bottom="0" percent="0" rank="0" text="" dxfId="1">
      <formula>"Responded"</formula>
    </cfRule>
    <cfRule type="cellIs" priority="249" operator="equal" aboveAverage="0" equalAverage="0" bottom="0" percent="0" rank="0" text="" dxfId="1">
      <formula>"Closed"</formula>
    </cfRule>
    <cfRule type="cellIs" priority="250" operator="equal" aboveAverage="0" equalAverage="0" bottom="0" percent="0" rank="0" text="" dxfId="1">
      <formula>"Decided"</formula>
    </cfRule>
    <cfRule type="cellIs" priority="251" operator="equal" aboveAverage="0" equalAverage="0" bottom="0" percent="0" rank="0" text="" dxfId="2">
      <formula>"In Progress"</formula>
    </cfRule>
    <cfRule type="cellIs" priority="252" operator="equal" aboveAverage="0" equalAverage="0" bottom="0" percent="0" rank="0" text="" dxfId="2">
      <formula>"Remediation In Progress"</formula>
    </cfRule>
    <cfRule type="cellIs" priority="253" operator="equal" aboveAverage="0" equalAverage="0" bottom="0" percent="0" rank="0" text="" dxfId="2">
      <formula>"At Risk"</formula>
    </cfRule>
    <cfRule type="cellIs" priority="254" operator="equal" aboveAverage="0" equalAverage="0" bottom="0" percent="0" rank="0" text="" dxfId="2">
      <formula>"Validating"</formula>
    </cfRule>
    <cfRule type="cellIs" priority="255" operator="equal" aboveAverage="0" equalAverage="0" bottom="0" percent="0" rank="0" text="" dxfId="2">
      <formula>"Awaiting Response"</formula>
    </cfRule>
    <cfRule type="cellIs" priority="256" operator="equal" aboveAverage="0" equalAverage="0" bottom="0" percent="0" rank="0" text="" dxfId="2">
      <formula>"Open"</formula>
    </cfRule>
    <cfRule type="cellIs" priority="257" operator="equal" aboveAverage="0" equalAverage="0" bottom="0" percent="0" rank="0" text="" dxfId="3">
      <formula>"Blocked"</formula>
    </cfRule>
    <cfRule type="cellIs" priority="258" operator="equal" aboveAverage="0" equalAverage="0" bottom="0" percent="0" rank="0" text="" dxfId="3">
      <formula>"Off Track"</formula>
    </cfRule>
    <cfRule type="cellIs" priority="259" operator="equal" aboveAverage="0" equalAverage="0" bottom="0" percent="0" rank="0" text="" dxfId="3">
      <formula>"Escalated"</formula>
    </cfRule>
    <cfRule type="cellIs" priority="260" operator="equal" aboveAverage="0" equalAverage="0" bottom="0" percent="0" rank="0" text="" dxfId="3">
      <formula>"Confirmed"</formula>
    </cfRule>
    <cfRule type="cellIs" priority="261" operator="equal" aboveAverage="0" equalAverage="0" bottom="0" percent="0" rank="0" text="" dxfId="3">
      <formula>"Delayed"</formula>
    </cfRule>
    <cfRule type="cellIs" priority="262" operator="equal" aboveAverage="0" equalAverage="0" bottom="0" percent="0" rank="0" text="" dxfId="4">
      <formula>"Cancelled"</formula>
    </cfRule>
    <cfRule type="cellIs" priority="263" operator="equal" aboveAverage="0" equalAverage="0" bottom="0" percent="0" rank="0" text="" dxfId="4">
      <formula>"False Positive"</formula>
    </cfRule>
    <cfRule type="cellIs" priority="264" operator="equal" aboveAverage="0" equalAverage="0" bottom="0" percent="0" rank="0" text="" dxfId="4">
      <formula>"Deferred"</formula>
    </cfRule>
    <cfRule type="cellIs" priority="265" operator="equal" aboveAverage="0" equalAverage="0" bottom="0" percent="0" rank="0" text="" dxfId="4">
      <formula>"On Hold"</formula>
    </cfRule>
    <cfRule type="cellIs" priority="266" operator="equal" aboveAverage="0" equalAverage="0" bottom="0" percent="0" rank="0" text="" dxfId="4">
      <formula>"Withdrawn"</formula>
    </cfRule>
  </conditionalFormatting>
  <conditionalFormatting sqref="G133:H138">
    <cfRule type="expression" priority="267" aboveAverage="0" equalAverage="0" bottom="0" percent="0" rank="0" text="" dxfId="8">
      <formula>ISNUMBER(SEARCH("OVERDUE",G133))</formula>
    </cfRule>
    <cfRule type="expression" priority="268" aboveAverage="0" equalAverage="0" bottom="0" percent="0" rank="0" text="" dxfId="8">
      <formula>ISNUMBER(SEARCH("SLA BREACH",G133))</formula>
    </cfRule>
    <cfRule type="expression" priority="269" aboveAverage="0" equalAverage="0" bottom="0" percent="0" rank="0" text="" dxfId="8">
      <formula>ISNUMBER(SEARCH("Breach",G133))</formula>
    </cfRule>
  </conditionalFormatting>
  <conditionalFormatting sqref="H133:H138">
    <cfRule type="expression" priority="270" aboveAverage="0" equalAverage="0" bottom="0" percent="0" rank="0" text="" dxfId="6">
      <formula>LEFT(H133,3)="NEW"</formula>
    </cfRule>
  </conditionalFormatting>
  <conditionalFormatting sqref="H143">
    <cfRule type="expression" priority="271" aboveAverage="0" equalAverage="0" bottom="0" percent="0" rank="0" text="" dxfId="8">
      <formula>COUNT(Tasks!$AC$5:$AC$304)&gt;8</formula>
    </cfRule>
  </conditionalFormatting>
  <conditionalFormatting sqref="C145:E152">
    <cfRule type="cellIs" priority="272" operator="equal" aboveAverage="0" equalAverage="0" bottom="0" percent="0" rank="0" text="" dxfId="13">
      <formula>"Critical"</formula>
    </cfRule>
    <cfRule type="cellIs" priority="273" operator="equal" aboveAverage="0" equalAverage="0" bottom="0" percent="0" rank="0" text="" dxfId="0">
      <formula>"High"</formula>
    </cfRule>
  </conditionalFormatting>
  <conditionalFormatting sqref="E145:E152">
    <cfRule type="cellIs" priority="274" operator="equal" aboveAverage="0" equalAverage="0" bottom="0" percent="0" rank="0" text="" dxfId="1">
      <formula>"Completed"</formula>
    </cfRule>
    <cfRule type="cellIs" priority="275" operator="equal" aboveAverage="0" equalAverage="0" bottom="0" percent="0" rank="0" text="" dxfId="1">
      <formula>"Achieved"</formula>
    </cfRule>
    <cfRule type="cellIs" priority="276" operator="equal" aboveAverage="0" equalAverage="0" bottom="0" percent="0" rank="0" text="" dxfId="1">
      <formula>"Remediated"</formula>
    </cfRule>
    <cfRule type="cellIs" priority="277" operator="equal" aboveAverage="0" equalAverage="0" bottom="0" percent="0" rank="0" text="" dxfId="1">
      <formula>"Responded"</formula>
    </cfRule>
    <cfRule type="cellIs" priority="278" operator="equal" aboveAverage="0" equalAverage="0" bottom="0" percent="0" rank="0" text="" dxfId="1">
      <formula>"Closed"</formula>
    </cfRule>
    <cfRule type="cellIs" priority="279" operator="equal" aboveAverage="0" equalAverage="0" bottom="0" percent="0" rank="0" text="" dxfId="1">
      <formula>"Decided"</formula>
    </cfRule>
    <cfRule type="cellIs" priority="280" operator="equal" aboveAverage="0" equalAverage="0" bottom="0" percent="0" rank="0" text="" dxfId="2">
      <formula>"In Progress"</formula>
    </cfRule>
    <cfRule type="cellIs" priority="281" operator="equal" aboveAverage="0" equalAverage="0" bottom="0" percent="0" rank="0" text="" dxfId="2">
      <formula>"Remediation In Progress"</formula>
    </cfRule>
    <cfRule type="cellIs" priority="282" operator="equal" aboveAverage="0" equalAverage="0" bottom="0" percent="0" rank="0" text="" dxfId="2">
      <formula>"At Risk"</formula>
    </cfRule>
    <cfRule type="cellIs" priority="283" operator="equal" aboveAverage="0" equalAverage="0" bottom="0" percent="0" rank="0" text="" dxfId="2">
      <formula>"Validating"</formula>
    </cfRule>
    <cfRule type="cellIs" priority="284" operator="equal" aboveAverage="0" equalAverage="0" bottom="0" percent="0" rank="0" text="" dxfId="2">
      <formula>"Awaiting Response"</formula>
    </cfRule>
    <cfRule type="cellIs" priority="285" operator="equal" aboveAverage="0" equalAverage="0" bottom="0" percent="0" rank="0" text="" dxfId="2">
      <formula>"Open"</formula>
    </cfRule>
    <cfRule type="cellIs" priority="286" operator="equal" aboveAverage="0" equalAverage="0" bottom="0" percent="0" rank="0" text="" dxfId="3">
      <formula>"Blocked"</formula>
    </cfRule>
    <cfRule type="cellIs" priority="287" operator="equal" aboveAverage="0" equalAverage="0" bottom="0" percent="0" rank="0" text="" dxfId="3">
      <formula>"Off Track"</formula>
    </cfRule>
    <cfRule type="cellIs" priority="288" operator="equal" aboveAverage="0" equalAverage="0" bottom="0" percent="0" rank="0" text="" dxfId="3">
      <formula>"Escalated"</formula>
    </cfRule>
    <cfRule type="cellIs" priority="289" operator="equal" aboveAverage="0" equalAverage="0" bottom="0" percent="0" rank="0" text="" dxfId="3">
      <formula>"Confirmed"</formula>
    </cfRule>
    <cfRule type="cellIs" priority="290" operator="equal" aboveAverage="0" equalAverage="0" bottom="0" percent="0" rank="0" text="" dxfId="3">
      <formula>"Delayed"</formula>
    </cfRule>
    <cfRule type="cellIs" priority="291" operator="equal" aboveAverage="0" equalAverage="0" bottom="0" percent="0" rank="0" text="" dxfId="4">
      <formula>"Cancelled"</formula>
    </cfRule>
    <cfRule type="cellIs" priority="292" operator="equal" aboveAverage="0" equalAverage="0" bottom="0" percent="0" rank="0" text="" dxfId="4">
      <formula>"False Positive"</formula>
    </cfRule>
    <cfRule type="cellIs" priority="293" operator="equal" aboveAverage="0" equalAverage="0" bottom="0" percent="0" rank="0" text="" dxfId="4">
      <formula>"Deferred"</formula>
    </cfRule>
    <cfRule type="cellIs" priority="294" operator="equal" aboveAverage="0" equalAverage="0" bottom="0" percent="0" rank="0" text="" dxfId="4">
      <formula>"On Hold"</formula>
    </cfRule>
    <cfRule type="cellIs" priority="295" operator="equal" aboveAverage="0" equalAverage="0" bottom="0" percent="0" rank="0" text="" dxfId="4">
      <formula>"Withdrawn"</formula>
    </cfRule>
  </conditionalFormatting>
  <conditionalFormatting sqref="G145:H152">
    <cfRule type="expression" priority="296" aboveAverage="0" equalAverage="0" bottom="0" percent="0" rank="0" text="" dxfId="8">
      <formula>ISNUMBER(SEARCH("OVERDUE",G145))</formula>
    </cfRule>
    <cfRule type="expression" priority="297" aboveAverage="0" equalAverage="0" bottom="0" percent="0" rank="0" text="" dxfId="8">
      <formula>ISNUMBER(SEARCH("SLA BREACH",G145))</formula>
    </cfRule>
    <cfRule type="expression" priority="298" aboveAverage="0" equalAverage="0" bottom="0" percent="0" rank="0" text="" dxfId="8">
      <formula>ISNUMBER(SEARCH("Breach",G145))</formula>
    </cfRule>
  </conditionalFormatting>
  <conditionalFormatting sqref="H145:H152">
    <cfRule type="expression" priority="299" aboveAverage="0" equalAverage="0" bottom="0" percent="0" rank="0" text="" dxfId="6">
      <formula>LEFT(H145,3)="NEW"</formula>
    </cfRule>
  </conditionalFormatting>
  <conditionalFormatting sqref="H154">
    <cfRule type="expression" priority="300" aboveAverage="0" equalAverage="0" bottom="0" percent="0" rank="0" text="" dxfId="8">
      <formula>COUNT(Emails!$V$5:$V$304)&gt;6</formula>
    </cfRule>
  </conditionalFormatting>
  <conditionalFormatting sqref="C156:E161">
    <cfRule type="cellIs" priority="301" operator="equal" aboveAverage="0" equalAverage="0" bottom="0" percent="0" rank="0" text="" dxfId="13">
      <formula>"Critical"</formula>
    </cfRule>
    <cfRule type="cellIs" priority="302" operator="equal" aboveAverage="0" equalAverage="0" bottom="0" percent="0" rank="0" text="" dxfId="0">
      <formula>"High"</formula>
    </cfRule>
  </conditionalFormatting>
  <conditionalFormatting sqref="E156:E161">
    <cfRule type="cellIs" priority="303" operator="equal" aboveAverage="0" equalAverage="0" bottom="0" percent="0" rank="0" text="" dxfId="1">
      <formula>"Completed"</formula>
    </cfRule>
    <cfRule type="cellIs" priority="304" operator="equal" aboveAverage="0" equalAverage="0" bottom="0" percent="0" rank="0" text="" dxfId="1">
      <formula>"Achieved"</formula>
    </cfRule>
    <cfRule type="cellIs" priority="305" operator="equal" aboveAverage="0" equalAverage="0" bottom="0" percent="0" rank="0" text="" dxfId="1">
      <formula>"Remediated"</formula>
    </cfRule>
    <cfRule type="cellIs" priority="306" operator="equal" aboveAverage="0" equalAverage="0" bottom="0" percent="0" rank="0" text="" dxfId="1">
      <formula>"Responded"</formula>
    </cfRule>
    <cfRule type="cellIs" priority="307" operator="equal" aboveAverage="0" equalAverage="0" bottom="0" percent="0" rank="0" text="" dxfId="1">
      <formula>"Closed"</formula>
    </cfRule>
    <cfRule type="cellIs" priority="308" operator="equal" aboveAverage="0" equalAverage="0" bottom="0" percent="0" rank="0" text="" dxfId="1">
      <formula>"Decided"</formula>
    </cfRule>
    <cfRule type="cellIs" priority="309" operator="equal" aboveAverage="0" equalAverage="0" bottom="0" percent="0" rank="0" text="" dxfId="2">
      <formula>"In Progress"</formula>
    </cfRule>
    <cfRule type="cellIs" priority="310" operator="equal" aboveAverage="0" equalAverage="0" bottom="0" percent="0" rank="0" text="" dxfId="2">
      <formula>"Remediation In Progress"</formula>
    </cfRule>
    <cfRule type="cellIs" priority="311" operator="equal" aboveAverage="0" equalAverage="0" bottom="0" percent="0" rank="0" text="" dxfId="2">
      <formula>"At Risk"</formula>
    </cfRule>
    <cfRule type="cellIs" priority="312" operator="equal" aboveAverage="0" equalAverage="0" bottom="0" percent="0" rank="0" text="" dxfId="2">
      <formula>"Validating"</formula>
    </cfRule>
    <cfRule type="cellIs" priority="313" operator="equal" aboveAverage="0" equalAverage="0" bottom="0" percent="0" rank="0" text="" dxfId="2">
      <formula>"Awaiting Response"</formula>
    </cfRule>
    <cfRule type="cellIs" priority="314" operator="equal" aboveAverage="0" equalAverage="0" bottom="0" percent="0" rank="0" text="" dxfId="2">
      <formula>"Open"</formula>
    </cfRule>
    <cfRule type="cellIs" priority="315" operator="equal" aboveAverage="0" equalAverage="0" bottom="0" percent="0" rank="0" text="" dxfId="3">
      <formula>"Blocked"</formula>
    </cfRule>
    <cfRule type="cellIs" priority="316" operator="equal" aboveAverage="0" equalAverage="0" bottom="0" percent="0" rank="0" text="" dxfId="3">
      <formula>"Off Track"</formula>
    </cfRule>
    <cfRule type="cellIs" priority="317" operator="equal" aboveAverage="0" equalAverage="0" bottom="0" percent="0" rank="0" text="" dxfId="3">
      <formula>"Escalated"</formula>
    </cfRule>
    <cfRule type="cellIs" priority="318" operator="equal" aboveAverage="0" equalAverage="0" bottom="0" percent="0" rank="0" text="" dxfId="3">
      <formula>"Confirmed"</formula>
    </cfRule>
    <cfRule type="cellIs" priority="319" operator="equal" aboveAverage="0" equalAverage="0" bottom="0" percent="0" rank="0" text="" dxfId="3">
      <formula>"Delayed"</formula>
    </cfRule>
    <cfRule type="cellIs" priority="320" operator="equal" aboveAverage="0" equalAverage="0" bottom="0" percent="0" rank="0" text="" dxfId="4">
      <formula>"Cancelled"</formula>
    </cfRule>
    <cfRule type="cellIs" priority="321" operator="equal" aboveAverage="0" equalAverage="0" bottom="0" percent="0" rank="0" text="" dxfId="4">
      <formula>"False Positive"</formula>
    </cfRule>
    <cfRule type="cellIs" priority="322" operator="equal" aboveAverage="0" equalAverage="0" bottom="0" percent="0" rank="0" text="" dxfId="4">
      <formula>"Deferred"</formula>
    </cfRule>
    <cfRule type="cellIs" priority="323" operator="equal" aboveAverage="0" equalAverage="0" bottom="0" percent="0" rank="0" text="" dxfId="4">
      <formula>"On Hold"</formula>
    </cfRule>
    <cfRule type="cellIs" priority="324" operator="equal" aboveAverage="0" equalAverage="0" bottom="0" percent="0" rank="0" text="" dxfId="4">
      <formula>"Withdrawn"</formula>
    </cfRule>
  </conditionalFormatting>
  <conditionalFormatting sqref="G156:H161">
    <cfRule type="expression" priority="325" aboveAverage="0" equalAverage="0" bottom="0" percent="0" rank="0" text="" dxfId="8">
      <formula>ISNUMBER(SEARCH("OVERDUE",G156))</formula>
    </cfRule>
    <cfRule type="expression" priority="326" aboveAverage="0" equalAverage="0" bottom="0" percent="0" rank="0" text="" dxfId="8">
      <formula>ISNUMBER(SEARCH("SLA BREACH",G156))</formula>
    </cfRule>
    <cfRule type="expression" priority="327" aboveAverage="0" equalAverage="0" bottom="0" percent="0" rank="0" text="" dxfId="8">
      <formula>ISNUMBER(SEARCH("Breach",G156))</formula>
    </cfRule>
  </conditionalFormatting>
  <conditionalFormatting sqref="H156:H161">
    <cfRule type="expression" priority="328" aboveAverage="0" equalAverage="0" bottom="0" percent="0" rank="0" text="" dxfId="6">
      <formula>LEFT(H156,3)="NEW"</formula>
    </cfRule>
  </conditionalFormatting>
  <conditionalFormatting sqref="H166">
    <cfRule type="expression" priority="329" aboveAverage="0" equalAverage="0" bottom="0" percent="0" rank="0" text="" dxfId="8">
      <formula>COUNT(Tasks!$AD$5:$AD$304)&gt;10</formula>
    </cfRule>
  </conditionalFormatting>
  <conditionalFormatting sqref="C169:E178">
    <cfRule type="cellIs" priority="330" operator="equal" aboveAverage="0" equalAverage="0" bottom="0" percent="0" rank="0" text="" dxfId="13">
      <formula>"Critical"</formula>
    </cfRule>
    <cfRule type="cellIs" priority="331" operator="equal" aboveAverage="0" equalAverage="0" bottom="0" percent="0" rank="0" text="" dxfId="0">
      <formula>"High"</formula>
    </cfRule>
  </conditionalFormatting>
  <conditionalFormatting sqref="E169:E178">
    <cfRule type="cellIs" priority="332" operator="equal" aboveAverage="0" equalAverage="0" bottom="0" percent="0" rank="0" text="" dxfId="1">
      <formula>"Completed"</formula>
    </cfRule>
    <cfRule type="cellIs" priority="333" operator="equal" aboveAverage="0" equalAverage="0" bottom="0" percent="0" rank="0" text="" dxfId="1">
      <formula>"Achieved"</formula>
    </cfRule>
    <cfRule type="cellIs" priority="334" operator="equal" aboveAverage="0" equalAverage="0" bottom="0" percent="0" rank="0" text="" dxfId="1">
      <formula>"Remediated"</formula>
    </cfRule>
    <cfRule type="cellIs" priority="335" operator="equal" aboveAverage="0" equalAverage="0" bottom="0" percent="0" rank="0" text="" dxfId="1">
      <formula>"Responded"</formula>
    </cfRule>
    <cfRule type="cellIs" priority="336" operator="equal" aboveAverage="0" equalAverage="0" bottom="0" percent="0" rank="0" text="" dxfId="1">
      <formula>"Closed"</formula>
    </cfRule>
    <cfRule type="cellIs" priority="337" operator="equal" aboveAverage="0" equalAverage="0" bottom="0" percent="0" rank="0" text="" dxfId="1">
      <formula>"Decided"</formula>
    </cfRule>
    <cfRule type="cellIs" priority="338" operator="equal" aboveAverage="0" equalAverage="0" bottom="0" percent="0" rank="0" text="" dxfId="2">
      <formula>"In Progress"</formula>
    </cfRule>
    <cfRule type="cellIs" priority="339" operator="equal" aboveAverage="0" equalAverage="0" bottom="0" percent="0" rank="0" text="" dxfId="2">
      <formula>"Remediation In Progress"</formula>
    </cfRule>
    <cfRule type="cellIs" priority="340" operator="equal" aboveAverage="0" equalAverage="0" bottom="0" percent="0" rank="0" text="" dxfId="2">
      <formula>"At Risk"</formula>
    </cfRule>
    <cfRule type="cellIs" priority="341" operator="equal" aboveAverage="0" equalAverage="0" bottom="0" percent="0" rank="0" text="" dxfId="2">
      <formula>"Validating"</formula>
    </cfRule>
    <cfRule type="cellIs" priority="342" operator="equal" aboveAverage="0" equalAverage="0" bottom="0" percent="0" rank="0" text="" dxfId="2">
      <formula>"Awaiting Response"</formula>
    </cfRule>
    <cfRule type="cellIs" priority="343" operator="equal" aboveAverage="0" equalAverage="0" bottom="0" percent="0" rank="0" text="" dxfId="2">
      <formula>"Open"</formula>
    </cfRule>
    <cfRule type="cellIs" priority="344" operator="equal" aboveAverage="0" equalAverage="0" bottom="0" percent="0" rank="0" text="" dxfId="3">
      <formula>"Blocked"</formula>
    </cfRule>
    <cfRule type="cellIs" priority="345" operator="equal" aboveAverage="0" equalAverage="0" bottom="0" percent="0" rank="0" text="" dxfId="3">
      <formula>"Off Track"</formula>
    </cfRule>
    <cfRule type="cellIs" priority="346" operator="equal" aboveAverage="0" equalAverage="0" bottom="0" percent="0" rank="0" text="" dxfId="3">
      <formula>"Escalated"</formula>
    </cfRule>
    <cfRule type="cellIs" priority="347" operator="equal" aboveAverage="0" equalAverage="0" bottom="0" percent="0" rank="0" text="" dxfId="3">
      <formula>"Confirmed"</formula>
    </cfRule>
    <cfRule type="cellIs" priority="348" operator="equal" aboveAverage="0" equalAverage="0" bottom="0" percent="0" rank="0" text="" dxfId="3">
      <formula>"Delayed"</formula>
    </cfRule>
    <cfRule type="cellIs" priority="349" operator="equal" aboveAverage="0" equalAverage="0" bottom="0" percent="0" rank="0" text="" dxfId="4">
      <formula>"Cancelled"</formula>
    </cfRule>
    <cfRule type="cellIs" priority="350" operator="equal" aboveAverage="0" equalAverage="0" bottom="0" percent="0" rank="0" text="" dxfId="4">
      <formula>"False Positive"</formula>
    </cfRule>
    <cfRule type="cellIs" priority="351" operator="equal" aboveAverage="0" equalAverage="0" bottom="0" percent="0" rank="0" text="" dxfId="4">
      <formula>"Deferred"</formula>
    </cfRule>
    <cfRule type="cellIs" priority="352" operator="equal" aboveAverage="0" equalAverage="0" bottom="0" percent="0" rank="0" text="" dxfId="4">
      <formula>"On Hold"</formula>
    </cfRule>
    <cfRule type="cellIs" priority="353" operator="equal" aboveAverage="0" equalAverage="0" bottom="0" percent="0" rank="0" text="" dxfId="4">
      <formula>"Withdrawn"</formula>
    </cfRule>
  </conditionalFormatting>
  <conditionalFormatting sqref="G169:H178">
    <cfRule type="expression" priority="354" aboveAverage="0" equalAverage="0" bottom="0" percent="0" rank="0" text="" dxfId="8">
      <formula>ISNUMBER(SEARCH("OVERDUE",G169))</formula>
    </cfRule>
    <cfRule type="expression" priority="355" aboveAverage="0" equalAverage="0" bottom="0" percent="0" rank="0" text="" dxfId="8">
      <formula>ISNUMBER(SEARCH("SLA BREACH",G169))</formula>
    </cfRule>
    <cfRule type="expression" priority="356" aboveAverage="0" equalAverage="0" bottom="0" percent="0" rank="0" text="" dxfId="8">
      <formula>ISNUMBER(SEARCH("Breach",G169))</formula>
    </cfRule>
  </conditionalFormatting>
  <conditionalFormatting sqref="H169:H178">
    <cfRule type="expression" priority="357" aboveAverage="0" equalAverage="0" bottom="0" percent="0" rank="0" text="" dxfId="6">
      <formula>LEFT(H169,3)="NEW"</formula>
    </cfRule>
  </conditionalFormatting>
  <conditionalFormatting sqref="H183">
    <cfRule type="expression" priority="358" aboveAverage="0" equalAverage="0" bottom="0" percent="0" rank="0" text="" dxfId="8">
      <formula>COUNT(Developments!$X$5:$X$304)&gt;6</formula>
    </cfRule>
  </conditionalFormatting>
  <conditionalFormatting sqref="C185:E190">
    <cfRule type="cellIs" priority="359" operator="equal" aboveAverage="0" equalAverage="0" bottom="0" percent="0" rank="0" text="" dxfId="13">
      <formula>"Critical"</formula>
    </cfRule>
    <cfRule type="cellIs" priority="360" operator="equal" aboveAverage="0" equalAverage="0" bottom="0" percent="0" rank="0" text="" dxfId="0">
      <formula>"High"</formula>
    </cfRule>
  </conditionalFormatting>
  <conditionalFormatting sqref="E185:E190">
    <cfRule type="cellIs" priority="361" operator="equal" aboveAverage="0" equalAverage="0" bottom="0" percent="0" rank="0" text="" dxfId="1">
      <formula>"Completed"</formula>
    </cfRule>
    <cfRule type="cellIs" priority="362" operator="equal" aboveAverage="0" equalAverage="0" bottom="0" percent="0" rank="0" text="" dxfId="1">
      <formula>"Achieved"</formula>
    </cfRule>
    <cfRule type="cellIs" priority="363" operator="equal" aboveAverage="0" equalAverage="0" bottom="0" percent="0" rank="0" text="" dxfId="1">
      <formula>"Remediated"</formula>
    </cfRule>
    <cfRule type="cellIs" priority="364" operator="equal" aboveAverage="0" equalAverage="0" bottom="0" percent="0" rank="0" text="" dxfId="1">
      <formula>"Responded"</formula>
    </cfRule>
    <cfRule type="cellIs" priority="365" operator="equal" aboveAverage="0" equalAverage="0" bottom="0" percent="0" rank="0" text="" dxfId="1">
      <formula>"Closed"</formula>
    </cfRule>
    <cfRule type="cellIs" priority="366" operator="equal" aboveAverage="0" equalAverage="0" bottom="0" percent="0" rank="0" text="" dxfId="1">
      <formula>"Decided"</formula>
    </cfRule>
    <cfRule type="cellIs" priority="367" operator="equal" aboveAverage="0" equalAverage="0" bottom="0" percent="0" rank="0" text="" dxfId="2">
      <formula>"In Progress"</formula>
    </cfRule>
    <cfRule type="cellIs" priority="368" operator="equal" aboveAverage="0" equalAverage="0" bottom="0" percent="0" rank="0" text="" dxfId="2">
      <formula>"Remediation In Progress"</formula>
    </cfRule>
    <cfRule type="cellIs" priority="369" operator="equal" aboveAverage="0" equalAverage="0" bottom="0" percent="0" rank="0" text="" dxfId="2">
      <formula>"At Risk"</formula>
    </cfRule>
    <cfRule type="cellIs" priority="370" operator="equal" aboveAverage="0" equalAverage="0" bottom="0" percent="0" rank="0" text="" dxfId="2">
      <formula>"Validating"</formula>
    </cfRule>
    <cfRule type="cellIs" priority="371" operator="equal" aboveAverage="0" equalAverage="0" bottom="0" percent="0" rank="0" text="" dxfId="2">
      <formula>"Awaiting Response"</formula>
    </cfRule>
    <cfRule type="cellIs" priority="372" operator="equal" aboveAverage="0" equalAverage="0" bottom="0" percent="0" rank="0" text="" dxfId="2">
      <formula>"Open"</formula>
    </cfRule>
    <cfRule type="cellIs" priority="373" operator="equal" aboveAverage="0" equalAverage="0" bottom="0" percent="0" rank="0" text="" dxfId="3">
      <formula>"Blocked"</formula>
    </cfRule>
    <cfRule type="cellIs" priority="374" operator="equal" aboveAverage="0" equalAverage="0" bottom="0" percent="0" rank="0" text="" dxfId="3">
      <formula>"Off Track"</formula>
    </cfRule>
    <cfRule type="cellIs" priority="375" operator="equal" aboveAverage="0" equalAverage="0" bottom="0" percent="0" rank="0" text="" dxfId="3">
      <formula>"Escalated"</formula>
    </cfRule>
    <cfRule type="cellIs" priority="376" operator="equal" aboveAverage="0" equalAverage="0" bottom="0" percent="0" rank="0" text="" dxfId="3">
      <formula>"Confirmed"</formula>
    </cfRule>
    <cfRule type="cellIs" priority="377" operator="equal" aboveAverage="0" equalAverage="0" bottom="0" percent="0" rank="0" text="" dxfId="3">
      <formula>"Delayed"</formula>
    </cfRule>
    <cfRule type="cellIs" priority="378" operator="equal" aboveAverage="0" equalAverage="0" bottom="0" percent="0" rank="0" text="" dxfId="4">
      <formula>"Cancelled"</formula>
    </cfRule>
    <cfRule type="cellIs" priority="379" operator="equal" aboveAverage="0" equalAverage="0" bottom="0" percent="0" rank="0" text="" dxfId="4">
      <formula>"False Positive"</formula>
    </cfRule>
    <cfRule type="cellIs" priority="380" operator="equal" aboveAverage="0" equalAverage="0" bottom="0" percent="0" rank="0" text="" dxfId="4">
      <formula>"Deferred"</formula>
    </cfRule>
    <cfRule type="cellIs" priority="381" operator="equal" aboveAverage="0" equalAverage="0" bottom="0" percent="0" rank="0" text="" dxfId="4">
      <formula>"On Hold"</formula>
    </cfRule>
    <cfRule type="cellIs" priority="382" operator="equal" aboveAverage="0" equalAverage="0" bottom="0" percent="0" rank="0" text="" dxfId="4">
      <formula>"Withdrawn"</formula>
    </cfRule>
  </conditionalFormatting>
  <conditionalFormatting sqref="G185:H190">
    <cfRule type="expression" priority="383" aboveAverage="0" equalAverage="0" bottom="0" percent="0" rank="0" text="" dxfId="8">
      <formula>ISNUMBER(SEARCH("OVERDUE",G185))</formula>
    </cfRule>
    <cfRule type="expression" priority="384" aboveAverage="0" equalAverage="0" bottom="0" percent="0" rank="0" text="" dxfId="8">
      <formula>ISNUMBER(SEARCH("SLA BREACH",G185))</formula>
    </cfRule>
    <cfRule type="expression" priority="385" aboveAverage="0" equalAverage="0" bottom="0" percent="0" rank="0" text="" dxfId="8">
      <formula>ISNUMBER(SEARCH("Breach",G185))</formula>
    </cfRule>
  </conditionalFormatting>
  <conditionalFormatting sqref="H185:H190">
    <cfRule type="expression" priority="386" aboveAverage="0" equalAverage="0" bottom="0" percent="0" rank="0" text="" dxfId="6">
      <formula>LEFT(H185,3)="NEW"</formula>
    </cfRule>
  </conditionalFormatting>
  <conditionalFormatting sqref="H192">
    <cfRule type="expression" priority="387" aboveAverage="0" equalAverage="0" bottom="0" percent="0" rank="0" text="" dxfId="8">
      <formula>COUNT('EASM Findings'!$AG$5:$AG$304)&gt;6</formula>
    </cfRule>
  </conditionalFormatting>
  <conditionalFormatting sqref="C194:E199">
    <cfRule type="cellIs" priority="388" operator="equal" aboveAverage="0" equalAverage="0" bottom="0" percent="0" rank="0" text="" dxfId="13">
      <formula>"Critical"</formula>
    </cfRule>
    <cfRule type="cellIs" priority="389" operator="equal" aboveAverage="0" equalAverage="0" bottom="0" percent="0" rank="0" text="" dxfId="0">
      <formula>"High"</formula>
    </cfRule>
  </conditionalFormatting>
  <conditionalFormatting sqref="E194:E199">
    <cfRule type="cellIs" priority="390" operator="equal" aboveAverage="0" equalAverage="0" bottom="0" percent="0" rank="0" text="" dxfId="1">
      <formula>"Completed"</formula>
    </cfRule>
    <cfRule type="cellIs" priority="391" operator="equal" aboveAverage="0" equalAverage="0" bottom="0" percent="0" rank="0" text="" dxfId="1">
      <formula>"Achieved"</formula>
    </cfRule>
    <cfRule type="cellIs" priority="392" operator="equal" aboveAverage="0" equalAverage="0" bottom="0" percent="0" rank="0" text="" dxfId="1">
      <formula>"Remediated"</formula>
    </cfRule>
    <cfRule type="cellIs" priority="393" operator="equal" aboveAverage="0" equalAverage="0" bottom="0" percent="0" rank="0" text="" dxfId="1">
      <formula>"Responded"</formula>
    </cfRule>
    <cfRule type="cellIs" priority="394" operator="equal" aboveAverage="0" equalAverage="0" bottom="0" percent="0" rank="0" text="" dxfId="1">
      <formula>"Closed"</formula>
    </cfRule>
    <cfRule type="cellIs" priority="395" operator="equal" aboveAverage="0" equalAverage="0" bottom="0" percent="0" rank="0" text="" dxfId="1">
      <formula>"Decided"</formula>
    </cfRule>
    <cfRule type="cellIs" priority="396" operator="equal" aboveAverage="0" equalAverage="0" bottom="0" percent="0" rank="0" text="" dxfId="2">
      <formula>"In Progress"</formula>
    </cfRule>
    <cfRule type="cellIs" priority="397" operator="equal" aboveAverage="0" equalAverage="0" bottom="0" percent="0" rank="0" text="" dxfId="2">
      <formula>"Remediation In Progress"</formula>
    </cfRule>
    <cfRule type="cellIs" priority="398" operator="equal" aboveAverage="0" equalAverage="0" bottom="0" percent="0" rank="0" text="" dxfId="2">
      <formula>"At Risk"</formula>
    </cfRule>
    <cfRule type="cellIs" priority="399" operator="equal" aboveAverage="0" equalAverage="0" bottom="0" percent="0" rank="0" text="" dxfId="2">
      <formula>"Validating"</formula>
    </cfRule>
    <cfRule type="cellIs" priority="400" operator="equal" aboveAverage="0" equalAverage="0" bottom="0" percent="0" rank="0" text="" dxfId="2">
      <formula>"Awaiting Response"</formula>
    </cfRule>
    <cfRule type="cellIs" priority="401" operator="equal" aboveAverage="0" equalAverage="0" bottom="0" percent="0" rank="0" text="" dxfId="2">
      <formula>"Open"</formula>
    </cfRule>
    <cfRule type="cellIs" priority="402" operator="equal" aboveAverage="0" equalAverage="0" bottom="0" percent="0" rank="0" text="" dxfId="3">
      <formula>"Blocked"</formula>
    </cfRule>
    <cfRule type="cellIs" priority="403" operator="equal" aboveAverage="0" equalAverage="0" bottom="0" percent="0" rank="0" text="" dxfId="3">
      <formula>"Off Track"</formula>
    </cfRule>
    <cfRule type="cellIs" priority="404" operator="equal" aboveAverage="0" equalAverage="0" bottom="0" percent="0" rank="0" text="" dxfId="3">
      <formula>"Escalated"</formula>
    </cfRule>
    <cfRule type="cellIs" priority="405" operator="equal" aboveAverage="0" equalAverage="0" bottom="0" percent="0" rank="0" text="" dxfId="3">
      <formula>"Confirmed"</formula>
    </cfRule>
    <cfRule type="cellIs" priority="406" operator="equal" aboveAverage="0" equalAverage="0" bottom="0" percent="0" rank="0" text="" dxfId="3">
      <formula>"Delayed"</formula>
    </cfRule>
    <cfRule type="cellIs" priority="407" operator="equal" aboveAverage="0" equalAverage="0" bottom="0" percent="0" rank="0" text="" dxfId="4">
      <formula>"Cancelled"</formula>
    </cfRule>
    <cfRule type="cellIs" priority="408" operator="equal" aboveAverage="0" equalAverage="0" bottom="0" percent="0" rank="0" text="" dxfId="4">
      <formula>"False Positive"</formula>
    </cfRule>
    <cfRule type="cellIs" priority="409" operator="equal" aboveAverage="0" equalAverage="0" bottom="0" percent="0" rank="0" text="" dxfId="4">
      <formula>"Deferred"</formula>
    </cfRule>
    <cfRule type="cellIs" priority="410" operator="equal" aboveAverage="0" equalAverage="0" bottom="0" percent="0" rank="0" text="" dxfId="4">
      <formula>"On Hold"</formula>
    </cfRule>
    <cfRule type="cellIs" priority="411" operator="equal" aboveAverage="0" equalAverage="0" bottom="0" percent="0" rank="0" text="" dxfId="4">
      <formula>"Withdrawn"</formula>
    </cfRule>
  </conditionalFormatting>
  <conditionalFormatting sqref="G194:H199">
    <cfRule type="expression" priority="412" aboveAverage="0" equalAverage="0" bottom="0" percent="0" rank="0" text="" dxfId="8">
      <formula>ISNUMBER(SEARCH("OVERDUE",G194))</formula>
    </cfRule>
    <cfRule type="expression" priority="413" aboveAverage="0" equalAverage="0" bottom="0" percent="0" rank="0" text="" dxfId="8">
      <formula>ISNUMBER(SEARCH("SLA BREACH",G194))</formula>
    </cfRule>
    <cfRule type="expression" priority="414" aboveAverage="0" equalAverage="0" bottom="0" percent="0" rank="0" text="" dxfId="8">
      <formula>ISNUMBER(SEARCH("Breach",G194))</formula>
    </cfRule>
  </conditionalFormatting>
  <conditionalFormatting sqref="H194:H199">
    <cfRule type="expression" priority="415" aboveAverage="0" equalAverage="0" bottom="0" percent="0" rank="0" text="" dxfId="6">
      <formula>LEFT(H194,3)="NEW"</formula>
    </cfRule>
  </conditionalFormatting>
  <dataValidations count="3">
    <dataValidation allowBlank="true" errorStyle="stop" operator="greaterThan" showDropDown="false" showErrorMessage="false" showInputMessage="false" sqref="C4" type="date">
      <formula1>DATE(2000,1,1)</formula1>
      <formula2>0</formula2>
    </dataValidation>
    <dataValidation allowBlank="true" errorStyle="stop" operator="greaterThan" showDropDown="false" showErrorMessage="false" showInputMessage="false" sqref="C7" type="date">
      <formula1>DATE(2000,1,1)</formula1>
      <formula2>0</formula2>
    </dataValidation>
    <dataValidation allowBlank="false" errorStyle="stop" operator="greaterThanOrEqual" showDropDown="false" showErrorMessage="false" showInputMessage="false" sqref="E32:E44" type="whole">
      <formula1>1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O10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48"/>
    <col collapsed="false" customWidth="true" hidden="false" outlineLevel="0" max="5" min="5" style="0" width="36"/>
    <col collapsed="false" customWidth="true" hidden="false" outlineLevel="0" max="10" min="6" style="0" width="32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28"/>
  </cols>
  <sheetData>
    <row r="1" customFormat="false" ht="19.7" hidden="false" customHeight="false" outlineLevel="0" collapsed="false">
      <c r="A1" s="53" t="s">
        <v>215</v>
      </c>
    </row>
    <row r="2" customFormat="false" ht="15" hidden="false" customHeight="false" outlineLevel="0" collapsed="false">
      <c r="A2" s="2" t="s">
        <v>216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218</v>
      </c>
      <c r="B4" s="55" t="s">
        <v>219</v>
      </c>
      <c r="C4" s="55" t="s">
        <v>220</v>
      </c>
      <c r="D4" s="55" t="s">
        <v>221</v>
      </c>
      <c r="E4" s="55" t="s">
        <v>222</v>
      </c>
      <c r="F4" s="55" t="s">
        <v>223</v>
      </c>
      <c r="G4" s="55" t="s">
        <v>224</v>
      </c>
      <c r="H4" s="55" t="s">
        <v>225</v>
      </c>
      <c r="I4" s="55" t="s">
        <v>226</v>
      </c>
      <c r="J4" s="55" t="s">
        <v>227</v>
      </c>
      <c r="K4" s="55" t="s">
        <v>228</v>
      </c>
      <c r="L4" s="55" t="s">
        <v>229</v>
      </c>
      <c r="M4" s="55" t="s">
        <v>230</v>
      </c>
      <c r="N4" s="55" t="s">
        <v>231</v>
      </c>
      <c r="O4" s="55" t="s">
        <v>232</v>
      </c>
    </row>
    <row r="5" customFormat="false" ht="35.05" hidden="false" customHeight="false" outlineLevel="0" collapsed="false">
      <c r="A5" s="56" t="s">
        <v>233</v>
      </c>
      <c r="B5" s="57" t="n">
        <v>46315</v>
      </c>
      <c r="C5" s="58" t="s">
        <v>127</v>
      </c>
      <c r="D5" s="59" t="s">
        <v>234</v>
      </c>
      <c r="E5" s="59" t="s">
        <v>235</v>
      </c>
      <c r="F5" s="59" t="s">
        <v>236</v>
      </c>
      <c r="G5" s="59" t="s">
        <v>237</v>
      </c>
      <c r="H5" s="59" t="s">
        <v>238</v>
      </c>
      <c r="I5" s="59" t="s">
        <v>239</v>
      </c>
      <c r="J5" s="59" t="s">
        <v>240</v>
      </c>
      <c r="K5" s="60"/>
      <c r="L5" s="61"/>
      <c r="M5" s="62" t="str">
        <f aca="false">IF(B5="","",IF(_xlfn.MAXIFS($B$5:$B$108,$B$5:$B$108,"&lt;"&amp;B5)=0,"",IF(INDEX($C$5:$C$108,MATCH(_xlfn.MAXIFS($B$5:$B$108,$B$5:$B$108,"&lt;"&amp;B5),$B$5:$B$108,0))="","",INDEX($C$5:$C$108,MATCH(_xlfn.MAXIFS($B$5:$B$108,$B$5:$B$108,"&lt;"&amp;B5),$B$5:$B$108,0)))))</f>
        <v/>
      </c>
      <c r="N5" s="62" t="str">
        <f aca="false">IF(OR(C5="",M5=""),"",IF(MATCH(C5,{"Red","Amber","Green"},0)&gt;MATCH(M5,{"Red","Amber","Green"},0),"▲ Improving",IF(MATCH(C5,{"Red","Amber","Green"},0)&lt;MATCH(M5,{"Red","Amber","Green"},0),"▼ Deteriorating","► Stable")))</f>
        <v/>
      </c>
      <c r="O5" s="60"/>
    </row>
    <row r="6" customFormat="false" ht="15" hidden="false" customHeight="false" outlineLevel="0" collapsed="false">
      <c r="A6" s="56" t="s">
        <v>241</v>
      </c>
      <c r="B6" s="63"/>
      <c r="C6" s="61"/>
      <c r="D6" s="60"/>
      <c r="E6" s="60"/>
      <c r="F6" s="60"/>
      <c r="G6" s="60"/>
      <c r="H6" s="60"/>
      <c r="I6" s="60"/>
      <c r="J6" s="60"/>
      <c r="K6" s="60"/>
      <c r="L6" s="61"/>
      <c r="M6" s="62" t="str">
        <f aca="false">IF(B6="","",IF(_xlfn.MAXIFS($B$5:$B$108,$B$5:$B$108,"&lt;"&amp;B6)=0,"",IF(INDEX($C$5:$C$108,MATCH(_xlfn.MAXIFS($B$5:$B$108,$B$5:$B$108,"&lt;"&amp;B6),$B$5:$B$108,0))="","",INDEX($C$5:$C$108,MATCH(_xlfn.MAXIFS($B$5:$B$108,$B$5:$B$108,"&lt;"&amp;B6),$B$5:$B$108,0)))))</f>
        <v/>
      </c>
      <c r="N6" s="62" t="str">
        <f aca="false">IF(OR(C6="",M6=""),"",IF(MATCH(C6,{"Red","Amber","Green"},0)&gt;MATCH(M6,{"Red","Amber","Green"},0),"▲ Improving",IF(MATCH(C6,{"Red","Amber","Green"},0)&lt;MATCH(M6,{"Red","Amber","Green"},0),"▼ Deteriorating","► Stable")))</f>
        <v/>
      </c>
      <c r="O6" s="60"/>
    </row>
    <row r="7" customFormat="false" ht="15" hidden="false" customHeight="false" outlineLevel="0" collapsed="false">
      <c r="A7" s="56" t="s">
        <v>242</v>
      </c>
      <c r="B7" s="63"/>
      <c r="C7" s="61"/>
      <c r="D7" s="60"/>
      <c r="E7" s="60"/>
      <c r="F7" s="60"/>
      <c r="G7" s="60"/>
      <c r="H7" s="60"/>
      <c r="I7" s="60"/>
      <c r="J7" s="60"/>
      <c r="K7" s="60"/>
      <c r="L7" s="61"/>
      <c r="M7" s="62" t="str">
        <f aca="false">IF(B7="","",IF(_xlfn.MAXIFS($B$5:$B$108,$B$5:$B$108,"&lt;"&amp;B7)=0,"",IF(INDEX($C$5:$C$108,MATCH(_xlfn.MAXIFS($B$5:$B$108,$B$5:$B$108,"&lt;"&amp;B7),$B$5:$B$108,0))="","",INDEX($C$5:$C$108,MATCH(_xlfn.MAXIFS($B$5:$B$108,$B$5:$B$108,"&lt;"&amp;B7),$B$5:$B$108,0)))))</f>
        <v/>
      </c>
      <c r="N7" s="62" t="str">
        <f aca="false">IF(OR(C7="",M7=""),"",IF(MATCH(C7,{"Red","Amber","Green"},0)&gt;MATCH(M7,{"Red","Amber","Green"},0),"▲ Improving",IF(MATCH(C7,{"Red","Amber","Green"},0)&lt;MATCH(M7,{"Red","Amber","Green"},0),"▼ Deteriorating","► Stable")))</f>
        <v/>
      </c>
      <c r="O7" s="60"/>
    </row>
    <row r="8" customFormat="false" ht="15" hidden="false" customHeight="false" outlineLevel="0" collapsed="false">
      <c r="A8" s="56" t="s">
        <v>243</v>
      </c>
      <c r="B8" s="63"/>
      <c r="C8" s="61"/>
      <c r="D8" s="60"/>
      <c r="E8" s="60"/>
      <c r="F8" s="60"/>
      <c r="G8" s="60"/>
      <c r="H8" s="60"/>
      <c r="I8" s="60"/>
      <c r="J8" s="60"/>
      <c r="K8" s="60"/>
      <c r="L8" s="61"/>
      <c r="M8" s="62" t="str">
        <f aca="false">IF(B8="","",IF(_xlfn.MAXIFS($B$5:$B$108,$B$5:$B$108,"&lt;"&amp;B8)=0,"",IF(INDEX($C$5:$C$108,MATCH(_xlfn.MAXIFS($B$5:$B$108,$B$5:$B$108,"&lt;"&amp;B8),$B$5:$B$108,0))="","",INDEX($C$5:$C$108,MATCH(_xlfn.MAXIFS($B$5:$B$108,$B$5:$B$108,"&lt;"&amp;B8),$B$5:$B$108,0)))))</f>
        <v/>
      </c>
      <c r="N8" s="62" t="str">
        <f aca="false">IF(OR(C8="",M8=""),"",IF(MATCH(C8,{"Red","Amber","Green"},0)&gt;MATCH(M8,{"Red","Amber","Green"},0),"▲ Improving",IF(MATCH(C8,{"Red","Amber","Green"},0)&lt;MATCH(M8,{"Red","Amber","Green"},0),"▼ Deteriorating","► Stable")))</f>
        <v/>
      </c>
      <c r="O8" s="60"/>
    </row>
    <row r="9" customFormat="false" ht="15" hidden="false" customHeight="false" outlineLevel="0" collapsed="false">
      <c r="A9" s="56" t="s">
        <v>244</v>
      </c>
      <c r="B9" s="63"/>
      <c r="C9" s="61"/>
      <c r="D9" s="60"/>
      <c r="E9" s="60"/>
      <c r="F9" s="60"/>
      <c r="G9" s="60"/>
      <c r="H9" s="60"/>
      <c r="I9" s="60"/>
      <c r="J9" s="60"/>
      <c r="K9" s="60"/>
      <c r="L9" s="61"/>
      <c r="M9" s="62" t="str">
        <f aca="false">IF(B9="","",IF(_xlfn.MAXIFS($B$5:$B$108,$B$5:$B$108,"&lt;"&amp;B9)=0,"",IF(INDEX($C$5:$C$108,MATCH(_xlfn.MAXIFS($B$5:$B$108,$B$5:$B$108,"&lt;"&amp;B9),$B$5:$B$108,0))="","",INDEX($C$5:$C$108,MATCH(_xlfn.MAXIFS($B$5:$B$108,$B$5:$B$108,"&lt;"&amp;B9),$B$5:$B$108,0)))))</f>
        <v/>
      </c>
      <c r="N9" s="62" t="str">
        <f aca="false">IF(OR(C9="",M9=""),"",IF(MATCH(C9,{"Red","Amber","Green"},0)&gt;MATCH(M9,{"Red","Amber","Green"},0),"▲ Improving",IF(MATCH(C9,{"Red","Amber","Green"},0)&lt;MATCH(M9,{"Red","Amber","Green"},0),"▼ Deteriorating","► Stable")))</f>
        <v/>
      </c>
      <c r="O9" s="60"/>
    </row>
    <row r="10" customFormat="false" ht="15" hidden="false" customHeight="false" outlineLevel="0" collapsed="false">
      <c r="A10" s="56" t="s">
        <v>245</v>
      </c>
      <c r="B10" s="63"/>
      <c r="C10" s="61"/>
      <c r="D10" s="60"/>
      <c r="E10" s="60"/>
      <c r="F10" s="60"/>
      <c r="G10" s="60"/>
      <c r="H10" s="60"/>
      <c r="I10" s="60"/>
      <c r="J10" s="60"/>
      <c r="K10" s="60"/>
      <c r="L10" s="61"/>
      <c r="M10" s="62" t="str">
        <f aca="false">IF(B10="","",IF(_xlfn.MAXIFS($B$5:$B$108,$B$5:$B$108,"&lt;"&amp;B10)=0,"",IF(INDEX($C$5:$C$108,MATCH(_xlfn.MAXIFS($B$5:$B$108,$B$5:$B$108,"&lt;"&amp;B10),$B$5:$B$108,0))="","",INDEX($C$5:$C$108,MATCH(_xlfn.MAXIFS($B$5:$B$108,$B$5:$B$108,"&lt;"&amp;B10),$B$5:$B$108,0)))))</f>
        <v/>
      </c>
      <c r="N10" s="62" t="str">
        <f aca="false">IF(OR(C10="",M10=""),"",IF(MATCH(C10,{"Red","Amber","Green"},0)&gt;MATCH(M10,{"Red","Amber","Green"},0),"▲ Improving",IF(MATCH(C10,{"Red","Amber","Green"},0)&lt;MATCH(M10,{"Red","Amber","Green"},0),"▼ Deteriorating","► Stable")))</f>
        <v/>
      </c>
      <c r="O10" s="60"/>
    </row>
    <row r="11" customFormat="false" ht="15" hidden="false" customHeight="false" outlineLevel="0" collapsed="false">
      <c r="A11" s="56" t="s">
        <v>246</v>
      </c>
      <c r="B11" s="63"/>
      <c r="C11" s="61"/>
      <c r="D11" s="60"/>
      <c r="E11" s="60"/>
      <c r="F11" s="60"/>
      <c r="G11" s="60"/>
      <c r="H11" s="60"/>
      <c r="I11" s="60"/>
      <c r="J11" s="60"/>
      <c r="K11" s="60"/>
      <c r="L11" s="61"/>
      <c r="M11" s="62" t="str">
        <f aca="false">IF(B11="","",IF(_xlfn.MAXIFS($B$5:$B$108,$B$5:$B$108,"&lt;"&amp;B11)=0,"",IF(INDEX($C$5:$C$108,MATCH(_xlfn.MAXIFS($B$5:$B$108,$B$5:$B$108,"&lt;"&amp;B11),$B$5:$B$108,0))="","",INDEX($C$5:$C$108,MATCH(_xlfn.MAXIFS($B$5:$B$108,$B$5:$B$108,"&lt;"&amp;B11),$B$5:$B$108,0)))))</f>
        <v/>
      </c>
      <c r="N11" s="62" t="str">
        <f aca="false">IF(OR(C11="",M11=""),"",IF(MATCH(C11,{"Red","Amber","Green"},0)&gt;MATCH(M11,{"Red","Amber","Green"},0),"▲ Improving",IF(MATCH(C11,{"Red","Amber","Green"},0)&lt;MATCH(M11,{"Red","Amber","Green"},0),"▼ Deteriorating","► Stable")))</f>
        <v/>
      </c>
      <c r="O11" s="60"/>
    </row>
    <row r="12" customFormat="false" ht="15" hidden="false" customHeight="false" outlineLevel="0" collapsed="false">
      <c r="A12" s="56" t="s">
        <v>247</v>
      </c>
      <c r="B12" s="63"/>
      <c r="C12" s="61"/>
      <c r="D12" s="60"/>
      <c r="E12" s="60"/>
      <c r="F12" s="60"/>
      <c r="G12" s="60"/>
      <c r="H12" s="60"/>
      <c r="I12" s="60"/>
      <c r="J12" s="60"/>
      <c r="K12" s="60"/>
      <c r="L12" s="61"/>
      <c r="M12" s="62" t="str">
        <f aca="false">IF(B12="","",IF(_xlfn.MAXIFS($B$5:$B$108,$B$5:$B$108,"&lt;"&amp;B12)=0,"",IF(INDEX($C$5:$C$108,MATCH(_xlfn.MAXIFS($B$5:$B$108,$B$5:$B$108,"&lt;"&amp;B12),$B$5:$B$108,0))="","",INDEX($C$5:$C$108,MATCH(_xlfn.MAXIFS($B$5:$B$108,$B$5:$B$108,"&lt;"&amp;B12),$B$5:$B$108,0)))))</f>
        <v/>
      </c>
      <c r="N12" s="62" t="str">
        <f aca="false">IF(OR(C12="",M12=""),"",IF(MATCH(C12,{"Red","Amber","Green"},0)&gt;MATCH(M12,{"Red","Amber","Green"},0),"▲ Improving",IF(MATCH(C12,{"Red","Amber","Green"},0)&lt;MATCH(M12,{"Red","Amber","Green"},0),"▼ Deteriorating","► Stable")))</f>
        <v/>
      </c>
      <c r="O12" s="60"/>
    </row>
    <row r="13" customFormat="false" ht="15" hidden="false" customHeight="false" outlineLevel="0" collapsed="false">
      <c r="A13" s="56" t="s">
        <v>248</v>
      </c>
      <c r="B13" s="63"/>
      <c r="C13" s="61"/>
      <c r="D13" s="60"/>
      <c r="E13" s="60"/>
      <c r="F13" s="60"/>
      <c r="G13" s="60"/>
      <c r="H13" s="60"/>
      <c r="I13" s="60"/>
      <c r="J13" s="60"/>
      <c r="K13" s="60"/>
      <c r="L13" s="61"/>
      <c r="M13" s="62" t="str">
        <f aca="false">IF(B13="","",IF(_xlfn.MAXIFS($B$5:$B$108,$B$5:$B$108,"&lt;"&amp;B13)=0,"",IF(INDEX($C$5:$C$108,MATCH(_xlfn.MAXIFS($B$5:$B$108,$B$5:$B$108,"&lt;"&amp;B13),$B$5:$B$108,0))="","",INDEX($C$5:$C$108,MATCH(_xlfn.MAXIFS($B$5:$B$108,$B$5:$B$108,"&lt;"&amp;B13),$B$5:$B$108,0)))))</f>
        <v/>
      </c>
      <c r="N13" s="62" t="str">
        <f aca="false">IF(OR(C13="",M13=""),"",IF(MATCH(C13,{"Red","Amber","Green"},0)&gt;MATCH(M13,{"Red","Amber","Green"},0),"▲ Improving",IF(MATCH(C13,{"Red","Amber","Green"},0)&lt;MATCH(M13,{"Red","Amber","Green"},0),"▼ Deteriorating","► Stable")))</f>
        <v/>
      </c>
      <c r="O13" s="60"/>
    </row>
    <row r="14" customFormat="false" ht="15" hidden="false" customHeight="false" outlineLevel="0" collapsed="false">
      <c r="A14" s="56" t="s">
        <v>249</v>
      </c>
      <c r="B14" s="63"/>
      <c r="C14" s="61"/>
      <c r="D14" s="60"/>
      <c r="E14" s="60"/>
      <c r="F14" s="60"/>
      <c r="G14" s="60"/>
      <c r="H14" s="60"/>
      <c r="I14" s="60"/>
      <c r="J14" s="60"/>
      <c r="K14" s="60"/>
      <c r="L14" s="61"/>
      <c r="M14" s="62" t="str">
        <f aca="false">IF(B14="","",IF(_xlfn.MAXIFS($B$5:$B$108,$B$5:$B$108,"&lt;"&amp;B14)=0,"",IF(INDEX($C$5:$C$108,MATCH(_xlfn.MAXIFS($B$5:$B$108,$B$5:$B$108,"&lt;"&amp;B14),$B$5:$B$108,0))="","",INDEX($C$5:$C$108,MATCH(_xlfn.MAXIFS($B$5:$B$108,$B$5:$B$108,"&lt;"&amp;B14),$B$5:$B$108,0)))))</f>
        <v/>
      </c>
      <c r="N14" s="62" t="str">
        <f aca="false">IF(OR(C14="",M14=""),"",IF(MATCH(C14,{"Red","Amber","Green"},0)&gt;MATCH(M14,{"Red","Amber","Green"},0),"▲ Improving",IF(MATCH(C14,{"Red","Amber","Green"},0)&lt;MATCH(M14,{"Red","Amber","Green"},0),"▼ Deteriorating","► Stable")))</f>
        <v/>
      </c>
      <c r="O14" s="60"/>
    </row>
    <row r="15" customFormat="false" ht="15" hidden="false" customHeight="false" outlineLevel="0" collapsed="false">
      <c r="A15" s="56" t="s">
        <v>250</v>
      </c>
      <c r="B15" s="63"/>
      <c r="C15" s="61"/>
      <c r="D15" s="60"/>
      <c r="E15" s="60"/>
      <c r="F15" s="60"/>
      <c r="G15" s="60"/>
      <c r="H15" s="60"/>
      <c r="I15" s="60"/>
      <c r="J15" s="60"/>
      <c r="K15" s="60"/>
      <c r="L15" s="61"/>
      <c r="M15" s="62" t="str">
        <f aca="false">IF(B15="","",IF(_xlfn.MAXIFS($B$5:$B$108,$B$5:$B$108,"&lt;"&amp;B15)=0,"",IF(INDEX($C$5:$C$108,MATCH(_xlfn.MAXIFS($B$5:$B$108,$B$5:$B$108,"&lt;"&amp;B15),$B$5:$B$108,0))="","",INDEX($C$5:$C$108,MATCH(_xlfn.MAXIFS($B$5:$B$108,$B$5:$B$108,"&lt;"&amp;B15),$B$5:$B$108,0)))))</f>
        <v/>
      </c>
      <c r="N15" s="62" t="str">
        <f aca="false">IF(OR(C15="",M15=""),"",IF(MATCH(C15,{"Red","Amber","Green"},0)&gt;MATCH(M15,{"Red","Amber","Green"},0),"▲ Improving",IF(MATCH(C15,{"Red","Amber","Green"},0)&lt;MATCH(M15,{"Red","Amber","Green"},0),"▼ Deteriorating","► Stable")))</f>
        <v/>
      </c>
      <c r="O15" s="60"/>
    </row>
    <row r="16" customFormat="false" ht="15" hidden="false" customHeight="false" outlineLevel="0" collapsed="false">
      <c r="A16" s="56" t="s">
        <v>251</v>
      </c>
      <c r="B16" s="63"/>
      <c r="C16" s="61"/>
      <c r="D16" s="60"/>
      <c r="E16" s="60"/>
      <c r="F16" s="60"/>
      <c r="G16" s="60"/>
      <c r="H16" s="60"/>
      <c r="I16" s="60"/>
      <c r="J16" s="60"/>
      <c r="K16" s="60"/>
      <c r="L16" s="61"/>
      <c r="M16" s="62" t="str">
        <f aca="false">IF(B16="","",IF(_xlfn.MAXIFS($B$5:$B$108,$B$5:$B$108,"&lt;"&amp;B16)=0,"",IF(INDEX($C$5:$C$108,MATCH(_xlfn.MAXIFS($B$5:$B$108,$B$5:$B$108,"&lt;"&amp;B16),$B$5:$B$108,0))="","",INDEX($C$5:$C$108,MATCH(_xlfn.MAXIFS($B$5:$B$108,$B$5:$B$108,"&lt;"&amp;B16),$B$5:$B$108,0)))))</f>
        <v/>
      </c>
      <c r="N16" s="62" t="str">
        <f aca="false">IF(OR(C16="",M16=""),"",IF(MATCH(C16,{"Red","Amber","Green"},0)&gt;MATCH(M16,{"Red","Amber","Green"},0),"▲ Improving",IF(MATCH(C16,{"Red","Amber","Green"},0)&lt;MATCH(M16,{"Red","Amber","Green"},0),"▼ Deteriorating","► Stable")))</f>
        <v/>
      </c>
      <c r="O16" s="60"/>
    </row>
    <row r="17" customFormat="false" ht="15" hidden="false" customHeight="false" outlineLevel="0" collapsed="false">
      <c r="A17" s="56" t="s">
        <v>252</v>
      </c>
      <c r="B17" s="63"/>
      <c r="C17" s="61"/>
      <c r="D17" s="60"/>
      <c r="E17" s="60"/>
      <c r="F17" s="60"/>
      <c r="G17" s="60"/>
      <c r="H17" s="60"/>
      <c r="I17" s="60"/>
      <c r="J17" s="60"/>
      <c r="K17" s="60"/>
      <c r="L17" s="61"/>
      <c r="M17" s="62" t="str">
        <f aca="false">IF(B17="","",IF(_xlfn.MAXIFS($B$5:$B$108,$B$5:$B$108,"&lt;"&amp;B17)=0,"",IF(INDEX($C$5:$C$108,MATCH(_xlfn.MAXIFS($B$5:$B$108,$B$5:$B$108,"&lt;"&amp;B17),$B$5:$B$108,0))="","",INDEX($C$5:$C$108,MATCH(_xlfn.MAXIFS($B$5:$B$108,$B$5:$B$108,"&lt;"&amp;B17),$B$5:$B$108,0)))))</f>
        <v/>
      </c>
      <c r="N17" s="62" t="str">
        <f aca="false">IF(OR(C17="",M17=""),"",IF(MATCH(C17,{"Red","Amber","Green"},0)&gt;MATCH(M17,{"Red","Amber","Green"},0),"▲ Improving",IF(MATCH(C17,{"Red","Amber","Green"},0)&lt;MATCH(M17,{"Red","Amber","Green"},0),"▼ Deteriorating","► Stable")))</f>
        <v/>
      </c>
      <c r="O17" s="60"/>
    </row>
    <row r="18" customFormat="false" ht="15" hidden="false" customHeight="false" outlineLevel="0" collapsed="false">
      <c r="A18" s="56" t="s">
        <v>253</v>
      </c>
      <c r="B18" s="63"/>
      <c r="C18" s="61"/>
      <c r="D18" s="60"/>
      <c r="E18" s="60"/>
      <c r="F18" s="60"/>
      <c r="G18" s="60"/>
      <c r="H18" s="60"/>
      <c r="I18" s="60"/>
      <c r="J18" s="60"/>
      <c r="K18" s="60"/>
      <c r="L18" s="61"/>
      <c r="M18" s="62" t="str">
        <f aca="false">IF(B18="","",IF(_xlfn.MAXIFS($B$5:$B$108,$B$5:$B$108,"&lt;"&amp;B18)=0,"",IF(INDEX($C$5:$C$108,MATCH(_xlfn.MAXIFS($B$5:$B$108,$B$5:$B$108,"&lt;"&amp;B18),$B$5:$B$108,0))="","",INDEX($C$5:$C$108,MATCH(_xlfn.MAXIFS($B$5:$B$108,$B$5:$B$108,"&lt;"&amp;B18),$B$5:$B$108,0)))))</f>
        <v/>
      </c>
      <c r="N18" s="62" t="str">
        <f aca="false">IF(OR(C18="",M18=""),"",IF(MATCH(C18,{"Red","Amber","Green"},0)&gt;MATCH(M18,{"Red","Amber","Green"},0),"▲ Improving",IF(MATCH(C18,{"Red","Amber","Green"},0)&lt;MATCH(M18,{"Red","Amber","Green"},0),"▼ Deteriorating","► Stable")))</f>
        <v/>
      </c>
      <c r="O18" s="60"/>
    </row>
    <row r="19" customFormat="false" ht="15" hidden="false" customHeight="false" outlineLevel="0" collapsed="false">
      <c r="A19" s="56" t="s">
        <v>254</v>
      </c>
      <c r="B19" s="63"/>
      <c r="C19" s="61"/>
      <c r="D19" s="60"/>
      <c r="E19" s="60"/>
      <c r="F19" s="60"/>
      <c r="G19" s="60"/>
      <c r="H19" s="60"/>
      <c r="I19" s="60"/>
      <c r="J19" s="60"/>
      <c r="K19" s="60"/>
      <c r="L19" s="61"/>
      <c r="M19" s="62" t="str">
        <f aca="false">IF(B19="","",IF(_xlfn.MAXIFS($B$5:$B$108,$B$5:$B$108,"&lt;"&amp;B19)=0,"",IF(INDEX($C$5:$C$108,MATCH(_xlfn.MAXIFS($B$5:$B$108,$B$5:$B$108,"&lt;"&amp;B19),$B$5:$B$108,0))="","",INDEX($C$5:$C$108,MATCH(_xlfn.MAXIFS($B$5:$B$108,$B$5:$B$108,"&lt;"&amp;B19),$B$5:$B$108,0)))))</f>
        <v/>
      </c>
      <c r="N19" s="62" t="str">
        <f aca="false">IF(OR(C19="",M19=""),"",IF(MATCH(C19,{"Red","Amber","Green"},0)&gt;MATCH(M19,{"Red","Amber","Green"},0),"▲ Improving",IF(MATCH(C19,{"Red","Amber","Green"},0)&lt;MATCH(M19,{"Red","Amber","Green"},0),"▼ Deteriorating","► Stable")))</f>
        <v/>
      </c>
      <c r="O19" s="60"/>
    </row>
    <row r="20" customFormat="false" ht="15" hidden="false" customHeight="false" outlineLevel="0" collapsed="false">
      <c r="A20" s="56" t="s">
        <v>255</v>
      </c>
      <c r="B20" s="63"/>
      <c r="C20" s="61"/>
      <c r="D20" s="60"/>
      <c r="E20" s="60"/>
      <c r="F20" s="60"/>
      <c r="G20" s="60"/>
      <c r="H20" s="60"/>
      <c r="I20" s="60"/>
      <c r="J20" s="60"/>
      <c r="K20" s="60"/>
      <c r="L20" s="61"/>
      <c r="M20" s="62" t="str">
        <f aca="false">IF(B20="","",IF(_xlfn.MAXIFS($B$5:$B$108,$B$5:$B$108,"&lt;"&amp;B20)=0,"",IF(INDEX($C$5:$C$108,MATCH(_xlfn.MAXIFS($B$5:$B$108,$B$5:$B$108,"&lt;"&amp;B20),$B$5:$B$108,0))="","",INDEX($C$5:$C$108,MATCH(_xlfn.MAXIFS($B$5:$B$108,$B$5:$B$108,"&lt;"&amp;B20),$B$5:$B$108,0)))))</f>
        <v/>
      </c>
      <c r="N20" s="62" t="str">
        <f aca="false">IF(OR(C20="",M20=""),"",IF(MATCH(C20,{"Red","Amber","Green"},0)&gt;MATCH(M20,{"Red","Amber","Green"},0),"▲ Improving",IF(MATCH(C20,{"Red","Amber","Green"},0)&lt;MATCH(M20,{"Red","Amber","Green"},0),"▼ Deteriorating","► Stable")))</f>
        <v/>
      </c>
      <c r="O20" s="60"/>
    </row>
    <row r="21" customFormat="false" ht="15" hidden="false" customHeight="false" outlineLevel="0" collapsed="false">
      <c r="A21" s="56" t="s">
        <v>256</v>
      </c>
      <c r="B21" s="63"/>
      <c r="C21" s="61"/>
      <c r="D21" s="60"/>
      <c r="E21" s="60"/>
      <c r="F21" s="60"/>
      <c r="G21" s="60"/>
      <c r="H21" s="60"/>
      <c r="I21" s="60"/>
      <c r="J21" s="60"/>
      <c r="K21" s="60"/>
      <c r="L21" s="61"/>
      <c r="M21" s="62" t="str">
        <f aca="false">IF(B21="","",IF(_xlfn.MAXIFS($B$5:$B$108,$B$5:$B$108,"&lt;"&amp;B21)=0,"",IF(INDEX($C$5:$C$108,MATCH(_xlfn.MAXIFS($B$5:$B$108,$B$5:$B$108,"&lt;"&amp;B21),$B$5:$B$108,0))="","",INDEX($C$5:$C$108,MATCH(_xlfn.MAXIFS($B$5:$B$108,$B$5:$B$108,"&lt;"&amp;B21),$B$5:$B$108,0)))))</f>
        <v/>
      </c>
      <c r="N21" s="62" t="str">
        <f aca="false">IF(OR(C21="",M21=""),"",IF(MATCH(C21,{"Red","Amber","Green"},0)&gt;MATCH(M21,{"Red","Amber","Green"},0),"▲ Improving",IF(MATCH(C21,{"Red","Amber","Green"},0)&lt;MATCH(M21,{"Red","Amber","Green"},0),"▼ Deteriorating","► Stable")))</f>
        <v/>
      </c>
      <c r="O21" s="60"/>
    </row>
    <row r="22" customFormat="false" ht="15" hidden="false" customHeight="false" outlineLevel="0" collapsed="false">
      <c r="A22" s="56" t="s">
        <v>257</v>
      </c>
      <c r="B22" s="63"/>
      <c r="C22" s="61"/>
      <c r="D22" s="60"/>
      <c r="E22" s="60"/>
      <c r="F22" s="60"/>
      <c r="G22" s="60"/>
      <c r="H22" s="60"/>
      <c r="I22" s="60"/>
      <c r="J22" s="60"/>
      <c r="K22" s="60"/>
      <c r="L22" s="61"/>
      <c r="M22" s="62" t="str">
        <f aca="false">IF(B22="","",IF(_xlfn.MAXIFS($B$5:$B$108,$B$5:$B$108,"&lt;"&amp;B22)=0,"",IF(INDEX($C$5:$C$108,MATCH(_xlfn.MAXIFS($B$5:$B$108,$B$5:$B$108,"&lt;"&amp;B22),$B$5:$B$108,0))="","",INDEX($C$5:$C$108,MATCH(_xlfn.MAXIFS($B$5:$B$108,$B$5:$B$108,"&lt;"&amp;B22),$B$5:$B$108,0)))))</f>
        <v/>
      </c>
      <c r="N22" s="62" t="str">
        <f aca="false">IF(OR(C22="",M22=""),"",IF(MATCH(C22,{"Red","Amber","Green"},0)&gt;MATCH(M22,{"Red","Amber","Green"},0),"▲ Improving",IF(MATCH(C22,{"Red","Amber","Green"},0)&lt;MATCH(M22,{"Red","Amber","Green"},0),"▼ Deteriorating","► Stable")))</f>
        <v/>
      </c>
      <c r="O22" s="60"/>
    </row>
    <row r="23" customFormat="false" ht="15" hidden="false" customHeight="false" outlineLevel="0" collapsed="false">
      <c r="A23" s="56" t="s">
        <v>258</v>
      </c>
      <c r="B23" s="63"/>
      <c r="C23" s="61"/>
      <c r="D23" s="60"/>
      <c r="E23" s="60"/>
      <c r="F23" s="60"/>
      <c r="G23" s="60"/>
      <c r="H23" s="60"/>
      <c r="I23" s="60"/>
      <c r="J23" s="60"/>
      <c r="K23" s="60"/>
      <c r="L23" s="61"/>
      <c r="M23" s="62" t="str">
        <f aca="false">IF(B23="","",IF(_xlfn.MAXIFS($B$5:$B$108,$B$5:$B$108,"&lt;"&amp;B23)=0,"",IF(INDEX($C$5:$C$108,MATCH(_xlfn.MAXIFS($B$5:$B$108,$B$5:$B$108,"&lt;"&amp;B23),$B$5:$B$108,0))="","",INDEX($C$5:$C$108,MATCH(_xlfn.MAXIFS($B$5:$B$108,$B$5:$B$108,"&lt;"&amp;B23),$B$5:$B$108,0)))))</f>
        <v/>
      </c>
      <c r="N23" s="62" t="str">
        <f aca="false">IF(OR(C23="",M23=""),"",IF(MATCH(C23,{"Red","Amber","Green"},0)&gt;MATCH(M23,{"Red","Amber","Green"},0),"▲ Improving",IF(MATCH(C23,{"Red","Amber","Green"},0)&lt;MATCH(M23,{"Red","Amber","Green"},0),"▼ Deteriorating","► Stable")))</f>
        <v/>
      </c>
      <c r="O23" s="60"/>
    </row>
    <row r="24" customFormat="false" ht="15" hidden="false" customHeight="false" outlineLevel="0" collapsed="false">
      <c r="A24" s="56" t="s">
        <v>259</v>
      </c>
      <c r="B24" s="63"/>
      <c r="C24" s="61"/>
      <c r="D24" s="60"/>
      <c r="E24" s="60"/>
      <c r="F24" s="60"/>
      <c r="G24" s="60"/>
      <c r="H24" s="60"/>
      <c r="I24" s="60"/>
      <c r="J24" s="60"/>
      <c r="K24" s="60"/>
      <c r="L24" s="61"/>
      <c r="M24" s="62" t="str">
        <f aca="false">IF(B24="","",IF(_xlfn.MAXIFS($B$5:$B$108,$B$5:$B$108,"&lt;"&amp;B24)=0,"",IF(INDEX($C$5:$C$108,MATCH(_xlfn.MAXIFS($B$5:$B$108,$B$5:$B$108,"&lt;"&amp;B24),$B$5:$B$108,0))="","",INDEX($C$5:$C$108,MATCH(_xlfn.MAXIFS($B$5:$B$108,$B$5:$B$108,"&lt;"&amp;B24),$B$5:$B$108,0)))))</f>
        <v/>
      </c>
      <c r="N24" s="62" t="str">
        <f aca="false">IF(OR(C24="",M24=""),"",IF(MATCH(C24,{"Red","Amber","Green"},0)&gt;MATCH(M24,{"Red","Amber","Green"},0),"▲ Improving",IF(MATCH(C24,{"Red","Amber","Green"},0)&lt;MATCH(M24,{"Red","Amber","Green"},0),"▼ Deteriorating","► Stable")))</f>
        <v/>
      </c>
      <c r="O24" s="60"/>
    </row>
    <row r="25" customFormat="false" ht="15" hidden="false" customHeight="false" outlineLevel="0" collapsed="false">
      <c r="A25" s="56" t="s">
        <v>260</v>
      </c>
      <c r="B25" s="63"/>
      <c r="C25" s="61"/>
      <c r="D25" s="60"/>
      <c r="E25" s="60"/>
      <c r="F25" s="60"/>
      <c r="G25" s="60"/>
      <c r="H25" s="60"/>
      <c r="I25" s="60"/>
      <c r="J25" s="60"/>
      <c r="K25" s="60"/>
      <c r="L25" s="61"/>
      <c r="M25" s="62" t="str">
        <f aca="false">IF(B25="","",IF(_xlfn.MAXIFS($B$5:$B$108,$B$5:$B$108,"&lt;"&amp;B25)=0,"",IF(INDEX($C$5:$C$108,MATCH(_xlfn.MAXIFS($B$5:$B$108,$B$5:$B$108,"&lt;"&amp;B25),$B$5:$B$108,0))="","",INDEX($C$5:$C$108,MATCH(_xlfn.MAXIFS($B$5:$B$108,$B$5:$B$108,"&lt;"&amp;B25),$B$5:$B$108,0)))))</f>
        <v/>
      </c>
      <c r="N25" s="62" t="str">
        <f aca="false">IF(OR(C25="",M25=""),"",IF(MATCH(C25,{"Red","Amber","Green"},0)&gt;MATCH(M25,{"Red","Amber","Green"},0),"▲ Improving",IF(MATCH(C25,{"Red","Amber","Green"},0)&lt;MATCH(M25,{"Red","Amber","Green"},0),"▼ Deteriorating","► Stable")))</f>
        <v/>
      </c>
      <c r="O25" s="60"/>
    </row>
    <row r="26" customFormat="false" ht="15" hidden="false" customHeight="false" outlineLevel="0" collapsed="false">
      <c r="A26" s="56" t="s">
        <v>261</v>
      </c>
      <c r="B26" s="63"/>
      <c r="C26" s="61"/>
      <c r="D26" s="60"/>
      <c r="E26" s="60"/>
      <c r="F26" s="60"/>
      <c r="G26" s="60"/>
      <c r="H26" s="60"/>
      <c r="I26" s="60"/>
      <c r="J26" s="60"/>
      <c r="K26" s="60"/>
      <c r="L26" s="61"/>
      <c r="M26" s="62" t="str">
        <f aca="false">IF(B26="","",IF(_xlfn.MAXIFS($B$5:$B$108,$B$5:$B$108,"&lt;"&amp;B26)=0,"",IF(INDEX($C$5:$C$108,MATCH(_xlfn.MAXIFS($B$5:$B$108,$B$5:$B$108,"&lt;"&amp;B26),$B$5:$B$108,0))="","",INDEX($C$5:$C$108,MATCH(_xlfn.MAXIFS($B$5:$B$108,$B$5:$B$108,"&lt;"&amp;B26),$B$5:$B$108,0)))))</f>
        <v/>
      </c>
      <c r="N26" s="62" t="str">
        <f aca="false">IF(OR(C26="",M26=""),"",IF(MATCH(C26,{"Red","Amber","Green"},0)&gt;MATCH(M26,{"Red","Amber","Green"},0),"▲ Improving",IF(MATCH(C26,{"Red","Amber","Green"},0)&lt;MATCH(M26,{"Red","Amber","Green"},0),"▼ Deteriorating","► Stable")))</f>
        <v/>
      </c>
      <c r="O26" s="60"/>
    </row>
    <row r="27" customFormat="false" ht="15" hidden="false" customHeight="false" outlineLevel="0" collapsed="false">
      <c r="A27" s="56" t="s">
        <v>262</v>
      </c>
      <c r="B27" s="63"/>
      <c r="C27" s="61"/>
      <c r="D27" s="60"/>
      <c r="E27" s="60"/>
      <c r="F27" s="60"/>
      <c r="G27" s="60"/>
      <c r="H27" s="60"/>
      <c r="I27" s="60"/>
      <c r="J27" s="60"/>
      <c r="K27" s="60"/>
      <c r="L27" s="61"/>
      <c r="M27" s="62" t="str">
        <f aca="false">IF(B27="","",IF(_xlfn.MAXIFS($B$5:$B$108,$B$5:$B$108,"&lt;"&amp;B27)=0,"",IF(INDEX($C$5:$C$108,MATCH(_xlfn.MAXIFS($B$5:$B$108,$B$5:$B$108,"&lt;"&amp;B27),$B$5:$B$108,0))="","",INDEX($C$5:$C$108,MATCH(_xlfn.MAXIFS($B$5:$B$108,$B$5:$B$108,"&lt;"&amp;B27),$B$5:$B$108,0)))))</f>
        <v/>
      </c>
      <c r="N27" s="62" t="str">
        <f aca="false">IF(OR(C27="",M27=""),"",IF(MATCH(C27,{"Red","Amber","Green"},0)&gt;MATCH(M27,{"Red","Amber","Green"},0),"▲ Improving",IF(MATCH(C27,{"Red","Amber","Green"},0)&lt;MATCH(M27,{"Red","Amber","Green"},0),"▼ Deteriorating","► Stable")))</f>
        <v/>
      </c>
      <c r="O27" s="60"/>
    </row>
    <row r="28" customFormat="false" ht="15" hidden="false" customHeight="false" outlineLevel="0" collapsed="false">
      <c r="A28" s="56" t="s">
        <v>263</v>
      </c>
      <c r="B28" s="63"/>
      <c r="C28" s="61"/>
      <c r="D28" s="60"/>
      <c r="E28" s="60"/>
      <c r="F28" s="60"/>
      <c r="G28" s="60"/>
      <c r="H28" s="60"/>
      <c r="I28" s="60"/>
      <c r="J28" s="60"/>
      <c r="K28" s="60"/>
      <c r="L28" s="61"/>
      <c r="M28" s="62" t="str">
        <f aca="false">IF(B28="","",IF(_xlfn.MAXIFS($B$5:$B$108,$B$5:$B$108,"&lt;"&amp;B28)=0,"",IF(INDEX($C$5:$C$108,MATCH(_xlfn.MAXIFS($B$5:$B$108,$B$5:$B$108,"&lt;"&amp;B28),$B$5:$B$108,0))="","",INDEX($C$5:$C$108,MATCH(_xlfn.MAXIFS($B$5:$B$108,$B$5:$B$108,"&lt;"&amp;B28),$B$5:$B$108,0)))))</f>
        <v/>
      </c>
      <c r="N28" s="62" t="str">
        <f aca="false">IF(OR(C28="",M28=""),"",IF(MATCH(C28,{"Red","Amber","Green"},0)&gt;MATCH(M28,{"Red","Amber","Green"},0),"▲ Improving",IF(MATCH(C28,{"Red","Amber","Green"},0)&lt;MATCH(M28,{"Red","Amber","Green"},0),"▼ Deteriorating","► Stable")))</f>
        <v/>
      </c>
      <c r="O28" s="60"/>
    </row>
    <row r="29" customFormat="false" ht="15" hidden="false" customHeight="false" outlineLevel="0" collapsed="false">
      <c r="A29" s="56" t="s">
        <v>264</v>
      </c>
      <c r="B29" s="63"/>
      <c r="C29" s="61"/>
      <c r="D29" s="60"/>
      <c r="E29" s="60"/>
      <c r="F29" s="60"/>
      <c r="G29" s="60"/>
      <c r="H29" s="60"/>
      <c r="I29" s="60"/>
      <c r="J29" s="60"/>
      <c r="K29" s="60"/>
      <c r="L29" s="61"/>
      <c r="M29" s="62" t="str">
        <f aca="false">IF(B29="","",IF(_xlfn.MAXIFS($B$5:$B$108,$B$5:$B$108,"&lt;"&amp;B29)=0,"",IF(INDEX($C$5:$C$108,MATCH(_xlfn.MAXIFS($B$5:$B$108,$B$5:$B$108,"&lt;"&amp;B29),$B$5:$B$108,0))="","",INDEX($C$5:$C$108,MATCH(_xlfn.MAXIFS($B$5:$B$108,$B$5:$B$108,"&lt;"&amp;B29),$B$5:$B$108,0)))))</f>
        <v/>
      </c>
      <c r="N29" s="62" t="str">
        <f aca="false">IF(OR(C29="",M29=""),"",IF(MATCH(C29,{"Red","Amber","Green"},0)&gt;MATCH(M29,{"Red","Amber","Green"},0),"▲ Improving",IF(MATCH(C29,{"Red","Amber","Green"},0)&lt;MATCH(M29,{"Red","Amber","Green"},0),"▼ Deteriorating","► Stable")))</f>
        <v/>
      </c>
      <c r="O29" s="60"/>
    </row>
    <row r="30" customFormat="false" ht="15" hidden="false" customHeight="false" outlineLevel="0" collapsed="false">
      <c r="A30" s="56" t="s">
        <v>265</v>
      </c>
      <c r="B30" s="63"/>
      <c r="C30" s="61"/>
      <c r="D30" s="60"/>
      <c r="E30" s="60"/>
      <c r="F30" s="60"/>
      <c r="G30" s="60"/>
      <c r="H30" s="60"/>
      <c r="I30" s="60"/>
      <c r="J30" s="60"/>
      <c r="K30" s="60"/>
      <c r="L30" s="61"/>
      <c r="M30" s="62" t="str">
        <f aca="false">IF(B30="","",IF(_xlfn.MAXIFS($B$5:$B$108,$B$5:$B$108,"&lt;"&amp;B30)=0,"",IF(INDEX($C$5:$C$108,MATCH(_xlfn.MAXIFS($B$5:$B$108,$B$5:$B$108,"&lt;"&amp;B30),$B$5:$B$108,0))="","",INDEX($C$5:$C$108,MATCH(_xlfn.MAXIFS($B$5:$B$108,$B$5:$B$108,"&lt;"&amp;B30),$B$5:$B$108,0)))))</f>
        <v/>
      </c>
      <c r="N30" s="62" t="str">
        <f aca="false">IF(OR(C30="",M30=""),"",IF(MATCH(C30,{"Red","Amber","Green"},0)&gt;MATCH(M30,{"Red","Amber","Green"},0),"▲ Improving",IF(MATCH(C30,{"Red","Amber","Green"},0)&lt;MATCH(M30,{"Red","Amber","Green"},0),"▼ Deteriorating","► Stable")))</f>
        <v/>
      </c>
      <c r="O30" s="60"/>
    </row>
    <row r="31" customFormat="false" ht="15" hidden="false" customHeight="false" outlineLevel="0" collapsed="false">
      <c r="A31" s="56" t="s">
        <v>266</v>
      </c>
      <c r="B31" s="63"/>
      <c r="C31" s="61"/>
      <c r="D31" s="60"/>
      <c r="E31" s="60"/>
      <c r="F31" s="60"/>
      <c r="G31" s="60"/>
      <c r="H31" s="60"/>
      <c r="I31" s="60"/>
      <c r="J31" s="60"/>
      <c r="K31" s="60"/>
      <c r="L31" s="61"/>
      <c r="M31" s="62" t="str">
        <f aca="false">IF(B31="","",IF(_xlfn.MAXIFS($B$5:$B$108,$B$5:$B$108,"&lt;"&amp;B31)=0,"",IF(INDEX($C$5:$C$108,MATCH(_xlfn.MAXIFS($B$5:$B$108,$B$5:$B$108,"&lt;"&amp;B31),$B$5:$B$108,0))="","",INDEX($C$5:$C$108,MATCH(_xlfn.MAXIFS($B$5:$B$108,$B$5:$B$108,"&lt;"&amp;B31),$B$5:$B$108,0)))))</f>
        <v/>
      </c>
      <c r="N31" s="62" t="str">
        <f aca="false">IF(OR(C31="",M31=""),"",IF(MATCH(C31,{"Red","Amber","Green"},0)&gt;MATCH(M31,{"Red","Amber","Green"},0),"▲ Improving",IF(MATCH(C31,{"Red","Amber","Green"},0)&lt;MATCH(M31,{"Red","Amber","Green"},0),"▼ Deteriorating","► Stable")))</f>
        <v/>
      </c>
      <c r="O31" s="60"/>
    </row>
    <row r="32" customFormat="false" ht="15" hidden="false" customHeight="false" outlineLevel="0" collapsed="false">
      <c r="A32" s="56" t="s">
        <v>267</v>
      </c>
      <c r="B32" s="63"/>
      <c r="C32" s="61"/>
      <c r="D32" s="60"/>
      <c r="E32" s="60"/>
      <c r="F32" s="60"/>
      <c r="G32" s="60"/>
      <c r="H32" s="60"/>
      <c r="I32" s="60"/>
      <c r="J32" s="60"/>
      <c r="K32" s="60"/>
      <c r="L32" s="61"/>
      <c r="M32" s="62" t="str">
        <f aca="false">IF(B32="","",IF(_xlfn.MAXIFS($B$5:$B$108,$B$5:$B$108,"&lt;"&amp;B32)=0,"",IF(INDEX($C$5:$C$108,MATCH(_xlfn.MAXIFS($B$5:$B$108,$B$5:$B$108,"&lt;"&amp;B32),$B$5:$B$108,0))="","",INDEX($C$5:$C$108,MATCH(_xlfn.MAXIFS($B$5:$B$108,$B$5:$B$108,"&lt;"&amp;B32),$B$5:$B$108,0)))))</f>
        <v/>
      </c>
      <c r="N32" s="62" t="str">
        <f aca="false">IF(OR(C32="",M32=""),"",IF(MATCH(C32,{"Red","Amber","Green"},0)&gt;MATCH(M32,{"Red","Amber","Green"},0),"▲ Improving",IF(MATCH(C32,{"Red","Amber","Green"},0)&lt;MATCH(M32,{"Red","Amber","Green"},0),"▼ Deteriorating","► Stable")))</f>
        <v/>
      </c>
      <c r="O32" s="60"/>
    </row>
    <row r="33" customFormat="false" ht="15" hidden="false" customHeight="false" outlineLevel="0" collapsed="false">
      <c r="A33" s="56" t="s">
        <v>268</v>
      </c>
      <c r="B33" s="63"/>
      <c r="C33" s="61"/>
      <c r="D33" s="60"/>
      <c r="E33" s="60"/>
      <c r="F33" s="60"/>
      <c r="G33" s="60"/>
      <c r="H33" s="60"/>
      <c r="I33" s="60"/>
      <c r="J33" s="60"/>
      <c r="K33" s="60"/>
      <c r="L33" s="61"/>
      <c r="M33" s="62" t="str">
        <f aca="false">IF(B33="","",IF(_xlfn.MAXIFS($B$5:$B$108,$B$5:$B$108,"&lt;"&amp;B33)=0,"",IF(INDEX($C$5:$C$108,MATCH(_xlfn.MAXIFS($B$5:$B$108,$B$5:$B$108,"&lt;"&amp;B33),$B$5:$B$108,0))="","",INDEX($C$5:$C$108,MATCH(_xlfn.MAXIFS($B$5:$B$108,$B$5:$B$108,"&lt;"&amp;B33),$B$5:$B$108,0)))))</f>
        <v/>
      </c>
      <c r="N33" s="62" t="str">
        <f aca="false">IF(OR(C33="",M33=""),"",IF(MATCH(C33,{"Red","Amber","Green"},0)&gt;MATCH(M33,{"Red","Amber","Green"},0),"▲ Improving",IF(MATCH(C33,{"Red","Amber","Green"},0)&lt;MATCH(M33,{"Red","Amber","Green"},0),"▼ Deteriorating","► Stable")))</f>
        <v/>
      </c>
      <c r="O33" s="60"/>
    </row>
    <row r="34" customFormat="false" ht="15" hidden="false" customHeight="false" outlineLevel="0" collapsed="false">
      <c r="A34" s="56" t="s">
        <v>269</v>
      </c>
      <c r="B34" s="63"/>
      <c r="C34" s="61"/>
      <c r="D34" s="60"/>
      <c r="E34" s="60"/>
      <c r="F34" s="60"/>
      <c r="G34" s="60"/>
      <c r="H34" s="60"/>
      <c r="I34" s="60"/>
      <c r="J34" s="60"/>
      <c r="K34" s="60"/>
      <c r="L34" s="61"/>
      <c r="M34" s="62" t="str">
        <f aca="false">IF(B34="","",IF(_xlfn.MAXIFS($B$5:$B$108,$B$5:$B$108,"&lt;"&amp;B34)=0,"",IF(INDEX($C$5:$C$108,MATCH(_xlfn.MAXIFS($B$5:$B$108,$B$5:$B$108,"&lt;"&amp;B34),$B$5:$B$108,0))="","",INDEX($C$5:$C$108,MATCH(_xlfn.MAXIFS($B$5:$B$108,$B$5:$B$108,"&lt;"&amp;B34),$B$5:$B$108,0)))))</f>
        <v/>
      </c>
      <c r="N34" s="62" t="str">
        <f aca="false">IF(OR(C34="",M34=""),"",IF(MATCH(C34,{"Red","Amber","Green"},0)&gt;MATCH(M34,{"Red","Amber","Green"},0),"▲ Improving",IF(MATCH(C34,{"Red","Amber","Green"},0)&lt;MATCH(M34,{"Red","Amber","Green"},0),"▼ Deteriorating","► Stable")))</f>
        <v/>
      </c>
      <c r="O34" s="60"/>
    </row>
    <row r="35" customFormat="false" ht="15" hidden="false" customHeight="false" outlineLevel="0" collapsed="false">
      <c r="A35" s="56" t="s">
        <v>270</v>
      </c>
      <c r="B35" s="63"/>
      <c r="C35" s="61"/>
      <c r="D35" s="60"/>
      <c r="E35" s="60"/>
      <c r="F35" s="60"/>
      <c r="G35" s="60"/>
      <c r="H35" s="60"/>
      <c r="I35" s="60"/>
      <c r="J35" s="60"/>
      <c r="K35" s="60"/>
      <c r="L35" s="61"/>
      <c r="M35" s="62" t="str">
        <f aca="false">IF(B35="","",IF(_xlfn.MAXIFS($B$5:$B$108,$B$5:$B$108,"&lt;"&amp;B35)=0,"",IF(INDEX($C$5:$C$108,MATCH(_xlfn.MAXIFS($B$5:$B$108,$B$5:$B$108,"&lt;"&amp;B35),$B$5:$B$108,0))="","",INDEX($C$5:$C$108,MATCH(_xlfn.MAXIFS($B$5:$B$108,$B$5:$B$108,"&lt;"&amp;B35),$B$5:$B$108,0)))))</f>
        <v/>
      </c>
      <c r="N35" s="62" t="str">
        <f aca="false">IF(OR(C35="",M35=""),"",IF(MATCH(C35,{"Red","Amber","Green"},0)&gt;MATCH(M35,{"Red","Amber","Green"},0),"▲ Improving",IF(MATCH(C35,{"Red","Amber","Green"},0)&lt;MATCH(M35,{"Red","Amber","Green"},0),"▼ Deteriorating","► Stable")))</f>
        <v/>
      </c>
      <c r="O35" s="60"/>
    </row>
    <row r="36" customFormat="false" ht="15" hidden="false" customHeight="false" outlineLevel="0" collapsed="false">
      <c r="A36" s="56" t="s">
        <v>271</v>
      </c>
      <c r="B36" s="63"/>
      <c r="C36" s="61"/>
      <c r="D36" s="60"/>
      <c r="E36" s="60"/>
      <c r="F36" s="60"/>
      <c r="G36" s="60"/>
      <c r="H36" s="60"/>
      <c r="I36" s="60"/>
      <c r="J36" s="60"/>
      <c r="K36" s="60"/>
      <c r="L36" s="61"/>
      <c r="M36" s="62" t="str">
        <f aca="false">IF(B36="","",IF(_xlfn.MAXIFS($B$5:$B$108,$B$5:$B$108,"&lt;"&amp;B36)=0,"",IF(INDEX($C$5:$C$108,MATCH(_xlfn.MAXIFS($B$5:$B$108,$B$5:$B$108,"&lt;"&amp;B36),$B$5:$B$108,0))="","",INDEX($C$5:$C$108,MATCH(_xlfn.MAXIFS($B$5:$B$108,$B$5:$B$108,"&lt;"&amp;B36),$B$5:$B$108,0)))))</f>
        <v/>
      </c>
      <c r="N36" s="62" t="str">
        <f aca="false">IF(OR(C36="",M36=""),"",IF(MATCH(C36,{"Red","Amber","Green"},0)&gt;MATCH(M36,{"Red","Amber","Green"},0),"▲ Improving",IF(MATCH(C36,{"Red","Amber","Green"},0)&lt;MATCH(M36,{"Red","Amber","Green"},0),"▼ Deteriorating","► Stable")))</f>
        <v/>
      </c>
      <c r="O36" s="60"/>
    </row>
    <row r="37" customFormat="false" ht="15" hidden="false" customHeight="false" outlineLevel="0" collapsed="false">
      <c r="A37" s="56" t="s">
        <v>272</v>
      </c>
      <c r="B37" s="63"/>
      <c r="C37" s="61"/>
      <c r="D37" s="60"/>
      <c r="E37" s="60"/>
      <c r="F37" s="60"/>
      <c r="G37" s="60"/>
      <c r="H37" s="60"/>
      <c r="I37" s="60"/>
      <c r="J37" s="60"/>
      <c r="K37" s="60"/>
      <c r="L37" s="61"/>
      <c r="M37" s="62" t="str">
        <f aca="false">IF(B37="","",IF(_xlfn.MAXIFS($B$5:$B$108,$B$5:$B$108,"&lt;"&amp;B37)=0,"",IF(INDEX($C$5:$C$108,MATCH(_xlfn.MAXIFS($B$5:$B$108,$B$5:$B$108,"&lt;"&amp;B37),$B$5:$B$108,0))="","",INDEX($C$5:$C$108,MATCH(_xlfn.MAXIFS($B$5:$B$108,$B$5:$B$108,"&lt;"&amp;B37),$B$5:$B$108,0)))))</f>
        <v/>
      </c>
      <c r="N37" s="62" t="str">
        <f aca="false">IF(OR(C37="",M37=""),"",IF(MATCH(C37,{"Red","Amber","Green"},0)&gt;MATCH(M37,{"Red","Amber","Green"},0),"▲ Improving",IF(MATCH(C37,{"Red","Amber","Green"},0)&lt;MATCH(M37,{"Red","Amber","Green"},0),"▼ Deteriorating","► Stable")))</f>
        <v/>
      </c>
      <c r="O37" s="60"/>
    </row>
    <row r="38" customFormat="false" ht="15" hidden="false" customHeight="false" outlineLevel="0" collapsed="false">
      <c r="A38" s="56" t="s">
        <v>273</v>
      </c>
      <c r="B38" s="63"/>
      <c r="C38" s="61"/>
      <c r="D38" s="60"/>
      <c r="E38" s="60"/>
      <c r="F38" s="60"/>
      <c r="G38" s="60"/>
      <c r="H38" s="60"/>
      <c r="I38" s="60"/>
      <c r="J38" s="60"/>
      <c r="K38" s="60"/>
      <c r="L38" s="61"/>
      <c r="M38" s="62" t="str">
        <f aca="false">IF(B38="","",IF(_xlfn.MAXIFS($B$5:$B$108,$B$5:$B$108,"&lt;"&amp;B38)=0,"",IF(INDEX($C$5:$C$108,MATCH(_xlfn.MAXIFS($B$5:$B$108,$B$5:$B$108,"&lt;"&amp;B38),$B$5:$B$108,0))="","",INDEX($C$5:$C$108,MATCH(_xlfn.MAXIFS($B$5:$B$108,$B$5:$B$108,"&lt;"&amp;B38),$B$5:$B$108,0)))))</f>
        <v/>
      </c>
      <c r="N38" s="62" t="str">
        <f aca="false">IF(OR(C38="",M38=""),"",IF(MATCH(C38,{"Red","Amber","Green"},0)&gt;MATCH(M38,{"Red","Amber","Green"},0),"▲ Improving",IF(MATCH(C38,{"Red","Amber","Green"},0)&lt;MATCH(M38,{"Red","Amber","Green"},0),"▼ Deteriorating","► Stable")))</f>
        <v/>
      </c>
      <c r="O38" s="60"/>
    </row>
    <row r="39" customFormat="false" ht="15" hidden="false" customHeight="false" outlineLevel="0" collapsed="false">
      <c r="A39" s="56" t="s">
        <v>274</v>
      </c>
      <c r="B39" s="63"/>
      <c r="C39" s="61"/>
      <c r="D39" s="60"/>
      <c r="E39" s="60"/>
      <c r="F39" s="60"/>
      <c r="G39" s="60"/>
      <c r="H39" s="60"/>
      <c r="I39" s="60"/>
      <c r="J39" s="60"/>
      <c r="K39" s="60"/>
      <c r="L39" s="61"/>
      <c r="M39" s="62" t="str">
        <f aca="false">IF(B39="","",IF(_xlfn.MAXIFS($B$5:$B$108,$B$5:$B$108,"&lt;"&amp;B39)=0,"",IF(INDEX($C$5:$C$108,MATCH(_xlfn.MAXIFS($B$5:$B$108,$B$5:$B$108,"&lt;"&amp;B39),$B$5:$B$108,0))="","",INDEX($C$5:$C$108,MATCH(_xlfn.MAXIFS($B$5:$B$108,$B$5:$B$108,"&lt;"&amp;B39),$B$5:$B$108,0)))))</f>
        <v/>
      </c>
      <c r="N39" s="62" t="str">
        <f aca="false">IF(OR(C39="",M39=""),"",IF(MATCH(C39,{"Red","Amber","Green"},0)&gt;MATCH(M39,{"Red","Amber","Green"},0),"▲ Improving",IF(MATCH(C39,{"Red","Amber","Green"},0)&lt;MATCH(M39,{"Red","Amber","Green"},0),"▼ Deteriorating","► Stable")))</f>
        <v/>
      </c>
      <c r="O39" s="60"/>
    </row>
    <row r="40" customFormat="false" ht="15" hidden="false" customHeight="false" outlineLevel="0" collapsed="false">
      <c r="A40" s="56" t="s">
        <v>275</v>
      </c>
      <c r="B40" s="63"/>
      <c r="C40" s="61"/>
      <c r="D40" s="60"/>
      <c r="E40" s="60"/>
      <c r="F40" s="60"/>
      <c r="G40" s="60"/>
      <c r="H40" s="60"/>
      <c r="I40" s="60"/>
      <c r="J40" s="60"/>
      <c r="K40" s="60"/>
      <c r="L40" s="61"/>
      <c r="M40" s="62" t="str">
        <f aca="false">IF(B40="","",IF(_xlfn.MAXIFS($B$5:$B$108,$B$5:$B$108,"&lt;"&amp;B40)=0,"",IF(INDEX($C$5:$C$108,MATCH(_xlfn.MAXIFS($B$5:$B$108,$B$5:$B$108,"&lt;"&amp;B40),$B$5:$B$108,0))="","",INDEX($C$5:$C$108,MATCH(_xlfn.MAXIFS($B$5:$B$108,$B$5:$B$108,"&lt;"&amp;B40),$B$5:$B$108,0)))))</f>
        <v/>
      </c>
      <c r="N40" s="62" t="str">
        <f aca="false">IF(OR(C40="",M40=""),"",IF(MATCH(C40,{"Red","Amber","Green"},0)&gt;MATCH(M40,{"Red","Amber","Green"},0),"▲ Improving",IF(MATCH(C40,{"Red","Amber","Green"},0)&lt;MATCH(M40,{"Red","Amber","Green"},0),"▼ Deteriorating","► Stable")))</f>
        <v/>
      </c>
      <c r="O40" s="60"/>
    </row>
    <row r="41" customFormat="false" ht="15" hidden="false" customHeight="false" outlineLevel="0" collapsed="false">
      <c r="A41" s="56" t="s">
        <v>276</v>
      </c>
      <c r="B41" s="63"/>
      <c r="C41" s="61"/>
      <c r="D41" s="60"/>
      <c r="E41" s="60"/>
      <c r="F41" s="60"/>
      <c r="G41" s="60"/>
      <c r="H41" s="60"/>
      <c r="I41" s="60"/>
      <c r="J41" s="60"/>
      <c r="K41" s="60"/>
      <c r="L41" s="61"/>
      <c r="M41" s="62" t="str">
        <f aca="false">IF(B41="","",IF(_xlfn.MAXIFS($B$5:$B$108,$B$5:$B$108,"&lt;"&amp;B41)=0,"",IF(INDEX($C$5:$C$108,MATCH(_xlfn.MAXIFS($B$5:$B$108,$B$5:$B$108,"&lt;"&amp;B41),$B$5:$B$108,0))="","",INDEX($C$5:$C$108,MATCH(_xlfn.MAXIFS($B$5:$B$108,$B$5:$B$108,"&lt;"&amp;B41),$B$5:$B$108,0)))))</f>
        <v/>
      </c>
      <c r="N41" s="62" t="str">
        <f aca="false">IF(OR(C41="",M41=""),"",IF(MATCH(C41,{"Red","Amber","Green"},0)&gt;MATCH(M41,{"Red","Amber","Green"},0),"▲ Improving",IF(MATCH(C41,{"Red","Amber","Green"},0)&lt;MATCH(M41,{"Red","Amber","Green"},0),"▼ Deteriorating","► Stable")))</f>
        <v/>
      </c>
      <c r="O41" s="60"/>
    </row>
    <row r="42" customFormat="false" ht="15" hidden="false" customHeight="false" outlineLevel="0" collapsed="false">
      <c r="A42" s="56" t="s">
        <v>277</v>
      </c>
      <c r="B42" s="63"/>
      <c r="C42" s="61"/>
      <c r="D42" s="60"/>
      <c r="E42" s="60"/>
      <c r="F42" s="60"/>
      <c r="G42" s="60"/>
      <c r="H42" s="60"/>
      <c r="I42" s="60"/>
      <c r="J42" s="60"/>
      <c r="K42" s="60"/>
      <c r="L42" s="61"/>
      <c r="M42" s="62" t="str">
        <f aca="false">IF(B42="","",IF(_xlfn.MAXIFS($B$5:$B$108,$B$5:$B$108,"&lt;"&amp;B42)=0,"",IF(INDEX($C$5:$C$108,MATCH(_xlfn.MAXIFS($B$5:$B$108,$B$5:$B$108,"&lt;"&amp;B42),$B$5:$B$108,0))="","",INDEX($C$5:$C$108,MATCH(_xlfn.MAXIFS($B$5:$B$108,$B$5:$B$108,"&lt;"&amp;B42),$B$5:$B$108,0)))))</f>
        <v/>
      </c>
      <c r="N42" s="62" t="str">
        <f aca="false">IF(OR(C42="",M42=""),"",IF(MATCH(C42,{"Red","Amber","Green"},0)&gt;MATCH(M42,{"Red","Amber","Green"},0),"▲ Improving",IF(MATCH(C42,{"Red","Amber","Green"},0)&lt;MATCH(M42,{"Red","Amber","Green"},0),"▼ Deteriorating","► Stable")))</f>
        <v/>
      </c>
      <c r="O42" s="60"/>
    </row>
    <row r="43" customFormat="false" ht="15" hidden="false" customHeight="false" outlineLevel="0" collapsed="false">
      <c r="A43" s="56" t="s">
        <v>278</v>
      </c>
      <c r="B43" s="63"/>
      <c r="C43" s="61"/>
      <c r="D43" s="60"/>
      <c r="E43" s="60"/>
      <c r="F43" s="60"/>
      <c r="G43" s="60"/>
      <c r="H43" s="60"/>
      <c r="I43" s="60"/>
      <c r="J43" s="60"/>
      <c r="K43" s="60"/>
      <c r="L43" s="61"/>
      <c r="M43" s="62" t="str">
        <f aca="false">IF(B43="","",IF(_xlfn.MAXIFS($B$5:$B$108,$B$5:$B$108,"&lt;"&amp;B43)=0,"",IF(INDEX($C$5:$C$108,MATCH(_xlfn.MAXIFS($B$5:$B$108,$B$5:$B$108,"&lt;"&amp;B43),$B$5:$B$108,0))="","",INDEX($C$5:$C$108,MATCH(_xlfn.MAXIFS($B$5:$B$108,$B$5:$B$108,"&lt;"&amp;B43),$B$5:$B$108,0)))))</f>
        <v/>
      </c>
      <c r="N43" s="62" t="str">
        <f aca="false">IF(OR(C43="",M43=""),"",IF(MATCH(C43,{"Red","Amber","Green"},0)&gt;MATCH(M43,{"Red","Amber","Green"},0),"▲ Improving",IF(MATCH(C43,{"Red","Amber","Green"},0)&lt;MATCH(M43,{"Red","Amber","Green"},0),"▼ Deteriorating","► Stable")))</f>
        <v/>
      </c>
      <c r="O43" s="60"/>
    </row>
    <row r="44" customFormat="false" ht="15" hidden="false" customHeight="false" outlineLevel="0" collapsed="false">
      <c r="A44" s="56" t="s">
        <v>279</v>
      </c>
      <c r="B44" s="63"/>
      <c r="C44" s="61"/>
      <c r="D44" s="60"/>
      <c r="E44" s="60"/>
      <c r="F44" s="60"/>
      <c r="G44" s="60"/>
      <c r="H44" s="60"/>
      <c r="I44" s="60"/>
      <c r="J44" s="60"/>
      <c r="K44" s="60"/>
      <c r="L44" s="61"/>
      <c r="M44" s="62" t="str">
        <f aca="false">IF(B44="","",IF(_xlfn.MAXIFS($B$5:$B$108,$B$5:$B$108,"&lt;"&amp;B44)=0,"",IF(INDEX($C$5:$C$108,MATCH(_xlfn.MAXIFS($B$5:$B$108,$B$5:$B$108,"&lt;"&amp;B44),$B$5:$B$108,0))="","",INDEX($C$5:$C$108,MATCH(_xlfn.MAXIFS($B$5:$B$108,$B$5:$B$108,"&lt;"&amp;B44),$B$5:$B$108,0)))))</f>
        <v/>
      </c>
      <c r="N44" s="62" t="str">
        <f aca="false">IF(OR(C44="",M44=""),"",IF(MATCH(C44,{"Red","Amber","Green"},0)&gt;MATCH(M44,{"Red","Amber","Green"},0),"▲ Improving",IF(MATCH(C44,{"Red","Amber","Green"},0)&lt;MATCH(M44,{"Red","Amber","Green"},0),"▼ Deteriorating","► Stable")))</f>
        <v/>
      </c>
      <c r="O44" s="60"/>
    </row>
    <row r="45" customFormat="false" ht="15" hidden="false" customHeight="false" outlineLevel="0" collapsed="false">
      <c r="A45" s="56" t="s">
        <v>280</v>
      </c>
      <c r="B45" s="63"/>
      <c r="C45" s="61"/>
      <c r="D45" s="60"/>
      <c r="E45" s="60"/>
      <c r="F45" s="60"/>
      <c r="G45" s="60"/>
      <c r="H45" s="60"/>
      <c r="I45" s="60"/>
      <c r="J45" s="60"/>
      <c r="K45" s="60"/>
      <c r="L45" s="61"/>
      <c r="M45" s="62" t="str">
        <f aca="false">IF(B45="","",IF(_xlfn.MAXIFS($B$5:$B$108,$B$5:$B$108,"&lt;"&amp;B45)=0,"",IF(INDEX($C$5:$C$108,MATCH(_xlfn.MAXIFS($B$5:$B$108,$B$5:$B$108,"&lt;"&amp;B45),$B$5:$B$108,0))="","",INDEX($C$5:$C$108,MATCH(_xlfn.MAXIFS($B$5:$B$108,$B$5:$B$108,"&lt;"&amp;B45),$B$5:$B$108,0)))))</f>
        <v/>
      </c>
      <c r="N45" s="62" t="str">
        <f aca="false">IF(OR(C45="",M45=""),"",IF(MATCH(C45,{"Red","Amber","Green"},0)&gt;MATCH(M45,{"Red","Amber","Green"},0),"▲ Improving",IF(MATCH(C45,{"Red","Amber","Green"},0)&lt;MATCH(M45,{"Red","Amber","Green"},0),"▼ Deteriorating","► Stable")))</f>
        <v/>
      </c>
      <c r="O45" s="60"/>
    </row>
    <row r="46" customFormat="false" ht="15" hidden="false" customHeight="false" outlineLevel="0" collapsed="false">
      <c r="A46" s="56" t="s">
        <v>281</v>
      </c>
      <c r="B46" s="63"/>
      <c r="C46" s="61"/>
      <c r="D46" s="60"/>
      <c r="E46" s="60"/>
      <c r="F46" s="60"/>
      <c r="G46" s="60"/>
      <c r="H46" s="60"/>
      <c r="I46" s="60"/>
      <c r="J46" s="60"/>
      <c r="K46" s="60"/>
      <c r="L46" s="61"/>
      <c r="M46" s="62" t="str">
        <f aca="false">IF(B46="","",IF(_xlfn.MAXIFS($B$5:$B$108,$B$5:$B$108,"&lt;"&amp;B46)=0,"",IF(INDEX($C$5:$C$108,MATCH(_xlfn.MAXIFS($B$5:$B$108,$B$5:$B$108,"&lt;"&amp;B46),$B$5:$B$108,0))="","",INDEX($C$5:$C$108,MATCH(_xlfn.MAXIFS($B$5:$B$108,$B$5:$B$108,"&lt;"&amp;B46),$B$5:$B$108,0)))))</f>
        <v/>
      </c>
      <c r="N46" s="62" t="str">
        <f aca="false">IF(OR(C46="",M46=""),"",IF(MATCH(C46,{"Red","Amber","Green"},0)&gt;MATCH(M46,{"Red","Amber","Green"},0),"▲ Improving",IF(MATCH(C46,{"Red","Amber","Green"},0)&lt;MATCH(M46,{"Red","Amber","Green"},0),"▼ Deteriorating","► Stable")))</f>
        <v/>
      </c>
      <c r="O46" s="60"/>
    </row>
    <row r="47" customFormat="false" ht="15" hidden="false" customHeight="false" outlineLevel="0" collapsed="false">
      <c r="A47" s="56" t="s">
        <v>282</v>
      </c>
      <c r="B47" s="63"/>
      <c r="C47" s="61"/>
      <c r="D47" s="60"/>
      <c r="E47" s="60"/>
      <c r="F47" s="60"/>
      <c r="G47" s="60"/>
      <c r="H47" s="60"/>
      <c r="I47" s="60"/>
      <c r="J47" s="60"/>
      <c r="K47" s="60"/>
      <c r="L47" s="61"/>
      <c r="M47" s="62" t="str">
        <f aca="false">IF(B47="","",IF(_xlfn.MAXIFS($B$5:$B$108,$B$5:$B$108,"&lt;"&amp;B47)=0,"",IF(INDEX($C$5:$C$108,MATCH(_xlfn.MAXIFS($B$5:$B$108,$B$5:$B$108,"&lt;"&amp;B47),$B$5:$B$108,0))="","",INDEX($C$5:$C$108,MATCH(_xlfn.MAXIFS($B$5:$B$108,$B$5:$B$108,"&lt;"&amp;B47),$B$5:$B$108,0)))))</f>
        <v/>
      </c>
      <c r="N47" s="62" t="str">
        <f aca="false">IF(OR(C47="",M47=""),"",IF(MATCH(C47,{"Red","Amber","Green"},0)&gt;MATCH(M47,{"Red","Amber","Green"},0),"▲ Improving",IF(MATCH(C47,{"Red","Amber","Green"},0)&lt;MATCH(M47,{"Red","Amber","Green"},0),"▼ Deteriorating","► Stable")))</f>
        <v/>
      </c>
      <c r="O47" s="60"/>
    </row>
    <row r="48" customFormat="false" ht="15" hidden="false" customHeight="false" outlineLevel="0" collapsed="false">
      <c r="A48" s="56" t="s">
        <v>283</v>
      </c>
      <c r="B48" s="63"/>
      <c r="C48" s="61"/>
      <c r="D48" s="60"/>
      <c r="E48" s="60"/>
      <c r="F48" s="60"/>
      <c r="G48" s="60"/>
      <c r="H48" s="60"/>
      <c r="I48" s="60"/>
      <c r="J48" s="60"/>
      <c r="K48" s="60"/>
      <c r="L48" s="61"/>
      <c r="M48" s="62" t="str">
        <f aca="false">IF(B48="","",IF(_xlfn.MAXIFS($B$5:$B$108,$B$5:$B$108,"&lt;"&amp;B48)=0,"",IF(INDEX($C$5:$C$108,MATCH(_xlfn.MAXIFS($B$5:$B$108,$B$5:$B$108,"&lt;"&amp;B48),$B$5:$B$108,0))="","",INDEX($C$5:$C$108,MATCH(_xlfn.MAXIFS($B$5:$B$108,$B$5:$B$108,"&lt;"&amp;B48),$B$5:$B$108,0)))))</f>
        <v/>
      </c>
      <c r="N48" s="62" t="str">
        <f aca="false">IF(OR(C48="",M48=""),"",IF(MATCH(C48,{"Red","Amber","Green"},0)&gt;MATCH(M48,{"Red","Amber","Green"},0),"▲ Improving",IF(MATCH(C48,{"Red","Amber","Green"},0)&lt;MATCH(M48,{"Red","Amber","Green"},0),"▼ Deteriorating","► Stable")))</f>
        <v/>
      </c>
      <c r="O48" s="60"/>
    </row>
    <row r="49" customFormat="false" ht="15" hidden="false" customHeight="false" outlineLevel="0" collapsed="false">
      <c r="A49" s="56" t="s">
        <v>284</v>
      </c>
      <c r="B49" s="63"/>
      <c r="C49" s="61"/>
      <c r="D49" s="60"/>
      <c r="E49" s="60"/>
      <c r="F49" s="60"/>
      <c r="G49" s="60"/>
      <c r="H49" s="60"/>
      <c r="I49" s="60"/>
      <c r="J49" s="60"/>
      <c r="K49" s="60"/>
      <c r="L49" s="61"/>
      <c r="M49" s="62" t="str">
        <f aca="false">IF(B49="","",IF(_xlfn.MAXIFS($B$5:$B$108,$B$5:$B$108,"&lt;"&amp;B49)=0,"",IF(INDEX($C$5:$C$108,MATCH(_xlfn.MAXIFS($B$5:$B$108,$B$5:$B$108,"&lt;"&amp;B49),$B$5:$B$108,0))="","",INDEX($C$5:$C$108,MATCH(_xlfn.MAXIFS($B$5:$B$108,$B$5:$B$108,"&lt;"&amp;B49),$B$5:$B$108,0)))))</f>
        <v/>
      </c>
      <c r="N49" s="62" t="str">
        <f aca="false">IF(OR(C49="",M49=""),"",IF(MATCH(C49,{"Red","Amber","Green"},0)&gt;MATCH(M49,{"Red","Amber","Green"},0),"▲ Improving",IF(MATCH(C49,{"Red","Amber","Green"},0)&lt;MATCH(M49,{"Red","Amber","Green"},0),"▼ Deteriorating","► Stable")))</f>
        <v/>
      </c>
      <c r="O49" s="60"/>
    </row>
    <row r="50" customFormat="false" ht="15" hidden="false" customHeight="false" outlineLevel="0" collapsed="false">
      <c r="A50" s="56" t="s">
        <v>285</v>
      </c>
      <c r="B50" s="63"/>
      <c r="C50" s="61"/>
      <c r="D50" s="60"/>
      <c r="E50" s="60"/>
      <c r="F50" s="60"/>
      <c r="G50" s="60"/>
      <c r="H50" s="60"/>
      <c r="I50" s="60"/>
      <c r="J50" s="60"/>
      <c r="K50" s="60"/>
      <c r="L50" s="61"/>
      <c r="M50" s="62" t="str">
        <f aca="false">IF(B50="","",IF(_xlfn.MAXIFS($B$5:$B$108,$B$5:$B$108,"&lt;"&amp;B50)=0,"",IF(INDEX($C$5:$C$108,MATCH(_xlfn.MAXIFS($B$5:$B$108,$B$5:$B$108,"&lt;"&amp;B50),$B$5:$B$108,0))="","",INDEX($C$5:$C$108,MATCH(_xlfn.MAXIFS($B$5:$B$108,$B$5:$B$108,"&lt;"&amp;B50),$B$5:$B$108,0)))))</f>
        <v/>
      </c>
      <c r="N50" s="62" t="str">
        <f aca="false">IF(OR(C50="",M50=""),"",IF(MATCH(C50,{"Red","Amber","Green"},0)&gt;MATCH(M50,{"Red","Amber","Green"},0),"▲ Improving",IF(MATCH(C50,{"Red","Amber","Green"},0)&lt;MATCH(M50,{"Red","Amber","Green"},0),"▼ Deteriorating","► Stable")))</f>
        <v/>
      </c>
      <c r="O50" s="60"/>
    </row>
    <row r="51" customFormat="false" ht="15" hidden="false" customHeight="false" outlineLevel="0" collapsed="false">
      <c r="A51" s="56" t="s">
        <v>286</v>
      </c>
      <c r="B51" s="63"/>
      <c r="C51" s="61"/>
      <c r="D51" s="60"/>
      <c r="E51" s="60"/>
      <c r="F51" s="60"/>
      <c r="G51" s="60"/>
      <c r="H51" s="60"/>
      <c r="I51" s="60"/>
      <c r="J51" s="60"/>
      <c r="K51" s="60"/>
      <c r="L51" s="61"/>
      <c r="M51" s="62" t="str">
        <f aca="false">IF(B51="","",IF(_xlfn.MAXIFS($B$5:$B$108,$B$5:$B$108,"&lt;"&amp;B51)=0,"",IF(INDEX($C$5:$C$108,MATCH(_xlfn.MAXIFS($B$5:$B$108,$B$5:$B$108,"&lt;"&amp;B51),$B$5:$B$108,0))="","",INDEX($C$5:$C$108,MATCH(_xlfn.MAXIFS($B$5:$B$108,$B$5:$B$108,"&lt;"&amp;B51),$B$5:$B$108,0)))))</f>
        <v/>
      </c>
      <c r="N51" s="62" t="str">
        <f aca="false">IF(OR(C51="",M51=""),"",IF(MATCH(C51,{"Red","Amber","Green"},0)&gt;MATCH(M51,{"Red","Amber","Green"},0),"▲ Improving",IF(MATCH(C51,{"Red","Amber","Green"},0)&lt;MATCH(M51,{"Red","Amber","Green"},0),"▼ Deteriorating","► Stable")))</f>
        <v/>
      </c>
      <c r="O51" s="60"/>
    </row>
    <row r="52" customFormat="false" ht="15" hidden="false" customHeight="false" outlineLevel="0" collapsed="false">
      <c r="A52" s="56" t="s">
        <v>287</v>
      </c>
      <c r="B52" s="63"/>
      <c r="C52" s="61"/>
      <c r="D52" s="60"/>
      <c r="E52" s="60"/>
      <c r="F52" s="60"/>
      <c r="G52" s="60"/>
      <c r="H52" s="60"/>
      <c r="I52" s="60"/>
      <c r="J52" s="60"/>
      <c r="K52" s="60"/>
      <c r="L52" s="61"/>
      <c r="M52" s="62" t="str">
        <f aca="false">IF(B52="","",IF(_xlfn.MAXIFS($B$5:$B$108,$B$5:$B$108,"&lt;"&amp;B52)=0,"",IF(INDEX($C$5:$C$108,MATCH(_xlfn.MAXIFS($B$5:$B$108,$B$5:$B$108,"&lt;"&amp;B52),$B$5:$B$108,0))="","",INDEX($C$5:$C$108,MATCH(_xlfn.MAXIFS($B$5:$B$108,$B$5:$B$108,"&lt;"&amp;B52),$B$5:$B$108,0)))))</f>
        <v/>
      </c>
      <c r="N52" s="62" t="str">
        <f aca="false">IF(OR(C52="",M52=""),"",IF(MATCH(C52,{"Red","Amber","Green"},0)&gt;MATCH(M52,{"Red","Amber","Green"},0),"▲ Improving",IF(MATCH(C52,{"Red","Amber","Green"},0)&lt;MATCH(M52,{"Red","Amber","Green"},0),"▼ Deteriorating","► Stable")))</f>
        <v/>
      </c>
      <c r="O52" s="60"/>
    </row>
    <row r="53" customFormat="false" ht="15" hidden="false" customHeight="false" outlineLevel="0" collapsed="false">
      <c r="A53" s="56" t="s">
        <v>288</v>
      </c>
      <c r="B53" s="63"/>
      <c r="C53" s="61"/>
      <c r="D53" s="60"/>
      <c r="E53" s="60"/>
      <c r="F53" s="60"/>
      <c r="G53" s="60"/>
      <c r="H53" s="60"/>
      <c r="I53" s="60"/>
      <c r="J53" s="60"/>
      <c r="K53" s="60"/>
      <c r="L53" s="61"/>
      <c r="M53" s="62" t="str">
        <f aca="false">IF(B53="","",IF(_xlfn.MAXIFS($B$5:$B$108,$B$5:$B$108,"&lt;"&amp;B53)=0,"",IF(INDEX($C$5:$C$108,MATCH(_xlfn.MAXIFS($B$5:$B$108,$B$5:$B$108,"&lt;"&amp;B53),$B$5:$B$108,0))="","",INDEX($C$5:$C$108,MATCH(_xlfn.MAXIFS($B$5:$B$108,$B$5:$B$108,"&lt;"&amp;B53),$B$5:$B$108,0)))))</f>
        <v/>
      </c>
      <c r="N53" s="62" t="str">
        <f aca="false">IF(OR(C53="",M53=""),"",IF(MATCH(C53,{"Red","Amber","Green"},0)&gt;MATCH(M53,{"Red","Amber","Green"},0),"▲ Improving",IF(MATCH(C53,{"Red","Amber","Green"},0)&lt;MATCH(M53,{"Red","Amber","Green"},0),"▼ Deteriorating","► Stable")))</f>
        <v/>
      </c>
      <c r="O53" s="60"/>
    </row>
    <row r="54" customFormat="false" ht="15" hidden="false" customHeight="false" outlineLevel="0" collapsed="false">
      <c r="A54" s="56" t="s">
        <v>289</v>
      </c>
      <c r="B54" s="63"/>
      <c r="C54" s="61"/>
      <c r="D54" s="60"/>
      <c r="E54" s="60"/>
      <c r="F54" s="60"/>
      <c r="G54" s="60"/>
      <c r="H54" s="60"/>
      <c r="I54" s="60"/>
      <c r="J54" s="60"/>
      <c r="K54" s="60"/>
      <c r="L54" s="61"/>
      <c r="M54" s="62" t="str">
        <f aca="false">IF(B54="","",IF(_xlfn.MAXIFS($B$5:$B$108,$B$5:$B$108,"&lt;"&amp;B54)=0,"",IF(INDEX($C$5:$C$108,MATCH(_xlfn.MAXIFS($B$5:$B$108,$B$5:$B$108,"&lt;"&amp;B54),$B$5:$B$108,0))="","",INDEX($C$5:$C$108,MATCH(_xlfn.MAXIFS($B$5:$B$108,$B$5:$B$108,"&lt;"&amp;B54),$B$5:$B$108,0)))))</f>
        <v/>
      </c>
      <c r="N54" s="62" t="str">
        <f aca="false">IF(OR(C54="",M54=""),"",IF(MATCH(C54,{"Red","Amber","Green"},0)&gt;MATCH(M54,{"Red","Amber","Green"},0),"▲ Improving",IF(MATCH(C54,{"Red","Amber","Green"},0)&lt;MATCH(M54,{"Red","Amber","Green"},0),"▼ Deteriorating","► Stable")))</f>
        <v/>
      </c>
      <c r="O54" s="60"/>
    </row>
    <row r="55" customFormat="false" ht="15" hidden="false" customHeight="false" outlineLevel="0" collapsed="false">
      <c r="A55" s="56" t="s">
        <v>290</v>
      </c>
      <c r="B55" s="63"/>
      <c r="C55" s="61"/>
      <c r="D55" s="60"/>
      <c r="E55" s="60"/>
      <c r="F55" s="60"/>
      <c r="G55" s="60"/>
      <c r="H55" s="60"/>
      <c r="I55" s="60"/>
      <c r="J55" s="60"/>
      <c r="K55" s="60"/>
      <c r="L55" s="61"/>
      <c r="M55" s="62" t="str">
        <f aca="false">IF(B55="","",IF(_xlfn.MAXIFS($B$5:$B$108,$B$5:$B$108,"&lt;"&amp;B55)=0,"",IF(INDEX($C$5:$C$108,MATCH(_xlfn.MAXIFS($B$5:$B$108,$B$5:$B$108,"&lt;"&amp;B55),$B$5:$B$108,0))="","",INDEX($C$5:$C$108,MATCH(_xlfn.MAXIFS($B$5:$B$108,$B$5:$B$108,"&lt;"&amp;B55),$B$5:$B$108,0)))))</f>
        <v/>
      </c>
      <c r="N55" s="62" t="str">
        <f aca="false">IF(OR(C55="",M55=""),"",IF(MATCH(C55,{"Red","Amber","Green"},0)&gt;MATCH(M55,{"Red","Amber","Green"},0),"▲ Improving",IF(MATCH(C55,{"Red","Amber","Green"},0)&lt;MATCH(M55,{"Red","Amber","Green"},0),"▼ Deteriorating","► Stable")))</f>
        <v/>
      </c>
      <c r="O55" s="60"/>
    </row>
    <row r="56" customFormat="false" ht="15" hidden="false" customHeight="false" outlineLevel="0" collapsed="false">
      <c r="A56" s="56" t="s">
        <v>291</v>
      </c>
      <c r="B56" s="63"/>
      <c r="C56" s="61"/>
      <c r="D56" s="60"/>
      <c r="E56" s="60"/>
      <c r="F56" s="60"/>
      <c r="G56" s="60"/>
      <c r="H56" s="60"/>
      <c r="I56" s="60"/>
      <c r="J56" s="60"/>
      <c r="K56" s="60"/>
      <c r="L56" s="61"/>
      <c r="M56" s="62" t="str">
        <f aca="false">IF(B56="","",IF(_xlfn.MAXIFS($B$5:$B$108,$B$5:$B$108,"&lt;"&amp;B56)=0,"",IF(INDEX($C$5:$C$108,MATCH(_xlfn.MAXIFS($B$5:$B$108,$B$5:$B$108,"&lt;"&amp;B56),$B$5:$B$108,0))="","",INDEX($C$5:$C$108,MATCH(_xlfn.MAXIFS($B$5:$B$108,$B$5:$B$108,"&lt;"&amp;B56),$B$5:$B$108,0)))))</f>
        <v/>
      </c>
      <c r="N56" s="62" t="str">
        <f aca="false">IF(OR(C56="",M56=""),"",IF(MATCH(C56,{"Red","Amber","Green"},0)&gt;MATCH(M56,{"Red","Amber","Green"},0),"▲ Improving",IF(MATCH(C56,{"Red","Amber","Green"},0)&lt;MATCH(M56,{"Red","Amber","Green"},0),"▼ Deteriorating","► Stable")))</f>
        <v/>
      </c>
      <c r="O56" s="60"/>
    </row>
    <row r="57" customFormat="false" ht="15" hidden="false" customHeight="false" outlineLevel="0" collapsed="false">
      <c r="A57" s="56" t="s">
        <v>292</v>
      </c>
      <c r="B57" s="63"/>
      <c r="C57" s="61"/>
      <c r="D57" s="60"/>
      <c r="E57" s="60"/>
      <c r="F57" s="60"/>
      <c r="G57" s="60"/>
      <c r="H57" s="60"/>
      <c r="I57" s="60"/>
      <c r="J57" s="60"/>
      <c r="K57" s="60"/>
      <c r="L57" s="61"/>
      <c r="M57" s="62" t="str">
        <f aca="false">IF(B57="","",IF(_xlfn.MAXIFS($B$5:$B$108,$B$5:$B$108,"&lt;"&amp;B57)=0,"",IF(INDEX($C$5:$C$108,MATCH(_xlfn.MAXIFS($B$5:$B$108,$B$5:$B$108,"&lt;"&amp;B57),$B$5:$B$108,0))="","",INDEX($C$5:$C$108,MATCH(_xlfn.MAXIFS($B$5:$B$108,$B$5:$B$108,"&lt;"&amp;B57),$B$5:$B$108,0)))))</f>
        <v/>
      </c>
      <c r="N57" s="62" t="str">
        <f aca="false">IF(OR(C57="",M57=""),"",IF(MATCH(C57,{"Red","Amber","Green"},0)&gt;MATCH(M57,{"Red","Amber","Green"},0),"▲ Improving",IF(MATCH(C57,{"Red","Amber","Green"},0)&lt;MATCH(M57,{"Red","Amber","Green"},0),"▼ Deteriorating","► Stable")))</f>
        <v/>
      </c>
      <c r="O57" s="60"/>
    </row>
    <row r="58" customFormat="false" ht="15" hidden="false" customHeight="false" outlineLevel="0" collapsed="false">
      <c r="A58" s="56" t="s">
        <v>293</v>
      </c>
      <c r="B58" s="63"/>
      <c r="C58" s="61"/>
      <c r="D58" s="60"/>
      <c r="E58" s="60"/>
      <c r="F58" s="60"/>
      <c r="G58" s="60"/>
      <c r="H58" s="60"/>
      <c r="I58" s="60"/>
      <c r="J58" s="60"/>
      <c r="K58" s="60"/>
      <c r="L58" s="61"/>
      <c r="M58" s="62" t="str">
        <f aca="false">IF(B58="","",IF(_xlfn.MAXIFS($B$5:$B$108,$B$5:$B$108,"&lt;"&amp;B58)=0,"",IF(INDEX($C$5:$C$108,MATCH(_xlfn.MAXIFS($B$5:$B$108,$B$5:$B$108,"&lt;"&amp;B58),$B$5:$B$108,0))="","",INDEX($C$5:$C$108,MATCH(_xlfn.MAXIFS($B$5:$B$108,$B$5:$B$108,"&lt;"&amp;B58),$B$5:$B$108,0)))))</f>
        <v/>
      </c>
      <c r="N58" s="62" t="str">
        <f aca="false">IF(OR(C58="",M58=""),"",IF(MATCH(C58,{"Red","Amber","Green"},0)&gt;MATCH(M58,{"Red","Amber","Green"},0),"▲ Improving",IF(MATCH(C58,{"Red","Amber","Green"},0)&lt;MATCH(M58,{"Red","Amber","Green"},0),"▼ Deteriorating","► Stable")))</f>
        <v/>
      </c>
      <c r="O58" s="60"/>
    </row>
    <row r="59" customFormat="false" ht="15" hidden="false" customHeight="false" outlineLevel="0" collapsed="false">
      <c r="A59" s="56" t="s">
        <v>294</v>
      </c>
      <c r="B59" s="63"/>
      <c r="C59" s="61"/>
      <c r="D59" s="60"/>
      <c r="E59" s="60"/>
      <c r="F59" s="60"/>
      <c r="G59" s="60"/>
      <c r="H59" s="60"/>
      <c r="I59" s="60"/>
      <c r="J59" s="60"/>
      <c r="K59" s="60"/>
      <c r="L59" s="61"/>
      <c r="M59" s="62" t="str">
        <f aca="false">IF(B59="","",IF(_xlfn.MAXIFS($B$5:$B$108,$B$5:$B$108,"&lt;"&amp;B59)=0,"",IF(INDEX($C$5:$C$108,MATCH(_xlfn.MAXIFS($B$5:$B$108,$B$5:$B$108,"&lt;"&amp;B59),$B$5:$B$108,0))="","",INDEX($C$5:$C$108,MATCH(_xlfn.MAXIFS($B$5:$B$108,$B$5:$B$108,"&lt;"&amp;B59),$B$5:$B$108,0)))))</f>
        <v/>
      </c>
      <c r="N59" s="62" t="str">
        <f aca="false">IF(OR(C59="",M59=""),"",IF(MATCH(C59,{"Red","Amber","Green"},0)&gt;MATCH(M59,{"Red","Amber","Green"},0),"▲ Improving",IF(MATCH(C59,{"Red","Amber","Green"},0)&lt;MATCH(M59,{"Red","Amber","Green"},0),"▼ Deteriorating","► Stable")))</f>
        <v/>
      </c>
      <c r="O59" s="60"/>
    </row>
    <row r="60" customFormat="false" ht="15" hidden="false" customHeight="false" outlineLevel="0" collapsed="false">
      <c r="A60" s="56" t="s">
        <v>295</v>
      </c>
      <c r="B60" s="63"/>
      <c r="C60" s="61"/>
      <c r="D60" s="60"/>
      <c r="E60" s="60"/>
      <c r="F60" s="60"/>
      <c r="G60" s="60"/>
      <c r="H60" s="60"/>
      <c r="I60" s="60"/>
      <c r="J60" s="60"/>
      <c r="K60" s="60"/>
      <c r="L60" s="61"/>
      <c r="M60" s="62" t="str">
        <f aca="false">IF(B60="","",IF(_xlfn.MAXIFS($B$5:$B$108,$B$5:$B$108,"&lt;"&amp;B60)=0,"",IF(INDEX($C$5:$C$108,MATCH(_xlfn.MAXIFS($B$5:$B$108,$B$5:$B$108,"&lt;"&amp;B60),$B$5:$B$108,0))="","",INDEX($C$5:$C$108,MATCH(_xlfn.MAXIFS($B$5:$B$108,$B$5:$B$108,"&lt;"&amp;B60),$B$5:$B$108,0)))))</f>
        <v/>
      </c>
      <c r="N60" s="62" t="str">
        <f aca="false">IF(OR(C60="",M60=""),"",IF(MATCH(C60,{"Red","Amber","Green"},0)&gt;MATCH(M60,{"Red","Amber","Green"},0),"▲ Improving",IF(MATCH(C60,{"Red","Amber","Green"},0)&lt;MATCH(M60,{"Red","Amber","Green"},0),"▼ Deteriorating","► Stable")))</f>
        <v/>
      </c>
      <c r="O60" s="60"/>
    </row>
    <row r="61" customFormat="false" ht="15" hidden="false" customHeight="false" outlineLevel="0" collapsed="false">
      <c r="A61" s="56" t="s">
        <v>296</v>
      </c>
      <c r="B61" s="63"/>
      <c r="C61" s="61"/>
      <c r="D61" s="60"/>
      <c r="E61" s="60"/>
      <c r="F61" s="60"/>
      <c r="G61" s="60"/>
      <c r="H61" s="60"/>
      <c r="I61" s="60"/>
      <c r="J61" s="60"/>
      <c r="K61" s="60"/>
      <c r="L61" s="61"/>
      <c r="M61" s="62" t="str">
        <f aca="false">IF(B61="","",IF(_xlfn.MAXIFS($B$5:$B$108,$B$5:$B$108,"&lt;"&amp;B61)=0,"",IF(INDEX($C$5:$C$108,MATCH(_xlfn.MAXIFS($B$5:$B$108,$B$5:$B$108,"&lt;"&amp;B61),$B$5:$B$108,0))="","",INDEX($C$5:$C$108,MATCH(_xlfn.MAXIFS($B$5:$B$108,$B$5:$B$108,"&lt;"&amp;B61),$B$5:$B$108,0)))))</f>
        <v/>
      </c>
      <c r="N61" s="62" t="str">
        <f aca="false">IF(OR(C61="",M61=""),"",IF(MATCH(C61,{"Red","Amber","Green"},0)&gt;MATCH(M61,{"Red","Amber","Green"},0),"▲ Improving",IF(MATCH(C61,{"Red","Amber","Green"},0)&lt;MATCH(M61,{"Red","Amber","Green"},0),"▼ Deteriorating","► Stable")))</f>
        <v/>
      </c>
      <c r="O61" s="60"/>
    </row>
    <row r="62" customFormat="false" ht="15" hidden="false" customHeight="false" outlineLevel="0" collapsed="false">
      <c r="A62" s="56" t="s">
        <v>297</v>
      </c>
      <c r="B62" s="63"/>
      <c r="C62" s="61"/>
      <c r="D62" s="60"/>
      <c r="E62" s="60"/>
      <c r="F62" s="60"/>
      <c r="G62" s="60"/>
      <c r="H62" s="60"/>
      <c r="I62" s="60"/>
      <c r="J62" s="60"/>
      <c r="K62" s="60"/>
      <c r="L62" s="61"/>
      <c r="M62" s="62" t="str">
        <f aca="false">IF(B62="","",IF(_xlfn.MAXIFS($B$5:$B$108,$B$5:$B$108,"&lt;"&amp;B62)=0,"",IF(INDEX($C$5:$C$108,MATCH(_xlfn.MAXIFS($B$5:$B$108,$B$5:$B$108,"&lt;"&amp;B62),$B$5:$B$108,0))="","",INDEX($C$5:$C$108,MATCH(_xlfn.MAXIFS($B$5:$B$108,$B$5:$B$108,"&lt;"&amp;B62),$B$5:$B$108,0)))))</f>
        <v/>
      </c>
      <c r="N62" s="62" t="str">
        <f aca="false">IF(OR(C62="",M62=""),"",IF(MATCH(C62,{"Red","Amber","Green"},0)&gt;MATCH(M62,{"Red","Amber","Green"},0),"▲ Improving",IF(MATCH(C62,{"Red","Amber","Green"},0)&lt;MATCH(M62,{"Red","Amber","Green"},0),"▼ Deteriorating","► Stable")))</f>
        <v/>
      </c>
      <c r="O62" s="60"/>
    </row>
    <row r="63" customFormat="false" ht="15" hidden="false" customHeight="false" outlineLevel="0" collapsed="false">
      <c r="A63" s="56" t="s">
        <v>298</v>
      </c>
      <c r="B63" s="63"/>
      <c r="C63" s="61"/>
      <c r="D63" s="60"/>
      <c r="E63" s="60"/>
      <c r="F63" s="60"/>
      <c r="G63" s="60"/>
      <c r="H63" s="60"/>
      <c r="I63" s="60"/>
      <c r="J63" s="60"/>
      <c r="K63" s="60"/>
      <c r="L63" s="61"/>
      <c r="M63" s="62" t="str">
        <f aca="false">IF(B63="","",IF(_xlfn.MAXIFS($B$5:$B$108,$B$5:$B$108,"&lt;"&amp;B63)=0,"",IF(INDEX($C$5:$C$108,MATCH(_xlfn.MAXIFS($B$5:$B$108,$B$5:$B$108,"&lt;"&amp;B63),$B$5:$B$108,0))="","",INDEX($C$5:$C$108,MATCH(_xlfn.MAXIFS($B$5:$B$108,$B$5:$B$108,"&lt;"&amp;B63),$B$5:$B$108,0)))))</f>
        <v/>
      </c>
      <c r="N63" s="62" t="str">
        <f aca="false">IF(OR(C63="",M63=""),"",IF(MATCH(C63,{"Red","Amber","Green"},0)&gt;MATCH(M63,{"Red","Amber","Green"},0),"▲ Improving",IF(MATCH(C63,{"Red","Amber","Green"},0)&lt;MATCH(M63,{"Red","Amber","Green"},0),"▼ Deteriorating","► Stable")))</f>
        <v/>
      </c>
      <c r="O63" s="60"/>
    </row>
    <row r="64" customFormat="false" ht="15" hidden="false" customHeight="false" outlineLevel="0" collapsed="false">
      <c r="A64" s="56" t="s">
        <v>299</v>
      </c>
      <c r="B64" s="63"/>
      <c r="C64" s="61"/>
      <c r="D64" s="60"/>
      <c r="E64" s="60"/>
      <c r="F64" s="60"/>
      <c r="G64" s="60"/>
      <c r="H64" s="60"/>
      <c r="I64" s="60"/>
      <c r="J64" s="60"/>
      <c r="K64" s="60"/>
      <c r="L64" s="61"/>
      <c r="M64" s="62" t="str">
        <f aca="false">IF(B64="","",IF(_xlfn.MAXIFS($B$5:$B$108,$B$5:$B$108,"&lt;"&amp;B64)=0,"",IF(INDEX($C$5:$C$108,MATCH(_xlfn.MAXIFS($B$5:$B$108,$B$5:$B$108,"&lt;"&amp;B64),$B$5:$B$108,0))="","",INDEX($C$5:$C$108,MATCH(_xlfn.MAXIFS($B$5:$B$108,$B$5:$B$108,"&lt;"&amp;B64),$B$5:$B$108,0)))))</f>
        <v/>
      </c>
      <c r="N64" s="62" t="str">
        <f aca="false">IF(OR(C64="",M64=""),"",IF(MATCH(C64,{"Red","Amber","Green"},0)&gt;MATCH(M64,{"Red","Amber","Green"},0),"▲ Improving",IF(MATCH(C64,{"Red","Amber","Green"},0)&lt;MATCH(M64,{"Red","Amber","Green"},0),"▼ Deteriorating","► Stable")))</f>
        <v/>
      </c>
      <c r="O64" s="60"/>
    </row>
    <row r="65" customFormat="false" ht="15" hidden="false" customHeight="false" outlineLevel="0" collapsed="false">
      <c r="A65" s="56" t="s">
        <v>300</v>
      </c>
      <c r="B65" s="63"/>
      <c r="C65" s="61"/>
      <c r="D65" s="60"/>
      <c r="E65" s="60"/>
      <c r="F65" s="60"/>
      <c r="G65" s="60"/>
      <c r="H65" s="60"/>
      <c r="I65" s="60"/>
      <c r="J65" s="60"/>
      <c r="K65" s="60"/>
      <c r="L65" s="61"/>
      <c r="M65" s="62" t="str">
        <f aca="false">IF(B65="","",IF(_xlfn.MAXIFS($B$5:$B$108,$B$5:$B$108,"&lt;"&amp;B65)=0,"",IF(INDEX($C$5:$C$108,MATCH(_xlfn.MAXIFS($B$5:$B$108,$B$5:$B$108,"&lt;"&amp;B65),$B$5:$B$108,0))="","",INDEX($C$5:$C$108,MATCH(_xlfn.MAXIFS($B$5:$B$108,$B$5:$B$108,"&lt;"&amp;B65),$B$5:$B$108,0)))))</f>
        <v/>
      </c>
      <c r="N65" s="62" t="str">
        <f aca="false">IF(OR(C65="",M65=""),"",IF(MATCH(C65,{"Red","Amber","Green"},0)&gt;MATCH(M65,{"Red","Amber","Green"},0),"▲ Improving",IF(MATCH(C65,{"Red","Amber","Green"},0)&lt;MATCH(M65,{"Red","Amber","Green"},0),"▼ Deteriorating","► Stable")))</f>
        <v/>
      </c>
      <c r="O65" s="60"/>
    </row>
    <row r="66" customFormat="false" ht="15" hidden="false" customHeight="false" outlineLevel="0" collapsed="false">
      <c r="A66" s="56" t="s">
        <v>301</v>
      </c>
      <c r="B66" s="63"/>
      <c r="C66" s="61"/>
      <c r="D66" s="60"/>
      <c r="E66" s="60"/>
      <c r="F66" s="60"/>
      <c r="G66" s="60"/>
      <c r="H66" s="60"/>
      <c r="I66" s="60"/>
      <c r="J66" s="60"/>
      <c r="K66" s="60"/>
      <c r="L66" s="61"/>
      <c r="M66" s="62" t="str">
        <f aca="false">IF(B66="","",IF(_xlfn.MAXIFS($B$5:$B$108,$B$5:$B$108,"&lt;"&amp;B66)=0,"",IF(INDEX($C$5:$C$108,MATCH(_xlfn.MAXIFS($B$5:$B$108,$B$5:$B$108,"&lt;"&amp;B66),$B$5:$B$108,0))="","",INDEX($C$5:$C$108,MATCH(_xlfn.MAXIFS($B$5:$B$108,$B$5:$B$108,"&lt;"&amp;B66),$B$5:$B$108,0)))))</f>
        <v/>
      </c>
      <c r="N66" s="62" t="str">
        <f aca="false">IF(OR(C66="",M66=""),"",IF(MATCH(C66,{"Red","Amber","Green"},0)&gt;MATCH(M66,{"Red","Amber","Green"},0),"▲ Improving",IF(MATCH(C66,{"Red","Amber","Green"},0)&lt;MATCH(M66,{"Red","Amber","Green"},0),"▼ Deteriorating","► Stable")))</f>
        <v/>
      </c>
      <c r="O66" s="60"/>
    </row>
    <row r="67" customFormat="false" ht="15" hidden="false" customHeight="false" outlineLevel="0" collapsed="false">
      <c r="A67" s="56" t="s">
        <v>302</v>
      </c>
      <c r="B67" s="63"/>
      <c r="C67" s="61"/>
      <c r="D67" s="60"/>
      <c r="E67" s="60"/>
      <c r="F67" s="60"/>
      <c r="G67" s="60"/>
      <c r="H67" s="60"/>
      <c r="I67" s="60"/>
      <c r="J67" s="60"/>
      <c r="K67" s="60"/>
      <c r="L67" s="61"/>
      <c r="M67" s="62" t="str">
        <f aca="false">IF(B67="","",IF(_xlfn.MAXIFS($B$5:$B$108,$B$5:$B$108,"&lt;"&amp;B67)=0,"",IF(INDEX($C$5:$C$108,MATCH(_xlfn.MAXIFS($B$5:$B$108,$B$5:$B$108,"&lt;"&amp;B67),$B$5:$B$108,0))="","",INDEX($C$5:$C$108,MATCH(_xlfn.MAXIFS($B$5:$B$108,$B$5:$B$108,"&lt;"&amp;B67),$B$5:$B$108,0)))))</f>
        <v/>
      </c>
      <c r="N67" s="62" t="str">
        <f aca="false">IF(OR(C67="",M67=""),"",IF(MATCH(C67,{"Red","Amber","Green"},0)&gt;MATCH(M67,{"Red","Amber","Green"},0),"▲ Improving",IF(MATCH(C67,{"Red","Amber","Green"},0)&lt;MATCH(M67,{"Red","Amber","Green"},0),"▼ Deteriorating","► Stable")))</f>
        <v/>
      </c>
      <c r="O67" s="60"/>
    </row>
    <row r="68" customFormat="false" ht="15" hidden="false" customHeight="false" outlineLevel="0" collapsed="false">
      <c r="A68" s="56" t="s">
        <v>303</v>
      </c>
      <c r="B68" s="63"/>
      <c r="C68" s="61"/>
      <c r="D68" s="60"/>
      <c r="E68" s="60"/>
      <c r="F68" s="60"/>
      <c r="G68" s="60"/>
      <c r="H68" s="60"/>
      <c r="I68" s="60"/>
      <c r="J68" s="60"/>
      <c r="K68" s="60"/>
      <c r="L68" s="61"/>
      <c r="M68" s="62" t="str">
        <f aca="false">IF(B68="","",IF(_xlfn.MAXIFS($B$5:$B$108,$B$5:$B$108,"&lt;"&amp;B68)=0,"",IF(INDEX($C$5:$C$108,MATCH(_xlfn.MAXIFS($B$5:$B$108,$B$5:$B$108,"&lt;"&amp;B68),$B$5:$B$108,0))="","",INDEX($C$5:$C$108,MATCH(_xlfn.MAXIFS($B$5:$B$108,$B$5:$B$108,"&lt;"&amp;B68),$B$5:$B$108,0)))))</f>
        <v/>
      </c>
      <c r="N68" s="62" t="str">
        <f aca="false">IF(OR(C68="",M68=""),"",IF(MATCH(C68,{"Red","Amber","Green"},0)&gt;MATCH(M68,{"Red","Amber","Green"},0),"▲ Improving",IF(MATCH(C68,{"Red","Amber","Green"},0)&lt;MATCH(M68,{"Red","Amber","Green"},0),"▼ Deteriorating","► Stable")))</f>
        <v/>
      </c>
      <c r="O68" s="60"/>
    </row>
    <row r="69" customFormat="false" ht="15" hidden="false" customHeight="false" outlineLevel="0" collapsed="false">
      <c r="A69" s="56" t="s">
        <v>304</v>
      </c>
      <c r="B69" s="63"/>
      <c r="C69" s="61"/>
      <c r="D69" s="60"/>
      <c r="E69" s="60"/>
      <c r="F69" s="60"/>
      <c r="G69" s="60"/>
      <c r="H69" s="60"/>
      <c r="I69" s="60"/>
      <c r="J69" s="60"/>
      <c r="K69" s="60"/>
      <c r="L69" s="61"/>
      <c r="M69" s="62" t="str">
        <f aca="false">IF(B69="","",IF(_xlfn.MAXIFS($B$5:$B$108,$B$5:$B$108,"&lt;"&amp;B69)=0,"",IF(INDEX($C$5:$C$108,MATCH(_xlfn.MAXIFS($B$5:$B$108,$B$5:$B$108,"&lt;"&amp;B69),$B$5:$B$108,0))="","",INDEX($C$5:$C$108,MATCH(_xlfn.MAXIFS($B$5:$B$108,$B$5:$B$108,"&lt;"&amp;B69),$B$5:$B$108,0)))))</f>
        <v/>
      </c>
      <c r="N69" s="62" t="str">
        <f aca="false">IF(OR(C69="",M69=""),"",IF(MATCH(C69,{"Red","Amber","Green"},0)&gt;MATCH(M69,{"Red","Amber","Green"},0),"▲ Improving",IF(MATCH(C69,{"Red","Amber","Green"},0)&lt;MATCH(M69,{"Red","Amber","Green"},0),"▼ Deteriorating","► Stable")))</f>
        <v/>
      </c>
      <c r="O69" s="60"/>
    </row>
    <row r="70" customFormat="false" ht="15" hidden="false" customHeight="false" outlineLevel="0" collapsed="false">
      <c r="A70" s="56" t="s">
        <v>305</v>
      </c>
      <c r="B70" s="63"/>
      <c r="C70" s="61"/>
      <c r="D70" s="60"/>
      <c r="E70" s="60"/>
      <c r="F70" s="60"/>
      <c r="G70" s="60"/>
      <c r="H70" s="60"/>
      <c r="I70" s="60"/>
      <c r="J70" s="60"/>
      <c r="K70" s="60"/>
      <c r="L70" s="61"/>
      <c r="M70" s="62" t="str">
        <f aca="false">IF(B70="","",IF(_xlfn.MAXIFS($B$5:$B$108,$B$5:$B$108,"&lt;"&amp;B70)=0,"",IF(INDEX($C$5:$C$108,MATCH(_xlfn.MAXIFS($B$5:$B$108,$B$5:$B$108,"&lt;"&amp;B70),$B$5:$B$108,0))="","",INDEX($C$5:$C$108,MATCH(_xlfn.MAXIFS($B$5:$B$108,$B$5:$B$108,"&lt;"&amp;B70),$B$5:$B$108,0)))))</f>
        <v/>
      </c>
      <c r="N70" s="62" t="str">
        <f aca="false">IF(OR(C70="",M70=""),"",IF(MATCH(C70,{"Red","Amber","Green"},0)&gt;MATCH(M70,{"Red","Amber","Green"},0),"▲ Improving",IF(MATCH(C70,{"Red","Amber","Green"},0)&lt;MATCH(M70,{"Red","Amber","Green"},0),"▼ Deteriorating","► Stable")))</f>
        <v/>
      </c>
      <c r="O70" s="60"/>
    </row>
    <row r="71" customFormat="false" ht="15" hidden="false" customHeight="false" outlineLevel="0" collapsed="false">
      <c r="A71" s="56" t="s">
        <v>306</v>
      </c>
      <c r="B71" s="63"/>
      <c r="C71" s="61"/>
      <c r="D71" s="60"/>
      <c r="E71" s="60"/>
      <c r="F71" s="60"/>
      <c r="G71" s="60"/>
      <c r="H71" s="60"/>
      <c r="I71" s="60"/>
      <c r="J71" s="60"/>
      <c r="K71" s="60"/>
      <c r="L71" s="61"/>
      <c r="M71" s="62" t="str">
        <f aca="false">IF(B71="","",IF(_xlfn.MAXIFS($B$5:$B$108,$B$5:$B$108,"&lt;"&amp;B71)=0,"",IF(INDEX($C$5:$C$108,MATCH(_xlfn.MAXIFS($B$5:$B$108,$B$5:$B$108,"&lt;"&amp;B71),$B$5:$B$108,0))="","",INDEX($C$5:$C$108,MATCH(_xlfn.MAXIFS($B$5:$B$108,$B$5:$B$108,"&lt;"&amp;B71),$B$5:$B$108,0)))))</f>
        <v/>
      </c>
      <c r="N71" s="62" t="str">
        <f aca="false">IF(OR(C71="",M71=""),"",IF(MATCH(C71,{"Red","Amber","Green"},0)&gt;MATCH(M71,{"Red","Amber","Green"},0),"▲ Improving",IF(MATCH(C71,{"Red","Amber","Green"},0)&lt;MATCH(M71,{"Red","Amber","Green"},0),"▼ Deteriorating","► Stable")))</f>
        <v/>
      </c>
      <c r="O71" s="60"/>
    </row>
    <row r="72" customFormat="false" ht="15" hidden="false" customHeight="false" outlineLevel="0" collapsed="false">
      <c r="A72" s="56" t="s">
        <v>307</v>
      </c>
      <c r="B72" s="63"/>
      <c r="C72" s="61"/>
      <c r="D72" s="60"/>
      <c r="E72" s="60"/>
      <c r="F72" s="60"/>
      <c r="G72" s="60"/>
      <c r="H72" s="60"/>
      <c r="I72" s="60"/>
      <c r="J72" s="60"/>
      <c r="K72" s="60"/>
      <c r="L72" s="61"/>
      <c r="M72" s="62" t="str">
        <f aca="false">IF(B72="","",IF(_xlfn.MAXIFS($B$5:$B$108,$B$5:$B$108,"&lt;"&amp;B72)=0,"",IF(INDEX($C$5:$C$108,MATCH(_xlfn.MAXIFS($B$5:$B$108,$B$5:$B$108,"&lt;"&amp;B72),$B$5:$B$108,0))="","",INDEX($C$5:$C$108,MATCH(_xlfn.MAXIFS($B$5:$B$108,$B$5:$B$108,"&lt;"&amp;B72),$B$5:$B$108,0)))))</f>
        <v/>
      </c>
      <c r="N72" s="62" t="str">
        <f aca="false">IF(OR(C72="",M72=""),"",IF(MATCH(C72,{"Red","Amber","Green"},0)&gt;MATCH(M72,{"Red","Amber","Green"},0),"▲ Improving",IF(MATCH(C72,{"Red","Amber","Green"},0)&lt;MATCH(M72,{"Red","Amber","Green"},0),"▼ Deteriorating","► Stable")))</f>
        <v/>
      </c>
      <c r="O72" s="60"/>
    </row>
    <row r="73" customFormat="false" ht="15" hidden="false" customHeight="false" outlineLevel="0" collapsed="false">
      <c r="A73" s="56" t="s">
        <v>308</v>
      </c>
      <c r="B73" s="63"/>
      <c r="C73" s="61"/>
      <c r="D73" s="60"/>
      <c r="E73" s="60"/>
      <c r="F73" s="60"/>
      <c r="G73" s="60"/>
      <c r="H73" s="60"/>
      <c r="I73" s="60"/>
      <c r="J73" s="60"/>
      <c r="K73" s="60"/>
      <c r="L73" s="61"/>
      <c r="M73" s="62" t="str">
        <f aca="false">IF(B73="","",IF(_xlfn.MAXIFS($B$5:$B$108,$B$5:$B$108,"&lt;"&amp;B73)=0,"",IF(INDEX($C$5:$C$108,MATCH(_xlfn.MAXIFS($B$5:$B$108,$B$5:$B$108,"&lt;"&amp;B73),$B$5:$B$108,0))="","",INDEX($C$5:$C$108,MATCH(_xlfn.MAXIFS($B$5:$B$108,$B$5:$B$108,"&lt;"&amp;B73),$B$5:$B$108,0)))))</f>
        <v/>
      </c>
      <c r="N73" s="62" t="str">
        <f aca="false">IF(OR(C73="",M73=""),"",IF(MATCH(C73,{"Red","Amber","Green"},0)&gt;MATCH(M73,{"Red","Amber","Green"},0),"▲ Improving",IF(MATCH(C73,{"Red","Amber","Green"},0)&lt;MATCH(M73,{"Red","Amber","Green"},0),"▼ Deteriorating","► Stable")))</f>
        <v/>
      </c>
      <c r="O73" s="60"/>
    </row>
    <row r="74" customFormat="false" ht="15" hidden="false" customHeight="false" outlineLevel="0" collapsed="false">
      <c r="A74" s="56" t="s">
        <v>309</v>
      </c>
      <c r="B74" s="63"/>
      <c r="C74" s="61"/>
      <c r="D74" s="60"/>
      <c r="E74" s="60"/>
      <c r="F74" s="60"/>
      <c r="G74" s="60"/>
      <c r="H74" s="60"/>
      <c r="I74" s="60"/>
      <c r="J74" s="60"/>
      <c r="K74" s="60"/>
      <c r="L74" s="61"/>
      <c r="M74" s="62" t="str">
        <f aca="false">IF(B74="","",IF(_xlfn.MAXIFS($B$5:$B$108,$B$5:$B$108,"&lt;"&amp;B74)=0,"",IF(INDEX($C$5:$C$108,MATCH(_xlfn.MAXIFS($B$5:$B$108,$B$5:$B$108,"&lt;"&amp;B74),$B$5:$B$108,0))="","",INDEX($C$5:$C$108,MATCH(_xlfn.MAXIFS($B$5:$B$108,$B$5:$B$108,"&lt;"&amp;B74),$B$5:$B$108,0)))))</f>
        <v/>
      </c>
      <c r="N74" s="62" t="str">
        <f aca="false">IF(OR(C74="",M74=""),"",IF(MATCH(C74,{"Red","Amber","Green"},0)&gt;MATCH(M74,{"Red","Amber","Green"},0),"▲ Improving",IF(MATCH(C74,{"Red","Amber","Green"},0)&lt;MATCH(M74,{"Red","Amber","Green"},0),"▼ Deteriorating","► Stable")))</f>
        <v/>
      </c>
      <c r="O74" s="60"/>
    </row>
    <row r="75" customFormat="false" ht="15" hidden="false" customHeight="false" outlineLevel="0" collapsed="false">
      <c r="A75" s="56" t="s">
        <v>310</v>
      </c>
      <c r="B75" s="63"/>
      <c r="C75" s="61"/>
      <c r="D75" s="60"/>
      <c r="E75" s="60"/>
      <c r="F75" s="60"/>
      <c r="G75" s="60"/>
      <c r="H75" s="60"/>
      <c r="I75" s="60"/>
      <c r="J75" s="60"/>
      <c r="K75" s="60"/>
      <c r="L75" s="61"/>
      <c r="M75" s="62" t="str">
        <f aca="false">IF(B75="","",IF(_xlfn.MAXIFS($B$5:$B$108,$B$5:$B$108,"&lt;"&amp;B75)=0,"",IF(INDEX($C$5:$C$108,MATCH(_xlfn.MAXIFS($B$5:$B$108,$B$5:$B$108,"&lt;"&amp;B75),$B$5:$B$108,0))="","",INDEX($C$5:$C$108,MATCH(_xlfn.MAXIFS($B$5:$B$108,$B$5:$B$108,"&lt;"&amp;B75),$B$5:$B$108,0)))))</f>
        <v/>
      </c>
      <c r="N75" s="62" t="str">
        <f aca="false">IF(OR(C75="",M75=""),"",IF(MATCH(C75,{"Red","Amber","Green"},0)&gt;MATCH(M75,{"Red","Amber","Green"},0),"▲ Improving",IF(MATCH(C75,{"Red","Amber","Green"},0)&lt;MATCH(M75,{"Red","Amber","Green"},0),"▼ Deteriorating","► Stable")))</f>
        <v/>
      </c>
      <c r="O75" s="60"/>
    </row>
    <row r="76" customFormat="false" ht="15" hidden="false" customHeight="false" outlineLevel="0" collapsed="false">
      <c r="A76" s="56" t="s">
        <v>311</v>
      </c>
      <c r="B76" s="63"/>
      <c r="C76" s="61"/>
      <c r="D76" s="60"/>
      <c r="E76" s="60"/>
      <c r="F76" s="60"/>
      <c r="G76" s="60"/>
      <c r="H76" s="60"/>
      <c r="I76" s="60"/>
      <c r="J76" s="60"/>
      <c r="K76" s="60"/>
      <c r="L76" s="61"/>
      <c r="M76" s="62" t="str">
        <f aca="false">IF(B76="","",IF(_xlfn.MAXIFS($B$5:$B$108,$B$5:$B$108,"&lt;"&amp;B76)=0,"",IF(INDEX($C$5:$C$108,MATCH(_xlfn.MAXIFS($B$5:$B$108,$B$5:$B$108,"&lt;"&amp;B76),$B$5:$B$108,0))="","",INDEX($C$5:$C$108,MATCH(_xlfn.MAXIFS($B$5:$B$108,$B$5:$B$108,"&lt;"&amp;B76),$B$5:$B$108,0)))))</f>
        <v/>
      </c>
      <c r="N76" s="62" t="str">
        <f aca="false">IF(OR(C76="",M76=""),"",IF(MATCH(C76,{"Red","Amber","Green"},0)&gt;MATCH(M76,{"Red","Amber","Green"},0),"▲ Improving",IF(MATCH(C76,{"Red","Amber","Green"},0)&lt;MATCH(M76,{"Red","Amber","Green"},0),"▼ Deteriorating","► Stable")))</f>
        <v/>
      </c>
      <c r="O76" s="60"/>
    </row>
    <row r="77" customFormat="false" ht="15" hidden="false" customHeight="false" outlineLevel="0" collapsed="false">
      <c r="A77" s="56" t="s">
        <v>312</v>
      </c>
      <c r="B77" s="63"/>
      <c r="C77" s="61"/>
      <c r="D77" s="60"/>
      <c r="E77" s="60"/>
      <c r="F77" s="60"/>
      <c r="G77" s="60"/>
      <c r="H77" s="60"/>
      <c r="I77" s="60"/>
      <c r="J77" s="60"/>
      <c r="K77" s="60"/>
      <c r="L77" s="61"/>
      <c r="M77" s="62" t="str">
        <f aca="false">IF(B77="","",IF(_xlfn.MAXIFS($B$5:$B$108,$B$5:$B$108,"&lt;"&amp;B77)=0,"",IF(INDEX($C$5:$C$108,MATCH(_xlfn.MAXIFS($B$5:$B$108,$B$5:$B$108,"&lt;"&amp;B77),$B$5:$B$108,0))="","",INDEX($C$5:$C$108,MATCH(_xlfn.MAXIFS($B$5:$B$108,$B$5:$B$108,"&lt;"&amp;B77),$B$5:$B$108,0)))))</f>
        <v/>
      </c>
      <c r="N77" s="62" t="str">
        <f aca="false">IF(OR(C77="",M77=""),"",IF(MATCH(C77,{"Red","Amber","Green"},0)&gt;MATCH(M77,{"Red","Amber","Green"},0),"▲ Improving",IF(MATCH(C77,{"Red","Amber","Green"},0)&lt;MATCH(M77,{"Red","Amber","Green"},0),"▼ Deteriorating","► Stable")))</f>
        <v/>
      </c>
      <c r="O77" s="60"/>
    </row>
    <row r="78" customFormat="false" ht="15" hidden="false" customHeight="false" outlineLevel="0" collapsed="false">
      <c r="A78" s="56" t="s">
        <v>313</v>
      </c>
      <c r="B78" s="63"/>
      <c r="C78" s="61"/>
      <c r="D78" s="60"/>
      <c r="E78" s="60"/>
      <c r="F78" s="60"/>
      <c r="G78" s="60"/>
      <c r="H78" s="60"/>
      <c r="I78" s="60"/>
      <c r="J78" s="60"/>
      <c r="K78" s="60"/>
      <c r="L78" s="61"/>
      <c r="M78" s="62" t="str">
        <f aca="false">IF(B78="","",IF(_xlfn.MAXIFS($B$5:$B$108,$B$5:$B$108,"&lt;"&amp;B78)=0,"",IF(INDEX($C$5:$C$108,MATCH(_xlfn.MAXIFS($B$5:$B$108,$B$5:$B$108,"&lt;"&amp;B78),$B$5:$B$108,0))="","",INDEX($C$5:$C$108,MATCH(_xlfn.MAXIFS($B$5:$B$108,$B$5:$B$108,"&lt;"&amp;B78),$B$5:$B$108,0)))))</f>
        <v/>
      </c>
      <c r="N78" s="62" t="str">
        <f aca="false">IF(OR(C78="",M78=""),"",IF(MATCH(C78,{"Red","Amber","Green"},0)&gt;MATCH(M78,{"Red","Amber","Green"},0),"▲ Improving",IF(MATCH(C78,{"Red","Amber","Green"},0)&lt;MATCH(M78,{"Red","Amber","Green"},0),"▼ Deteriorating","► Stable")))</f>
        <v/>
      </c>
      <c r="O78" s="60"/>
    </row>
    <row r="79" customFormat="false" ht="15" hidden="false" customHeight="false" outlineLevel="0" collapsed="false">
      <c r="A79" s="56" t="s">
        <v>314</v>
      </c>
      <c r="B79" s="63"/>
      <c r="C79" s="61"/>
      <c r="D79" s="60"/>
      <c r="E79" s="60"/>
      <c r="F79" s="60"/>
      <c r="G79" s="60"/>
      <c r="H79" s="60"/>
      <c r="I79" s="60"/>
      <c r="J79" s="60"/>
      <c r="K79" s="60"/>
      <c r="L79" s="61"/>
      <c r="M79" s="62" t="str">
        <f aca="false">IF(B79="","",IF(_xlfn.MAXIFS($B$5:$B$108,$B$5:$B$108,"&lt;"&amp;B79)=0,"",IF(INDEX($C$5:$C$108,MATCH(_xlfn.MAXIFS($B$5:$B$108,$B$5:$B$108,"&lt;"&amp;B79),$B$5:$B$108,0))="","",INDEX($C$5:$C$108,MATCH(_xlfn.MAXIFS($B$5:$B$108,$B$5:$B$108,"&lt;"&amp;B79),$B$5:$B$108,0)))))</f>
        <v/>
      </c>
      <c r="N79" s="62" t="str">
        <f aca="false">IF(OR(C79="",M79=""),"",IF(MATCH(C79,{"Red","Amber","Green"},0)&gt;MATCH(M79,{"Red","Amber","Green"},0),"▲ Improving",IF(MATCH(C79,{"Red","Amber","Green"},0)&lt;MATCH(M79,{"Red","Amber","Green"},0),"▼ Deteriorating","► Stable")))</f>
        <v/>
      </c>
      <c r="O79" s="60"/>
    </row>
    <row r="80" customFormat="false" ht="15" hidden="false" customHeight="false" outlineLevel="0" collapsed="false">
      <c r="A80" s="56" t="s">
        <v>315</v>
      </c>
      <c r="B80" s="63"/>
      <c r="C80" s="61"/>
      <c r="D80" s="60"/>
      <c r="E80" s="60"/>
      <c r="F80" s="60"/>
      <c r="G80" s="60"/>
      <c r="H80" s="60"/>
      <c r="I80" s="60"/>
      <c r="J80" s="60"/>
      <c r="K80" s="60"/>
      <c r="L80" s="61"/>
      <c r="M80" s="62" t="str">
        <f aca="false">IF(B80="","",IF(_xlfn.MAXIFS($B$5:$B$108,$B$5:$B$108,"&lt;"&amp;B80)=0,"",IF(INDEX($C$5:$C$108,MATCH(_xlfn.MAXIFS($B$5:$B$108,$B$5:$B$108,"&lt;"&amp;B80),$B$5:$B$108,0))="","",INDEX($C$5:$C$108,MATCH(_xlfn.MAXIFS($B$5:$B$108,$B$5:$B$108,"&lt;"&amp;B80),$B$5:$B$108,0)))))</f>
        <v/>
      </c>
      <c r="N80" s="62" t="str">
        <f aca="false">IF(OR(C80="",M80=""),"",IF(MATCH(C80,{"Red","Amber","Green"},0)&gt;MATCH(M80,{"Red","Amber","Green"},0),"▲ Improving",IF(MATCH(C80,{"Red","Amber","Green"},0)&lt;MATCH(M80,{"Red","Amber","Green"},0),"▼ Deteriorating","► Stable")))</f>
        <v/>
      </c>
      <c r="O80" s="60"/>
    </row>
    <row r="81" customFormat="false" ht="15" hidden="false" customHeight="false" outlineLevel="0" collapsed="false">
      <c r="A81" s="56" t="s">
        <v>316</v>
      </c>
      <c r="B81" s="63"/>
      <c r="C81" s="61"/>
      <c r="D81" s="60"/>
      <c r="E81" s="60"/>
      <c r="F81" s="60"/>
      <c r="G81" s="60"/>
      <c r="H81" s="60"/>
      <c r="I81" s="60"/>
      <c r="J81" s="60"/>
      <c r="K81" s="60"/>
      <c r="L81" s="61"/>
      <c r="M81" s="62" t="str">
        <f aca="false">IF(B81="","",IF(_xlfn.MAXIFS($B$5:$B$108,$B$5:$B$108,"&lt;"&amp;B81)=0,"",IF(INDEX($C$5:$C$108,MATCH(_xlfn.MAXIFS($B$5:$B$108,$B$5:$B$108,"&lt;"&amp;B81),$B$5:$B$108,0))="","",INDEX($C$5:$C$108,MATCH(_xlfn.MAXIFS($B$5:$B$108,$B$5:$B$108,"&lt;"&amp;B81),$B$5:$B$108,0)))))</f>
        <v/>
      </c>
      <c r="N81" s="62" t="str">
        <f aca="false">IF(OR(C81="",M81=""),"",IF(MATCH(C81,{"Red","Amber","Green"},0)&gt;MATCH(M81,{"Red","Amber","Green"},0),"▲ Improving",IF(MATCH(C81,{"Red","Amber","Green"},0)&lt;MATCH(M81,{"Red","Amber","Green"},0),"▼ Deteriorating","► Stable")))</f>
        <v/>
      </c>
      <c r="O81" s="60"/>
    </row>
    <row r="82" customFormat="false" ht="15" hidden="false" customHeight="false" outlineLevel="0" collapsed="false">
      <c r="A82" s="56" t="s">
        <v>317</v>
      </c>
      <c r="B82" s="63"/>
      <c r="C82" s="61"/>
      <c r="D82" s="60"/>
      <c r="E82" s="60"/>
      <c r="F82" s="60"/>
      <c r="G82" s="60"/>
      <c r="H82" s="60"/>
      <c r="I82" s="60"/>
      <c r="J82" s="60"/>
      <c r="K82" s="60"/>
      <c r="L82" s="61"/>
      <c r="M82" s="62" t="str">
        <f aca="false">IF(B82="","",IF(_xlfn.MAXIFS($B$5:$B$108,$B$5:$B$108,"&lt;"&amp;B82)=0,"",IF(INDEX($C$5:$C$108,MATCH(_xlfn.MAXIFS($B$5:$B$108,$B$5:$B$108,"&lt;"&amp;B82),$B$5:$B$108,0))="","",INDEX($C$5:$C$108,MATCH(_xlfn.MAXIFS($B$5:$B$108,$B$5:$B$108,"&lt;"&amp;B82),$B$5:$B$108,0)))))</f>
        <v/>
      </c>
      <c r="N82" s="62" t="str">
        <f aca="false">IF(OR(C82="",M82=""),"",IF(MATCH(C82,{"Red","Amber","Green"},0)&gt;MATCH(M82,{"Red","Amber","Green"},0),"▲ Improving",IF(MATCH(C82,{"Red","Amber","Green"},0)&lt;MATCH(M82,{"Red","Amber","Green"},0),"▼ Deteriorating","► Stable")))</f>
        <v/>
      </c>
      <c r="O82" s="60"/>
    </row>
    <row r="83" customFormat="false" ht="15" hidden="false" customHeight="false" outlineLevel="0" collapsed="false">
      <c r="A83" s="56" t="s">
        <v>318</v>
      </c>
      <c r="B83" s="63"/>
      <c r="C83" s="61"/>
      <c r="D83" s="60"/>
      <c r="E83" s="60"/>
      <c r="F83" s="60"/>
      <c r="G83" s="60"/>
      <c r="H83" s="60"/>
      <c r="I83" s="60"/>
      <c r="J83" s="60"/>
      <c r="K83" s="60"/>
      <c r="L83" s="61"/>
      <c r="M83" s="62" t="str">
        <f aca="false">IF(B83="","",IF(_xlfn.MAXIFS($B$5:$B$108,$B$5:$B$108,"&lt;"&amp;B83)=0,"",IF(INDEX($C$5:$C$108,MATCH(_xlfn.MAXIFS($B$5:$B$108,$B$5:$B$108,"&lt;"&amp;B83),$B$5:$B$108,0))="","",INDEX($C$5:$C$108,MATCH(_xlfn.MAXIFS($B$5:$B$108,$B$5:$B$108,"&lt;"&amp;B83),$B$5:$B$108,0)))))</f>
        <v/>
      </c>
      <c r="N83" s="62" t="str">
        <f aca="false">IF(OR(C83="",M83=""),"",IF(MATCH(C83,{"Red","Amber","Green"},0)&gt;MATCH(M83,{"Red","Amber","Green"},0),"▲ Improving",IF(MATCH(C83,{"Red","Amber","Green"},0)&lt;MATCH(M83,{"Red","Amber","Green"},0),"▼ Deteriorating","► Stable")))</f>
        <v/>
      </c>
      <c r="O83" s="60"/>
    </row>
    <row r="84" customFormat="false" ht="15" hidden="false" customHeight="false" outlineLevel="0" collapsed="false">
      <c r="A84" s="56" t="s">
        <v>319</v>
      </c>
      <c r="B84" s="63"/>
      <c r="C84" s="61"/>
      <c r="D84" s="60"/>
      <c r="E84" s="60"/>
      <c r="F84" s="60"/>
      <c r="G84" s="60"/>
      <c r="H84" s="60"/>
      <c r="I84" s="60"/>
      <c r="J84" s="60"/>
      <c r="K84" s="60"/>
      <c r="L84" s="61"/>
      <c r="M84" s="62" t="str">
        <f aca="false">IF(B84="","",IF(_xlfn.MAXIFS($B$5:$B$108,$B$5:$B$108,"&lt;"&amp;B84)=0,"",IF(INDEX($C$5:$C$108,MATCH(_xlfn.MAXIFS($B$5:$B$108,$B$5:$B$108,"&lt;"&amp;B84),$B$5:$B$108,0))="","",INDEX($C$5:$C$108,MATCH(_xlfn.MAXIFS($B$5:$B$108,$B$5:$B$108,"&lt;"&amp;B84),$B$5:$B$108,0)))))</f>
        <v/>
      </c>
      <c r="N84" s="62" t="str">
        <f aca="false">IF(OR(C84="",M84=""),"",IF(MATCH(C84,{"Red","Amber","Green"},0)&gt;MATCH(M84,{"Red","Amber","Green"},0),"▲ Improving",IF(MATCH(C84,{"Red","Amber","Green"},0)&lt;MATCH(M84,{"Red","Amber","Green"},0),"▼ Deteriorating","► Stable")))</f>
        <v/>
      </c>
      <c r="O84" s="60"/>
    </row>
    <row r="85" customFormat="false" ht="15" hidden="false" customHeight="false" outlineLevel="0" collapsed="false">
      <c r="A85" s="56" t="s">
        <v>320</v>
      </c>
      <c r="B85" s="63"/>
      <c r="C85" s="61"/>
      <c r="D85" s="60"/>
      <c r="E85" s="60"/>
      <c r="F85" s="60"/>
      <c r="G85" s="60"/>
      <c r="H85" s="60"/>
      <c r="I85" s="60"/>
      <c r="J85" s="60"/>
      <c r="K85" s="60"/>
      <c r="L85" s="61"/>
      <c r="M85" s="62" t="str">
        <f aca="false">IF(B85="","",IF(_xlfn.MAXIFS($B$5:$B$108,$B$5:$B$108,"&lt;"&amp;B85)=0,"",IF(INDEX($C$5:$C$108,MATCH(_xlfn.MAXIFS($B$5:$B$108,$B$5:$B$108,"&lt;"&amp;B85),$B$5:$B$108,0))="","",INDEX($C$5:$C$108,MATCH(_xlfn.MAXIFS($B$5:$B$108,$B$5:$B$108,"&lt;"&amp;B85),$B$5:$B$108,0)))))</f>
        <v/>
      </c>
      <c r="N85" s="62" t="str">
        <f aca="false">IF(OR(C85="",M85=""),"",IF(MATCH(C85,{"Red","Amber","Green"},0)&gt;MATCH(M85,{"Red","Amber","Green"},0),"▲ Improving",IF(MATCH(C85,{"Red","Amber","Green"},0)&lt;MATCH(M85,{"Red","Amber","Green"},0),"▼ Deteriorating","► Stable")))</f>
        <v/>
      </c>
      <c r="O85" s="60"/>
    </row>
    <row r="86" customFormat="false" ht="15" hidden="false" customHeight="false" outlineLevel="0" collapsed="false">
      <c r="A86" s="56" t="s">
        <v>321</v>
      </c>
      <c r="B86" s="63"/>
      <c r="C86" s="61"/>
      <c r="D86" s="60"/>
      <c r="E86" s="60"/>
      <c r="F86" s="60"/>
      <c r="G86" s="60"/>
      <c r="H86" s="60"/>
      <c r="I86" s="60"/>
      <c r="J86" s="60"/>
      <c r="K86" s="60"/>
      <c r="L86" s="61"/>
      <c r="M86" s="62" t="str">
        <f aca="false">IF(B86="","",IF(_xlfn.MAXIFS($B$5:$B$108,$B$5:$B$108,"&lt;"&amp;B86)=0,"",IF(INDEX($C$5:$C$108,MATCH(_xlfn.MAXIFS($B$5:$B$108,$B$5:$B$108,"&lt;"&amp;B86),$B$5:$B$108,0))="","",INDEX($C$5:$C$108,MATCH(_xlfn.MAXIFS($B$5:$B$108,$B$5:$B$108,"&lt;"&amp;B86),$B$5:$B$108,0)))))</f>
        <v/>
      </c>
      <c r="N86" s="62" t="str">
        <f aca="false">IF(OR(C86="",M86=""),"",IF(MATCH(C86,{"Red","Amber","Green"},0)&gt;MATCH(M86,{"Red","Amber","Green"},0),"▲ Improving",IF(MATCH(C86,{"Red","Amber","Green"},0)&lt;MATCH(M86,{"Red","Amber","Green"},0),"▼ Deteriorating","► Stable")))</f>
        <v/>
      </c>
      <c r="O86" s="60"/>
    </row>
    <row r="87" customFormat="false" ht="15" hidden="false" customHeight="false" outlineLevel="0" collapsed="false">
      <c r="A87" s="56" t="s">
        <v>322</v>
      </c>
      <c r="B87" s="63"/>
      <c r="C87" s="61"/>
      <c r="D87" s="60"/>
      <c r="E87" s="60"/>
      <c r="F87" s="60"/>
      <c r="G87" s="60"/>
      <c r="H87" s="60"/>
      <c r="I87" s="60"/>
      <c r="J87" s="60"/>
      <c r="K87" s="60"/>
      <c r="L87" s="61"/>
      <c r="M87" s="62" t="str">
        <f aca="false">IF(B87="","",IF(_xlfn.MAXIFS($B$5:$B$108,$B$5:$B$108,"&lt;"&amp;B87)=0,"",IF(INDEX($C$5:$C$108,MATCH(_xlfn.MAXIFS($B$5:$B$108,$B$5:$B$108,"&lt;"&amp;B87),$B$5:$B$108,0))="","",INDEX($C$5:$C$108,MATCH(_xlfn.MAXIFS($B$5:$B$108,$B$5:$B$108,"&lt;"&amp;B87),$B$5:$B$108,0)))))</f>
        <v/>
      </c>
      <c r="N87" s="62" t="str">
        <f aca="false">IF(OR(C87="",M87=""),"",IF(MATCH(C87,{"Red","Amber","Green"},0)&gt;MATCH(M87,{"Red","Amber","Green"},0),"▲ Improving",IF(MATCH(C87,{"Red","Amber","Green"},0)&lt;MATCH(M87,{"Red","Amber","Green"},0),"▼ Deteriorating","► Stable")))</f>
        <v/>
      </c>
      <c r="O87" s="60"/>
    </row>
    <row r="88" customFormat="false" ht="15" hidden="false" customHeight="false" outlineLevel="0" collapsed="false">
      <c r="A88" s="56" t="s">
        <v>323</v>
      </c>
      <c r="B88" s="63"/>
      <c r="C88" s="61"/>
      <c r="D88" s="60"/>
      <c r="E88" s="60"/>
      <c r="F88" s="60"/>
      <c r="G88" s="60"/>
      <c r="H88" s="60"/>
      <c r="I88" s="60"/>
      <c r="J88" s="60"/>
      <c r="K88" s="60"/>
      <c r="L88" s="61"/>
      <c r="M88" s="62" t="str">
        <f aca="false">IF(B88="","",IF(_xlfn.MAXIFS($B$5:$B$108,$B$5:$B$108,"&lt;"&amp;B88)=0,"",IF(INDEX($C$5:$C$108,MATCH(_xlfn.MAXIFS($B$5:$B$108,$B$5:$B$108,"&lt;"&amp;B88),$B$5:$B$108,0))="","",INDEX($C$5:$C$108,MATCH(_xlfn.MAXIFS($B$5:$B$108,$B$5:$B$108,"&lt;"&amp;B88),$B$5:$B$108,0)))))</f>
        <v/>
      </c>
      <c r="N88" s="62" t="str">
        <f aca="false">IF(OR(C88="",M88=""),"",IF(MATCH(C88,{"Red","Amber","Green"},0)&gt;MATCH(M88,{"Red","Amber","Green"},0),"▲ Improving",IF(MATCH(C88,{"Red","Amber","Green"},0)&lt;MATCH(M88,{"Red","Amber","Green"},0),"▼ Deteriorating","► Stable")))</f>
        <v/>
      </c>
      <c r="O88" s="60"/>
    </row>
    <row r="89" customFormat="false" ht="15" hidden="false" customHeight="false" outlineLevel="0" collapsed="false">
      <c r="A89" s="56" t="s">
        <v>324</v>
      </c>
      <c r="B89" s="63"/>
      <c r="C89" s="61"/>
      <c r="D89" s="60"/>
      <c r="E89" s="60"/>
      <c r="F89" s="60"/>
      <c r="G89" s="60"/>
      <c r="H89" s="60"/>
      <c r="I89" s="60"/>
      <c r="J89" s="60"/>
      <c r="K89" s="60"/>
      <c r="L89" s="61"/>
      <c r="M89" s="62" t="str">
        <f aca="false">IF(B89="","",IF(_xlfn.MAXIFS($B$5:$B$108,$B$5:$B$108,"&lt;"&amp;B89)=0,"",IF(INDEX($C$5:$C$108,MATCH(_xlfn.MAXIFS($B$5:$B$108,$B$5:$B$108,"&lt;"&amp;B89),$B$5:$B$108,0))="","",INDEX($C$5:$C$108,MATCH(_xlfn.MAXIFS($B$5:$B$108,$B$5:$B$108,"&lt;"&amp;B89),$B$5:$B$108,0)))))</f>
        <v/>
      </c>
      <c r="N89" s="62" t="str">
        <f aca="false">IF(OR(C89="",M89=""),"",IF(MATCH(C89,{"Red","Amber","Green"},0)&gt;MATCH(M89,{"Red","Amber","Green"},0),"▲ Improving",IF(MATCH(C89,{"Red","Amber","Green"},0)&lt;MATCH(M89,{"Red","Amber","Green"},0),"▼ Deteriorating","► Stable")))</f>
        <v/>
      </c>
      <c r="O89" s="60"/>
    </row>
    <row r="90" customFormat="false" ht="15" hidden="false" customHeight="false" outlineLevel="0" collapsed="false">
      <c r="A90" s="56" t="s">
        <v>325</v>
      </c>
      <c r="B90" s="63"/>
      <c r="C90" s="61"/>
      <c r="D90" s="60"/>
      <c r="E90" s="60"/>
      <c r="F90" s="60"/>
      <c r="G90" s="60"/>
      <c r="H90" s="60"/>
      <c r="I90" s="60"/>
      <c r="J90" s="60"/>
      <c r="K90" s="60"/>
      <c r="L90" s="61"/>
      <c r="M90" s="62" t="str">
        <f aca="false">IF(B90="","",IF(_xlfn.MAXIFS($B$5:$B$108,$B$5:$B$108,"&lt;"&amp;B90)=0,"",IF(INDEX($C$5:$C$108,MATCH(_xlfn.MAXIFS($B$5:$B$108,$B$5:$B$108,"&lt;"&amp;B90),$B$5:$B$108,0))="","",INDEX($C$5:$C$108,MATCH(_xlfn.MAXIFS($B$5:$B$108,$B$5:$B$108,"&lt;"&amp;B90),$B$5:$B$108,0)))))</f>
        <v/>
      </c>
      <c r="N90" s="62" t="str">
        <f aca="false">IF(OR(C90="",M90=""),"",IF(MATCH(C90,{"Red","Amber","Green"},0)&gt;MATCH(M90,{"Red","Amber","Green"},0),"▲ Improving",IF(MATCH(C90,{"Red","Amber","Green"},0)&lt;MATCH(M90,{"Red","Amber","Green"},0),"▼ Deteriorating","► Stable")))</f>
        <v/>
      </c>
      <c r="O90" s="60"/>
    </row>
    <row r="91" customFormat="false" ht="15" hidden="false" customHeight="false" outlineLevel="0" collapsed="false">
      <c r="A91" s="56" t="s">
        <v>326</v>
      </c>
      <c r="B91" s="63"/>
      <c r="C91" s="61"/>
      <c r="D91" s="60"/>
      <c r="E91" s="60"/>
      <c r="F91" s="60"/>
      <c r="G91" s="60"/>
      <c r="H91" s="60"/>
      <c r="I91" s="60"/>
      <c r="J91" s="60"/>
      <c r="K91" s="60"/>
      <c r="L91" s="61"/>
      <c r="M91" s="62" t="str">
        <f aca="false">IF(B91="","",IF(_xlfn.MAXIFS($B$5:$B$108,$B$5:$B$108,"&lt;"&amp;B91)=0,"",IF(INDEX($C$5:$C$108,MATCH(_xlfn.MAXIFS($B$5:$B$108,$B$5:$B$108,"&lt;"&amp;B91),$B$5:$B$108,0))="","",INDEX($C$5:$C$108,MATCH(_xlfn.MAXIFS($B$5:$B$108,$B$5:$B$108,"&lt;"&amp;B91),$B$5:$B$108,0)))))</f>
        <v/>
      </c>
      <c r="N91" s="62" t="str">
        <f aca="false">IF(OR(C91="",M91=""),"",IF(MATCH(C91,{"Red","Amber","Green"},0)&gt;MATCH(M91,{"Red","Amber","Green"},0),"▲ Improving",IF(MATCH(C91,{"Red","Amber","Green"},0)&lt;MATCH(M91,{"Red","Amber","Green"},0),"▼ Deteriorating","► Stable")))</f>
        <v/>
      </c>
      <c r="O91" s="60"/>
    </row>
    <row r="92" customFormat="false" ht="15" hidden="false" customHeight="false" outlineLevel="0" collapsed="false">
      <c r="A92" s="56" t="s">
        <v>327</v>
      </c>
      <c r="B92" s="63"/>
      <c r="C92" s="61"/>
      <c r="D92" s="60"/>
      <c r="E92" s="60"/>
      <c r="F92" s="60"/>
      <c r="G92" s="60"/>
      <c r="H92" s="60"/>
      <c r="I92" s="60"/>
      <c r="J92" s="60"/>
      <c r="K92" s="60"/>
      <c r="L92" s="61"/>
      <c r="M92" s="62" t="str">
        <f aca="false">IF(B92="","",IF(_xlfn.MAXIFS($B$5:$B$108,$B$5:$B$108,"&lt;"&amp;B92)=0,"",IF(INDEX($C$5:$C$108,MATCH(_xlfn.MAXIFS($B$5:$B$108,$B$5:$B$108,"&lt;"&amp;B92),$B$5:$B$108,0))="","",INDEX($C$5:$C$108,MATCH(_xlfn.MAXIFS($B$5:$B$108,$B$5:$B$108,"&lt;"&amp;B92),$B$5:$B$108,0)))))</f>
        <v/>
      </c>
      <c r="N92" s="62" t="str">
        <f aca="false">IF(OR(C92="",M92=""),"",IF(MATCH(C92,{"Red","Amber","Green"},0)&gt;MATCH(M92,{"Red","Amber","Green"},0),"▲ Improving",IF(MATCH(C92,{"Red","Amber","Green"},0)&lt;MATCH(M92,{"Red","Amber","Green"},0),"▼ Deteriorating","► Stable")))</f>
        <v/>
      </c>
      <c r="O92" s="60"/>
    </row>
    <row r="93" customFormat="false" ht="15" hidden="false" customHeight="false" outlineLevel="0" collapsed="false">
      <c r="A93" s="56" t="s">
        <v>328</v>
      </c>
      <c r="B93" s="63"/>
      <c r="C93" s="61"/>
      <c r="D93" s="60"/>
      <c r="E93" s="60"/>
      <c r="F93" s="60"/>
      <c r="G93" s="60"/>
      <c r="H93" s="60"/>
      <c r="I93" s="60"/>
      <c r="J93" s="60"/>
      <c r="K93" s="60"/>
      <c r="L93" s="61"/>
      <c r="M93" s="62" t="str">
        <f aca="false">IF(B93="","",IF(_xlfn.MAXIFS($B$5:$B$108,$B$5:$B$108,"&lt;"&amp;B93)=0,"",IF(INDEX($C$5:$C$108,MATCH(_xlfn.MAXIFS($B$5:$B$108,$B$5:$B$108,"&lt;"&amp;B93),$B$5:$B$108,0))="","",INDEX($C$5:$C$108,MATCH(_xlfn.MAXIFS($B$5:$B$108,$B$5:$B$108,"&lt;"&amp;B93),$B$5:$B$108,0)))))</f>
        <v/>
      </c>
      <c r="N93" s="62" t="str">
        <f aca="false">IF(OR(C93="",M93=""),"",IF(MATCH(C93,{"Red","Amber","Green"},0)&gt;MATCH(M93,{"Red","Amber","Green"},0),"▲ Improving",IF(MATCH(C93,{"Red","Amber","Green"},0)&lt;MATCH(M93,{"Red","Amber","Green"},0),"▼ Deteriorating","► Stable")))</f>
        <v/>
      </c>
      <c r="O93" s="60"/>
    </row>
    <row r="94" customFormat="false" ht="15" hidden="false" customHeight="false" outlineLevel="0" collapsed="false">
      <c r="A94" s="56" t="s">
        <v>329</v>
      </c>
      <c r="B94" s="63"/>
      <c r="C94" s="61"/>
      <c r="D94" s="60"/>
      <c r="E94" s="60"/>
      <c r="F94" s="60"/>
      <c r="G94" s="60"/>
      <c r="H94" s="60"/>
      <c r="I94" s="60"/>
      <c r="J94" s="60"/>
      <c r="K94" s="60"/>
      <c r="L94" s="61"/>
      <c r="M94" s="62" t="str">
        <f aca="false">IF(B94="","",IF(_xlfn.MAXIFS($B$5:$B$108,$B$5:$B$108,"&lt;"&amp;B94)=0,"",IF(INDEX($C$5:$C$108,MATCH(_xlfn.MAXIFS($B$5:$B$108,$B$5:$B$108,"&lt;"&amp;B94),$B$5:$B$108,0))="","",INDEX($C$5:$C$108,MATCH(_xlfn.MAXIFS($B$5:$B$108,$B$5:$B$108,"&lt;"&amp;B94),$B$5:$B$108,0)))))</f>
        <v/>
      </c>
      <c r="N94" s="62" t="str">
        <f aca="false">IF(OR(C94="",M94=""),"",IF(MATCH(C94,{"Red","Amber","Green"},0)&gt;MATCH(M94,{"Red","Amber","Green"},0),"▲ Improving",IF(MATCH(C94,{"Red","Amber","Green"},0)&lt;MATCH(M94,{"Red","Amber","Green"},0),"▼ Deteriorating","► Stable")))</f>
        <v/>
      </c>
      <c r="O94" s="60"/>
    </row>
    <row r="95" customFormat="false" ht="15" hidden="false" customHeight="false" outlineLevel="0" collapsed="false">
      <c r="A95" s="56" t="s">
        <v>330</v>
      </c>
      <c r="B95" s="63"/>
      <c r="C95" s="61"/>
      <c r="D95" s="60"/>
      <c r="E95" s="60"/>
      <c r="F95" s="60"/>
      <c r="G95" s="60"/>
      <c r="H95" s="60"/>
      <c r="I95" s="60"/>
      <c r="J95" s="60"/>
      <c r="K95" s="60"/>
      <c r="L95" s="61"/>
      <c r="M95" s="62" t="str">
        <f aca="false">IF(B95="","",IF(_xlfn.MAXIFS($B$5:$B$108,$B$5:$B$108,"&lt;"&amp;B95)=0,"",IF(INDEX($C$5:$C$108,MATCH(_xlfn.MAXIFS($B$5:$B$108,$B$5:$B$108,"&lt;"&amp;B95),$B$5:$B$108,0))="","",INDEX($C$5:$C$108,MATCH(_xlfn.MAXIFS($B$5:$B$108,$B$5:$B$108,"&lt;"&amp;B95),$B$5:$B$108,0)))))</f>
        <v/>
      </c>
      <c r="N95" s="62" t="str">
        <f aca="false">IF(OR(C95="",M95=""),"",IF(MATCH(C95,{"Red","Amber","Green"},0)&gt;MATCH(M95,{"Red","Amber","Green"},0),"▲ Improving",IF(MATCH(C95,{"Red","Amber","Green"},0)&lt;MATCH(M95,{"Red","Amber","Green"},0),"▼ Deteriorating","► Stable")))</f>
        <v/>
      </c>
      <c r="O95" s="60"/>
    </row>
    <row r="96" customFormat="false" ht="15" hidden="false" customHeight="false" outlineLevel="0" collapsed="false">
      <c r="A96" s="56" t="s">
        <v>331</v>
      </c>
      <c r="B96" s="63"/>
      <c r="C96" s="61"/>
      <c r="D96" s="60"/>
      <c r="E96" s="60"/>
      <c r="F96" s="60"/>
      <c r="G96" s="60"/>
      <c r="H96" s="60"/>
      <c r="I96" s="60"/>
      <c r="J96" s="60"/>
      <c r="K96" s="60"/>
      <c r="L96" s="61"/>
      <c r="M96" s="62" t="str">
        <f aca="false">IF(B96="","",IF(_xlfn.MAXIFS($B$5:$B$108,$B$5:$B$108,"&lt;"&amp;B96)=0,"",IF(INDEX($C$5:$C$108,MATCH(_xlfn.MAXIFS($B$5:$B$108,$B$5:$B$108,"&lt;"&amp;B96),$B$5:$B$108,0))="","",INDEX($C$5:$C$108,MATCH(_xlfn.MAXIFS($B$5:$B$108,$B$5:$B$108,"&lt;"&amp;B96),$B$5:$B$108,0)))))</f>
        <v/>
      </c>
      <c r="N96" s="62" t="str">
        <f aca="false">IF(OR(C96="",M96=""),"",IF(MATCH(C96,{"Red","Amber","Green"},0)&gt;MATCH(M96,{"Red","Amber","Green"},0),"▲ Improving",IF(MATCH(C96,{"Red","Amber","Green"},0)&lt;MATCH(M96,{"Red","Amber","Green"},0),"▼ Deteriorating","► Stable")))</f>
        <v/>
      </c>
      <c r="O96" s="60"/>
    </row>
    <row r="97" customFormat="false" ht="15" hidden="false" customHeight="false" outlineLevel="0" collapsed="false">
      <c r="A97" s="56" t="s">
        <v>332</v>
      </c>
      <c r="B97" s="63"/>
      <c r="C97" s="61"/>
      <c r="D97" s="60"/>
      <c r="E97" s="60"/>
      <c r="F97" s="60"/>
      <c r="G97" s="60"/>
      <c r="H97" s="60"/>
      <c r="I97" s="60"/>
      <c r="J97" s="60"/>
      <c r="K97" s="60"/>
      <c r="L97" s="61"/>
      <c r="M97" s="62" t="str">
        <f aca="false">IF(B97="","",IF(_xlfn.MAXIFS($B$5:$B$108,$B$5:$B$108,"&lt;"&amp;B97)=0,"",IF(INDEX($C$5:$C$108,MATCH(_xlfn.MAXIFS($B$5:$B$108,$B$5:$B$108,"&lt;"&amp;B97),$B$5:$B$108,0))="","",INDEX($C$5:$C$108,MATCH(_xlfn.MAXIFS($B$5:$B$108,$B$5:$B$108,"&lt;"&amp;B97),$B$5:$B$108,0)))))</f>
        <v/>
      </c>
      <c r="N97" s="62" t="str">
        <f aca="false">IF(OR(C97="",M97=""),"",IF(MATCH(C97,{"Red","Amber","Green"},0)&gt;MATCH(M97,{"Red","Amber","Green"},0),"▲ Improving",IF(MATCH(C97,{"Red","Amber","Green"},0)&lt;MATCH(M97,{"Red","Amber","Green"},0),"▼ Deteriorating","► Stable")))</f>
        <v/>
      </c>
      <c r="O97" s="60"/>
    </row>
    <row r="98" customFormat="false" ht="15" hidden="false" customHeight="false" outlineLevel="0" collapsed="false">
      <c r="A98" s="56" t="s">
        <v>333</v>
      </c>
      <c r="B98" s="63"/>
      <c r="C98" s="61"/>
      <c r="D98" s="60"/>
      <c r="E98" s="60"/>
      <c r="F98" s="60"/>
      <c r="G98" s="60"/>
      <c r="H98" s="60"/>
      <c r="I98" s="60"/>
      <c r="J98" s="60"/>
      <c r="K98" s="60"/>
      <c r="L98" s="61"/>
      <c r="M98" s="62" t="str">
        <f aca="false">IF(B98="","",IF(_xlfn.MAXIFS($B$5:$B$108,$B$5:$B$108,"&lt;"&amp;B98)=0,"",IF(INDEX($C$5:$C$108,MATCH(_xlfn.MAXIFS($B$5:$B$108,$B$5:$B$108,"&lt;"&amp;B98),$B$5:$B$108,0))="","",INDEX($C$5:$C$108,MATCH(_xlfn.MAXIFS($B$5:$B$108,$B$5:$B$108,"&lt;"&amp;B98),$B$5:$B$108,0)))))</f>
        <v/>
      </c>
      <c r="N98" s="62" t="str">
        <f aca="false">IF(OR(C98="",M98=""),"",IF(MATCH(C98,{"Red","Amber","Green"},0)&gt;MATCH(M98,{"Red","Amber","Green"},0),"▲ Improving",IF(MATCH(C98,{"Red","Amber","Green"},0)&lt;MATCH(M98,{"Red","Amber","Green"},0),"▼ Deteriorating","► Stable")))</f>
        <v/>
      </c>
      <c r="O98" s="60"/>
    </row>
    <row r="99" customFormat="false" ht="15" hidden="false" customHeight="false" outlineLevel="0" collapsed="false">
      <c r="A99" s="56" t="s">
        <v>334</v>
      </c>
      <c r="B99" s="63"/>
      <c r="C99" s="61"/>
      <c r="D99" s="60"/>
      <c r="E99" s="60"/>
      <c r="F99" s="60"/>
      <c r="G99" s="60"/>
      <c r="H99" s="60"/>
      <c r="I99" s="60"/>
      <c r="J99" s="60"/>
      <c r="K99" s="60"/>
      <c r="L99" s="61"/>
      <c r="M99" s="62" t="str">
        <f aca="false">IF(B99="","",IF(_xlfn.MAXIFS($B$5:$B$108,$B$5:$B$108,"&lt;"&amp;B99)=0,"",IF(INDEX($C$5:$C$108,MATCH(_xlfn.MAXIFS($B$5:$B$108,$B$5:$B$108,"&lt;"&amp;B99),$B$5:$B$108,0))="","",INDEX($C$5:$C$108,MATCH(_xlfn.MAXIFS($B$5:$B$108,$B$5:$B$108,"&lt;"&amp;B99),$B$5:$B$108,0)))))</f>
        <v/>
      </c>
      <c r="N99" s="62" t="str">
        <f aca="false">IF(OR(C99="",M99=""),"",IF(MATCH(C99,{"Red","Amber","Green"},0)&gt;MATCH(M99,{"Red","Amber","Green"},0),"▲ Improving",IF(MATCH(C99,{"Red","Amber","Green"},0)&lt;MATCH(M99,{"Red","Amber","Green"},0),"▼ Deteriorating","► Stable")))</f>
        <v/>
      </c>
      <c r="O99" s="60"/>
    </row>
    <row r="100" customFormat="false" ht="15" hidden="false" customHeight="false" outlineLevel="0" collapsed="false">
      <c r="A100" s="56" t="s">
        <v>335</v>
      </c>
      <c r="B100" s="63"/>
      <c r="C100" s="61"/>
      <c r="D100" s="60"/>
      <c r="E100" s="60"/>
      <c r="F100" s="60"/>
      <c r="G100" s="60"/>
      <c r="H100" s="60"/>
      <c r="I100" s="60"/>
      <c r="J100" s="60"/>
      <c r="K100" s="60"/>
      <c r="L100" s="61"/>
      <c r="M100" s="62" t="str">
        <f aca="false">IF(B100="","",IF(_xlfn.MAXIFS($B$5:$B$108,$B$5:$B$108,"&lt;"&amp;B100)=0,"",IF(INDEX($C$5:$C$108,MATCH(_xlfn.MAXIFS($B$5:$B$108,$B$5:$B$108,"&lt;"&amp;B100),$B$5:$B$108,0))="","",INDEX($C$5:$C$108,MATCH(_xlfn.MAXIFS($B$5:$B$108,$B$5:$B$108,"&lt;"&amp;B100),$B$5:$B$108,0)))))</f>
        <v/>
      </c>
      <c r="N100" s="62" t="str">
        <f aca="false">IF(OR(C100="",M100=""),"",IF(MATCH(C100,{"Red","Amber","Green"},0)&gt;MATCH(M100,{"Red","Amber","Green"},0),"▲ Improving",IF(MATCH(C100,{"Red","Amber","Green"},0)&lt;MATCH(M100,{"Red","Amber","Green"},0),"▼ Deteriorating","► Stable")))</f>
        <v/>
      </c>
      <c r="O100" s="60"/>
    </row>
    <row r="101" customFormat="false" ht="15" hidden="false" customHeight="false" outlineLevel="0" collapsed="false">
      <c r="A101" s="56" t="s">
        <v>336</v>
      </c>
      <c r="B101" s="63"/>
      <c r="C101" s="61"/>
      <c r="D101" s="60"/>
      <c r="E101" s="60"/>
      <c r="F101" s="60"/>
      <c r="G101" s="60"/>
      <c r="H101" s="60"/>
      <c r="I101" s="60"/>
      <c r="J101" s="60"/>
      <c r="K101" s="60"/>
      <c r="L101" s="61"/>
      <c r="M101" s="62" t="str">
        <f aca="false">IF(B101="","",IF(_xlfn.MAXIFS($B$5:$B$108,$B$5:$B$108,"&lt;"&amp;B101)=0,"",IF(INDEX($C$5:$C$108,MATCH(_xlfn.MAXIFS($B$5:$B$108,$B$5:$B$108,"&lt;"&amp;B101),$B$5:$B$108,0))="","",INDEX($C$5:$C$108,MATCH(_xlfn.MAXIFS($B$5:$B$108,$B$5:$B$108,"&lt;"&amp;B101),$B$5:$B$108,0)))))</f>
        <v/>
      </c>
      <c r="N101" s="62" t="str">
        <f aca="false">IF(OR(C101="",M101=""),"",IF(MATCH(C101,{"Red","Amber","Green"},0)&gt;MATCH(M101,{"Red","Amber","Green"},0),"▲ Improving",IF(MATCH(C101,{"Red","Amber","Green"},0)&lt;MATCH(M101,{"Red","Amber","Green"},0),"▼ Deteriorating","► Stable")))</f>
        <v/>
      </c>
      <c r="O101" s="60"/>
    </row>
    <row r="102" customFormat="false" ht="15" hidden="false" customHeight="false" outlineLevel="0" collapsed="false">
      <c r="A102" s="56" t="s">
        <v>337</v>
      </c>
      <c r="B102" s="63"/>
      <c r="C102" s="61"/>
      <c r="D102" s="60"/>
      <c r="E102" s="60"/>
      <c r="F102" s="60"/>
      <c r="G102" s="60"/>
      <c r="H102" s="60"/>
      <c r="I102" s="60"/>
      <c r="J102" s="60"/>
      <c r="K102" s="60"/>
      <c r="L102" s="61"/>
      <c r="M102" s="62" t="str">
        <f aca="false">IF(B102="","",IF(_xlfn.MAXIFS($B$5:$B$108,$B$5:$B$108,"&lt;"&amp;B102)=0,"",IF(INDEX($C$5:$C$108,MATCH(_xlfn.MAXIFS($B$5:$B$108,$B$5:$B$108,"&lt;"&amp;B102),$B$5:$B$108,0))="","",INDEX($C$5:$C$108,MATCH(_xlfn.MAXIFS($B$5:$B$108,$B$5:$B$108,"&lt;"&amp;B102),$B$5:$B$108,0)))))</f>
        <v/>
      </c>
      <c r="N102" s="62" t="str">
        <f aca="false">IF(OR(C102="",M102=""),"",IF(MATCH(C102,{"Red","Amber","Green"},0)&gt;MATCH(M102,{"Red","Amber","Green"},0),"▲ Improving",IF(MATCH(C102,{"Red","Amber","Green"},0)&lt;MATCH(M102,{"Red","Amber","Green"},0),"▼ Deteriorating","► Stable")))</f>
        <v/>
      </c>
      <c r="O102" s="60"/>
    </row>
    <row r="103" customFormat="false" ht="15" hidden="false" customHeight="false" outlineLevel="0" collapsed="false">
      <c r="A103" s="56" t="s">
        <v>338</v>
      </c>
      <c r="B103" s="63"/>
      <c r="C103" s="61"/>
      <c r="D103" s="60"/>
      <c r="E103" s="60"/>
      <c r="F103" s="60"/>
      <c r="G103" s="60"/>
      <c r="H103" s="60"/>
      <c r="I103" s="60"/>
      <c r="J103" s="60"/>
      <c r="K103" s="60"/>
      <c r="L103" s="61"/>
      <c r="M103" s="62" t="str">
        <f aca="false">IF(B103="","",IF(_xlfn.MAXIFS($B$5:$B$108,$B$5:$B$108,"&lt;"&amp;B103)=0,"",IF(INDEX($C$5:$C$108,MATCH(_xlfn.MAXIFS($B$5:$B$108,$B$5:$B$108,"&lt;"&amp;B103),$B$5:$B$108,0))="","",INDEX($C$5:$C$108,MATCH(_xlfn.MAXIFS($B$5:$B$108,$B$5:$B$108,"&lt;"&amp;B103),$B$5:$B$108,0)))))</f>
        <v/>
      </c>
      <c r="N103" s="62" t="str">
        <f aca="false">IF(OR(C103="",M103=""),"",IF(MATCH(C103,{"Red","Amber","Green"},0)&gt;MATCH(M103,{"Red","Amber","Green"},0),"▲ Improving",IF(MATCH(C103,{"Red","Amber","Green"},0)&lt;MATCH(M103,{"Red","Amber","Green"},0),"▼ Deteriorating","► Stable")))</f>
        <v/>
      </c>
      <c r="O103" s="60"/>
    </row>
    <row r="104" customFormat="false" ht="15" hidden="false" customHeight="false" outlineLevel="0" collapsed="false">
      <c r="A104" s="56" t="s">
        <v>339</v>
      </c>
      <c r="B104" s="63"/>
      <c r="C104" s="61"/>
      <c r="D104" s="60"/>
      <c r="E104" s="60"/>
      <c r="F104" s="60"/>
      <c r="G104" s="60"/>
      <c r="H104" s="60"/>
      <c r="I104" s="60"/>
      <c r="J104" s="60"/>
      <c r="K104" s="60"/>
      <c r="L104" s="61"/>
      <c r="M104" s="62" t="str">
        <f aca="false">IF(B104="","",IF(_xlfn.MAXIFS($B$5:$B$108,$B$5:$B$108,"&lt;"&amp;B104)=0,"",IF(INDEX($C$5:$C$108,MATCH(_xlfn.MAXIFS($B$5:$B$108,$B$5:$B$108,"&lt;"&amp;B104),$B$5:$B$108,0))="","",INDEX($C$5:$C$108,MATCH(_xlfn.MAXIFS($B$5:$B$108,$B$5:$B$108,"&lt;"&amp;B104),$B$5:$B$108,0)))))</f>
        <v/>
      </c>
      <c r="N104" s="62" t="str">
        <f aca="false">IF(OR(C104="",M104=""),"",IF(MATCH(C104,{"Red","Amber","Green"},0)&gt;MATCH(M104,{"Red","Amber","Green"},0),"▲ Improving",IF(MATCH(C104,{"Red","Amber","Green"},0)&lt;MATCH(M104,{"Red","Amber","Green"},0),"▼ Deteriorating","► Stable")))</f>
        <v/>
      </c>
      <c r="O104" s="60"/>
    </row>
    <row r="105" customFormat="false" ht="15" hidden="false" customHeight="false" outlineLevel="0" collapsed="false">
      <c r="A105" s="56" t="s">
        <v>340</v>
      </c>
      <c r="B105" s="63"/>
      <c r="C105" s="61"/>
      <c r="D105" s="60"/>
      <c r="E105" s="60"/>
      <c r="F105" s="60"/>
      <c r="G105" s="60"/>
      <c r="H105" s="60"/>
      <c r="I105" s="60"/>
      <c r="J105" s="60"/>
      <c r="K105" s="60"/>
      <c r="L105" s="61"/>
      <c r="M105" s="62" t="str">
        <f aca="false">IF(B105="","",IF(_xlfn.MAXIFS($B$5:$B$108,$B$5:$B$108,"&lt;"&amp;B105)=0,"",IF(INDEX($C$5:$C$108,MATCH(_xlfn.MAXIFS($B$5:$B$108,$B$5:$B$108,"&lt;"&amp;B105),$B$5:$B$108,0))="","",INDEX($C$5:$C$108,MATCH(_xlfn.MAXIFS($B$5:$B$108,$B$5:$B$108,"&lt;"&amp;B105),$B$5:$B$108,0)))))</f>
        <v/>
      </c>
      <c r="N105" s="62" t="str">
        <f aca="false">IF(OR(C105="",M105=""),"",IF(MATCH(C105,{"Red","Amber","Green"},0)&gt;MATCH(M105,{"Red","Amber","Green"},0),"▲ Improving",IF(MATCH(C105,{"Red","Amber","Green"},0)&lt;MATCH(M105,{"Red","Amber","Green"},0),"▼ Deteriorating","► Stable")))</f>
        <v/>
      </c>
      <c r="O105" s="60"/>
    </row>
    <row r="106" customFormat="false" ht="15" hidden="false" customHeight="false" outlineLevel="0" collapsed="false">
      <c r="A106" s="56" t="s">
        <v>341</v>
      </c>
      <c r="B106" s="63"/>
      <c r="C106" s="61"/>
      <c r="D106" s="60"/>
      <c r="E106" s="60"/>
      <c r="F106" s="60"/>
      <c r="G106" s="60"/>
      <c r="H106" s="60"/>
      <c r="I106" s="60"/>
      <c r="J106" s="60"/>
      <c r="K106" s="60"/>
      <c r="L106" s="61"/>
      <c r="M106" s="62" t="str">
        <f aca="false">IF(B106="","",IF(_xlfn.MAXIFS($B$5:$B$108,$B$5:$B$108,"&lt;"&amp;B106)=0,"",IF(INDEX($C$5:$C$108,MATCH(_xlfn.MAXIFS($B$5:$B$108,$B$5:$B$108,"&lt;"&amp;B106),$B$5:$B$108,0))="","",INDEX($C$5:$C$108,MATCH(_xlfn.MAXIFS($B$5:$B$108,$B$5:$B$108,"&lt;"&amp;B106),$B$5:$B$108,0)))))</f>
        <v/>
      </c>
      <c r="N106" s="62" t="str">
        <f aca="false">IF(OR(C106="",M106=""),"",IF(MATCH(C106,{"Red","Amber","Green"},0)&gt;MATCH(M106,{"Red","Amber","Green"},0),"▲ Improving",IF(MATCH(C106,{"Red","Amber","Green"},0)&lt;MATCH(M106,{"Red","Amber","Green"},0),"▼ Deteriorating","► Stable")))</f>
        <v/>
      </c>
      <c r="O106" s="60"/>
    </row>
    <row r="107" customFormat="false" ht="15" hidden="false" customHeight="false" outlineLevel="0" collapsed="false">
      <c r="A107" s="56" t="s">
        <v>342</v>
      </c>
      <c r="B107" s="63"/>
      <c r="C107" s="61"/>
      <c r="D107" s="60"/>
      <c r="E107" s="60"/>
      <c r="F107" s="60"/>
      <c r="G107" s="60"/>
      <c r="H107" s="60"/>
      <c r="I107" s="60"/>
      <c r="J107" s="60"/>
      <c r="K107" s="60"/>
      <c r="L107" s="61"/>
      <c r="M107" s="62" t="str">
        <f aca="false">IF(B107="","",IF(_xlfn.MAXIFS($B$5:$B$108,$B$5:$B$108,"&lt;"&amp;B107)=0,"",IF(INDEX($C$5:$C$108,MATCH(_xlfn.MAXIFS($B$5:$B$108,$B$5:$B$108,"&lt;"&amp;B107),$B$5:$B$108,0))="","",INDEX($C$5:$C$108,MATCH(_xlfn.MAXIFS($B$5:$B$108,$B$5:$B$108,"&lt;"&amp;B107),$B$5:$B$108,0)))))</f>
        <v/>
      </c>
      <c r="N107" s="62" t="str">
        <f aca="false">IF(OR(C107="",M107=""),"",IF(MATCH(C107,{"Red","Amber","Green"},0)&gt;MATCH(M107,{"Red","Amber","Green"},0),"▲ Improving",IF(MATCH(C107,{"Red","Amber","Green"},0)&lt;MATCH(M107,{"Red","Amber","Green"},0),"▼ Deteriorating","► Stable")))</f>
        <v/>
      </c>
      <c r="O107" s="60"/>
    </row>
    <row r="108" customFormat="false" ht="15" hidden="false" customHeight="false" outlineLevel="0" collapsed="false">
      <c r="A108" s="56" t="s">
        <v>343</v>
      </c>
      <c r="B108" s="63"/>
      <c r="C108" s="61"/>
      <c r="D108" s="60"/>
      <c r="E108" s="60"/>
      <c r="F108" s="60"/>
      <c r="G108" s="60"/>
      <c r="H108" s="60"/>
      <c r="I108" s="60"/>
      <c r="J108" s="60"/>
      <c r="K108" s="60"/>
      <c r="L108" s="61"/>
      <c r="M108" s="62" t="str">
        <f aca="false">IF(B108="","",IF(_xlfn.MAXIFS($B$5:$B$108,$B$5:$B$108,"&lt;"&amp;B108)=0,"",IF(INDEX($C$5:$C$108,MATCH(_xlfn.MAXIFS($B$5:$B$108,$B$5:$B$108,"&lt;"&amp;B108),$B$5:$B$108,0))="","",INDEX($C$5:$C$108,MATCH(_xlfn.MAXIFS($B$5:$B$108,$B$5:$B$108,"&lt;"&amp;B108),$B$5:$B$108,0)))))</f>
        <v/>
      </c>
      <c r="N108" s="62" t="str">
        <f aca="false">IF(OR(C108="",M108=""),"",IF(MATCH(C108,{"Red","Amber","Green"},0)&gt;MATCH(M108,{"Red","Amber","Green"},0),"▲ Improving",IF(MATCH(C108,{"Red","Amber","Green"},0)&lt;MATCH(M108,{"Red","Amber","Green"},0),"▼ Deteriorating","► Stable")))</f>
        <v/>
      </c>
      <c r="O108" s="60"/>
    </row>
  </sheetData>
  <autoFilter ref="A4:O108"/>
  <conditionalFormatting sqref="C5:C108">
    <cfRule type="cellIs" priority="2" operator="equal" aboveAverage="0" equalAverage="0" bottom="0" percent="0" rank="0" text="" dxfId="11">
      <formula>"Green"</formula>
    </cfRule>
    <cfRule type="cellIs" priority="3" operator="equal" aboveAverage="0" equalAverage="0" bottom="0" percent="0" rank="0" text="" dxfId="12">
      <formula>"Amber"</formula>
    </cfRule>
    <cfRule type="cellIs" priority="4" operator="equal" aboveAverage="0" equalAverage="0" bottom="0" percent="0" rank="0" text="" dxfId="13">
      <formula>"Red"</formula>
    </cfRule>
  </conditionalFormatting>
  <conditionalFormatting sqref="M5:M108">
    <cfRule type="cellIs" priority="5" operator="equal" aboveAverage="0" equalAverage="0" bottom="0" percent="0" rank="0" text="" dxfId="11">
      <formula>"Green"</formula>
    </cfRule>
    <cfRule type="cellIs" priority="6" operator="equal" aboveAverage="0" equalAverage="0" bottom="0" percent="0" rank="0" text="" dxfId="12">
      <formula>"Amber"</formula>
    </cfRule>
    <cfRule type="cellIs" priority="7" operator="equal" aboveAverage="0" equalAverage="0" bottom="0" percent="0" rank="0" text="" dxfId="13">
      <formula>"Red"</formula>
    </cfRule>
  </conditionalFormatting>
  <conditionalFormatting sqref="N5:N108">
    <cfRule type="expression" priority="8" aboveAverage="0" equalAverage="0" bottom="0" percent="0" rank="0" text="" dxfId="8">
      <formula>LEFT(N5,1)="▼"</formula>
    </cfRule>
    <cfRule type="expression" priority="9" aboveAverage="0" equalAverage="0" bottom="0" percent="0" rank="0" text="" dxfId="6">
      <formula>LEFT(N5,1)="▲"</formula>
    </cfRule>
  </conditionalFormatting>
  <dataValidations count="2">
    <dataValidation allowBlank="true" error="Enter a valid date (e.g. 19-Oct-2026)." errorStyle="stop" operator="greaterThan" showDropDown="false" showErrorMessage="true" showInputMessage="false" sqref="B5:B108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C5:C108" type="list">
      <formula1>Lists!$C$4:$C$6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4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53" t="s">
        <v>344</v>
      </c>
    </row>
    <row r="2" customFormat="false" ht="15" hidden="false" customHeight="false" outlineLevel="0" collapsed="false">
      <c r="A2" s="64" t="s">
        <v>345</v>
      </c>
      <c r="B2" s="65" t="n">
        <f aca="true">TODAY()</f>
        <v>46315</v>
      </c>
      <c r="D2" s="66" t="s">
        <v>346</v>
      </c>
    </row>
    <row r="4" customFormat="false" ht="15" hidden="false" customHeight="false" outlineLevel="0" collapsed="false">
      <c r="A4" s="67" t="s">
        <v>347</v>
      </c>
      <c r="B4" s="4"/>
      <c r="D4" s="67" t="s">
        <v>348</v>
      </c>
      <c r="E4" s="67" t="s">
        <v>111</v>
      </c>
    </row>
    <row r="5" customFormat="false" ht="15" hidden="false" customHeight="false" outlineLevel="0" collapsed="false">
      <c r="A5" s="68" t="s">
        <v>349</v>
      </c>
      <c r="B5" s="69" t="str">
        <f aca="false">'Weekly Report'!C26</f>
        <v>Amber</v>
      </c>
      <c r="D5" s="68" t="s">
        <v>350</v>
      </c>
      <c r="E5" s="70" t="n">
        <f aca="false">COUNTIFS(Tasks!$F$5:$F$304,"&lt;&gt;",Tasks!$K$5:$K$304,D5)</f>
        <v>0</v>
      </c>
    </row>
    <row r="6" customFormat="false" ht="15" hidden="false" customHeight="false" outlineLevel="0" collapsed="false">
      <c r="A6" s="68" t="s">
        <v>351</v>
      </c>
      <c r="B6" s="69" t="str">
        <f aca="false">'Weekly Report'!C28</f>
        <v>Amber</v>
      </c>
      <c r="D6" s="68" t="s">
        <v>352</v>
      </c>
      <c r="E6" s="70" t="n">
        <f aca="false">COUNTIFS(Tasks!$F$5:$F$304,"&lt;&gt;",Tasks!$K$5:$K$304,D6)</f>
        <v>1</v>
      </c>
    </row>
    <row r="7" customFormat="false" ht="15" hidden="false" customHeight="false" outlineLevel="0" collapsed="false">
      <c r="A7" s="68" t="s">
        <v>353</v>
      </c>
      <c r="B7" s="69" t="str">
        <f aca="false">'Weekly Report'!D27</f>
        <v/>
      </c>
      <c r="D7" s="68" t="s">
        <v>354</v>
      </c>
      <c r="E7" s="70" t="n">
        <f aca="false">COUNTIFS(Tasks!$F$5:$F$304,"&lt;&gt;",Tasks!$K$5:$K$304,D7)</f>
        <v>0</v>
      </c>
    </row>
    <row r="8" customFormat="false" ht="15" hidden="false" customHeight="false" outlineLevel="0" collapsed="false">
      <c r="D8" s="68" t="s">
        <v>355</v>
      </c>
      <c r="E8" s="70" t="n">
        <f aca="false">COUNTIFS(Tasks!$F$5:$F$304,"&lt;&gt;",Tasks!$K$5:$K$304,D8)</f>
        <v>0</v>
      </c>
    </row>
    <row r="9" customFormat="false" ht="15" hidden="false" customHeight="false" outlineLevel="0" collapsed="false">
      <c r="A9" s="67" t="s">
        <v>356</v>
      </c>
      <c r="B9" s="4"/>
      <c r="D9" s="68" t="s">
        <v>144</v>
      </c>
      <c r="E9" s="70" t="n">
        <f aca="false">COUNTIFS(Tasks!$F$5:$F$304,"&lt;&gt;",Tasks!$K$5:$K$304,D9)</f>
        <v>0</v>
      </c>
    </row>
    <row r="10" customFormat="false" ht="15" hidden="false" customHeight="false" outlineLevel="0" collapsed="false">
      <c r="A10" s="68" t="s">
        <v>86</v>
      </c>
      <c r="B10" s="71" t="n">
        <f aca="false">'Mission Charter'!B11</f>
        <v>19</v>
      </c>
      <c r="D10" s="68" t="s">
        <v>357</v>
      </c>
      <c r="E10" s="70" t="n">
        <f aca="false">COUNTIFS(Tasks!$F$5:$F$304,"&lt;&gt;",Tasks!$K$5:$K$304,D10)</f>
        <v>0</v>
      </c>
    </row>
    <row r="11" customFormat="false" ht="15" hidden="false" customHeight="false" outlineLevel="0" collapsed="false">
      <c r="A11" s="68" t="s">
        <v>87</v>
      </c>
      <c r="B11" s="71" t="n">
        <f aca="false">'Mission Charter'!B12</f>
        <v>162</v>
      </c>
    </row>
    <row r="12" customFormat="false" ht="15" hidden="false" customHeight="false" outlineLevel="0" collapsed="false">
      <c r="A12" s="68" t="s">
        <v>88</v>
      </c>
      <c r="B12" s="72" t="n">
        <f aca="false">'Mission Charter'!B13</f>
        <v>0.104972375690608</v>
      </c>
      <c r="D12" s="67" t="s">
        <v>358</v>
      </c>
      <c r="E12" s="67" t="s">
        <v>111</v>
      </c>
      <c r="F12" s="67" t="s">
        <v>359</v>
      </c>
    </row>
    <row r="13" customFormat="false" ht="15" hidden="false" customHeight="false" outlineLevel="0" collapsed="false">
      <c r="D13" s="68" t="s">
        <v>360</v>
      </c>
      <c r="E13" s="70" t="n">
        <f aca="false">COUNTIFS('EASM Findings'!$E$5:$E$304,"&lt;&gt;",'EASM Findings'!$L$5:$L$304,D13)</f>
        <v>1</v>
      </c>
      <c r="F13" s="70" t="n">
        <f aca="false">COUNTIFS('EASM Findings'!$E$5:$E$304,"&lt;&gt;",'EASM Findings'!$U$5:$U$304,"&lt;&gt;Remediated",'EASM Findings'!$U$5:$U$304,"&lt;&gt;False Positive",'EASM Findings'!$U$5:$U$304,"&lt;&gt;Risk Accepted",'EASM Findings'!$L$5:$L$304,D13)</f>
        <v>1</v>
      </c>
    </row>
    <row r="14" customFormat="false" ht="15" hidden="false" customHeight="false" outlineLevel="0" collapsed="false">
      <c r="A14" s="67" t="s">
        <v>361</v>
      </c>
      <c r="B14" s="4"/>
      <c r="D14" s="68" t="s">
        <v>362</v>
      </c>
      <c r="E14" s="70" t="n">
        <f aca="false">COUNTIFS('EASM Findings'!$E$5:$E$304,"&lt;&gt;",'EASM Findings'!$L$5:$L$304,D14)</f>
        <v>0</v>
      </c>
      <c r="F14" s="70" t="n">
        <f aca="false">COUNTIFS('EASM Findings'!$E$5:$E$304,"&lt;&gt;",'EASM Findings'!$U$5:$U$304,"&lt;&gt;Remediated",'EASM Findings'!$U$5:$U$304,"&lt;&gt;False Positive",'EASM Findings'!$U$5:$U$304,"&lt;&gt;Risk Accepted",'EASM Findings'!$L$5:$L$304,D14)</f>
        <v>0</v>
      </c>
    </row>
    <row r="15" customFormat="false" ht="15" hidden="false" customHeight="false" outlineLevel="0" collapsed="false">
      <c r="A15" s="68" t="s">
        <v>363</v>
      </c>
      <c r="B15" s="71" t="n">
        <f aca="false">COUNTA(Meetings!$G$5:$G$304)</f>
        <v>1</v>
      </c>
      <c r="D15" s="68" t="s">
        <v>364</v>
      </c>
      <c r="E15" s="70" t="n">
        <f aca="false">COUNTIFS('EASM Findings'!$E$5:$E$304,"&lt;&gt;",'EASM Findings'!$L$5:$L$304,D15)</f>
        <v>0</v>
      </c>
      <c r="F15" s="70" t="n">
        <f aca="false">COUNTIFS('EASM Findings'!$E$5:$E$304,"&lt;&gt;",'EASM Findings'!$U$5:$U$304,"&lt;&gt;Remediated",'EASM Findings'!$U$5:$U$304,"&lt;&gt;False Positive",'EASM Findings'!$U$5:$U$304,"&lt;&gt;Risk Accepted",'EASM Findings'!$L$5:$L$304,D15)</f>
        <v>0</v>
      </c>
    </row>
    <row r="16" customFormat="false" ht="15" hidden="false" customHeight="false" outlineLevel="0" collapsed="false">
      <c r="A16" s="68" t="s">
        <v>365</v>
      </c>
      <c r="B16" s="71" t="n">
        <f aca="true">COUNTIFS(Meetings!$G$5:$G$304,"&lt;&gt;",Meetings!$B$5:$B$304,"&gt;="&amp;(TODAY()-30))</f>
        <v>1</v>
      </c>
      <c r="D16" s="68" t="s">
        <v>366</v>
      </c>
      <c r="E16" s="70" t="n">
        <f aca="false">COUNTIFS('EASM Findings'!$E$5:$E$304,"&lt;&gt;",'EASM Findings'!$L$5:$L$304,D16)</f>
        <v>0</v>
      </c>
      <c r="F16" s="70" t="n">
        <f aca="false">COUNTIFS('EASM Findings'!$E$5:$E$304,"&lt;&gt;",'EASM Findings'!$U$5:$U$304,"&lt;&gt;Remediated",'EASM Findings'!$U$5:$U$304,"&lt;&gt;False Positive",'EASM Findings'!$U$5:$U$304,"&lt;&gt;Risk Accepted",'EASM Findings'!$L$5:$L$304,D16)</f>
        <v>0</v>
      </c>
    </row>
    <row r="17" customFormat="false" ht="15" hidden="false" customHeight="false" outlineLevel="0" collapsed="false">
      <c r="A17" s="68" t="s">
        <v>367</v>
      </c>
      <c r="B17" s="71" t="n">
        <f aca="false">COUNTIF(Meetings!$T$5:$T$304,"OVERDUE")</f>
        <v>0</v>
      </c>
      <c r="D17" s="68" t="s">
        <v>368</v>
      </c>
      <c r="E17" s="70" t="n">
        <f aca="false">COUNTIFS('EASM Findings'!$E$5:$E$304,"&lt;&gt;",'EASM Findings'!$L$5:$L$304,D17)</f>
        <v>0</v>
      </c>
      <c r="F17" s="70" t="n">
        <f aca="false">COUNTIFS('EASM Findings'!$E$5:$E$304,"&lt;&gt;",'EASM Findings'!$U$5:$U$304,"&lt;&gt;Remediated",'EASM Findings'!$U$5:$U$304,"&lt;&gt;False Positive",'EASM Findings'!$U$5:$U$304,"&lt;&gt;Risk Accepted",'EASM Findings'!$L$5:$L$304,D17)</f>
        <v>0</v>
      </c>
    </row>
    <row r="19" customFormat="false" ht="15" hidden="false" customHeight="false" outlineLevel="0" collapsed="false">
      <c r="A19" s="67" t="s">
        <v>369</v>
      </c>
      <c r="B19" s="4"/>
      <c r="D19" s="67" t="s">
        <v>370</v>
      </c>
      <c r="E19" s="67" t="s">
        <v>111</v>
      </c>
    </row>
    <row r="20" customFormat="false" ht="15" hidden="false" customHeight="false" outlineLevel="0" collapsed="false">
      <c r="A20" s="68" t="s">
        <v>371</v>
      </c>
      <c r="B20" s="71" t="n">
        <f aca="false">COUNTA(Emails!$G$5:$G$304)</f>
        <v>1</v>
      </c>
      <c r="D20" s="68" t="s">
        <v>372</v>
      </c>
      <c r="E20" s="70" t="n">
        <f aca="false">COUNTIFS('EASM Findings'!$E$5:$E$304,"&lt;&gt;",'EASM Findings'!$U$5:$U$304,D20)</f>
        <v>0</v>
      </c>
    </row>
    <row r="21" customFormat="false" ht="15" hidden="false" customHeight="false" outlineLevel="0" collapsed="false">
      <c r="A21" s="68" t="s">
        <v>373</v>
      </c>
      <c r="B21" s="71" t="n">
        <f aca="false">COUNT(Emails!$V$5:$V$304)</f>
        <v>1</v>
      </c>
      <c r="D21" s="68" t="s">
        <v>374</v>
      </c>
      <c r="E21" s="70" t="n">
        <f aca="false">COUNTIFS('EASM Findings'!$E$5:$E$304,"&lt;&gt;",'EASM Findings'!$U$5:$U$304,D21)</f>
        <v>1</v>
      </c>
    </row>
    <row r="22" customFormat="false" ht="15" hidden="false" customHeight="false" outlineLevel="0" collapsed="false">
      <c r="A22" s="68" t="s">
        <v>375</v>
      </c>
      <c r="B22" s="71" t="n">
        <f aca="false">COUNTIF(Emails!$R$5:$R$304,"OVERDUE")</f>
        <v>0</v>
      </c>
      <c r="D22" s="68" t="s">
        <v>376</v>
      </c>
      <c r="E22" s="70" t="n">
        <f aca="false">COUNTIFS('EASM Findings'!$E$5:$E$304,"&lt;&gt;",'EASM Findings'!$U$5:$U$304,D22)</f>
        <v>0</v>
      </c>
    </row>
    <row r="23" customFormat="false" ht="15" hidden="false" customHeight="false" outlineLevel="0" collapsed="false">
      <c r="A23" s="68" t="s">
        <v>377</v>
      </c>
      <c r="B23" s="73" t="str">
        <f aca="false">IFERROR(AVERAGE(Emails!$Q$5:$Q$304),"-")</f>
        <v>-</v>
      </c>
      <c r="D23" s="68" t="s">
        <v>378</v>
      </c>
      <c r="E23" s="70" t="n">
        <f aca="false">COUNTIFS('EASM Findings'!$E$5:$E$304,"&lt;&gt;",'EASM Findings'!$U$5:$U$304,D23)</f>
        <v>0</v>
      </c>
    </row>
    <row r="24" customFormat="false" ht="15" hidden="false" customHeight="false" outlineLevel="0" collapsed="false">
      <c r="A24" s="68" t="s">
        <v>379</v>
      </c>
      <c r="B24" s="71" t="n">
        <f aca="false">COUNTIF(Emails!$H$5:$H$304,"Escalation")+COUNTIF(Emails!$O$5:$O$304,"Escalated")</f>
        <v>0</v>
      </c>
      <c r="D24" s="68" t="s">
        <v>380</v>
      </c>
      <c r="E24" s="70" t="n">
        <f aca="false">COUNTIFS('EASM Findings'!$E$5:$E$304,"&lt;&gt;",'EASM Findings'!$U$5:$U$304,D24)</f>
        <v>0</v>
      </c>
    </row>
    <row r="25" customFormat="false" ht="15" hidden="false" customHeight="false" outlineLevel="0" collapsed="false">
      <c r="D25" s="68" t="s">
        <v>381</v>
      </c>
      <c r="E25" s="70" t="n">
        <f aca="false">COUNTIFS('EASM Findings'!$E$5:$E$304,"&lt;&gt;",'EASM Findings'!$U$5:$U$304,D25)</f>
        <v>0</v>
      </c>
    </row>
    <row r="26" customFormat="false" ht="15" hidden="false" customHeight="false" outlineLevel="0" collapsed="false">
      <c r="A26" s="67" t="s">
        <v>124</v>
      </c>
      <c r="B26" s="4"/>
      <c r="D26" s="68" t="s">
        <v>382</v>
      </c>
      <c r="E26" s="70" t="n">
        <f aca="false">COUNTIFS('EASM Findings'!$E$5:$E$304,"&lt;&gt;",'EASM Findings'!$U$5:$U$304,D26)</f>
        <v>0</v>
      </c>
    </row>
    <row r="27" customFormat="false" ht="15" hidden="false" customHeight="false" outlineLevel="0" collapsed="false">
      <c r="A27" s="68" t="s">
        <v>383</v>
      </c>
      <c r="B27" s="71" t="n">
        <f aca="false">COUNTA(Tasks!$F$5:$F$304)</f>
        <v>1</v>
      </c>
    </row>
    <row r="28" customFormat="false" ht="15" hidden="false" customHeight="false" outlineLevel="0" collapsed="false">
      <c r="A28" s="68" t="s">
        <v>384</v>
      </c>
      <c r="B28" s="71" t="n">
        <f aca="false">COUNTIFS(Tasks!$F$5:$F$304,"&lt;&gt;",Tasks!$K$5:$K$304,"&lt;&gt;Completed",Tasks!$K$5:$K$304,"&lt;&gt;Cancelled")</f>
        <v>1</v>
      </c>
      <c r="D28" s="67" t="s">
        <v>385</v>
      </c>
      <c r="E28" s="67" t="s">
        <v>111</v>
      </c>
    </row>
    <row r="29" customFormat="false" ht="15" hidden="false" customHeight="false" outlineLevel="0" collapsed="false">
      <c r="A29" s="68" t="s">
        <v>386</v>
      </c>
      <c r="B29" s="71" t="n">
        <f aca="false">COUNTIF(Tasks!$X$5:$X$304,"OVERDUE")</f>
        <v>0</v>
      </c>
      <c r="D29" s="68" t="s">
        <v>387</v>
      </c>
      <c r="E29" s="70" t="n">
        <f aca="false">COUNTIFS('Goals &amp; KPIs'!$B$5:$B$304,"&lt;&gt;",'Goals &amp; KPIs'!$P$5:$P$304,D29)</f>
        <v>1</v>
      </c>
    </row>
    <row r="30" customFormat="false" ht="15" hidden="false" customHeight="false" outlineLevel="0" collapsed="false">
      <c r="A30" s="68" t="s">
        <v>388</v>
      </c>
      <c r="B30" s="71" t="n">
        <f aca="false">COUNTIF(Tasks!$X$5:$X$304,"Due*")</f>
        <v>0</v>
      </c>
      <c r="D30" s="68" t="s">
        <v>389</v>
      </c>
      <c r="E30" s="70" t="n">
        <f aca="false">COUNTIFS('Goals &amp; KPIs'!$B$5:$B$304,"&lt;&gt;",'Goals &amp; KPIs'!$P$5:$P$304,D30)</f>
        <v>0</v>
      </c>
    </row>
    <row r="31" customFormat="false" ht="15" hidden="false" customHeight="false" outlineLevel="0" collapsed="false">
      <c r="A31" s="68" t="s">
        <v>128</v>
      </c>
      <c r="B31" s="71" t="n">
        <f aca="false">COUNTIF(Tasks!$K$5:$K$304,"Blocked")</f>
        <v>0</v>
      </c>
      <c r="D31" s="68" t="s">
        <v>390</v>
      </c>
      <c r="E31" s="70" t="n">
        <f aca="false">COUNTIFS('Goals &amp; KPIs'!$B$5:$B$304,"&lt;&gt;",'Goals &amp; KPIs'!$P$5:$P$304,D31)</f>
        <v>0</v>
      </c>
    </row>
    <row r="32" customFormat="false" ht="15" hidden="false" customHeight="false" outlineLevel="0" collapsed="false">
      <c r="A32" s="68" t="s">
        <v>391</v>
      </c>
      <c r="B32" s="72" t="n">
        <f aca="false">IFERROR(COUNTIF(Tasks!$K$5:$K$304,"Completed")/(COUNTA(Tasks!$F$5:$F$304)-COUNTIF(Tasks!$K$5:$K$304,"Cancelled")),0)</f>
        <v>0</v>
      </c>
      <c r="D32" s="68" t="s">
        <v>392</v>
      </c>
      <c r="E32" s="70" t="n">
        <f aca="false">COUNTIFS('Goals &amp; KPIs'!$B$5:$B$304,"&lt;&gt;",'Goals &amp; KPIs'!$P$5:$P$304,D32)</f>
        <v>0</v>
      </c>
    </row>
    <row r="33" customFormat="false" ht="15" hidden="false" customHeight="false" outlineLevel="0" collapsed="false">
      <c r="D33" s="68" t="s">
        <v>393</v>
      </c>
      <c r="E33" s="70" t="n">
        <f aca="false">COUNTIFS('Goals &amp; KPIs'!$B$5:$B$304,"&lt;&gt;",'Goals &amp; KPIs'!$P$5:$P$304,D33)</f>
        <v>0</v>
      </c>
    </row>
    <row r="34" customFormat="false" ht="15" hidden="false" customHeight="false" outlineLevel="0" collapsed="false">
      <c r="A34" s="67" t="s">
        <v>122</v>
      </c>
      <c r="B34" s="4"/>
    </row>
    <row r="35" customFormat="false" ht="15" hidden="false" customHeight="false" outlineLevel="0" collapsed="false">
      <c r="A35" s="68" t="s">
        <v>394</v>
      </c>
      <c r="B35" s="71" t="n">
        <f aca="false">COUNTA('Goals &amp; KPIs'!$B$5:$B$304)</f>
        <v>1</v>
      </c>
      <c r="D35" s="67" t="s">
        <v>395</v>
      </c>
      <c r="E35" s="67" t="s">
        <v>111</v>
      </c>
    </row>
    <row r="36" customFormat="false" ht="15" hidden="false" customHeight="false" outlineLevel="0" collapsed="false">
      <c r="A36" s="68" t="s">
        <v>396</v>
      </c>
      <c r="B36" s="72" t="n">
        <f aca="false">IFERROR(AVERAGE('Goals &amp; KPIs'!$L$5:$L$304),"-")</f>
        <v>0.242424242424242</v>
      </c>
      <c r="D36" s="68" t="s">
        <v>397</v>
      </c>
      <c r="E36" s="70" t="n">
        <f aca="false">COUNTIFS(Meetings!$G$5:$G$304,"&lt;&gt;",Meetings!$E$5:$E$304,D36)</f>
        <v>0</v>
      </c>
    </row>
    <row r="37" customFormat="false" ht="15" hidden="false" customHeight="false" outlineLevel="0" collapsed="false">
      <c r="A37" s="68" t="s">
        <v>398</v>
      </c>
      <c r="B37" s="71" t="n">
        <f aca="false">COUNTIF('Goals &amp; KPIs'!$P$5:$P$304,"At Risk")+COUNTIF('Goals &amp; KPIs'!$P$5:$P$304,"Off Track")</f>
        <v>0</v>
      </c>
      <c r="D37" s="68" t="s">
        <v>399</v>
      </c>
      <c r="E37" s="70" t="n">
        <f aca="false">COUNTIFS(Meetings!$G$5:$G$304,"&lt;&gt;",Meetings!$E$5:$E$304,D37)</f>
        <v>0</v>
      </c>
    </row>
    <row r="38" customFormat="false" ht="15" hidden="false" customHeight="false" outlineLevel="0" collapsed="false">
      <c r="A38" s="68" t="s">
        <v>400</v>
      </c>
      <c r="B38" s="71" t="n">
        <f aca="false">COUNTIF('Goals &amp; KPIs'!$P$5:$P$304,"Achieved")</f>
        <v>0</v>
      </c>
      <c r="D38" s="68" t="s">
        <v>401</v>
      </c>
      <c r="E38" s="70" t="n">
        <f aca="false">COUNTIFS(Meetings!$G$5:$G$304,"&lt;&gt;",Meetings!$E$5:$E$304,D38)</f>
        <v>0</v>
      </c>
    </row>
    <row r="39" customFormat="false" ht="15" hidden="false" customHeight="false" outlineLevel="0" collapsed="false">
      <c r="D39" s="68" t="s">
        <v>402</v>
      </c>
      <c r="E39" s="70" t="n">
        <f aca="false">COUNTIFS(Meetings!$G$5:$G$304,"&lt;&gt;",Meetings!$E$5:$E$304,D39)</f>
        <v>1</v>
      </c>
    </row>
    <row r="40" customFormat="false" ht="15" hidden="false" customHeight="false" outlineLevel="0" collapsed="false">
      <c r="A40" s="67" t="s">
        <v>118</v>
      </c>
      <c r="B40" s="4"/>
      <c r="D40" s="68" t="s">
        <v>403</v>
      </c>
      <c r="E40" s="70" t="n">
        <f aca="false">COUNTIFS(Meetings!$G$5:$G$304,"&lt;&gt;",Meetings!$E$5:$E$304,D40)</f>
        <v>0</v>
      </c>
    </row>
    <row r="41" customFormat="false" ht="15" hidden="false" customHeight="false" outlineLevel="0" collapsed="false">
      <c r="A41" s="68" t="s">
        <v>404</v>
      </c>
      <c r="B41" s="71" t="n">
        <f aca="false">COUNTA('EASM Findings'!$E$5:$E$304)</f>
        <v>1</v>
      </c>
      <c r="D41" s="68" t="s">
        <v>405</v>
      </c>
      <c r="E41" s="70" t="n">
        <f aca="false">COUNTIFS(Meetings!$G$5:$G$304,"&lt;&gt;",Meetings!$E$5:$E$304,D41)</f>
        <v>0</v>
      </c>
    </row>
    <row r="42" customFormat="false" ht="15" hidden="false" customHeight="false" outlineLevel="0" collapsed="false">
      <c r="A42" s="68" t="s">
        <v>406</v>
      </c>
      <c r="B42" s="71" t="n">
        <f aca="false">COUNTIFS('EASM Findings'!$E$5:$E$304,"&lt;&gt;",'EASM Findings'!$U$5:$U$304,"&lt;&gt;Remediated",'EASM Findings'!$U$5:$U$304,"&lt;&gt;False Positive",'EASM Findings'!$U$5:$U$304,"&lt;&gt;Risk Accepted")</f>
        <v>1</v>
      </c>
      <c r="D42" s="68" t="s">
        <v>407</v>
      </c>
      <c r="E42" s="70" t="n">
        <f aca="false">COUNTIFS(Meetings!$G$5:$G$304,"&lt;&gt;",Meetings!$E$5:$E$304,D42)</f>
        <v>0</v>
      </c>
    </row>
    <row r="43" customFormat="false" ht="15" hidden="false" customHeight="false" outlineLevel="0" collapsed="false">
      <c r="A43" s="68" t="s">
        <v>408</v>
      </c>
      <c r="B43" s="71" t="n">
        <f aca="false">COUNTIFS('EASM Findings'!$E$5:$E$304,"&lt;&gt;",'EASM Findings'!$U$5:$U$304,"&lt;&gt;Remediated",'EASM Findings'!$U$5:$U$304,"&lt;&gt;False Positive",'EASM Findings'!$U$5:$U$304,"&lt;&gt;Risk Accepted",'EASM Findings'!$L$5:$L$304,"Critical")+COUNTIFS('EASM Findings'!$E$5:$E$304,"&lt;&gt;",'EASM Findings'!$U$5:$U$304,"&lt;&gt;Remediated",'EASM Findings'!$U$5:$U$304,"&lt;&gt;False Positive",'EASM Findings'!$U$5:$U$304,"&lt;&gt;Risk Accepted",'EASM Findings'!$L$5:$L$304,"High")</f>
        <v>1</v>
      </c>
      <c r="D43" s="68" t="s">
        <v>409</v>
      </c>
      <c r="E43" s="70" t="n">
        <f aca="false">COUNTIFS(Meetings!$G$5:$G$304,"&lt;&gt;",Meetings!$E$5:$E$304,D43)</f>
        <v>0</v>
      </c>
    </row>
    <row r="44" customFormat="false" ht="15" hidden="false" customHeight="false" outlineLevel="0" collapsed="false">
      <c r="A44" s="68" t="s">
        <v>410</v>
      </c>
      <c r="B44" s="71" t="n">
        <f aca="false">COUNTIFS('EASM Findings'!$E$5:$E$304,"&lt;&gt;",'EASM Findings'!$U$5:$U$304,"&lt;&gt;Remediated",'EASM Findings'!$U$5:$U$304,"&lt;&gt;False Positive",'EASM Findings'!$U$5:$U$304,"&lt;&gt;Risk Accepted",'EASM Findings'!$M$5:$M$304,"Yes")</f>
        <v>0</v>
      </c>
      <c r="D44" s="68" t="s">
        <v>411</v>
      </c>
      <c r="E44" s="70" t="n">
        <f aca="false">COUNTIFS(Meetings!$G$5:$G$304,"&lt;&gt;",Meetings!$E$5:$E$304,D44)</f>
        <v>0</v>
      </c>
    </row>
    <row r="45" customFormat="false" ht="15" hidden="false" customHeight="false" outlineLevel="0" collapsed="false">
      <c r="A45" s="68" t="s">
        <v>412</v>
      </c>
      <c r="B45" s="71" t="n">
        <f aca="false">COUNTIF('EASM Findings'!$AA$5:$AA$304,"SLA BREACH")</f>
        <v>0</v>
      </c>
    </row>
    <row r="46" customFormat="false" ht="15" hidden="false" customHeight="false" outlineLevel="0" collapsed="false">
      <c r="A46" s="68" t="s">
        <v>413</v>
      </c>
      <c r="B46" s="71" t="n">
        <f aca="false">COUNTIF('EASM Findings'!$I$5:$I$304,"No")</f>
        <v>1</v>
      </c>
      <c r="D46" s="67" t="s">
        <v>414</v>
      </c>
      <c r="E46" s="67" t="s">
        <v>111</v>
      </c>
    </row>
    <row r="47" customFormat="false" ht="15" hidden="false" customHeight="false" outlineLevel="0" collapsed="false">
      <c r="A47" s="68" t="s">
        <v>415</v>
      </c>
      <c r="B47" s="72" t="n">
        <f aca="false">IFERROR(COUNTIF('EASM Findings'!$I$5:$I$304,"No")/COUNTA('EASM Findings'!$E$5:$E$304),0)</f>
        <v>1</v>
      </c>
      <c r="D47" s="68" t="s">
        <v>360</v>
      </c>
      <c r="E47" s="70" t="n">
        <f aca="false">COUNTIFS(Tasks!$F$5:$F$304,"&lt;&gt;",Tasks!$J$5:$J$304,D47,Tasks!$K$5:$K$304,"&lt;&gt;Completed",Tasks!$K$5:$K$304,"&lt;&gt;Cancelled")</f>
        <v>0</v>
      </c>
    </row>
    <row r="48" customFormat="false" ht="15" hidden="false" customHeight="false" outlineLevel="0" collapsed="false">
      <c r="A48" s="68" t="s">
        <v>416</v>
      </c>
      <c r="B48" s="71" t="n">
        <f aca="false">COUNTIF('EASM Findings'!$U$5:$U$304,"Risk Accepted")</f>
        <v>0</v>
      </c>
      <c r="D48" s="68" t="s">
        <v>362</v>
      </c>
      <c r="E48" s="70" t="n">
        <f aca="false">COUNTIFS(Tasks!$F$5:$F$304,"&lt;&gt;",Tasks!$J$5:$J$304,D48,Tasks!$K$5:$K$304,"&lt;&gt;Completed",Tasks!$K$5:$K$304,"&lt;&gt;Cancelled")</f>
        <v>1</v>
      </c>
    </row>
    <row r="49" customFormat="false" ht="15" hidden="false" customHeight="false" outlineLevel="0" collapsed="false">
      <c r="A49" s="68" t="s">
        <v>417</v>
      </c>
      <c r="B49" s="71" t="n">
        <f aca="false">IFERROR(AVERAGE('EASM Findings'!$Z$5:$Z$304),"-")</f>
        <v>4</v>
      </c>
      <c r="D49" s="68" t="s">
        <v>364</v>
      </c>
      <c r="E49" s="70" t="n">
        <f aca="false">COUNTIFS(Tasks!$F$5:$F$304,"&lt;&gt;",Tasks!$J$5:$J$304,D49,Tasks!$K$5:$K$304,"&lt;&gt;Completed",Tasks!$K$5:$K$304,"&lt;&gt;Cancelled")</f>
        <v>0</v>
      </c>
    </row>
    <row r="50" customFormat="false" ht="15" hidden="false" customHeight="false" outlineLevel="0" collapsed="false">
      <c r="D50" s="68" t="s">
        <v>366</v>
      </c>
      <c r="E50" s="70" t="n">
        <f aca="false">COUNTIFS(Tasks!$F$5:$F$304,"&lt;&gt;",Tasks!$J$5:$J$304,D50,Tasks!$K$5:$K$304,"&lt;&gt;Completed",Tasks!$K$5:$K$304,"&lt;&gt;Cancelled")</f>
        <v>0</v>
      </c>
    </row>
    <row r="51" customFormat="false" ht="15" hidden="false" customHeight="false" outlineLevel="0" collapsed="false">
      <c r="A51" s="67" t="s">
        <v>418</v>
      </c>
      <c r="B51" s="4"/>
    </row>
    <row r="52" customFormat="false" ht="15" hidden="false" customHeight="false" outlineLevel="0" collapsed="false">
      <c r="A52" s="68" t="s">
        <v>419</v>
      </c>
      <c r="B52" s="71" t="n">
        <f aca="false">COUNTA(Developments!$E$5:$E$304)</f>
        <v>1</v>
      </c>
    </row>
    <row r="53" customFormat="false" ht="15" hidden="false" customHeight="false" outlineLevel="0" collapsed="false">
      <c r="A53" s="68" t="s">
        <v>420</v>
      </c>
      <c r="B53" s="71" t="n">
        <f aca="false">COUNT(Developments!$X$5:$X$304)</f>
        <v>1</v>
      </c>
    </row>
    <row r="54" customFormat="false" ht="15" hidden="false" customHeight="false" outlineLevel="0" collapsed="false">
      <c r="A54" s="68" t="s">
        <v>421</v>
      </c>
      <c r="B54" s="71" t="n">
        <f aca="false">COUNTIF(Developments!$T$5:$T$304,"Yes")</f>
        <v>1</v>
      </c>
    </row>
    <row r="55" customFormat="false" ht="15" hidden="false" customHeight="false" outlineLevel="0" collapsed="false">
      <c r="A55" s="68" t="s">
        <v>422</v>
      </c>
      <c r="B55" s="71" t="n">
        <f aca="false">COUNTIF('EASM Findings'!$Q$5:$Q$304,"Breach*")+COUNTIF(Developments!$L$5:$L$304,"Breach*")</f>
        <v>0</v>
      </c>
    </row>
  </sheetData>
  <conditionalFormatting sqref="B5">
    <cfRule type="cellIs" priority="2" operator="equal" aboveAverage="0" equalAverage="0" bottom="0" percent="0" rank="0" text="" dxfId="11">
      <formula>"Green"</formula>
    </cfRule>
    <cfRule type="cellIs" priority="3" operator="equal" aboveAverage="0" equalAverage="0" bottom="0" percent="0" rank="0" text="" dxfId="12">
      <formula>"Amber"</formula>
    </cfRule>
    <cfRule type="cellIs" priority="4" operator="equal" aboveAverage="0" equalAverage="0" bottom="0" percent="0" rank="0" text="" dxfId="13">
      <formula>"Red"</formula>
    </cfRule>
  </conditionalFormatting>
  <conditionalFormatting sqref="B6">
    <cfRule type="cellIs" priority="5" operator="equal" aboveAverage="0" equalAverage="0" bottom="0" percent="0" rank="0" text="" dxfId="11">
      <formula>"Green"</formula>
    </cfRule>
    <cfRule type="cellIs" priority="6" operator="equal" aboveAverage="0" equalAverage="0" bottom="0" percent="0" rank="0" text="" dxfId="12">
      <formula>"Amber"</formula>
    </cfRule>
    <cfRule type="cellIs" priority="7" operator="equal" aboveAverage="0" equalAverage="0" bottom="0" percent="0" rank="0" text="" dxfId="13">
      <formula>"Red"</formula>
    </cfRule>
  </conditionalFormatting>
  <conditionalFormatting sqref="B17">
    <cfRule type="cellIs" priority="8" operator="greaterThan" aboveAverage="0" equalAverage="0" bottom="0" percent="0" rank="0" text="" dxfId="13">
      <formula>0</formula>
    </cfRule>
  </conditionalFormatting>
  <conditionalFormatting sqref="B22">
    <cfRule type="cellIs" priority="9" operator="greaterThan" aboveAverage="0" equalAverage="0" bottom="0" percent="0" rank="0" text="" dxfId="13">
      <formula>0</formula>
    </cfRule>
  </conditionalFormatting>
  <conditionalFormatting sqref="B29">
    <cfRule type="cellIs" priority="10" operator="greaterThan" aboveAverage="0" equalAverage="0" bottom="0" percent="0" rank="0" text="" dxfId="13">
      <formula>0</formula>
    </cfRule>
  </conditionalFormatting>
  <conditionalFormatting sqref="B43">
    <cfRule type="cellIs" priority="11" operator="greaterThan" aboveAverage="0" equalAverage="0" bottom="0" percent="0" rank="0" text="" dxfId="13">
      <formula>0</formula>
    </cfRule>
  </conditionalFormatting>
  <conditionalFormatting sqref="B44">
    <cfRule type="cellIs" priority="12" operator="greaterThan" aboveAverage="0" equalAverage="0" bottom="0" percent="0" rank="0" text="" dxfId="13">
      <formula>0</formula>
    </cfRule>
  </conditionalFormatting>
  <conditionalFormatting sqref="B45">
    <cfRule type="cellIs" priority="13" operator="greaterThan" aboveAverage="0" equalAverage="0" bottom="0" percent="0" rank="0" text="" dxfId="13">
      <formula>0</formula>
    </cfRule>
  </conditionalFormatting>
  <conditionalFormatting sqref="B55">
    <cfRule type="cellIs" priority="14" operator="greater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53" t="s">
        <v>423</v>
      </c>
    </row>
    <row r="2" customFormat="false" ht="15" hidden="false" customHeight="false" outlineLevel="0" collapsed="false">
      <c r="A2" s="2" t="s">
        <v>424</v>
      </c>
    </row>
    <row r="5" customFormat="false" ht="15" hidden="false" customHeight="false" outlineLevel="0" collapsed="false">
      <c r="A5" s="74" t="s">
        <v>425</v>
      </c>
      <c r="B5" s="75" t="s">
        <v>426</v>
      </c>
    </row>
    <row r="6" customFormat="false" ht="15" hidden="false" customHeight="false" outlineLevel="0" collapsed="false">
      <c r="A6" s="74" t="s">
        <v>427</v>
      </c>
      <c r="B6" s="76"/>
    </row>
    <row r="7" customFormat="false" ht="15" hidden="false" customHeight="false" outlineLevel="0" collapsed="false">
      <c r="A7" s="74" t="s">
        <v>428</v>
      </c>
      <c r="B7" s="76"/>
    </row>
    <row r="8" customFormat="false" ht="15" hidden="false" customHeight="false" outlineLevel="0" collapsed="false">
      <c r="A8" s="74" t="s">
        <v>429</v>
      </c>
      <c r="B8" s="76"/>
    </row>
    <row r="9" customFormat="false" ht="15" hidden="false" customHeight="false" outlineLevel="0" collapsed="false">
      <c r="A9" s="74" t="s">
        <v>430</v>
      </c>
      <c r="B9" s="77" t="n">
        <v>46296</v>
      </c>
    </row>
    <row r="10" customFormat="false" ht="15" hidden="false" customHeight="false" outlineLevel="0" collapsed="false">
      <c r="A10" s="74" t="s">
        <v>431</v>
      </c>
      <c r="B10" s="77" t="n">
        <v>46477</v>
      </c>
    </row>
    <row r="11" customFormat="false" ht="15" hidden="false" customHeight="false" outlineLevel="0" collapsed="false">
      <c r="A11" s="74" t="s">
        <v>86</v>
      </c>
      <c r="B11" s="78" t="n">
        <f aca="true">IF(B9="","",TODAY()-B9)</f>
        <v>19</v>
      </c>
    </row>
    <row r="12" customFormat="false" ht="15" hidden="false" customHeight="false" outlineLevel="0" collapsed="false">
      <c r="A12" s="74" t="s">
        <v>87</v>
      </c>
      <c r="B12" s="78" t="n">
        <f aca="true">IF(B10="","",B10-TODAY())</f>
        <v>162</v>
      </c>
    </row>
    <row r="13" customFormat="false" ht="15" hidden="false" customHeight="false" outlineLevel="0" collapsed="false">
      <c r="A13" s="74" t="s">
        <v>88</v>
      </c>
      <c r="B13" s="79" t="n">
        <f aca="true">IF(OR(B9="",B10="",B10=B9),"",MAX(0,MIN(1,(TODAY()-B9)/(B10-B9))))</f>
        <v>0.104972375690608</v>
      </c>
    </row>
    <row r="14" customFormat="false" ht="45" hidden="false" customHeight="true" outlineLevel="0" collapsed="false">
      <c r="A14" s="74" t="s">
        <v>432</v>
      </c>
      <c r="B14" s="76"/>
    </row>
    <row r="15" customFormat="false" ht="45" hidden="false" customHeight="true" outlineLevel="0" collapsed="false">
      <c r="A15" s="74" t="s">
        <v>433</v>
      </c>
      <c r="B15" s="76"/>
    </row>
    <row r="16" customFormat="false" ht="15" hidden="false" customHeight="false" outlineLevel="0" collapsed="false">
      <c r="A16" s="74" t="s">
        <v>434</v>
      </c>
      <c r="B16" s="76"/>
    </row>
    <row r="17" customFormat="false" ht="45" hidden="false" customHeight="true" outlineLevel="0" collapsed="false">
      <c r="A17" s="74" t="s">
        <v>435</v>
      </c>
      <c r="B17" s="75" t="s">
        <v>436</v>
      </c>
    </row>
    <row r="18" customFormat="false" ht="15" hidden="false" customHeight="false" outlineLevel="0" collapsed="false">
      <c r="A18" s="74" t="s">
        <v>437</v>
      </c>
      <c r="B18" s="76"/>
    </row>
    <row r="19" customFormat="false" ht="15" hidden="false" customHeight="false" outlineLevel="0" collapsed="false">
      <c r="A19" s="74" t="s">
        <v>438</v>
      </c>
      <c r="B19" s="76"/>
    </row>
    <row r="20" customFormat="false" ht="15" hidden="false" customHeight="false" outlineLevel="0" collapsed="false">
      <c r="A20" s="74" t="s">
        <v>439</v>
      </c>
      <c r="B20" s="76"/>
    </row>
    <row r="21" customFormat="false" ht="23.85" hidden="false" customHeight="false" outlineLevel="0" collapsed="false">
      <c r="A21" s="74" t="s">
        <v>440</v>
      </c>
      <c r="B21" s="76"/>
    </row>
    <row r="22" customFormat="false" ht="45" hidden="false" customHeight="true" outlineLevel="0" collapsed="false">
      <c r="A22" s="74" t="s">
        <v>441</v>
      </c>
      <c r="B22" s="76"/>
    </row>
    <row r="23" customFormat="false" ht="15" hidden="false" customHeight="false" outlineLevel="0" collapsed="false">
      <c r="A23" s="74" t="s">
        <v>442</v>
      </c>
      <c r="B23" s="76"/>
    </row>
    <row r="24" customFormat="false" ht="15" hidden="false" customHeight="false" outlineLevel="0" collapsed="false">
      <c r="A24" s="74" t="s">
        <v>443</v>
      </c>
      <c r="B24" s="76"/>
    </row>
    <row r="26" customFormat="false" ht="16.15" hidden="false" customHeight="false" outlineLevel="0" collapsed="false">
      <c r="A26" s="80" t="s">
        <v>444</v>
      </c>
    </row>
    <row r="27" customFormat="false" ht="15" hidden="false" customHeight="false" outlineLevel="0" collapsed="false">
      <c r="A27" s="81" t="s">
        <v>92</v>
      </c>
      <c r="B27" s="81" t="s">
        <v>445</v>
      </c>
      <c r="C27" s="81" t="s">
        <v>446</v>
      </c>
      <c r="D27" s="81" t="s">
        <v>447</v>
      </c>
      <c r="E27" s="81" t="s">
        <v>448</v>
      </c>
      <c r="F27" s="81" t="s">
        <v>94</v>
      </c>
      <c r="G27" s="81" t="s">
        <v>449</v>
      </c>
    </row>
    <row r="28" customFormat="false" ht="15" hidden="false" customHeight="false" outlineLevel="0" collapsed="false">
      <c r="A28" s="60" t="s">
        <v>450</v>
      </c>
      <c r="B28" s="60" t="s">
        <v>451</v>
      </c>
      <c r="C28" s="82" t="n">
        <v>46296</v>
      </c>
      <c r="D28" s="82" t="n">
        <v>46312</v>
      </c>
      <c r="E28" s="82" t="n">
        <v>46311</v>
      </c>
      <c r="F28" s="59" t="s">
        <v>144</v>
      </c>
      <c r="G28" s="83" t="n">
        <f aca="false">IF(OR(D28="",E28=""),"",E28-D28)</f>
        <v>-1</v>
      </c>
    </row>
    <row r="29" customFormat="false" ht="15" hidden="false" customHeight="false" outlineLevel="0" collapsed="false">
      <c r="A29" s="60" t="s">
        <v>452</v>
      </c>
      <c r="B29" s="60" t="s">
        <v>453</v>
      </c>
      <c r="C29" s="82" t="n">
        <v>46307</v>
      </c>
      <c r="D29" s="82" t="n">
        <v>46340</v>
      </c>
      <c r="E29" s="82"/>
      <c r="F29" s="59" t="s">
        <v>352</v>
      </c>
      <c r="G29" s="83" t="str">
        <f aca="false">IF(OR(D29="",E29=""),"",E29-D29)</f>
        <v/>
      </c>
    </row>
    <row r="30" customFormat="false" ht="15" hidden="false" customHeight="false" outlineLevel="0" collapsed="false">
      <c r="A30" s="60" t="s">
        <v>454</v>
      </c>
      <c r="B30" s="60" t="s">
        <v>455</v>
      </c>
      <c r="C30" s="82" t="n">
        <v>46328</v>
      </c>
      <c r="D30" s="82" t="n">
        <v>46375</v>
      </c>
      <c r="E30" s="82"/>
      <c r="F30" s="59" t="s">
        <v>350</v>
      </c>
      <c r="G30" s="83" t="str">
        <f aca="false">IF(OR(D30="",E30=""),"",E30-D30)</f>
        <v/>
      </c>
    </row>
    <row r="31" customFormat="false" ht="23.85" hidden="false" customHeight="false" outlineLevel="0" collapsed="false">
      <c r="A31" s="60" t="s">
        <v>456</v>
      </c>
      <c r="B31" s="60" t="s">
        <v>457</v>
      </c>
      <c r="C31" s="82" t="n">
        <v>46356</v>
      </c>
      <c r="D31" s="82" t="n">
        <v>46416</v>
      </c>
      <c r="E31" s="82"/>
      <c r="F31" s="59" t="s">
        <v>350</v>
      </c>
      <c r="G31" s="83" t="str">
        <f aca="false">IF(OR(D31="",E31=""),"",E31-D31)</f>
        <v/>
      </c>
    </row>
    <row r="32" customFormat="false" ht="15" hidden="false" customHeight="false" outlineLevel="0" collapsed="false">
      <c r="A32" s="60" t="s">
        <v>458</v>
      </c>
      <c r="B32" s="60" t="s">
        <v>459</v>
      </c>
      <c r="C32" s="82" t="n">
        <v>46391</v>
      </c>
      <c r="D32" s="82" t="n">
        <v>46458</v>
      </c>
      <c r="E32" s="82"/>
      <c r="F32" s="59" t="s">
        <v>350</v>
      </c>
      <c r="G32" s="83" t="str">
        <f aca="false">IF(OR(D32="",E32=""),"",E32-D32)</f>
        <v/>
      </c>
    </row>
    <row r="33" customFormat="false" ht="15" hidden="false" customHeight="false" outlineLevel="0" collapsed="false">
      <c r="A33" s="60" t="s">
        <v>460</v>
      </c>
      <c r="B33" s="60" t="s">
        <v>461</v>
      </c>
      <c r="C33" s="82" t="n">
        <v>46447</v>
      </c>
      <c r="D33" s="82" t="n">
        <v>46477</v>
      </c>
      <c r="E33" s="82"/>
      <c r="F33" s="59" t="s">
        <v>350</v>
      </c>
      <c r="G33" s="83" t="str">
        <f aca="false">IF(OR(D33="",E33=""),"",E33-D33)</f>
        <v/>
      </c>
    </row>
    <row r="35" customFormat="false" ht="15" hidden="false" customHeight="false" outlineLevel="0" collapsed="false">
      <c r="A35" s="66" t="s">
        <v>462</v>
      </c>
    </row>
  </sheetData>
  <conditionalFormatting sqref="F28:F33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1">
      <formula>"Achieved"</formula>
    </cfRule>
    <cfRule type="cellIs" priority="4" operator="equal" aboveAverage="0" equalAverage="0" bottom="0" percent="0" rank="0" text="" dxfId="1">
      <formula>"Remediated"</formula>
    </cfRule>
    <cfRule type="cellIs" priority="5" operator="equal" aboveAverage="0" equalAverage="0" bottom="0" percent="0" rank="0" text="" dxfId="1">
      <formula>"Responded"</formula>
    </cfRule>
    <cfRule type="cellIs" priority="6" operator="equal" aboveAverage="0" equalAverage="0" bottom="0" percent="0" rank="0" text="" dxfId="1">
      <formula>"Closed"</formula>
    </cfRule>
    <cfRule type="cellIs" priority="7" operator="equal" aboveAverage="0" equalAverage="0" bottom="0" percent="0" rank="0" text="" dxfId="1">
      <formula>"Decided"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2">
      <formula>"Remediation In Progress"</formula>
    </cfRule>
    <cfRule type="cellIs" priority="10" operator="equal" aboveAverage="0" equalAverage="0" bottom="0" percent="0" rank="0" text="" dxfId="2">
      <formula>"At Risk"</formula>
    </cfRule>
    <cfRule type="cellIs" priority="11" operator="equal" aboveAverage="0" equalAverage="0" bottom="0" percent="0" rank="0" text="" dxfId="2">
      <formula>"Validating"</formula>
    </cfRule>
    <cfRule type="cellIs" priority="12" operator="equal" aboveAverage="0" equalAverage="0" bottom="0" percent="0" rank="0" text="" dxfId="2">
      <formula>"Awaiting Response"</formula>
    </cfRule>
    <cfRule type="cellIs" priority="13" operator="equal" aboveAverage="0" equalAverage="0" bottom="0" percent="0" rank="0" text="" dxfId="2">
      <formula>"Open"</formula>
    </cfRule>
    <cfRule type="cellIs" priority="14" operator="equal" aboveAverage="0" equalAverage="0" bottom="0" percent="0" rank="0" text="" dxfId="3">
      <formula>"Blocked"</formula>
    </cfRule>
    <cfRule type="cellIs" priority="15" operator="equal" aboveAverage="0" equalAverage="0" bottom="0" percent="0" rank="0" text="" dxfId="3">
      <formula>"Off Track"</formula>
    </cfRule>
    <cfRule type="cellIs" priority="16" operator="equal" aboveAverage="0" equalAverage="0" bottom="0" percent="0" rank="0" text="" dxfId="3">
      <formula>"Escalated"</formula>
    </cfRule>
    <cfRule type="cellIs" priority="17" operator="equal" aboveAverage="0" equalAverage="0" bottom="0" percent="0" rank="0" text="" dxfId="3">
      <formula>"Confirmed"</formula>
    </cfRule>
    <cfRule type="cellIs" priority="18" operator="equal" aboveAverage="0" equalAverage="0" bottom="0" percent="0" rank="0" text="" dxfId="3">
      <formula>"Delayed"</formula>
    </cfRule>
    <cfRule type="cellIs" priority="19" operator="equal" aboveAverage="0" equalAverage="0" bottom="0" percent="0" rank="0" text="" dxfId="4">
      <formula>"Cancelled"</formula>
    </cfRule>
    <cfRule type="cellIs" priority="20" operator="equal" aboveAverage="0" equalAverage="0" bottom="0" percent="0" rank="0" text="" dxfId="4">
      <formula>"False Positive"</formula>
    </cfRule>
    <cfRule type="cellIs" priority="21" operator="equal" aboveAverage="0" equalAverage="0" bottom="0" percent="0" rank="0" text="" dxfId="4">
      <formula>"Deferred"</formula>
    </cfRule>
    <cfRule type="cellIs" priority="22" operator="equal" aboveAverage="0" equalAverage="0" bottom="0" percent="0" rank="0" text="" dxfId="4">
      <formula>"On Hold"</formula>
    </cfRule>
    <cfRule type="cellIs" priority="23" operator="equal" aboveAverage="0" equalAverage="0" bottom="0" percent="0" rank="0" text="" dxfId="4">
      <formula>"Withdrawn"</formula>
    </cfRule>
  </conditionalFormatting>
  <conditionalFormatting sqref="G28:G33">
    <cfRule type="cellIs" priority="24" operator="greaterThan" aboveAverage="0" equalAverage="0" bottom="0" percent="0" rank="0" text="" dxfId="5">
      <formula>0</formula>
    </cfRule>
  </conditionalFormatting>
  <dataValidations count="3">
    <dataValidation allowBlank="true" errorStyle="stop" operator="greaterThan" showDropDown="false" showErrorMessage="false" showInputMessage="false" sqref="B9" type="date">
      <formula1>DATE(2000,1,1)</formula1>
      <formula2>0</formula2>
    </dataValidation>
    <dataValidation allowBlank="true" errorStyle="stop" operator="greaterThan" showDropDown="false" showErrorMessage="false" showInputMessage="false" sqref="B10" type="date">
      <formula1>DATE(2000,1,1)</formula1>
      <formula2>0</formula2>
    </dataValidation>
    <dataValidation allowBlank="true" errorStyle="stop" operator="between" showDropDown="false" showErrorMessage="false" showInputMessage="false" sqref="F28:F33" type="list">
      <formula1>Lists!$AA$4:$AA$8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T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32"/>
    <col collapsed="false" customWidth="true" hidden="false" outlineLevel="0" max="6" min="6" style="0" width="8"/>
    <col collapsed="false" customWidth="true" hidden="false" outlineLevel="0" max="11" min="7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13"/>
    <col collapsed="false" customWidth="true" hidden="false" outlineLevel="0" max="19" min="19" style="0" width="36"/>
    <col collapsed="false" customWidth="true" hidden="true" outlineLevel="1" max="20" min="20" style="0" width="8"/>
  </cols>
  <sheetData>
    <row r="1" customFormat="false" ht="19.7" hidden="false" customHeight="false" outlineLevel="0" collapsed="false">
      <c r="A1" s="53" t="s">
        <v>122</v>
      </c>
    </row>
    <row r="2" customFormat="false" ht="15" hidden="false" customHeight="false" outlineLevel="0" collapsed="false">
      <c r="A2" s="2" t="s">
        <v>463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464</v>
      </c>
      <c r="B4" s="55" t="s">
        <v>465</v>
      </c>
      <c r="C4" s="55" t="s">
        <v>142</v>
      </c>
      <c r="D4" s="55" t="s">
        <v>466</v>
      </c>
      <c r="E4" s="55" t="s">
        <v>467</v>
      </c>
      <c r="F4" s="55" t="s">
        <v>468</v>
      </c>
      <c r="G4" s="55" t="s">
        <v>469</v>
      </c>
      <c r="H4" s="55" t="s">
        <v>470</v>
      </c>
      <c r="I4" s="55" t="s">
        <v>471</v>
      </c>
      <c r="J4" s="55" t="s">
        <v>472</v>
      </c>
      <c r="K4" s="55" t="s">
        <v>473</v>
      </c>
      <c r="L4" s="55" t="s">
        <v>474</v>
      </c>
      <c r="M4" s="55" t="s">
        <v>143</v>
      </c>
      <c r="N4" s="55" t="s">
        <v>475</v>
      </c>
      <c r="O4" s="55" t="s">
        <v>476</v>
      </c>
      <c r="P4" s="55" t="s">
        <v>94</v>
      </c>
      <c r="Q4" s="55" t="s">
        <v>477</v>
      </c>
      <c r="R4" s="55" t="s">
        <v>478</v>
      </c>
      <c r="S4" s="55" t="s">
        <v>155</v>
      </c>
      <c r="T4" s="84" t="s">
        <v>479</v>
      </c>
    </row>
    <row r="5" customFormat="false" ht="35.05" hidden="false" customHeight="false" outlineLevel="0" collapsed="false">
      <c r="A5" s="56" t="s">
        <v>480</v>
      </c>
      <c r="B5" s="59" t="s">
        <v>481</v>
      </c>
      <c r="C5" s="58" t="s">
        <v>482</v>
      </c>
      <c r="D5" s="59" t="s">
        <v>483</v>
      </c>
      <c r="E5" s="59" t="s">
        <v>484</v>
      </c>
      <c r="F5" s="58" t="s">
        <v>485</v>
      </c>
      <c r="G5" s="58" t="n">
        <v>62</v>
      </c>
      <c r="H5" s="58" t="n">
        <v>95</v>
      </c>
      <c r="I5" s="58" t="n">
        <v>66</v>
      </c>
      <c r="J5" s="58" t="n">
        <v>70</v>
      </c>
      <c r="K5" s="85" t="n">
        <f aca="false">IF(OR(J5="",I5=""),"",J5-I5)</f>
        <v>4</v>
      </c>
      <c r="L5" s="86" t="n">
        <f aca="false">IF(OR(G5="",H5="",J5=""),"",IF(H5=G5,"",MAX(0,MIN(1,(J5-G5)/(H5-G5)))))</f>
        <v>0.242424242424242</v>
      </c>
      <c r="M5" s="58" t="s">
        <v>486</v>
      </c>
      <c r="N5" s="57" t="n">
        <v>46387</v>
      </c>
      <c r="O5" s="87" t="n">
        <f aca="true">IF(N5="","",N5-TODAY())</f>
        <v>72</v>
      </c>
      <c r="P5" s="58" t="s">
        <v>387</v>
      </c>
      <c r="Q5" s="59" t="s">
        <v>487</v>
      </c>
      <c r="R5" s="57" t="n">
        <v>46314</v>
      </c>
      <c r="S5" s="59" t="s">
        <v>488</v>
      </c>
      <c r="T5" s="88" t="n">
        <f aca="false">IF(AND(B5&lt;&gt;"",AND(R5&lt;&gt;"",R5&gt;='Weekly Report'!$F$4,R5&lt;='Weekly Report'!$F$5)),ROW(),"")</f>
        <v>5</v>
      </c>
    </row>
    <row r="6" customFormat="false" ht="15" hidden="false" customHeight="false" outlineLevel="0" collapsed="false">
      <c r="A6" s="56" t="s">
        <v>489</v>
      </c>
      <c r="B6" s="60"/>
      <c r="C6" s="61"/>
      <c r="D6" s="60"/>
      <c r="E6" s="60"/>
      <c r="F6" s="61"/>
      <c r="G6" s="61"/>
      <c r="H6" s="61"/>
      <c r="I6" s="61"/>
      <c r="J6" s="61"/>
      <c r="K6" s="85" t="str">
        <f aca="false">IF(OR(J6="",I6=""),"",J6-I6)</f>
        <v/>
      </c>
      <c r="L6" s="86" t="str">
        <f aca="false">IF(OR(G6="",H6="",J6=""),"",IF(H6=G6,"",MAX(0,MIN(1,(J6-G6)/(H6-G6)))))</f>
        <v/>
      </c>
      <c r="M6" s="61"/>
      <c r="N6" s="63"/>
      <c r="O6" s="87" t="str">
        <f aca="true">IF(N6="","",N6-TODAY())</f>
        <v/>
      </c>
      <c r="P6" s="61"/>
      <c r="Q6" s="60"/>
      <c r="R6" s="63"/>
      <c r="S6" s="60"/>
      <c r="T6" s="88" t="str">
        <f aca="false">IF(AND(B6&lt;&gt;"",AND(R6&lt;&gt;"",R6&gt;='Weekly Report'!$F$4,R6&lt;='Weekly Report'!$F$5)),ROW(),"")</f>
        <v/>
      </c>
    </row>
    <row r="7" customFormat="false" ht="15" hidden="false" customHeight="false" outlineLevel="0" collapsed="false">
      <c r="A7" s="56" t="s">
        <v>490</v>
      </c>
      <c r="B7" s="60"/>
      <c r="C7" s="61"/>
      <c r="D7" s="60"/>
      <c r="E7" s="60"/>
      <c r="F7" s="61"/>
      <c r="G7" s="61"/>
      <c r="H7" s="61"/>
      <c r="I7" s="61"/>
      <c r="J7" s="61"/>
      <c r="K7" s="85" t="str">
        <f aca="false">IF(OR(J7="",I7=""),"",J7-I7)</f>
        <v/>
      </c>
      <c r="L7" s="86" t="str">
        <f aca="false">IF(OR(G7="",H7="",J7=""),"",IF(H7=G7,"",MAX(0,MIN(1,(J7-G7)/(H7-G7)))))</f>
        <v/>
      </c>
      <c r="M7" s="61"/>
      <c r="N7" s="63"/>
      <c r="O7" s="87" t="str">
        <f aca="true">IF(N7="","",N7-TODAY())</f>
        <v/>
      </c>
      <c r="P7" s="61"/>
      <c r="Q7" s="60"/>
      <c r="R7" s="63"/>
      <c r="S7" s="60"/>
      <c r="T7" s="88" t="str">
        <f aca="false">IF(AND(B7&lt;&gt;"",AND(R7&lt;&gt;"",R7&gt;='Weekly Report'!$F$4,R7&lt;='Weekly Report'!$F$5)),ROW(),"")</f>
        <v/>
      </c>
    </row>
    <row r="8" customFormat="false" ht="15" hidden="false" customHeight="false" outlineLevel="0" collapsed="false">
      <c r="A8" s="56" t="s">
        <v>491</v>
      </c>
      <c r="B8" s="60"/>
      <c r="C8" s="61"/>
      <c r="D8" s="60"/>
      <c r="E8" s="60"/>
      <c r="F8" s="61"/>
      <c r="G8" s="61"/>
      <c r="H8" s="61"/>
      <c r="I8" s="61"/>
      <c r="J8" s="61"/>
      <c r="K8" s="85" t="str">
        <f aca="false">IF(OR(J8="",I8=""),"",J8-I8)</f>
        <v/>
      </c>
      <c r="L8" s="86" t="str">
        <f aca="false">IF(OR(G8="",H8="",J8=""),"",IF(H8=G8,"",MAX(0,MIN(1,(J8-G8)/(H8-G8)))))</f>
        <v/>
      </c>
      <c r="M8" s="61"/>
      <c r="N8" s="63"/>
      <c r="O8" s="87" t="str">
        <f aca="true">IF(N8="","",N8-TODAY())</f>
        <v/>
      </c>
      <c r="P8" s="61"/>
      <c r="Q8" s="60"/>
      <c r="R8" s="63"/>
      <c r="S8" s="60"/>
      <c r="T8" s="88" t="str">
        <f aca="false">IF(AND(B8&lt;&gt;"",AND(R8&lt;&gt;"",R8&gt;='Weekly Report'!$F$4,R8&lt;='Weekly Report'!$F$5)),ROW(),"")</f>
        <v/>
      </c>
    </row>
    <row r="9" customFormat="false" ht="15" hidden="false" customHeight="false" outlineLevel="0" collapsed="false">
      <c r="A9" s="56" t="s">
        <v>492</v>
      </c>
      <c r="B9" s="60"/>
      <c r="C9" s="61"/>
      <c r="D9" s="60"/>
      <c r="E9" s="60"/>
      <c r="F9" s="61"/>
      <c r="G9" s="61"/>
      <c r="H9" s="61"/>
      <c r="I9" s="61"/>
      <c r="J9" s="61"/>
      <c r="K9" s="85" t="str">
        <f aca="false">IF(OR(J9="",I9=""),"",J9-I9)</f>
        <v/>
      </c>
      <c r="L9" s="86" t="str">
        <f aca="false">IF(OR(G9="",H9="",J9=""),"",IF(H9=G9,"",MAX(0,MIN(1,(J9-G9)/(H9-G9)))))</f>
        <v/>
      </c>
      <c r="M9" s="61"/>
      <c r="N9" s="63"/>
      <c r="O9" s="87" t="str">
        <f aca="true">IF(N9="","",N9-TODAY())</f>
        <v/>
      </c>
      <c r="P9" s="61"/>
      <c r="Q9" s="60"/>
      <c r="R9" s="63"/>
      <c r="S9" s="60"/>
      <c r="T9" s="88" t="str">
        <f aca="false">IF(AND(B9&lt;&gt;"",AND(R9&lt;&gt;"",R9&gt;='Weekly Report'!$F$4,R9&lt;='Weekly Report'!$F$5)),ROW(),"")</f>
        <v/>
      </c>
    </row>
    <row r="10" customFormat="false" ht="15" hidden="false" customHeight="false" outlineLevel="0" collapsed="false">
      <c r="A10" s="56" t="s">
        <v>493</v>
      </c>
      <c r="B10" s="60"/>
      <c r="C10" s="61"/>
      <c r="D10" s="60"/>
      <c r="E10" s="60"/>
      <c r="F10" s="61"/>
      <c r="G10" s="61"/>
      <c r="H10" s="61"/>
      <c r="I10" s="61"/>
      <c r="J10" s="61"/>
      <c r="K10" s="85" t="str">
        <f aca="false">IF(OR(J10="",I10=""),"",J10-I10)</f>
        <v/>
      </c>
      <c r="L10" s="86" t="str">
        <f aca="false">IF(OR(G10="",H10="",J10=""),"",IF(H10=G10,"",MAX(0,MIN(1,(J10-G10)/(H10-G10)))))</f>
        <v/>
      </c>
      <c r="M10" s="61"/>
      <c r="N10" s="63"/>
      <c r="O10" s="87" t="str">
        <f aca="true">IF(N10="","",N10-TODAY())</f>
        <v/>
      </c>
      <c r="P10" s="61"/>
      <c r="Q10" s="60"/>
      <c r="R10" s="63"/>
      <c r="S10" s="60"/>
      <c r="T10" s="88" t="str">
        <f aca="false">IF(AND(B10&lt;&gt;"",AND(R10&lt;&gt;"",R10&gt;='Weekly Report'!$F$4,R10&lt;='Weekly Report'!$F$5)),ROW(),"")</f>
        <v/>
      </c>
    </row>
    <row r="11" customFormat="false" ht="15" hidden="false" customHeight="false" outlineLevel="0" collapsed="false">
      <c r="A11" s="56" t="s">
        <v>494</v>
      </c>
      <c r="B11" s="60"/>
      <c r="C11" s="61"/>
      <c r="D11" s="60"/>
      <c r="E11" s="60"/>
      <c r="F11" s="61"/>
      <c r="G11" s="61"/>
      <c r="H11" s="61"/>
      <c r="I11" s="61"/>
      <c r="J11" s="61"/>
      <c r="K11" s="85" t="str">
        <f aca="false">IF(OR(J11="",I11=""),"",J11-I11)</f>
        <v/>
      </c>
      <c r="L11" s="86" t="str">
        <f aca="false">IF(OR(G11="",H11="",J11=""),"",IF(H11=G11,"",MAX(0,MIN(1,(J11-G11)/(H11-G11)))))</f>
        <v/>
      </c>
      <c r="M11" s="61"/>
      <c r="N11" s="63"/>
      <c r="O11" s="87" t="str">
        <f aca="true">IF(N11="","",N11-TODAY())</f>
        <v/>
      </c>
      <c r="P11" s="61"/>
      <c r="Q11" s="60"/>
      <c r="R11" s="63"/>
      <c r="S11" s="60"/>
      <c r="T11" s="88" t="str">
        <f aca="false">IF(AND(B11&lt;&gt;"",AND(R11&lt;&gt;"",R11&gt;='Weekly Report'!$F$4,R11&lt;='Weekly Report'!$F$5)),ROW(),"")</f>
        <v/>
      </c>
    </row>
    <row r="12" customFormat="false" ht="15" hidden="false" customHeight="false" outlineLevel="0" collapsed="false">
      <c r="A12" s="56" t="s">
        <v>495</v>
      </c>
      <c r="B12" s="60"/>
      <c r="C12" s="61"/>
      <c r="D12" s="60"/>
      <c r="E12" s="60"/>
      <c r="F12" s="61"/>
      <c r="G12" s="61"/>
      <c r="H12" s="61"/>
      <c r="I12" s="61"/>
      <c r="J12" s="61"/>
      <c r="K12" s="85" t="str">
        <f aca="false">IF(OR(J12="",I12=""),"",J12-I12)</f>
        <v/>
      </c>
      <c r="L12" s="86" t="str">
        <f aca="false">IF(OR(G12="",H12="",J12=""),"",IF(H12=G12,"",MAX(0,MIN(1,(J12-G12)/(H12-G12)))))</f>
        <v/>
      </c>
      <c r="M12" s="61"/>
      <c r="N12" s="63"/>
      <c r="O12" s="87" t="str">
        <f aca="true">IF(N12="","",N12-TODAY())</f>
        <v/>
      </c>
      <c r="P12" s="61"/>
      <c r="Q12" s="60"/>
      <c r="R12" s="63"/>
      <c r="S12" s="60"/>
      <c r="T12" s="88" t="str">
        <f aca="false">IF(AND(B12&lt;&gt;"",AND(R12&lt;&gt;"",R12&gt;='Weekly Report'!$F$4,R12&lt;='Weekly Report'!$F$5)),ROW(),"")</f>
        <v/>
      </c>
    </row>
    <row r="13" customFormat="false" ht="15" hidden="false" customHeight="false" outlineLevel="0" collapsed="false">
      <c r="A13" s="56" t="s">
        <v>496</v>
      </c>
      <c r="B13" s="60"/>
      <c r="C13" s="61"/>
      <c r="D13" s="60"/>
      <c r="E13" s="60"/>
      <c r="F13" s="61"/>
      <c r="G13" s="61"/>
      <c r="H13" s="61"/>
      <c r="I13" s="61"/>
      <c r="J13" s="61"/>
      <c r="K13" s="85" t="str">
        <f aca="false">IF(OR(J13="",I13=""),"",J13-I13)</f>
        <v/>
      </c>
      <c r="L13" s="86" t="str">
        <f aca="false">IF(OR(G13="",H13="",J13=""),"",IF(H13=G13,"",MAX(0,MIN(1,(J13-G13)/(H13-G13)))))</f>
        <v/>
      </c>
      <c r="M13" s="61"/>
      <c r="N13" s="63"/>
      <c r="O13" s="87" t="str">
        <f aca="true">IF(N13="","",N13-TODAY())</f>
        <v/>
      </c>
      <c r="P13" s="61"/>
      <c r="Q13" s="60"/>
      <c r="R13" s="63"/>
      <c r="S13" s="60"/>
      <c r="T13" s="88" t="str">
        <f aca="false">IF(AND(B13&lt;&gt;"",AND(R13&lt;&gt;"",R13&gt;='Weekly Report'!$F$4,R13&lt;='Weekly Report'!$F$5)),ROW(),"")</f>
        <v/>
      </c>
    </row>
    <row r="14" customFormat="false" ht="15" hidden="false" customHeight="false" outlineLevel="0" collapsed="false">
      <c r="A14" s="56" t="s">
        <v>497</v>
      </c>
      <c r="B14" s="60"/>
      <c r="C14" s="61"/>
      <c r="D14" s="60"/>
      <c r="E14" s="60"/>
      <c r="F14" s="61"/>
      <c r="G14" s="61"/>
      <c r="H14" s="61"/>
      <c r="I14" s="61"/>
      <c r="J14" s="61"/>
      <c r="K14" s="85" t="str">
        <f aca="false">IF(OR(J14="",I14=""),"",J14-I14)</f>
        <v/>
      </c>
      <c r="L14" s="86" t="str">
        <f aca="false">IF(OR(G14="",H14="",J14=""),"",IF(H14=G14,"",MAX(0,MIN(1,(J14-G14)/(H14-G14)))))</f>
        <v/>
      </c>
      <c r="M14" s="61"/>
      <c r="N14" s="63"/>
      <c r="O14" s="87" t="str">
        <f aca="true">IF(N14="","",N14-TODAY())</f>
        <v/>
      </c>
      <c r="P14" s="61"/>
      <c r="Q14" s="60"/>
      <c r="R14" s="63"/>
      <c r="S14" s="60"/>
      <c r="T14" s="88" t="str">
        <f aca="false">IF(AND(B14&lt;&gt;"",AND(R14&lt;&gt;"",R14&gt;='Weekly Report'!$F$4,R14&lt;='Weekly Report'!$F$5)),ROW(),"")</f>
        <v/>
      </c>
    </row>
    <row r="15" customFormat="false" ht="15" hidden="false" customHeight="false" outlineLevel="0" collapsed="false">
      <c r="A15" s="56" t="s">
        <v>498</v>
      </c>
      <c r="B15" s="60"/>
      <c r="C15" s="61"/>
      <c r="D15" s="60"/>
      <c r="E15" s="60"/>
      <c r="F15" s="61"/>
      <c r="G15" s="61"/>
      <c r="H15" s="61"/>
      <c r="I15" s="61"/>
      <c r="J15" s="61"/>
      <c r="K15" s="85" t="str">
        <f aca="false">IF(OR(J15="",I15=""),"",J15-I15)</f>
        <v/>
      </c>
      <c r="L15" s="86" t="str">
        <f aca="false">IF(OR(G15="",H15="",J15=""),"",IF(H15=G15,"",MAX(0,MIN(1,(J15-G15)/(H15-G15)))))</f>
        <v/>
      </c>
      <c r="M15" s="61"/>
      <c r="N15" s="63"/>
      <c r="O15" s="87" t="str">
        <f aca="true">IF(N15="","",N15-TODAY())</f>
        <v/>
      </c>
      <c r="P15" s="61"/>
      <c r="Q15" s="60"/>
      <c r="R15" s="63"/>
      <c r="S15" s="60"/>
      <c r="T15" s="88" t="str">
        <f aca="false">IF(AND(B15&lt;&gt;"",AND(R15&lt;&gt;"",R15&gt;='Weekly Report'!$F$4,R15&lt;='Weekly Report'!$F$5)),ROW(),"")</f>
        <v/>
      </c>
    </row>
    <row r="16" customFormat="false" ht="15" hidden="false" customHeight="false" outlineLevel="0" collapsed="false">
      <c r="A16" s="56" t="s">
        <v>499</v>
      </c>
      <c r="B16" s="60"/>
      <c r="C16" s="61"/>
      <c r="D16" s="60"/>
      <c r="E16" s="60"/>
      <c r="F16" s="61"/>
      <c r="G16" s="61"/>
      <c r="H16" s="61"/>
      <c r="I16" s="61"/>
      <c r="J16" s="61"/>
      <c r="K16" s="85" t="str">
        <f aca="false">IF(OR(J16="",I16=""),"",J16-I16)</f>
        <v/>
      </c>
      <c r="L16" s="86" t="str">
        <f aca="false">IF(OR(G16="",H16="",J16=""),"",IF(H16=G16,"",MAX(0,MIN(1,(J16-G16)/(H16-G16)))))</f>
        <v/>
      </c>
      <c r="M16" s="61"/>
      <c r="N16" s="63"/>
      <c r="O16" s="87" t="str">
        <f aca="true">IF(N16="","",N16-TODAY())</f>
        <v/>
      </c>
      <c r="P16" s="61"/>
      <c r="Q16" s="60"/>
      <c r="R16" s="63"/>
      <c r="S16" s="60"/>
      <c r="T16" s="88" t="str">
        <f aca="false">IF(AND(B16&lt;&gt;"",AND(R16&lt;&gt;"",R16&gt;='Weekly Report'!$F$4,R16&lt;='Weekly Report'!$F$5)),ROW(),"")</f>
        <v/>
      </c>
    </row>
    <row r="17" customFormat="false" ht="15" hidden="false" customHeight="false" outlineLevel="0" collapsed="false">
      <c r="A17" s="56" t="s">
        <v>500</v>
      </c>
      <c r="B17" s="60"/>
      <c r="C17" s="61"/>
      <c r="D17" s="60"/>
      <c r="E17" s="60"/>
      <c r="F17" s="61"/>
      <c r="G17" s="61"/>
      <c r="H17" s="61"/>
      <c r="I17" s="61"/>
      <c r="J17" s="61"/>
      <c r="K17" s="85" t="str">
        <f aca="false">IF(OR(J17="",I17=""),"",J17-I17)</f>
        <v/>
      </c>
      <c r="L17" s="86" t="str">
        <f aca="false">IF(OR(G17="",H17="",J17=""),"",IF(H17=G17,"",MAX(0,MIN(1,(J17-G17)/(H17-G17)))))</f>
        <v/>
      </c>
      <c r="M17" s="61"/>
      <c r="N17" s="63"/>
      <c r="O17" s="87" t="str">
        <f aca="true">IF(N17="","",N17-TODAY())</f>
        <v/>
      </c>
      <c r="P17" s="61"/>
      <c r="Q17" s="60"/>
      <c r="R17" s="63"/>
      <c r="S17" s="60"/>
      <c r="T17" s="88" t="str">
        <f aca="false">IF(AND(B17&lt;&gt;"",AND(R17&lt;&gt;"",R17&gt;='Weekly Report'!$F$4,R17&lt;='Weekly Report'!$F$5)),ROW(),"")</f>
        <v/>
      </c>
    </row>
    <row r="18" customFormat="false" ht="15" hidden="false" customHeight="false" outlineLevel="0" collapsed="false">
      <c r="A18" s="56" t="s">
        <v>501</v>
      </c>
      <c r="B18" s="60"/>
      <c r="C18" s="61"/>
      <c r="D18" s="60"/>
      <c r="E18" s="60"/>
      <c r="F18" s="61"/>
      <c r="G18" s="61"/>
      <c r="H18" s="61"/>
      <c r="I18" s="61"/>
      <c r="J18" s="61"/>
      <c r="K18" s="85" t="str">
        <f aca="false">IF(OR(J18="",I18=""),"",J18-I18)</f>
        <v/>
      </c>
      <c r="L18" s="86" t="str">
        <f aca="false">IF(OR(G18="",H18="",J18=""),"",IF(H18=G18,"",MAX(0,MIN(1,(J18-G18)/(H18-G18)))))</f>
        <v/>
      </c>
      <c r="M18" s="61"/>
      <c r="N18" s="63"/>
      <c r="O18" s="87" t="str">
        <f aca="true">IF(N18="","",N18-TODAY())</f>
        <v/>
      </c>
      <c r="P18" s="61"/>
      <c r="Q18" s="60"/>
      <c r="R18" s="63"/>
      <c r="S18" s="60"/>
      <c r="T18" s="88" t="str">
        <f aca="false">IF(AND(B18&lt;&gt;"",AND(R18&lt;&gt;"",R18&gt;='Weekly Report'!$F$4,R18&lt;='Weekly Report'!$F$5)),ROW(),"")</f>
        <v/>
      </c>
    </row>
    <row r="19" customFormat="false" ht="15" hidden="false" customHeight="false" outlineLevel="0" collapsed="false">
      <c r="A19" s="56" t="s">
        <v>502</v>
      </c>
      <c r="B19" s="60"/>
      <c r="C19" s="61"/>
      <c r="D19" s="60"/>
      <c r="E19" s="60"/>
      <c r="F19" s="61"/>
      <c r="G19" s="61"/>
      <c r="H19" s="61"/>
      <c r="I19" s="61"/>
      <c r="J19" s="61"/>
      <c r="K19" s="85" t="str">
        <f aca="false">IF(OR(J19="",I19=""),"",J19-I19)</f>
        <v/>
      </c>
      <c r="L19" s="86" t="str">
        <f aca="false">IF(OR(G19="",H19="",J19=""),"",IF(H19=G19,"",MAX(0,MIN(1,(J19-G19)/(H19-G19)))))</f>
        <v/>
      </c>
      <c r="M19" s="61"/>
      <c r="N19" s="63"/>
      <c r="O19" s="87" t="str">
        <f aca="true">IF(N19="","",N19-TODAY())</f>
        <v/>
      </c>
      <c r="P19" s="61"/>
      <c r="Q19" s="60"/>
      <c r="R19" s="63"/>
      <c r="S19" s="60"/>
      <c r="T19" s="88" t="str">
        <f aca="false">IF(AND(B19&lt;&gt;"",AND(R19&lt;&gt;"",R19&gt;='Weekly Report'!$F$4,R19&lt;='Weekly Report'!$F$5)),ROW(),"")</f>
        <v/>
      </c>
    </row>
    <row r="20" customFormat="false" ht="15" hidden="false" customHeight="false" outlineLevel="0" collapsed="false">
      <c r="A20" s="56" t="s">
        <v>503</v>
      </c>
      <c r="B20" s="60"/>
      <c r="C20" s="61"/>
      <c r="D20" s="60"/>
      <c r="E20" s="60"/>
      <c r="F20" s="61"/>
      <c r="G20" s="61"/>
      <c r="H20" s="61"/>
      <c r="I20" s="61"/>
      <c r="J20" s="61"/>
      <c r="K20" s="85" t="str">
        <f aca="false">IF(OR(J20="",I20=""),"",J20-I20)</f>
        <v/>
      </c>
      <c r="L20" s="86" t="str">
        <f aca="false">IF(OR(G20="",H20="",J20=""),"",IF(H20=G20,"",MAX(0,MIN(1,(J20-G20)/(H20-G20)))))</f>
        <v/>
      </c>
      <c r="M20" s="61"/>
      <c r="N20" s="63"/>
      <c r="O20" s="87" t="str">
        <f aca="true">IF(N20="","",N20-TODAY())</f>
        <v/>
      </c>
      <c r="P20" s="61"/>
      <c r="Q20" s="60"/>
      <c r="R20" s="63"/>
      <c r="S20" s="60"/>
      <c r="T20" s="88" t="str">
        <f aca="false">IF(AND(B20&lt;&gt;"",AND(R20&lt;&gt;"",R20&gt;='Weekly Report'!$F$4,R20&lt;='Weekly Report'!$F$5)),ROW(),"")</f>
        <v/>
      </c>
    </row>
    <row r="21" customFormat="false" ht="15" hidden="false" customHeight="false" outlineLevel="0" collapsed="false">
      <c r="A21" s="56" t="s">
        <v>504</v>
      </c>
      <c r="B21" s="60"/>
      <c r="C21" s="61"/>
      <c r="D21" s="60"/>
      <c r="E21" s="60"/>
      <c r="F21" s="61"/>
      <c r="G21" s="61"/>
      <c r="H21" s="61"/>
      <c r="I21" s="61"/>
      <c r="J21" s="61"/>
      <c r="K21" s="85" t="str">
        <f aca="false">IF(OR(J21="",I21=""),"",J21-I21)</f>
        <v/>
      </c>
      <c r="L21" s="86" t="str">
        <f aca="false">IF(OR(G21="",H21="",J21=""),"",IF(H21=G21,"",MAX(0,MIN(1,(J21-G21)/(H21-G21)))))</f>
        <v/>
      </c>
      <c r="M21" s="61"/>
      <c r="N21" s="63"/>
      <c r="O21" s="87" t="str">
        <f aca="true">IF(N21="","",N21-TODAY())</f>
        <v/>
      </c>
      <c r="P21" s="61"/>
      <c r="Q21" s="60"/>
      <c r="R21" s="63"/>
      <c r="S21" s="60"/>
      <c r="T21" s="88" t="str">
        <f aca="false">IF(AND(B21&lt;&gt;"",AND(R21&lt;&gt;"",R21&gt;='Weekly Report'!$F$4,R21&lt;='Weekly Report'!$F$5)),ROW(),"")</f>
        <v/>
      </c>
    </row>
    <row r="22" customFormat="false" ht="15" hidden="false" customHeight="false" outlineLevel="0" collapsed="false">
      <c r="A22" s="56" t="s">
        <v>505</v>
      </c>
      <c r="B22" s="60"/>
      <c r="C22" s="61"/>
      <c r="D22" s="60"/>
      <c r="E22" s="60"/>
      <c r="F22" s="61"/>
      <c r="G22" s="61"/>
      <c r="H22" s="61"/>
      <c r="I22" s="61"/>
      <c r="J22" s="61"/>
      <c r="K22" s="85" t="str">
        <f aca="false">IF(OR(J22="",I22=""),"",J22-I22)</f>
        <v/>
      </c>
      <c r="L22" s="86" t="str">
        <f aca="false">IF(OR(G22="",H22="",J22=""),"",IF(H22=G22,"",MAX(0,MIN(1,(J22-G22)/(H22-G22)))))</f>
        <v/>
      </c>
      <c r="M22" s="61"/>
      <c r="N22" s="63"/>
      <c r="O22" s="87" t="str">
        <f aca="true">IF(N22="","",N22-TODAY())</f>
        <v/>
      </c>
      <c r="P22" s="61"/>
      <c r="Q22" s="60"/>
      <c r="R22" s="63"/>
      <c r="S22" s="60"/>
      <c r="T22" s="88" t="str">
        <f aca="false">IF(AND(B22&lt;&gt;"",AND(R22&lt;&gt;"",R22&gt;='Weekly Report'!$F$4,R22&lt;='Weekly Report'!$F$5)),ROW(),"")</f>
        <v/>
      </c>
    </row>
    <row r="23" customFormat="false" ht="15" hidden="false" customHeight="false" outlineLevel="0" collapsed="false">
      <c r="A23" s="56" t="s">
        <v>506</v>
      </c>
      <c r="B23" s="60"/>
      <c r="C23" s="61"/>
      <c r="D23" s="60"/>
      <c r="E23" s="60"/>
      <c r="F23" s="61"/>
      <c r="G23" s="61"/>
      <c r="H23" s="61"/>
      <c r="I23" s="61"/>
      <c r="J23" s="61"/>
      <c r="K23" s="85" t="str">
        <f aca="false">IF(OR(J23="",I23=""),"",J23-I23)</f>
        <v/>
      </c>
      <c r="L23" s="86" t="str">
        <f aca="false">IF(OR(G23="",H23="",J23=""),"",IF(H23=G23,"",MAX(0,MIN(1,(J23-G23)/(H23-G23)))))</f>
        <v/>
      </c>
      <c r="M23" s="61"/>
      <c r="N23" s="63"/>
      <c r="O23" s="87" t="str">
        <f aca="true">IF(N23="","",N23-TODAY())</f>
        <v/>
      </c>
      <c r="P23" s="61"/>
      <c r="Q23" s="60"/>
      <c r="R23" s="63"/>
      <c r="S23" s="60"/>
      <c r="T23" s="88" t="str">
        <f aca="false">IF(AND(B23&lt;&gt;"",AND(R23&lt;&gt;"",R23&gt;='Weekly Report'!$F$4,R23&lt;='Weekly Report'!$F$5)),ROW(),"")</f>
        <v/>
      </c>
    </row>
    <row r="24" customFormat="false" ht="15" hidden="false" customHeight="false" outlineLevel="0" collapsed="false">
      <c r="A24" s="56" t="s">
        <v>507</v>
      </c>
      <c r="B24" s="60"/>
      <c r="C24" s="61"/>
      <c r="D24" s="60"/>
      <c r="E24" s="60"/>
      <c r="F24" s="61"/>
      <c r="G24" s="61"/>
      <c r="H24" s="61"/>
      <c r="I24" s="61"/>
      <c r="J24" s="61"/>
      <c r="K24" s="85" t="str">
        <f aca="false">IF(OR(J24="",I24=""),"",J24-I24)</f>
        <v/>
      </c>
      <c r="L24" s="86" t="str">
        <f aca="false">IF(OR(G24="",H24="",J24=""),"",IF(H24=G24,"",MAX(0,MIN(1,(J24-G24)/(H24-G24)))))</f>
        <v/>
      </c>
      <c r="M24" s="61"/>
      <c r="N24" s="63"/>
      <c r="O24" s="87" t="str">
        <f aca="true">IF(N24="","",N24-TODAY())</f>
        <v/>
      </c>
      <c r="P24" s="61"/>
      <c r="Q24" s="60"/>
      <c r="R24" s="63"/>
      <c r="S24" s="60"/>
      <c r="T24" s="88" t="str">
        <f aca="false">IF(AND(B24&lt;&gt;"",AND(R24&lt;&gt;"",R24&gt;='Weekly Report'!$F$4,R24&lt;='Weekly Report'!$F$5)),ROW(),"")</f>
        <v/>
      </c>
    </row>
    <row r="25" customFormat="false" ht="15" hidden="false" customHeight="false" outlineLevel="0" collapsed="false">
      <c r="A25" s="56" t="s">
        <v>508</v>
      </c>
      <c r="B25" s="60"/>
      <c r="C25" s="61"/>
      <c r="D25" s="60"/>
      <c r="E25" s="60"/>
      <c r="F25" s="61"/>
      <c r="G25" s="61"/>
      <c r="H25" s="61"/>
      <c r="I25" s="61"/>
      <c r="J25" s="61"/>
      <c r="K25" s="85" t="str">
        <f aca="false">IF(OR(J25="",I25=""),"",J25-I25)</f>
        <v/>
      </c>
      <c r="L25" s="86" t="str">
        <f aca="false">IF(OR(G25="",H25="",J25=""),"",IF(H25=G25,"",MAX(0,MIN(1,(J25-G25)/(H25-G25)))))</f>
        <v/>
      </c>
      <c r="M25" s="61"/>
      <c r="N25" s="63"/>
      <c r="O25" s="87" t="str">
        <f aca="true">IF(N25="","",N25-TODAY())</f>
        <v/>
      </c>
      <c r="P25" s="61"/>
      <c r="Q25" s="60"/>
      <c r="R25" s="63"/>
      <c r="S25" s="60"/>
      <c r="T25" s="88" t="str">
        <f aca="false">IF(AND(B25&lt;&gt;"",AND(R25&lt;&gt;"",R25&gt;='Weekly Report'!$F$4,R25&lt;='Weekly Report'!$F$5)),ROW(),"")</f>
        <v/>
      </c>
    </row>
    <row r="26" customFormat="false" ht="15" hidden="false" customHeight="false" outlineLevel="0" collapsed="false">
      <c r="A26" s="56" t="s">
        <v>509</v>
      </c>
      <c r="B26" s="60"/>
      <c r="C26" s="61"/>
      <c r="D26" s="60"/>
      <c r="E26" s="60"/>
      <c r="F26" s="61"/>
      <c r="G26" s="61"/>
      <c r="H26" s="61"/>
      <c r="I26" s="61"/>
      <c r="J26" s="61"/>
      <c r="K26" s="85" t="str">
        <f aca="false">IF(OR(J26="",I26=""),"",J26-I26)</f>
        <v/>
      </c>
      <c r="L26" s="86" t="str">
        <f aca="false">IF(OR(G26="",H26="",J26=""),"",IF(H26=G26,"",MAX(0,MIN(1,(J26-G26)/(H26-G26)))))</f>
        <v/>
      </c>
      <c r="M26" s="61"/>
      <c r="N26" s="63"/>
      <c r="O26" s="87" t="str">
        <f aca="true">IF(N26="","",N26-TODAY())</f>
        <v/>
      </c>
      <c r="P26" s="61"/>
      <c r="Q26" s="60"/>
      <c r="R26" s="63"/>
      <c r="S26" s="60"/>
      <c r="T26" s="88" t="str">
        <f aca="false">IF(AND(B26&lt;&gt;"",AND(R26&lt;&gt;"",R26&gt;='Weekly Report'!$F$4,R26&lt;='Weekly Report'!$F$5)),ROW(),"")</f>
        <v/>
      </c>
    </row>
    <row r="27" customFormat="false" ht="15" hidden="false" customHeight="false" outlineLevel="0" collapsed="false">
      <c r="A27" s="56" t="s">
        <v>510</v>
      </c>
      <c r="B27" s="60"/>
      <c r="C27" s="61"/>
      <c r="D27" s="60"/>
      <c r="E27" s="60"/>
      <c r="F27" s="61"/>
      <c r="G27" s="61"/>
      <c r="H27" s="61"/>
      <c r="I27" s="61"/>
      <c r="J27" s="61"/>
      <c r="K27" s="85" t="str">
        <f aca="false">IF(OR(J27="",I27=""),"",J27-I27)</f>
        <v/>
      </c>
      <c r="L27" s="86" t="str">
        <f aca="false">IF(OR(G27="",H27="",J27=""),"",IF(H27=G27,"",MAX(0,MIN(1,(J27-G27)/(H27-G27)))))</f>
        <v/>
      </c>
      <c r="M27" s="61"/>
      <c r="N27" s="63"/>
      <c r="O27" s="87" t="str">
        <f aca="true">IF(N27="","",N27-TODAY())</f>
        <v/>
      </c>
      <c r="P27" s="61"/>
      <c r="Q27" s="60"/>
      <c r="R27" s="63"/>
      <c r="S27" s="60"/>
      <c r="T27" s="88" t="str">
        <f aca="false">IF(AND(B27&lt;&gt;"",AND(R27&lt;&gt;"",R27&gt;='Weekly Report'!$F$4,R27&lt;='Weekly Report'!$F$5)),ROW(),"")</f>
        <v/>
      </c>
    </row>
    <row r="28" customFormat="false" ht="15" hidden="false" customHeight="false" outlineLevel="0" collapsed="false">
      <c r="A28" s="56" t="s">
        <v>511</v>
      </c>
      <c r="B28" s="60"/>
      <c r="C28" s="61"/>
      <c r="D28" s="60"/>
      <c r="E28" s="60"/>
      <c r="F28" s="61"/>
      <c r="G28" s="61"/>
      <c r="H28" s="61"/>
      <c r="I28" s="61"/>
      <c r="J28" s="61"/>
      <c r="K28" s="85" t="str">
        <f aca="false">IF(OR(J28="",I28=""),"",J28-I28)</f>
        <v/>
      </c>
      <c r="L28" s="86" t="str">
        <f aca="false">IF(OR(G28="",H28="",J28=""),"",IF(H28=G28,"",MAX(0,MIN(1,(J28-G28)/(H28-G28)))))</f>
        <v/>
      </c>
      <c r="M28" s="61"/>
      <c r="N28" s="63"/>
      <c r="O28" s="87" t="str">
        <f aca="true">IF(N28="","",N28-TODAY())</f>
        <v/>
      </c>
      <c r="P28" s="61"/>
      <c r="Q28" s="60"/>
      <c r="R28" s="63"/>
      <c r="S28" s="60"/>
      <c r="T28" s="88" t="str">
        <f aca="false">IF(AND(B28&lt;&gt;"",AND(R28&lt;&gt;"",R28&gt;='Weekly Report'!$F$4,R28&lt;='Weekly Report'!$F$5)),ROW(),"")</f>
        <v/>
      </c>
    </row>
    <row r="29" customFormat="false" ht="15" hidden="false" customHeight="false" outlineLevel="0" collapsed="false">
      <c r="A29" s="56" t="s">
        <v>512</v>
      </c>
      <c r="B29" s="60"/>
      <c r="C29" s="61"/>
      <c r="D29" s="60"/>
      <c r="E29" s="60"/>
      <c r="F29" s="61"/>
      <c r="G29" s="61"/>
      <c r="H29" s="61"/>
      <c r="I29" s="61"/>
      <c r="J29" s="61"/>
      <c r="K29" s="85" t="str">
        <f aca="false">IF(OR(J29="",I29=""),"",J29-I29)</f>
        <v/>
      </c>
      <c r="L29" s="86" t="str">
        <f aca="false">IF(OR(G29="",H29="",J29=""),"",IF(H29=G29,"",MAX(0,MIN(1,(J29-G29)/(H29-G29)))))</f>
        <v/>
      </c>
      <c r="M29" s="61"/>
      <c r="N29" s="63"/>
      <c r="O29" s="87" t="str">
        <f aca="true">IF(N29="","",N29-TODAY())</f>
        <v/>
      </c>
      <c r="P29" s="61"/>
      <c r="Q29" s="60"/>
      <c r="R29" s="63"/>
      <c r="S29" s="60"/>
      <c r="T29" s="88" t="str">
        <f aca="false">IF(AND(B29&lt;&gt;"",AND(R29&lt;&gt;"",R29&gt;='Weekly Report'!$F$4,R29&lt;='Weekly Report'!$F$5)),ROW(),"")</f>
        <v/>
      </c>
    </row>
    <row r="30" customFormat="false" ht="15" hidden="false" customHeight="false" outlineLevel="0" collapsed="false">
      <c r="A30" s="56" t="s">
        <v>513</v>
      </c>
      <c r="B30" s="60"/>
      <c r="C30" s="61"/>
      <c r="D30" s="60"/>
      <c r="E30" s="60"/>
      <c r="F30" s="61"/>
      <c r="G30" s="61"/>
      <c r="H30" s="61"/>
      <c r="I30" s="61"/>
      <c r="J30" s="61"/>
      <c r="K30" s="85" t="str">
        <f aca="false">IF(OR(J30="",I30=""),"",J30-I30)</f>
        <v/>
      </c>
      <c r="L30" s="86" t="str">
        <f aca="false">IF(OR(G30="",H30="",J30=""),"",IF(H30=G30,"",MAX(0,MIN(1,(J30-G30)/(H30-G30)))))</f>
        <v/>
      </c>
      <c r="M30" s="61"/>
      <c r="N30" s="63"/>
      <c r="O30" s="87" t="str">
        <f aca="true">IF(N30="","",N30-TODAY())</f>
        <v/>
      </c>
      <c r="P30" s="61"/>
      <c r="Q30" s="60"/>
      <c r="R30" s="63"/>
      <c r="S30" s="60"/>
      <c r="T30" s="88" t="str">
        <f aca="false">IF(AND(B30&lt;&gt;"",AND(R30&lt;&gt;"",R30&gt;='Weekly Report'!$F$4,R30&lt;='Weekly Report'!$F$5)),ROW(),"")</f>
        <v/>
      </c>
    </row>
    <row r="31" customFormat="false" ht="15" hidden="false" customHeight="false" outlineLevel="0" collapsed="false">
      <c r="A31" s="56" t="s">
        <v>514</v>
      </c>
      <c r="B31" s="60"/>
      <c r="C31" s="61"/>
      <c r="D31" s="60"/>
      <c r="E31" s="60"/>
      <c r="F31" s="61"/>
      <c r="G31" s="61"/>
      <c r="H31" s="61"/>
      <c r="I31" s="61"/>
      <c r="J31" s="61"/>
      <c r="K31" s="85" t="str">
        <f aca="false">IF(OR(J31="",I31=""),"",J31-I31)</f>
        <v/>
      </c>
      <c r="L31" s="86" t="str">
        <f aca="false">IF(OR(G31="",H31="",J31=""),"",IF(H31=G31,"",MAX(0,MIN(1,(J31-G31)/(H31-G31)))))</f>
        <v/>
      </c>
      <c r="M31" s="61"/>
      <c r="N31" s="63"/>
      <c r="O31" s="87" t="str">
        <f aca="true">IF(N31="","",N31-TODAY())</f>
        <v/>
      </c>
      <c r="P31" s="61"/>
      <c r="Q31" s="60"/>
      <c r="R31" s="63"/>
      <c r="S31" s="60"/>
      <c r="T31" s="88" t="str">
        <f aca="false">IF(AND(B31&lt;&gt;"",AND(R31&lt;&gt;"",R31&gt;='Weekly Report'!$F$4,R31&lt;='Weekly Report'!$F$5)),ROW(),"")</f>
        <v/>
      </c>
    </row>
    <row r="32" customFormat="false" ht="15" hidden="false" customHeight="false" outlineLevel="0" collapsed="false">
      <c r="A32" s="56" t="s">
        <v>515</v>
      </c>
      <c r="B32" s="60"/>
      <c r="C32" s="61"/>
      <c r="D32" s="60"/>
      <c r="E32" s="60"/>
      <c r="F32" s="61"/>
      <c r="G32" s="61"/>
      <c r="H32" s="61"/>
      <c r="I32" s="61"/>
      <c r="J32" s="61"/>
      <c r="K32" s="85" t="str">
        <f aca="false">IF(OR(J32="",I32=""),"",J32-I32)</f>
        <v/>
      </c>
      <c r="L32" s="86" t="str">
        <f aca="false">IF(OR(G32="",H32="",J32=""),"",IF(H32=G32,"",MAX(0,MIN(1,(J32-G32)/(H32-G32)))))</f>
        <v/>
      </c>
      <c r="M32" s="61"/>
      <c r="N32" s="63"/>
      <c r="O32" s="87" t="str">
        <f aca="true">IF(N32="","",N32-TODAY())</f>
        <v/>
      </c>
      <c r="P32" s="61"/>
      <c r="Q32" s="60"/>
      <c r="R32" s="63"/>
      <c r="S32" s="60"/>
      <c r="T32" s="88" t="str">
        <f aca="false">IF(AND(B32&lt;&gt;"",AND(R32&lt;&gt;"",R32&gt;='Weekly Report'!$F$4,R32&lt;='Weekly Report'!$F$5)),ROW(),"")</f>
        <v/>
      </c>
    </row>
    <row r="33" customFormat="false" ht="15" hidden="false" customHeight="false" outlineLevel="0" collapsed="false">
      <c r="A33" s="56" t="s">
        <v>516</v>
      </c>
      <c r="B33" s="60"/>
      <c r="C33" s="61"/>
      <c r="D33" s="60"/>
      <c r="E33" s="60"/>
      <c r="F33" s="61"/>
      <c r="G33" s="61"/>
      <c r="H33" s="61"/>
      <c r="I33" s="61"/>
      <c r="J33" s="61"/>
      <c r="K33" s="85" t="str">
        <f aca="false">IF(OR(J33="",I33=""),"",J33-I33)</f>
        <v/>
      </c>
      <c r="L33" s="86" t="str">
        <f aca="false">IF(OR(G33="",H33="",J33=""),"",IF(H33=G33,"",MAX(0,MIN(1,(J33-G33)/(H33-G33)))))</f>
        <v/>
      </c>
      <c r="M33" s="61"/>
      <c r="N33" s="63"/>
      <c r="O33" s="87" t="str">
        <f aca="true">IF(N33="","",N33-TODAY())</f>
        <v/>
      </c>
      <c r="P33" s="61"/>
      <c r="Q33" s="60"/>
      <c r="R33" s="63"/>
      <c r="S33" s="60"/>
      <c r="T33" s="88" t="str">
        <f aca="false">IF(AND(B33&lt;&gt;"",AND(R33&lt;&gt;"",R33&gt;='Weekly Report'!$F$4,R33&lt;='Weekly Report'!$F$5)),ROW(),"")</f>
        <v/>
      </c>
    </row>
    <row r="34" customFormat="false" ht="15" hidden="false" customHeight="false" outlineLevel="0" collapsed="false">
      <c r="A34" s="56" t="s">
        <v>517</v>
      </c>
      <c r="B34" s="60"/>
      <c r="C34" s="61"/>
      <c r="D34" s="60"/>
      <c r="E34" s="60"/>
      <c r="F34" s="61"/>
      <c r="G34" s="61"/>
      <c r="H34" s="61"/>
      <c r="I34" s="61"/>
      <c r="J34" s="61"/>
      <c r="K34" s="85" t="str">
        <f aca="false">IF(OR(J34="",I34=""),"",J34-I34)</f>
        <v/>
      </c>
      <c r="L34" s="86" t="str">
        <f aca="false">IF(OR(G34="",H34="",J34=""),"",IF(H34=G34,"",MAX(0,MIN(1,(J34-G34)/(H34-G34)))))</f>
        <v/>
      </c>
      <c r="M34" s="61"/>
      <c r="N34" s="63"/>
      <c r="O34" s="87" t="str">
        <f aca="true">IF(N34="","",N34-TODAY())</f>
        <v/>
      </c>
      <c r="P34" s="61"/>
      <c r="Q34" s="60"/>
      <c r="R34" s="63"/>
      <c r="S34" s="60"/>
      <c r="T34" s="88" t="str">
        <f aca="false">IF(AND(B34&lt;&gt;"",AND(R34&lt;&gt;"",R34&gt;='Weekly Report'!$F$4,R34&lt;='Weekly Report'!$F$5)),ROW(),"")</f>
        <v/>
      </c>
    </row>
    <row r="35" customFormat="false" ht="15" hidden="false" customHeight="false" outlineLevel="0" collapsed="false">
      <c r="A35" s="56" t="s">
        <v>518</v>
      </c>
      <c r="B35" s="60"/>
      <c r="C35" s="61"/>
      <c r="D35" s="60"/>
      <c r="E35" s="60"/>
      <c r="F35" s="61"/>
      <c r="G35" s="61"/>
      <c r="H35" s="61"/>
      <c r="I35" s="61"/>
      <c r="J35" s="61"/>
      <c r="K35" s="85" t="str">
        <f aca="false">IF(OR(J35="",I35=""),"",J35-I35)</f>
        <v/>
      </c>
      <c r="L35" s="86" t="str">
        <f aca="false">IF(OR(G35="",H35="",J35=""),"",IF(H35=G35,"",MAX(0,MIN(1,(J35-G35)/(H35-G35)))))</f>
        <v/>
      </c>
      <c r="M35" s="61"/>
      <c r="N35" s="63"/>
      <c r="O35" s="87" t="str">
        <f aca="true">IF(N35="","",N35-TODAY())</f>
        <v/>
      </c>
      <c r="P35" s="61"/>
      <c r="Q35" s="60"/>
      <c r="R35" s="63"/>
      <c r="S35" s="60"/>
      <c r="T35" s="88" t="str">
        <f aca="false">IF(AND(B35&lt;&gt;"",AND(R35&lt;&gt;"",R35&gt;='Weekly Report'!$F$4,R35&lt;='Weekly Report'!$F$5)),ROW(),"")</f>
        <v/>
      </c>
    </row>
    <row r="36" customFormat="false" ht="15" hidden="false" customHeight="false" outlineLevel="0" collapsed="false">
      <c r="A36" s="56" t="s">
        <v>519</v>
      </c>
      <c r="B36" s="60"/>
      <c r="C36" s="61"/>
      <c r="D36" s="60"/>
      <c r="E36" s="60"/>
      <c r="F36" s="61"/>
      <c r="G36" s="61"/>
      <c r="H36" s="61"/>
      <c r="I36" s="61"/>
      <c r="J36" s="61"/>
      <c r="K36" s="85" t="str">
        <f aca="false">IF(OR(J36="",I36=""),"",J36-I36)</f>
        <v/>
      </c>
      <c r="L36" s="86" t="str">
        <f aca="false">IF(OR(G36="",H36="",J36=""),"",IF(H36=G36,"",MAX(0,MIN(1,(J36-G36)/(H36-G36)))))</f>
        <v/>
      </c>
      <c r="M36" s="61"/>
      <c r="N36" s="63"/>
      <c r="O36" s="87" t="str">
        <f aca="true">IF(N36="","",N36-TODAY())</f>
        <v/>
      </c>
      <c r="P36" s="61"/>
      <c r="Q36" s="60"/>
      <c r="R36" s="63"/>
      <c r="S36" s="60"/>
      <c r="T36" s="88" t="str">
        <f aca="false">IF(AND(B36&lt;&gt;"",AND(R36&lt;&gt;"",R36&gt;='Weekly Report'!$F$4,R36&lt;='Weekly Report'!$F$5)),ROW(),"")</f>
        <v/>
      </c>
    </row>
    <row r="37" customFormat="false" ht="15" hidden="false" customHeight="false" outlineLevel="0" collapsed="false">
      <c r="A37" s="56" t="s">
        <v>520</v>
      </c>
      <c r="B37" s="60"/>
      <c r="C37" s="61"/>
      <c r="D37" s="60"/>
      <c r="E37" s="60"/>
      <c r="F37" s="61"/>
      <c r="G37" s="61"/>
      <c r="H37" s="61"/>
      <c r="I37" s="61"/>
      <c r="J37" s="61"/>
      <c r="K37" s="85" t="str">
        <f aca="false">IF(OR(J37="",I37=""),"",J37-I37)</f>
        <v/>
      </c>
      <c r="L37" s="86" t="str">
        <f aca="false">IF(OR(G37="",H37="",J37=""),"",IF(H37=G37,"",MAX(0,MIN(1,(J37-G37)/(H37-G37)))))</f>
        <v/>
      </c>
      <c r="M37" s="61"/>
      <c r="N37" s="63"/>
      <c r="O37" s="87" t="str">
        <f aca="true">IF(N37="","",N37-TODAY())</f>
        <v/>
      </c>
      <c r="P37" s="61"/>
      <c r="Q37" s="60"/>
      <c r="R37" s="63"/>
      <c r="S37" s="60"/>
      <c r="T37" s="88" t="str">
        <f aca="false">IF(AND(B37&lt;&gt;"",AND(R37&lt;&gt;"",R37&gt;='Weekly Report'!$F$4,R37&lt;='Weekly Report'!$F$5)),ROW(),"")</f>
        <v/>
      </c>
    </row>
    <row r="38" customFormat="false" ht="15" hidden="false" customHeight="false" outlineLevel="0" collapsed="false">
      <c r="A38" s="56" t="s">
        <v>521</v>
      </c>
      <c r="B38" s="60"/>
      <c r="C38" s="61"/>
      <c r="D38" s="60"/>
      <c r="E38" s="60"/>
      <c r="F38" s="61"/>
      <c r="G38" s="61"/>
      <c r="H38" s="61"/>
      <c r="I38" s="61"/>
      <c r="J38" s="61"/>
      <c r="K38" s="85" t="str">
        <f aca="false">IF(OR(J38="",I38=""),"",J38-I38)</f>
        <v/>
      </c>
      <c r="L38" s="86" t="str">
        <f aca="false">IF(OR(G38="",H38="",J38=""),"",IF(H38=G38,"",MAX(0,MIN(1,(J38-G38)/(H38-G38)))))</f>
        <v/>
      </c>
      <c r="M38" s="61"/>
      <c r="N38" s="63"/>
      <c r="O38" s="87" t="str">
        <f aca="true">IF(N38="","",N38-TODAY())</f>
        <v/>
      </c>
      <c r="P38" s="61"/>
      <c r="Q38" s="60"/>
      <c r="R38" s="63"/>
      <c r="S38" s="60"/>
      <c r="T38" s="88" t="str">
        <f aca="false">IF(AND(B38&lt;&gt;"",AND(R38&lt;&gt;"",R38&gt;='Weekly Report'!$F$4,R38&lt;='Weekly Report'!$F$5)),ROW(),"")</f>
        <v/>
      </c>
    </row>
    <row r="39" customFormat="false" ht="15" hidden="false" customHeight="false" outlineLevel="0" collapsed="false">
      <c r="A39" s="56" t="s">
        <v>522</v>
      </c>
      <c r="B39" s="60"/>
      <c r="C39" s="61"/>
      <c r="D39" s="60"/>
      <c r="E39" s="60"/>
      <c r="F39" s="61"/>
      <c r="G39" s="61"/>
      <c r="H39" s="61"/>
      <c r="I39" s="61"/>
      <c r="J39" s="61"/>
      <c r="K39" s="85" t="str">
        <f aca="false">IF(OR(J39="",I39=""),"",J39-I39)</f>
        <v/>
      </c>
      <c r="L39" s="86" t="str">
        <f aca="false">IF(OR(G39="",H39="",J39=""),"",IF(H39=G39,"",MAX(0,MIN(1,(J39-G39)/(H39-G39)))))</f>
        <v/>
      </c>
      <c r="M39" s="61"/>
      <c r="N39" s="63"/>
      <c r="O39" s="87" t="str">
        <f aca="true">IF(N39="","",N39-TODAY())</f>
        <v/>
      </c>
      <c r="P39" s="61"/>
      <c r="Q39" s="60"/>
      <c r="R39" s="63"/>
      <c r="S39" s="60"/>
      <c r="T39" s="88" t="str">
        <f aca="false">IF(AND(B39&lt;&gt;"",AND(R39&lt;&gt;"",R39&gt;='Weekly Report'!$F$4,R39&lt;='Weekly Report'!$F$5)),ROW(),"")</f>
        <v/>
      </c>
    </row>
    <row r="40" customFormat="false" ht="15" hidden="false" customHeight="false" outlineLevel="0" collapsed="false">
      <c r="A40" s="56" t="s">
        <v>523</v>
      </c>
      <c r="B40" s="60"/>
      <c r="C40" s="61"/>
      <c r="D40" s="60"/>
      <c r="E40" s="60"/>
      <c r="F40" s="61"/>
      <c r="G40" s="61"/>
      <c r="H40" s="61"/>
      <c r="I40" s="61"/>
      <c r="J40" s="61"/>
      <c r="K40" s="85" t="str">
        <f aca="false">IF(OR(J40="",I40=""),"",J40-I40)</f>
        <v/>
      </c>
      <c r="L40" s="86" t="str">
        <f aca="false">IF(OR(G40="",H40="",J40=""),"",IF(H40=G40,"",MAX(0,MIN(1,(J40-G40)/(H40-G40)))))</f>
        <v/>
      </c>
      <c r="M40" s="61"/>
      <c r="N40" s="63"/>
      <c r="O40" s="87" t="str">
        <f aca="true">IF(N40="","",N40-TODAY())</f>
        <v/>
      </c>
      <c r="P40" s="61"/>
      <c r="Q40" s="60"/>
      <c r="R40" s="63"/>
      <c r="S40" s="60"/>
      <c r="T40" s="88" t="str">
        <f aca="false">IF(AND(B40&lt;&gt;"",AND(R40&lt;&gt;"",R40&gt;='Weekly Report'!$F$4,R40&lt;='Weekly Report'!$F$5)),ROW(),"")</f>
        <v/>
      </c>
    </row>
    <row r="41" customFormat="false" ht="15" hidden="false" customHeight="false" outlineLevel="0" collapsed="false">
      <c r="A41" s="56" t="s">
        <v>524</v>
      </c>
      <c r="B41" s="60"/>
      <c r="C41" s="61"/>
      <c r="D41" s="60"/>
      <c r="E41" s="60"/>
      <c r="F41" s="61"/>
      <c r="G41" s="61"/>
      <c r="H41" s="61"/>
      <c r="I41" s="61"/>
      <c r="J41" s="61"/>
      <c r="K41" s="85" t="str">
        <f aca="false">IF(OR(J41="",I41=""),"",J41-I41)</f>
        <v/>
      </c>
      <c r="L41" s="86" t="str">
        <f aca="false">IF(OR(G41="",H41="",J41=""),"",IF(H41=G41,"",MAX(0,MIN(1,(J41-G41)/(H41-G41)))))</f>
        <v/>
      </c>
      <c r="M41" s="61"/>
      <c r="N41" s="63"/>
      <c r="O41" s="87" t="str">
        <f aca="true">IF(N41="","",N41-TODAY())</f>
        <v/>
      </c>
      <c r="P41" s="61"/>
      <c r="Q41" s="60"/>
      <c r="R41" s="63"/>
      <c r="S41" s="60"/>
      <c r="T41" s="88" t="str">
        <f aca="false">IF(AND(B41&lt;&gt;"",AND(R41&lt;&gt;"",R41&gt;='Weekly Report'!$F$4,R41&lt;='Weekly Report'!$F$5)),ROW(),"")</f>
        <v/>
      </c>
    </row>
    <row r="42" customFormat="false" ht="15" hidden="false" customHeight="false" outlineLevel="0" collapsed="false">
      <c r="A42" s="56" t="s">
        <v>525</v>
      </c>
      <c r="B42" s="60"/>
      <c r="C42" s="61"/>
      <c r="D42" s="60"/>
      <c r="E42" s="60"/>
      <c r="F42" s="61"/>
      <c r="G42" s="61"/>
      <c r="H42" s="61"/>
      <c r="I42" s="61"/>
      <c r="J42" s="61"/>
      <c r="K42" s="85" t="str">
        <f aca="false">IF(OR(J42="",I42=""),"",J42-I42)</f>
        <v/>
      </c>
      <c r="L42" s="86" t="str">
        <f aca="false">IF(OR(G42="",H42="",J42=""),"",IF(H42=G42,"",MAX(0,MIN(1,(J42-G42)/(H42-G42)))))</f>
        <v/>
      </c>
      <c r="M42" s="61"/>
      <c r="N42" s="63"/>
      <c r="O42" s="87" t="str">
        <f aca="true">IF(N42="","",N42-TODAY())</f>
        <v/>
      </c>
      <c r="P42" s="61"/>
      <c r="Q42" s="60"/>
      <c r="R42" s="63"/>
      <c r="S42" s="60"/>
      <c r="T42" s="88" t="str">
        <f aca="false">IF(AND(B42&lt;&gt;"",AND(R42&lt;&gt;"",R42&gt;='Weekly Report'!$F$4,R42&lt;='Weekly Report'!$F$5)),ROW(),"")</f>
        <v/>
      </c>
    </row>
    <row r="43" customFormat="false" ht="15" hidden="false" customHeight="false" outlineLevel="0" collapsed="false">
      <c r="A43" s="56" t="s">
        <v>526</v>
      </c>
      <c r="B43" s="60"/>
      <c r="C43" s="61"/>
      <c r="D43" s="60"/>
      <c r="E43" s="60"/>
      <c r="F43" s="61"/>
      <c r="G43" s="61"/>
      <c r="H43" s="61"/>
      <c r="I43" s="61"/>
      <c r="J43" s="61"/>
      <c r="K43" s="85" t="str">
        <f aca="false">IF(OR(J43="",I43=""),"",J43-I43)</f>
        <v/>
      </c>
      <c r="L43" s="86" t="str">
        <f aca="false">IF(OR(G43="",H43="",J43=""),"",IF(H43=G43,"",MAX(0,MIN(1,(J43-G43)/(H43-G43)))))</f>
        <v/>
      </c>
      <c r="M43" s="61"/>
      <c r="N43" s="63"/>
      <c r="O43" s="87" t="str">
        <f aca="true">IF(N43="","",N43-TODAY())</f>
        <v/>
      </c>
      <c r="P43" s="61"/>
      <c r="Q43" s="60"/>
      <c r="R43" s="63"/>
      <c r="S43" s="60"/>
      <c r="T43" s="88" t="str">
        <f aca="false">IF(AND(B43&lt;&gt;"",AND(R43&lt;&gt;"",R43&gt;='Weekly Report'!$F$4,R43&lt;='Weekly Report'!$F$5)),ROW(),"")</f>
        <v/>
      </c>
    </row>
    <row r="44" customFormat="false" ht="15" hidden="false" customHeight="false" outlineLevel="0" collapsed="false">
      <c r="A44" s="56" t="s">
        <v>527</v>
      </c>
      <c r="B44" s="60"/>
      <c r="C44" s="61"/>
      <c r="D44" s="60"/>
      <c r="E44" s="60"/>
      <c r="F44" s="61"/>
      <c r="G44" s="61"/>
      <c r="H44" s="61"/>
      <c r="I44" s="61"/>
      <c r="J44" s="61"/>
      <c r="K44" s="85" t="str">
        <f aca="false">IF(OR(J44="",I44=""),"",J44-I44)</f>
        <v/>
      </c>
      <c r="L44" s="86" t="str">
        <f aca="false">IF(OR(G44="",H44="",J44=""),"",IF(H44=G44,"",MAX(0,MIN(1,(J44-G44)/(H44-G44)))))</f>
        <v/>
      </c>
      <c r="M44" s="61"/>
      <c r="N44" s="63"/>
      <c r="O44" s="87" t="str">
        <f aca="true">IF(N44="","",N44-TODAY())</f>
        <v/>
      </c>
      <c r="P44" s="61"/>
      <c r="Q44" s="60"/>
      <c r="R44" s="63"/>
      <c r="S44" s="60"/>
      <c r="T44" s="88" t="str">
        <f aca="false">IF(AND(B44&lt;&gt;"",AND(R44&lt;&gt;"",R44&gt;='Weekly Report'!$F$4,R44&lt;='Weekly Report'!$F$5)),ROW(),"")</f>
        <v/>
      </c>
    </row>
    <row r="45" customFormat="false" ht="15" hidden="false" customHeight="false" outlineLevel="0" collapsed="false">
      <c r="A45" s="56" t="s">
        <v>528</v>
      </c>
      <c r="B45" s="60"/>
      <c r="C45" s="61"/>
      <c r="D45" s="60"/>
      <c r="E45" s="60"/>
      <c r="F45" s="61"/>
      <c r="G45" s="61"/>
      <c r="H45" s="61"/>
      <c r="I45" s="61"/>
      <c r="J45" s="61"/>
      <c r="K45" s="85" t="str">
        <f aca="false">IF(OR(J45="",I45=""),"",J45-I45)</f>
        <v/>
      </c>
      <c r="L45" s="86" t="str">
        <f aca="false">IF(OR(G45="",H45="",J45=""),"",IF(H45=G45,"",MAX(0,MIN(1,(J45-G45)/(H45-G45)))))</f>
        <v/>
      </c>
      <c r="M45" s="61"/>
      <c r="N45" s="63"/>
      <c r="O45" s="87" t="str">
        <f aca="true">IF(N45="","",N45-TODAY())</f>
        <v/>
      </c>
      <c r="P45" s="61"/>
      <c r="Q45" s="60"/>
      <c r="R45" s="63"/>
      <c r="S45" s="60"/>
      <c r="T45" s="88" t="str">
        <f aca="false">IF(AND(B45&lt;&gt;"",AND(R45&lt;&gt;"",R45&gt;='Weekly Report'!$F$4,R45&lt;='Weekly Report'!$F$5)),ROW(),"")</f>
        <v/>
      </c>
    </row>
    <row r="46" customFormat="false" ht="15" hidden="false" customHeight="false" outlineLevel="0" collapsed="false">
      <c r="A46" s="56" t="s">
        <v>529</v>
      </c>
      <c r="B46" s="60"/>
      <c r="C46" s="61"/>
      <c r="D46" s="60"/>
      <c r="E46" s="60"/>
      <c r="F46" s="61"/>
      <c r="G46" s="61"/>
      <c r="H46" s="61"/>
      <c r="I46" s="61"/>
      <c r="J46" s="61"/>
      <c r="K46" s="85" t="str">
        <f aca="false">IF(OR(J46="",I46=""),"",J46-I46)</f>
        <v/>
      </c>
      <c r="L46" s="86" t="str">
        <f aca="false">IF(OR(G46="",H46="",J46=""),"",IF(H46=G46,"",MAX(0,MIN(1,(J46-G46)/(H46-G46)))))</f>
        <v/>
      </c>
      <c r="M46" s="61"/>
      <c r="N46" s="63"/>
      <c r="O46" s="87" t="str">
        <f aca="true">IF(N46="","",N46-TODAY())</f>
        <v/>
      </c>
      <c r="P46" s="61"/>
      <c r="Q46" s="60"/>
      <c r="R46" s="63"/>
      <c r="S46" s="60"/>
      <c r="T46" s="88" t="str">
        <f aca="false">IF(AND(B46&lt;&gt;"",AND(R46&lt;&gt;"",R46&gt;='Weekly Report'!$F$4,R46&lt;='Weekly Report'!$F$5)),ROW(),"")</f>
        <v/>
      </c>
    </row>
    <row r="47" customFormat="false" ht="15" hidden="false" customHeight="false" outlineLevel="0" collapsed="false">
      <c r="A47" s="56" t="s">
        <v>530</v>
      </c>
      <c r="B47" s="60"/>
      <c r="C47" s="61"/>
      <c r="D47" s="60"/>
      <c r="E47" s="60"/>
      <c r="F47" s="61"/>
      <c r="G47" s="61"/>
      <c r="H47" s="61"/>
      <c r="I47" s="61"/>
      <c r="J47" s="61"/>
      <c r="K47" s="85" t="str">
        <f aca="false">IF(OR(J47="",I47=""),"",J47-I47)</f>
        <v/>
      </c>
      <c r="L47" s="86" t="str">
        <f aca="false">IF(OR(G47="",H47="",J47=""),"",IF(H47=G47,"",MAX(0,MIN(1,(J47-G47)/(H47-G47)))))</f>
        <v/>
      </c>
      <c r="M47" s="61"/>
      <c r="N47" s="63"/>
      <c r="O47" s="87" t="str">
        <f aca="true">IF(N47="","",N47-TODAY())</f>
        <v/>
      </c>
      <c r="P47" s="61"/>
      <c r="Q47" s="60"/>
      <c r="R47" s="63"/>
      <c r="S47" s="60"/>
      <c r="T47" s="88" t="str">
        <f aca="false">IF(AND(B47&lt;&gt;"",AND(R47&lt;&gt;"",R47&gt;='Weekly Report'!$F$4,R47&lt;='Weekly Report'!$F$5)),ROW(),"")</f>
        <v/>
      </c>
    </row>
    <row r="48" customFormat="false" ht="15" hidden="false" customHeight="false" outlineLevel="0" collapsed="false">
      <c r="A48" s="56" t="s">
        <v>531</v>
      </c>
      <c r="B48" s="60"/>
      <c r="C48" s="61"/>
      <c r="D48" s="60"/>
      <c r="E48" s="60"/>
      <c r="F48" s="61"/>
      <c r="G48" s="61"/>
      <c r="H48" s="61"/>
      <c r="I48" s="61"/>
      <c r="J48" s="61"/>
      <c r="K48" s="85" t="str">
        <f aca="false">IF(OR(J48="",I48=""),"",J48-I48)</f>
        <v/>
      </c>
      <c r="L48" s="86" t="str">
        <f aca="false">IF(OR(G48="",H48="",J48=""),"",IF(H48=G48,"",MAX(0,MIN(1,(J48-G48)/(H48-G48)))))</f>
        <v/>
      </c>
      <c r="M48" s="61"/>
      <c r="N48" s="63"/>
      <c r="O48" s="87" t="str">
        <f aca="true">IF(N48="","",N48-TODAY())</f>
        <v/>
      </c>
      <c r="P48" s="61"/>
      <c r="Q48" s="60"/>
      <c r="R48" s="63"/>
      <c r="S48" s="60"/>
      <c r="T48" s="88" t="str">
        <f aca="false">IF(AND(B48&lt;&gt;"",AND(R48&lt;&gt;"",R48&gt;='Weekly Report'!$F$4,R48&lt;='Weekly Report'!$F$5)),ROW(),"")</f>
        <v/>
      </c>
    </row>
    <row r="49" customFormat="false" ht="15" hidden="false" customHeight="false" outlineLevel="0" collapsed="false">
      <c r="A49" s="56" t="s">
        <v>532</v>
      </c>
      <c r="B49" s="60"/>
      <c r="C49" s="61"/>
      <c r="D49" s="60"/>
      <c r="E49" s="60"/>
      <c r="F49" s="61"/>
      <c r="G49" s="61"/>
      <c r="H49" s="61"/>
      <c r="I49" s="61"/>
      <c r="J49" s="61"/>
      <c r="K49" s="85" t="str">
        <f aca="false">IF(OR(J49="",I49=""),"",J49-I49)</f>
        <v/>
      </c>
      <c r="L49" s="86" t="str">
        <f aca="false">IF(OR(G49="",H49="",J49=""),"",IF(H49=G49,"",MAX(0,MIN(1,(J49-G49)/(H49-G49)))))</f>
        <v/>
      </c>
      <c r="M49" s="61"/>
      <c r="N49" s="63"/>
      <c r="O49" s="87" t="str">
        <f aca="true">IF(N49="","",N49-TODAY())</f>
        <v/>
      </c>
      <c r="P49" s="61"/>
      <c r="Q49" s="60"/>
      <c r="R49" s="63"/>
      <c r="S49" s="60"/>
      <c r="T49" s="88" t="str">
        <f aca="false">IF(AND(B49&lt;&gt;"",AND(R49&lt;&gt;"",R49&gt;='Weekly Report'!$F$4,R49&lt;='Weekly Report'!$F$5)),ROW(),"")</f>
        <v/>
      </c>
    </row>
    <row r="50" customFormat="false" ht="15" hidden="false" customHeight="false" outlineLevel="0" collapsed="false">
      <c r="A50" s="56" t="s">
        <v>533</v>
      </c>
      <c r="B50" s="60"/>
      <c r="C50" s="61"/>
      <c r="D50" s="60"/>
      <c r="E50" s="60"/>
      <c r="F50" s="61"/>
      <c r="G50" s="61"/>
      <c r="H50" s="61"/>
      <c r="I50" s="61"/>
      <c r="J50" s="61"/>
      <c r="K50" s="85" t="str">
        <f aca="false">IF(OR(J50="",I50=""),"",J50-I50)</f>
        <v/>
      </c>
      <c r="L50" s="86" t="str">
        <f aca="false">IF(OR(G50="",H50="",J50=""),"",IF(H50=G50,"",MAX(0,MIN(1,(J50-G50)/(H50-G50)))))</f>
        <v/>
      </c>
      <c r="M50" s="61"/>
      <c r="N50" s="63"/>
      <c r="O50" s="87" t="str">
        <f aca="true">IF(N50="","",N50-TODAY())</f>
        <v/>
      </c>
      <c r="P50" s="61"/>
      <c r="Q50" s="60"/>
      <c r="R50" s="63"/>
      <c r="S50" s="60"/>
      <c r="T50" s="88" t="str">
        <f aca="false">IF(AND(B50&lt;&gt;"",AND(R50&lt;&gt;"",R50&gt;='Weekly Report'!$F$4,R50&lt;='Weekly Report'!$F$5)),ROW(),"")</f>
        <v/>
      </c>
    </row>
    <row r="51" customFormat="false" ht="15" hidden="false" customHeight="false" outlineLevel="0" collapsed="false">
      <c r="A51" s="56" t="s">
        <v>534</v>
      </c>
      <c r="B51" s="60"/>
      <c r="C51" s="61"/>
      <c r="D51" s="60"/>
      <c r="E51" s="60"/>
      <c r="F51" s="61"/>
      <c r="G51" s="61"/>
      <c r="H51" s="61"/>
      <c r="I51" s="61"/>
      <c r="J51" s="61"/>
      <c r="K51" s="85" t="str">
        <f aca="false">IF(OR(J51="",I51=""),"",J51-I51)</f>
        <v/>
      </c>
      <c r="L51" s="86" t="str">
        <f aca="false">IF(OR(G51="",H51="",J51=""),"",IF(H51=G51,"",MAX(0,MIN(1,(J51-G51)/(H51-G51)))))</f>
        <v/>
      </c>
      <c r="M51" s="61"/>
      <c r="N51" s="63"/>
      <c r="O51" s="87" t="str">
        <f aca="true">IF(N51="","",N51-TODAY())</f>
        <v/>
      </c>
      <c r="P51" s="61"/>
      <c r="Q51" s="60"/>
      <c r="R51" s="63"/>
      <c r="S51" s="60"/>
      <c r="T51" s="88" t="str">
        <f aca="false">IF(AND(B51&lt;&gt;"",AND(R51&lt;&gt;"",R51&gt;='Weekly Report'!$F$4,R51&lt;='Weekly Report'!$F$5)),ROW(),"")</f>
        <v/>
      </c>
    </row>
    <row r="52" customFormat="false" ht="15" hidden="false" customHeight="false" outlineLevel="0" collapsed="false">
      <c r="A52" s="56" t="s">
        <v>535</v>
      </c>
      <c r="B52" s="60"/>
      <c r="C52" s="61"/>
      <c r="D52" s="60"/>
      <c r="E52" s="60"/>
      <c r="F52" s="61"/>
      <c r="G52" s="61"/>
      <c r="H52" s="61"/>
      <c r="I52" s="61"/>
      <c r="J52" s="61"/>
      <c r="K52" s="85" t="str">
        <f aca="false">IF(OR(J52="",I52=""),"",J52-I52)</f>
        <v/>
      </c>
      <c r="L52" s="86" t="str">
        <f aca="false">IF(OR(G52="",H52="",J52=""),"",IF(H52=G52,"",MAX(0,MIN(1,(J52-G52)/(H52-G52)))))</f>
        <v/>
      </c>
      <c r="M52" s="61"/>
      <c r="N52" s="63"/>
      <c r="O52" s="87" t="str">
        <f aca="true">IF(N52="","",N52-TODAY())</f>
        <v/>
      </c>
      <c r="P52" s="61"/>
      <c r="Q52" s="60"/>
      <c r="R52" s="63"/>
      <c r="S52" s="60"/>
      <c r="T52" s="88" t="str">
        <f aca="false">IF(AND(B52&lt;&gt;"",AND(R52&lt;&gt;"",R52&gt;='Weekly Report'!$F$4,R52&lt;='Weekly Report'!$F$5)),ROW(),"")</f>
        <v/>
      </c>
    </row>
    <row r="53" customFormat="false" ht="15" hidden="false" customHeight="false" outlineLevel="0" collapsed="false">
      <c r="A53" s="56" t="s">
        <v>536</v>
      </c>
      <c r="B53" s="60"/>
      <c r="C53" s="61"/>
      <c r="D53" s="60"/>
      <c r="E53" s="60"/>
      <c r="F53" s="61"/>
      <c r="G53" s="61"/>
      <c r="H53" s="61"/>
      <c r="I53" s="61"/>
      <c r="J53" s="61"/>
      <c r="K53" s="85" t="str">
        <f aca="false">IF(OR(J53="",I53=""),"",J53-I53)</f>
        <v/>
      </c>
      <c r="L53" s="86" t="str">
        <f aca="false">IF(OR(G53="",H53="",J53=""),"",IF(H53=G53,"",MAX(0,MIN(1,(J53-G53)/(H53-G53)))))</f>
        <v/>
      </c>
      <c r="M53" s="61"/>
      <c r="N53" s="63"/>
      <c r="O53" s="87" t="str">
        <f aca="true">IF(N53="","",N53-TODAY())</f>
        <v/>
      </c>
      <c r="P53" s="61"/>
      <c r="Q53" s="60"/>
      <c r="R53" s="63"/>
      <c r="S53" s="60"/>
      <c r="T53" s="88" t="str">
        <f aca="false">IF(AND(B53&lt;&gt;"",AND(R53&lt;&gt;"",R53&gt;='Weekly Report'!$F$4,R53&lt;='Weekly Report'!$F$5)),ROW(),"")</f>
        <v/>
      </c>
    </row>
    <row r="54" customFormat="false" ht="15" hidden="false" customHeight="false" outlineLevel="0" collapsed="false">
      <c r="A54" s="56" t="s">
        <v>537</v>
      </c>
      <c r="B54" s="60"/>
      <c r="C54" s="61"/>
      <c r="D54" s="60"/>
      <c r="E54" s="60"/>
      <c r="F54" s="61"/>
      <c r="G54" s="61"/>
      <c r="H54" s="61"/>
      <c r="I54" s="61"/>
      <c r="J54" s="61"/>
      <c r="K54" s="85" t="str">
        <f aca="false">IF(OR(J54="",I54=""),"",J54-I54)</f>
        <v/>
      </c>
      <c r="L54" s="86" t="str">
        <f aca="false">IF(OR(G54="",H54="",J54=""),"",IF(H54=G54,"",MAX(0,MIN(1,(J54-G54)/(H54-G54)))))</f>
        <v/>
      </c>
      <c r="M54" s="61"/>
      <c r="N54" s="63"/>
      <c r="O54" s="87" t="str">
        <f aca="true">IF(N54="","",N54-TODAY())</f>
        <v/>
      </c>
      <c r="P54" s="61"/>
      <c r="Q54" s="60"/>
      <c r="R54" s="63"/>
      <c r="S54" s="60"/>
      <c r="T54" s="88" t="str">
        <f aca="false">IF(AND(B54&lt;&gt;"",AND(R54&lt;&gt;"",R54&gt;='Weekly Report'!$F$4,R54&lt;='Weekly Report'!$F$5)),ROW(),"")</f>
        <v/>
      </c>
    </row>
    <row r="55" customFormat="false" ht="15" hidden="false" customHeight="false" outlineLevel="0" collapsed="false">
      <c r="A55" s="56" t="s">
        <v>538</v>
      </c>
      <c r="B55" s="60"/>
      <c r="C55" s="61"/>
      <c r="D55" s="60"/>
      <c r="E55" s="60"/>
      <c r="F55" s="61"/>
      <c r="G55" s="61"/>
      <c r="H55" s="61"/>
      <c r="I55" s="61"/>
      <c r="J55" s="61"/>
      <c r="K55" s="85" t="str">
        <f aca="false">IF(OR(J55="",I55=""),"",J55-I55)</f>
        <v/>
      </c>
      <c r="L55" s="86" t="str">
        <f aca="false">IF(OR(G55="",H55="",J55=""),"",IF(H55=G55,"",MAX(0,MIN(1,(J55-G55)/(H55-G55)))))</f>
        <v/>
      </c>
      <c r="M55" s="61"/>
      <c r="N55" s="63"/>
      <c r="O55" s="87" t="str">
        <f aca="true">IF(N55="","",N55-TODAY())</f>
        <v/>
      </c>
      <c r="P55" s="61"/>
      <c r="Q55" s="60"/>
      <c r="R55" s="63"/>
      <c r="S55" s="60"/>
      <c r="T55" s="88" t="str">
        <f aca="false">IF(AND(B55&lt;&gt;"",AND(R55&lt;&gt;"",R55&gt;='Weekly Report'!$F$4,R55&lt;='Weekly Report'!$F$5)),ROW(),"")</f>
        <v/>
      </c>
    </row>
    <row r="56" customFormat="false" ht="15" hidden="false" customHeight="false" outlineLevel="0" collapsed="false">
      <c r="A56" s="56" t="s">
        <v>539</v>
      </c>
      <c r="B56" s="60"/>
      <c r="C56" s="61"/>
      <c r="D56" s="60"/>
      <c r="E56" s="60"/>
      <c r="F56" s="61"/>
      <c r="G56" s="61"/>
      <c r="H56" s="61"/>
      <c r="I56" s="61"/>
      <c r="J56" s="61"/>
      <c r="K56" s="85" t="str">
        <f aca="false">IF(OR(J56="",I56=""),"",J56-I56)</f>
        <v/>
      </c>
      <c r="L56" s="86" t="str">
        <f aca="false">IF(OR(G56="",H56="",J56=""),"",IF(H56=G56,"",MAX(0,MIN(1,(J56-G56)/(H56-G56)))))</f>
        <v/>
      </c>
      <c r="M56" s="61"/>
      <c r="N56" s="63"/>
      <c r="O56" s="87" t="str">
        <f aca="true">IF(N56="","",N56-TODAY())</f>
        <v/>
      </c>
      <c r="P56" s="61"/>
      <c r="Q56" s="60"/>
      <c r="R56" s="63"/>
      <c r="S56" s="60"/>
      <c r="T56" s="88" t="str">
        <f aca="false">IF(AND(B56&lt;&gt;"",AND(R56&lt;&gt;"",R56&gt;='Weekly Report'!$F$4,R56&lt;='Weekly Report'!$F$5)),ROW(),"")</f>
        <v/>
      </c>
    </row>
    <row r="57" customFormat="false" ht="15" hidden="false" customHeight="false" outlineLevel="0" collapsed="false">
      <c r="A57" s="56" t="s">
        <v>540</v>
      </c>
      <c r="B57" s="60"/>
      <c r="C57" s="61"/>
      <c r="D57" s="60"/>
      <c r="E57" s="60"/>
      <c r="F57" s="61"/>
      <c r="G57" s="61"/>
      <c r="H57" s="61"/>
      <c r="I57" s="61"/>
      <c r="J57" s="61"/>
      <c r="K57" s="85" t="str">
        <f aca="false">IF(OR(J57="",I57=""),"",J57-I57)</f>
        <v/>
      </c>
      <c r="L57" s="86" t="str">
        <f aca="false">IF(OR(G57="",H57="",J57=""),"",IF(H57=G57,"",MAX(0,MIN(1,(J57-G57)/(H57-G57)))))</f>
        <v/>
      </c>
      <c r="M57" s="61"/>
      <c r="N57" s="63"/>
      <c r="O57" s="87" t="str">
        <f aca="true">IF(N57="","",N57-TODAY())</f>
        <v/>
      </c>
      <c r="P57" s="61"/>
      <c r="Q57" s="60"/>
      <c r="R57" s="63"/>
      <c r="S57" s="60"/>
      <c r="T57" s="88" t="str">
        <f aca="false">IF(AND(B57&lt;&gt;"",AND(R57&lt;&gt;"",R57&gt;='Weekly Report'!$F$4,R57&lt;='Weekly Report'!$F$5)),ROW(),"")</f>
        <v/>
      </c>
    </row>
    <row r="58" customFormat="false" ht="15" hidden="false" customHeight="false" outlineLevel="0" collapsed="false">
      <c r="A58" s="56" t="s">
        <v>541</v>
      </c>
      <c r="B58" s="60"/>
      <c r="C58" s="61"/>
      <c r="D58" s="60"/>
      <c r="E58" s="60"/>
      <c r="F58" s="61"/>
      <c r="G58" s="61"/>
      <c r="H58" s="61"/>
      <c r="I58" s="61"/>
      <c r="J58" s="61"/>
      <c r="K58" s="85" t="str">
        <f aca="false">IF(OR(J58="",I58=""),"",J58-I58)</f>
        <v/>
      </c>
      <c r="L58" s="86" t="str">
        <f aca="false">IF(OR(G58="",H58="",J58=""),"",IF(H58=G58,"",MAX(0,MIN(1,(J58-G58)/(H58-G58)))))</f>
        <v/>
      </c>
      <c r="M58" s="61"/>
      <c r="N58" s="63"/>
      <c r="O58" s="87" t="str">
        <f aca="true">IF(N58="","",N58-TODAY())</f>
        <v/>
      </c>
      <c r="P58" s="61"/>
      <c r="Q58" s="60"/>
      <c r="R58" s="63"/>
      <c r="S58" s="60"/>
      <c r="T58" s="88" t="str">
        <f aca="false">IF(AND(B58&lt;&gt;"",AND(R58&lt;&gt;"",R58&gt;='Weekly Report'!$F$4,R58&lt;='Weekly Report'!$F$5)),ROW(),"")</f>
        <v/>
      </c>
    </row>
    <row r="59" customFormat="false" ht="15" hidden="false" customHeight="false" outlineLevel="0" collapsed="false">
      <c r="A59" s="56" t="s">
        <v>542</v>
      </c>
      <c r="B59" s="60"/>
      <c r="C59" s="61"/>
      <c r="D59" s="60"/>
      <c r="E59" s="60"/>
      <c r="F59" s="61"/>
      <c r="G59" s="61"/>
      <c r="H59" s="61"/>
      <c r="I59" s="61"/>
      <c r="J59" s="61"/>
      <c r="K59" s="85" t="str">
        <f aca="false">IF(OR(J59="",I59=""),"",J59-I59)</f>
        <v/>
      </c>
      <c r="L59" s="86" t="str">
        <f aca="false">IF(OR(G59="",H59="",J59=""),"",IF(H59=G59,"",MAX(0,MIN(1,(J59-G59)/(H59-G59)))))</f>
        <v/>
      </c>
      <c r="M59" s="61"/>
      <c r="N59" s="63"/>
      <c r="O59" s="87" t="str">
        <f aca="true">IF(N59="","",N59-TODAY())</f>
        <v/>
      </c>
      <c r="P59" s="61"/>
      <c r="Q59" s="60"/>
      <c r="R59" s="63"/>
      <c r="S59" s="60"/>
      <c r="T59" s="88" t="str">
        <f aca="false">IF(AND(B59&lt;&gt;"",AND(R59&lt;&gt;"",R59&gt;='Weekly Report'!$F$4,R59&lt;='Weekly Report'!$F$5)),ROW(),"")</f>
        <v/>
      </c>
    </row>
    <row r="60" customFormat="false" ht="15" hidden="false" customHeight="false" outlineLevel="0" collapsed="false">
      <c r="A60" s="56" t="s">
        <v>543</v>
      </c>
      <c r="B60" s="60"/>
      <c r="C60" s="61"/>
      <c r="D60" s="60"/>
      <c r="E60" s="60"/>
      <c r="F60" s="61"/>
      <c r="G60" s="61"/>
      <c r="H60" s="61"/>
      <c r="I60" s="61"/>
      <c r="J60" s="61"/>
      <c r="K60" s="85" t="str">
        <f aca="false">IF(OR(J60="",I60=""),"",J60-I60)</f>
        <v/>
      </c>
      <c r="L60" s="86" t="str">
        <f aca="false">IF(OR(G60="",H60="",J60=""),"",IF(H60=G60,"",MAX(0,MIN(1,(J60-G60)/(H60-G60)))))</f>
        <v/>
      </c>
      <c r="M60" s="61"/>
      <c r="N60" s="63"/>
      <c r="O60" s="87" t="str">
        <f aca="true">IF(N60="","",N60-TODAY())</f>
        <v/>
      </c>
      <c r="P60" s="61"/>
      <c r="Q60" s="60"/>
      <c r="R60" s="63"/>
      <c r="S60" s="60"/>
      <c r="T60" s="88" t="str">
        <f aca="false">IF(AND(B60&lt;&gt;"",AND(R60&lt;&gt;"",R60&gt;='Weekly Report'!$F$4,R60&lt;='Weekly Report'!$F$5)),ROW(),"")</f>
        <v/>
      </c>
    </row>
    <row r="61" customFormat="false" ht="15" hidden="false" customHeight="false" outlineLevel="0" collapsed="false">
      <c r="A61" s="56" t="s">
        <v>544</v>
      </c>
      <c r="B61" s="60"/>
      <c r="C61" s="61"/>
      <c r="D61" s="60"/>
      <c r="E61" s="60"/>
      <c r="F61" s="61"/>
      <c r="G61" s="61"/>
      <c r="H61" s="61"/>
      <c r="I61" s="61"/>
      <c r="J61" s="61"/>
      <c r="K61" s="85" t="str">
        <f aca="false">IF(OR(J61="",I61=""),"",J61-I61)</f>
        <v/>
      </c>
      <c r="L61" s="86" t="str">
        <f aca="false">IF(OR(G61="",H61="",J61=""),"",IF(H61=G61,"",MAX(0,MIN(1,(J61-G61)/(H61-G61)))))</f>
        <v/>
      </c>
      <c r="M61" s="61"/>
      <c r="N61" s="63"/>
      <c r="O61" s="87" t="str">
        <f aca="true">IF(N61="","",N61-TODAY())</f>
        <v/>
      </c>
      <c r="P61" s="61"/>
      <c r="Q61" s="60"/>
      <c r="R61" s="63"/>
      <c r="S61" s="60"/>
      <c r="T61" s="88" t="str">
        <f aca="false">IF(AND(B61&lt;&gt;"",AND(R61&lt;&gt;"",R61&gt;='Weekly Report'!$F$4,R61&lt;='Weekly Report'!$F$5)),ROW(),"")</f>
        <v/>
      </c>
    </row>
    <row r="62" customFormat="false" ht="15" hidden="false" customHeight="false" outlineLevel="0" collapsed="false">
      <c r="A62" s="56" t="s">
        <v>545</v>
      </c>
      <c r="B62" s="60"/>
      <c r="C62" s="61"/>
      <c r="D62" s="60"/>
      <c r="E62" s="60"/>
      <c r="F62" s="61"/>
      <c r="G62" s="61"/>
      <c r="H62" s="61"/>
      <c r="I62" s="61"/>
      <c r="J62" s="61"/>
      <c r="K62" s="85" t="str">
        <f aca="false">IF(OR(J62="",I62=""),"",J62-I62)</f>
        <v/>
      </c>
      <c r="L62" s="86" t="str">
        <f aca="false">IF(OR(G62="",H62="",J62=""),"",IF(H62=G62,"",MAX(0,MIN(1,(J62-G62)/(H62-G62)))))</f>
        <v/>
      </c>
      <c r="M62" s="61"/>
      <c r="N62" s="63"/>
      <c r="O62" s="87" t="str">
        <f aca="true">IF(N62="","",N62-TODAY())</f>
        <v/>
      </c>
      <c r="P62" s="61"/>
      <c r="Q62" s="60"/>
      <c r="R62" s="63"/>
      <c r="S62" s="60"/>
      <c r="T62" s="88" t="str">
        <f aca="false">IF(AND(B62&lt;&gt;"",AND(R62&lt;&gt;"",R62&gt;='Weekly Report'!$F$4,R62&lt;='Weekly Report'!$F$5)),ROW(),"")</f>
        <v/>
      </c>
    </row>
    <row r="63" customFormat="false" ht="15" hidden="false" customHeight="false" outlineLevel="0" collapsed="false">
      <c r="A63" s="56" t="s">
        <v>546</v>
      </c>
      <c r="B63" s="60"/>
      <c r="C63" s="61"/>
      <c r="D63" s="60"/>
      <c r="E63" s="60"/>
      <c r="F63" s="61"/>
      <c r="G63" s="61"/>
      <c r="H63" s="61"/>
      <c r="I63" s="61"/>
      <c r="J63" s="61"/>
      <c r="K63" s="85" t="str">
        <f aca="false">IF(OR(J63="",I63=""),"",J63-I63)</f>
        <v/>
      </c>
      <c r="L63" s="86" t="str">
        <f aca="false">IF(OR(G63="",H63="",J63=""),"",IF(H63=G63,"",MAX(0,MIN(1,(J63-G63)/(H63-G63)))))</f>
        <v/>
      </c>
      <c r="M63" s="61"/>
      <c r="N63" s="63"/>
      <c r="O63" s="87" t="str">
        <f aca="true">IF(N63="","",N63-TODAY())</f>
        <v/>
      </c>
      <c r="P63" s="61"/>
      <c r="Q63" s="60"/>
      <c r="R63" s="63"/>
      <c r="S63" s="60"/>
      <c r="T63" s="88" t="str">
        <f aca="false">IF(AND(B63&lt;&gt;"",AND(R63&lt;&gt;"",R63&gt;='Weekly Report'!$F$4,R63&lt;='Weekly Report'!$F$5)),ROW(),"")</f>
        <v/>
      </c>
    </row>
    <row r="64" customFormat="false" ht="15" hidden="false" customHeight="false" outlineLevel="0" collapsed="false">
      <c r="A64" s="56" t="s">
        <v>547</v>
      </c>
      <c r="B64" s="60"/>
      <c r="C64" s="61"/>
      <c r="D64" s="60"/>
      <c r="E64" s="60"/>
      <c r="F64" s="61"/>
      <c r="G64" s="61"/>
      <c r="H64" s="61"/>
      <c r="I64" s="61"/>
      <c r="J64" s="61"/>
      <c r="K64" s="85" t="str">
        <f aca="false">IF(OR(J64="",I64=""),"",J64-I64)</f>
        <v/>
      </c>
      <c r="L64" s="86" t="str">
        <f aca="false">IF(OR(G64="",H64="",J64=""),"",IF(H64=G64,"",MAX(0,MIN(1,(J64-G64)/(H64-G64)))))</f>
        <v/>
      </c>
      <c r="M64" s="61"/>
      <c r="N64" s="63"/>
      <c r="O64" s="87" t="str">
        <f aca="true">IF(N64="","",N64-TODAY())</f>
        <v/>
      </c>
      <c r="P64" s="61"/>
      <c r="Q64" s="60"/>
      <c r="R64" s="63"/>
      <c r="S64" s="60"/>
      <c r="T64" s="88" t="str">
        <f aca="false">IF(AND(B64&lt;&gt;"",AND(R64&lt;&gt;"",R64&gt;='Weekly Report'!$F$4,R64&lt;='Weekly Report'!$F$5)),ROW(),"")</f>
        <v/>
      </c>
    </row>
    <row r="65" customFormat="false" ht="15" hidden="false" customHeight="false" outlineLevel="0" collapsed="false">
      <c r="A65" s="56" t="s">
        <v>548</v>
      </c>
      <c r="B65" s="60"/>
      <c r="C65" s="61"/>
      <c r="D65" s="60"/>
      <c r="E65" s="60"/>
      <c r="F65" s="61"/>
      <c r="G65" s="61"/>
      <c r="H65" s="61"/>
      <c r="I65" s="61"/>
      <c r="J65" s="61"/>
      <c r="K65" s="85" t="str">
        <f aca="false">IF(OR(J65="",I65=""),"",J65-I65)</f>
        <v/>
      </c>
      <c r="L65" s="86" t="str">
        <f aca="false">IF(OR(G65="",H65="",J65=""),"",IF(H65=G65,"",MAX(0,MIN(1,(J65-G65)/(H65-G65)))))</f>
        <v/>
      </c>
      <c r="M65" s="61"/>
      <c r="N65" s="63"/>
      <c r="O65" s="87" t="str">
        <f aca="true">IF(N65="","",N65-TODAY())</f>
        <v/>
      </c>
      <c r="P65" s="61"/>
      <c r="Q65" s="60"/>
      <c r="R65" s="63"/>
      <c r="S65" s="60"/>
      <c r="T65" s="88" t="str">
        <f aca="false">IF(AND(B65&lt;&gt;"",AND(R65&lt;&gt;"",R65&gt;='Weekly Report'!$F$4,R65&lt;='Weekly Report'!$F$5)),ROW(),"")</f>
        <v/>
      </c>
    </row>
    <row r="66" customFormat="false" ht="15" hidden="false" customHeight="false" outlineLevel="0" collapsed="false">
      <c r="A66" s="56" t="s">
        <v>549</v>
      </c>
      <c r="B66" s="60"/>
      <c r="C66" s="61"/>
      <c r="D66" s="60"/>
      <c r="E66" s="60"/>
      <c r="F66" s="61"/>
      <c r="G66" s="61"/>
      <c r="H66" s="61"/>
      <c r="I66" s="61"/>
      <c r="J66" s="61"/>
      <c r="K66" s="85" t="str">
        <f aca="false">IF(OR(J66="",I66=""),"",J66-I66)</f>
        <v/>
      </c>
      <c r="L66" s="86" t="str">
        <f aca="false">IF(OR(G66="",H66="",J66=""),"",IF(H66=G66,"",MAX(0,MIN(1,(J66-G66)/(H66-G66)))))</f>
        <v/>
      </c>
      <c r="M66" s="61"/>
      <c r="N66" s="63"/>
      <c r="O66" s="87" t="str">
        <f aca="true">IF(N66="","",N66-TODAY())</f>
        <v/>
      </c>
      <c r="P66" s="61"/>
      <c r="Q66" s="60"/>
      <c r="R66" s="63"/>
      <c r="S66" s="60"/>
      <c r="T66" s="88" t="str">
        <f aca="false">IF(AND(B66&lt;&gt;"",AND(R66&lt;&gt;"",R66&gt;='Weekly Report'!$F$4,R66&lt;='Weekly Report'!$F$5)),ROW(),"")</f>
        <v/>
      </c>
    </row>
    <row r="67" customFormat="false" ht="15" hidden="false" customHeight="false" outlineLevel="0" collapsed="false">
      <c r="A67" s="56" t="s">
        <v>550</v>
      </c>
      <c r="B67" s="60"/>
      <c r="C67" s="61"/>
      <c r="D67" s="60"/>
      <c r="E67" s="60"/>
      <c r="F67" s="61"/>
      <c r="G67" s="61"/>
      <c r="H67" s="61"/>
      <c r="I67" s="61"/>
      <c r="J67" s="61"/>
      <c r="K67" s="85" t="str">
        <f aca="false">IF(OR(J67="",I67=""),"",J67-I67)</f>
        <v/>
      </c>
      <c r="L67" s="86" t="str">
        <f aca="false">IF(OR(G67="",H67="",J67=""),"",IF(H67=G67,"",MAX(0,MIN(1,(J67-G67)/(H67-G67)))))</f>
        <v/>
      </c>
      <c r="M67" s="61"/>
      <c r="N67" s="63"/>
      <c r="O67" s="87" t="str">
        <f aca="true">IF(N67="","",N67-TODAY())</f>
        <v/>
      </c>
      <c r="P67" s="61"/>
      <c r="Q67" s="60"/>
      <c r="R67" s="63"/>
      <c r="S67" s="60"/>
      <c r="T67" s="88" t="str">
        <f aca="false">IF(AND(B67&lt;&gt;"",AND(R67&lt;&gt;"",R67&gt;='Weekly Report'!$F$4,R67&lt;='Weekly Report'!$F$5)),ROW(),"")</f>
        <v/>
      </c>
    </row>
    <row r="68" customFormat="false" ht="15" hidden="false" customHeight="false" outlineLevel="0" collapsed="false">
      <c r="A68" s="56" t="s">
        <v>551</v>
      </c>
      <c r="B68" s="60"/>
      <c r="C68" s="61"/>
      <c r="D68" s="60"/>
      <c r="E68" s="60"/>
      <c r="F68" s="61"/>
      <c r="G68" s="61"/>
      <c r="H68" s="61"/>
      <c r="I68" s="61"/>
      <c r="J68" s="61"/>
      <c r="K68" s="85" t="str">
        <f aca="false">IF(OR(J68="",I68=""),"",J68-I68)</f>
        <v/>
      </c>
      <c r="L68" s="86" t="str">
        <f aca="false">IF(OR(G68="",H68="",J68=""),"",IF(H68=G68,"",MAX(0,MIN(1,(J68-G68)/(H68-G68)))))</f>
        <v/>
      </c>
      <c r="M68" s="61"/>
      <c r="N68" s="63"/>
      <c r="O68" s="87" t="str">
        <f aca="true">IF(N68="","",N68-TODAY())</f>
        <v/>
      </c>
      <c r="P68" s="61"/>
      <c r="Q68" s="60"/>
      <c r="R68" s="63"/>
      <c r="S68" s="60"/>
      <c r="T68" s="88" t="str">
        <f aca="false">IF(AND(B68&lt;&gt;"",AND(R68&lt;&gt;"",R68&gt;='Weekly Report'!$F$4,R68&lt;='Weekly Report'!$F$5)),ROW(),"")</f>
        <v/>
      </c>
    </row>
    <row r="69" customFormat="false" ht="15" hidden="false" customHeight="false" outlineLevel="0" collapsed="false">
      <c r="A69" s="56" t="s">
        <v>552</v>
      </c>
      <c r="B69" s="60"/>
      <c r="C69" s="61"/>
      <c r="D69" s="60"/>
      <c r="E69" s="60"/>
      <c r="F69" s="61"/>
      <c r="G69" s="61"/>
      <c r="H69" s="61"/>
      <c r="I69" s="61"/>
      <c r="J69" s="61"/>
      <c r="K69" s="85" t="str">
        <f aca="false">IF(OR(J69="",I69=""),"",J69-I69)</f>
        <v/>
      </c>
      <c r="L69" s="86" t="str">
        <f aca="false">IF(OR(G69="",H69="",J69=""),"",IF(H69=G69,"",MAX(0,MIN(1,(J69-G69)/(H69-G69)))))</f>
        <v/>
      </c>
      <c r="M69" s="61"/>
      <c r="N69" s="63"/>
      <c r="O69" s="87" t="str">
        <f aca="true">IF(N69="","",N69-TODAY())</f>
        <v/>
      </c>
      <c r="P69" s="61"/>
      <c r="Q69" s="60"/>
      <c r="R69" s="63"/>
      <c r="S69" s="60"/>
      <c r="T69" s="88" t="str">
        <f aca="false">IF(AND(B69&lt;&gt;"",AND(R69&lt;&gt;"",R69&gt;='Weekly Report'!$F$4,R69&lt;='Weekly Report'!$F$5)),ROW(),"")</f>
        <v/>
      </c>
    </row>
    <row r="70" customFormat="false" ht="15" hidden="false" customHeight="false" outlineLevel="0" collapsed="false">
      <c r="A70" s="56" t="s">
        <v>553</v>
      </c>
      <c r="B70" s="60"/>
      <c r="C70" s="61"/>
      <c r="D70" s="60"/>
      <c r="E70" s="60"/>
      <c r="F70" s="61"/>
      <c r="G70" s="61"/>
      <c r="H70" s="61"/>
      <c r="I70" s="61"/>
      <c r="J70" s="61"/>
      <c r="K70" s="85" t="str">
        <f aca="false">IF(OR(J70="",I70=""),"",J70-I70)</f>
        <v/>
      </c>
      <c r="L70" s="86" t="str">
        <f aca="false">IF(OR(G70="",H70="",J70=""),"",IF(H70=G70,"",MAX(0,MIN(1,(J70-G70)/(H70-G70)))))</f>
        <v/>
      </c>
      <c r="M70" s="61"/>
      <c r="N70" s="63"/>
      <c r="O70" s="87" t="str">
        <f aca="true">IF(N70="","",N70-TODAY())</f>
        <v/>
      </c>
      <c r="P70" s="61"/>
      <c r="Q70" s="60"/>
      <c r="R70" s="63"/>
      <c r="S70" s="60"/>
      <c r="T70" s="88" t="str">
        <f aca="false">IF(AND(B70&lt;&gt;"",AND(R70&lt;&gt;"",R70&gt;='Weekly Report'!$F$4,R70&lt;='Weekly Report'!$F$5)),ROW(),"")</f>
        <v/>
      </c>
    </row>
    <row r="71" customFormat="false" ht="15" hidden="false" customHeight="false" outlineLevel="0" collapsed="false">
      <c r="A71" s="56" t="s">
        <v>554</v>
      </c>
      <c r="B71" s="60"/>
      <c r="C71" s="61"/>
      <c r="D71" s="60"/>
      <c r="E71" s="60"/>
      <c r="F71" s="61"/>
      <c r="G71" s="61"/>
      <c r="H71" s="61"/>
      <c r="I71" s="61"/>
      <c r="J71" s="61"/>
      <c r="K71" s="85" t="str">
        <f aca="false">IF(OR(J71="",I71=""),"",J71-I71)</f>
        <v/>
      </c>
      <c r="L71" s="86" t="str">
        <f aca="false">IF(OR(G71="",H71="",J71=""),"",IF(H71=G71,"",MAX(0,MIN(1,(J71-G71)/(H71-G71)))))</f>
        <v/>
      </c>
      <c r="M71" s="61"/>
      <c r="N71" s="63"/>
      <c r="O71" s="87" t="str">
        <f aca="true">IF(N71="","",N71-TODAY())</f>
        <v/>
      </c>
      <c r="P71" s="61"/>
      <c r="Q71" s="60"/>
      <c r="R71" s="63"/>
      <c r="S71" s="60"/>
      <c r="T71" s="88" t="str">
        <f aca="false">IF(AND(B71&lt;&gt;"",AND(R71&lt;&gt;"",R71&gt;='Weekly Report'!$F$4,R71&lt;='Weekly Report'!$F$5)),ROW(),"")</f>
        <v/>
      </c>
    </row>
    <row r="72" customFormat="false" ht="15" hidden="false" customHeight="false" outlineLevel="0" collapsed="false">
      <c r="A72" s="56" t="s">
        <v>555</v>
      </c>
      <c r="B72" s="60"/>
      <c r="C72" s="61"/>
      <c r="D72" s="60"/>
      <c r="E72" s="60"/>
      <c r="F72" s="61"/>
      <c r="G72" s="61"/>
      <c r="H72" s="61"/>
      <c r="I72" s="61"/>
      <c r="J72" s="61"/>
      <c r="K72" s="85" t="str">
        <f aca="false">IF(OR(J72="",I72=""),"",J72-I72)</f>
        <v/>
      </c>
      <c r="L72" s="86" t="str">
        <f aca="false">IF(OR(G72="",H72="",J72=""),"",IF(H72=G72,"",MAX(0,MIN(1,(J72-G72)/(H72-G72)))))</f>
        <v/>
      </c>
      <c r="M72" s="61"/>
      <c r="N72" s="63"/>
      <c r="O72" s="87" t="str">
        <f aca="true">IF(N72="","",N72-TODAY())</f>
        <v/>
      </c>
      <c r="P72" s="61"/>
      <c r="Q72" s="60"/>
      <c r="R72" s="63"/>
      <c r="S72" s="60"/>
      <c r="T72" s="88" t="str">
        <f aca="false">IF(AND(B72&lt;&gt;"",AND(R72&lt;&gt;"",R72&gt;='Weekly Report'!$F$4,R72&lt;='Weekly Report'!$F$5)),ROW(),"")</f>
        <v/>
      </c>
    </row>
    <row r="73" customFormat="false" ht="15" hidden="false" customHeight="false" outlineLevel="0" collapsed="false">
      <c r="A73" s="56" t="s">
        <v>556</v>
      </c>
      <c r="B73" s="60"/>
      <c r="C73" s="61"/>
      <c r="D73" s="60"/>
      <c r="E73" s="60"/>
      <c r="F73" s="61"/>
      <c r="G73" s="61"/>
      <c r="H73" s="61"/>
      <c r="I73" s="61"/>
      <c r="J73" s="61"/>
      <c r="K73" s="85" t="str">
        <f aca="false">IF(OR(J73="",I73=""),"",J73-I73)</f>
        <v/>
      </c>
      <c r="L73" s="86" t="str">
        <f aca="false">IF(OR(G73="",H73="",J73=""),"",IF(H73=G73,"",MAX(0,MIN(1,(J73-G73)/(H73-G73)))))</f>
        <v/>
      </c>
      <c r="M73" s="61"/>
      <c r="N73" s="63"/>
      <c r="O73" s="87" t="str">
        <f aca="true">IF(N73="","",N73-TODAY())</f>
        <v/>
      </c>
      <c r="P73" s="61"/>
      <c r="Q73" s="60"/>
      <c r="R73" s="63"/>
      <c r="S73" s="60"/>
      <c r="T73" s="88" t="str">
        <f aca="false">IF(AND(B73&lt;&gt;"",AND(R73&lt;&gt;"",R73&gt;='Weekly Report'!$F$4,R73&lt;='Weekly Report'!$F$5)),ROW(),"")</f>
        <v/>
      </c>
    </row>
    <row r="74" customFormat="false" ht="15" hidden="false" customHeight="false" outlineLevel="0" collapsed="false">
      <c r="A74" s="56" t="s">
        <v>557</v>
      </c>
      <c r="B74" s="60"/>
      <c r="C74" s="61"/>
      <c r="D74" s="60"/>
      <c r="E74" s="60"/>
      <c r="F74" s="61"/>
      <c r="G74" s="61"/>
      <c r="H74" s="61"/>
      <c r="I74" s="61"/>
      <c r="J74" s="61"/>
      <c r="K74" s="85" t="str">
        <f aca="false">IF(OR(J74="",I74=""),"",J74-I74)</f>
        <v/>
      </c>
      <c r="L74" s="86" t="str">
        <f aca="false">IF(OR(G74="",H74="",J74=""),"",IF(H74=G74,"",MAX(0,MIN(1,(J74-G74)/(H74-G74)))))</f>
        <v/>
      </c>
      <c r="M74" s="61"/>
      <c r="N74" s="63"/>
      <c r="O74" s="87" t="str">
        <f aca="true">IF(N74="","",N74-TODAY())</f>
        <v/>
      </c>
      <c r="P74" s="61"/>
      <c r="Q74" s="60"/>
      <c r="R74" s="63"/>
      <c r="S74" s="60"/>
      <c r="T74" s="88" t="str">
        <f aca="false">IF(AND(B74&lt;&gt;"",AND(R74&lt;&gt;"",R74&gt;='Weekly Report'!$F$4,R74&lt;='Weekly Report'!$F$5)),ROW(),"")</f>
        <v/>
      </c>
    </row>
    <row r="75" customFormat="false" ht="15" hidden="false" customHeight="false" outlineLevel="0" collapsed="false">
      <c r="A75" s="56" t="s">
        <v>558</v>
      </c>
      <c r="B75" s="60"/>
      <c r="C75" s="61"/>
      <c r="D75" s="60"/>
      <c r="E75" s="60"/>
      <c r="F75" s="61"/>
      <c r="G75" s="61"/>
      <c r="H75" s="61"/>
      <c r="I75" s="61"/>
      <c r="J75" s="61"/>
      <c r="K75" s="85" t="str">
        <f aca="false">IF(OR(J75="",I75=""),"",J75-I75)</f>
        <v/>
      </c>
      <c r="L75" s="86" t="str">
        <f aca="false">IF(OR(G75="",H75="",J75=""),"",IF(H75=G75,"",MAX(0,MIN(1,(J75-G75)/(H75-G75)))))</f>
        <v/>
      </c>
      <c r="M75" s="61"/>
      <c r="N75" s="63"/>
      <c r="O75" s="87" t="str">
        <f aca="true">IF(N75="","",N75-TODAY())</f>
        <v/>
      </c>
      <c r="P75" s="61"/>
      <c r="Q75" s="60"/>
      <c r="R75" s="63"/>
      <c r="S75" s="60"/>
      <c r="T75" s="88" t="str">
        <f aca="false">IF(AND(B75&lt;&gt;"",AND(R75&lt;&gt;"",R75&gt;='Weekly Report'!$F$4,R75&lt;='Weekly Report'!$F$5)),ROW(),"")</f>
        <v/>
      </c>
    </row>
    <row r="76" customFormat="false" ht="15" hidden="false" customHeight="false" outlineLevel="0" collapsed="false">
      <c r="A76" s="56" t="s">
        <v>559</v>
      </c>
      <c r="B76" s="60"/>
      <c r="C76" s="61"/>
      <c r="D76" s="60"/>
      <c r="E76" s="60"/>
      <c r="F76" s="61"/>
      <c r="G76" s="61"/>
      <c r="H76" s="61"/>
      <c r="I76" s="61"/>
      <c r="J76" s="61"/>
      <c r="K76" s="85" t="str">
        <f aca="false">IF(OR(J76="",I76=""),"",J76-I76)</f>
        <v/>
      </c>
      <c r="L76" s="86" t="str">
        <f aca="false">IF(OR(G76="",H76="",J76=""),"",IF(H76=G76,"",MAX(0,MIN(1,(J76-G76)/(H76-G76)))))</f>
        <v/>
      </c>
      <c r="M76" s="61"/>
      <c r="N76" s="63"/>
      <c r="O76" s="87" t="str">
        <f aca="true">IF(N76="","",N76-TODAY())</f>
        <v/>
      </c>
      <c r="P76" s="61"/>
      <c r="Q76" s="60"/>
      <c r="R76" s="63"/>
      <c r="S76" s="60"/>
      <c r="T76" s="88" t="str">
        <f aca="false">IF(AND(B76&lt;&gt;"",AND(R76&lt;&gt;"",R76&gt;='Weekly Report'!$F$4,R76&lt;='Weekly Report'!$F$5)),ROW(),"")</f>
        <v/>
      </c>
    </row>
    <row r="77" customFormat="false" ht="15" hidden="false" customHeight="false" outlineLevel="0" collapsed="false">
      <c r="A77" s="56" t="s">
        <v>560</v>
      </c>
      <c r="B77" s="60"/>
      <c r="C77" s="61"/>
      <c r="D77" s="60"/>
      <c r="E77" s="60"/>
      <c r="F77" s="61"/>
      <c r="G77" s="61"/>
      <c r="H77" s="61"/>
      <c r="I77" s="61"/>
      <c r="J77" s="61"/>
      <c r="K77" s="85" t="str">
        <f aca="false">IF(OR(J77="",I77=""),"",J77-I77)</f>
        <v/>
      </c>
      <c r="L77" s="86" t="str">
        <f aca="false">IF(OR(G77="",H77="",J77=""),"",IF(H77=G77,"",MAX(0,MIN(1,(J77-G77)/(H77-G77)))))</f>
        <v/>
      </c>
      <c r="M77" s="61"/>
      <c r="N77" s="63"/>
      <c r="O77" s="87" t="str">
        <f aca="true">IF(N77="","",N77-TODAY())</f>
        <v/>
      </c>
      <c r="P77" s="61"/>
      <c r="Q77" s="60"/>
      <c r="R77" s="63"/>
      <c r="S77" s="60"/>
      <c r="T77" s="88" t="str">
        <f aca="false">IF(AND(B77&lt;&gt;"",AND(R77&lt;&gt;"",R77&gt;='Weekly Report'!$F$4,R77&lt;='Weekly Report'!$F$5)),ROW(),"")</f>
        <v/>
      </c>
    </row>
    <row r="78" customFormat="false" ht="15" hidden="false" customHeight="false" outlineLevel="0" collapsed="false">
      <c r="A78" s="56" t="s">
        <v>561</v>
      </c>
      <c r="B78" s="60"/>
      <c r="C78" s="61"/>
      <c r="D78" s="60"/>
      <c r="E78" s="60"/>
      <c r="F78" s="61"/>
      <c r="G78" s="61"/>
      <c r="H78" s="61"/>
      <c r="I78" s="61"/>
      <c r="J78" s="61"/>
      <c r="K78" s="85" t="str">
        <f aca="false">IF(OR(J78="",I78=""),"",J78-I78)</f>
        <v/>
      </c>
      <c r="L78" s="86" t="str">
        <f aca="false">IF(OR(G78="",H78="",J78=""),"",IF(H78=G78,"",MAX(0,MIN(1,(J78-G78)/(H78-G78)))))</f>
        <v/>
      </c>
      <c r="M78" s="61"/>
      <c r="N78" s="63"/>
      <c r="O78" s="87" t="str">
        <f aca="true">IF(N78="","",N78-TODAY())</f>
        <v/>
      </c>
      <c r="P78" s="61"/>
      <c r="Q78" s="60"/>
      <c r="R78" s="63"/>
      <c r="S78" s="60"/>
      <c r="T78" s="88" t="str">
        <f aca="false">IF(AND(B78&lt;&gt;"",AND(R78&lt;&gt;"",R78&gt;='Weekly Report'!$F$4,R78&lt;='Weekly Report'!$F$5)),ROW(),"")</f>
        <v/>
      </c>
    </row>
    <row r="79" customFormat="false" ht="15" hidden="false" customHeight="false" outlineLevel="0" collapsed="false">
      <c r="A79" s="56" t="s">
        <v>562</v>
      </c>
      <c r="B79" s="60"/>
      <c r="C79" s="61"/>
      <c r="D79" s="60"/>
      <c r="E79" s="60"/>
      <c r="F79" s="61"/>
      <c r="G79" s="61"/>
      <c r="H79" s="61"/>
      <c r="I79" s="61"/>
      <c r="J79" s="61"/>
      <c r="K79" s="85" t="str">
        <f aca="false">IF(OR(J79="",I79=""),"",J79-I79)</f>
        <v/>
      </c>
      <c r="L79" s="86" t="str">
        <f aca="false">IF(OR(G79="",H79="",J79=""),"",IF(H79=G79,"",MAX(0,MIN(1,(J79-G79)/(H79-G79)))))</f>
        <v/>
      </c>
      <c r="M79" s="61"/>
      <c r="N79" s="63"/>
      <c r="O79" s="87" t="str">
        <f aca="true">IF(N79="","",N79-TODAY())</f>
        <v/>
      </c>
      <c r="P79" s="61"/>
      <c r="Q79" s="60"/>
      <c r="R79" s="63"/>
      <c r="S79" s="60"/>
      <c r="T79" s="88" t="str">
        <f aca="false">IF(AND(B79&lt;&gt;"",AND(R79&lt;&gt;"",R79&gt;='Weekly Report'!$F$4,R79&lt;='Weekly Report'!$F$5)),ROW(),"")</f>
        <v/>
      </c>
    </row>
    <row r="80" customFormat="false" ht="15" hidden="false" customHeight="false" outlineLevel="0" collapsed="false">
      <c r="A80" s="56" t="s">
        <v>563</v>
      </c>
      <c r="B80" s="60"/>
      <c r="C80" s="61"/>
      <c r="D80" s="60"/>
      <c r="E80" s="60"/>
      <c r="F80" s="61"/>
      <c r="G80" s="61"/>
      <c r="H80" s="61"/>
      <c r="I80" s="61"/>
      <c r="J80" s="61"/>
      <c r="K80" s="85" t="str">
        <f aca="false">IF(OR(J80="",I80=""),"",J80-I80)</f>
        <v/>
      </c>
      <c r="L80" s="86" t="str">
        <f aca="false">IF(OR(G80="",H80="",J80=""),"",IF(H80=G80,"",MAX(0,MIN(1,(J80-G80)/(H80-G80)))))</f>
        <v/>
      </c>
      <c r="M80" s="61"/>
      <c r="N80" s="63"/>
      <c r="O80" s="87" t="str">
        <f aca="true">IF(N80="","",N80-TODAY())</f>
        <v/>
      </c>
      <c r="P80" s="61"/>
      <c r="Q80" s="60"/>
      <c r="R80" s="63"/>
      <c r="S80" s="60"/>
      <c r="T80" s="88" t="str">
        <f aca="false">IF(AND(B80&lt;&gt;"",AND(R80&lt;&gt;"",R80&gt;='Weekly Report'!$F$4,R80&lt;='Weekly Report'!$F$5)),ROW(),"")</f>
        <v/>
      </c>
    </row>
    <row r="81" customFormat="false" ht="15" hidden="false" customHeight="false" outlineLevel="0" collapsed="false">
      <c r="A81" s="56" t="s">
        <v>564</v>
      </c>
      <c r="B81" s="60"/>
      <c r="C81" s="61"/>
      <c r="D81" s="60"/>
      <c r="E81" s="60"/>
      <c r="F81" s="61"/>
      <c r="G81" s="61"/>
      <c r="H81" s="61"/>
      <c r="I81" s="61"/>
      <c r="J81" s="61"/>
      <c r="K81" s="85" t="str">
        <f aca="false">IF(OR(J81="",I81=""),"",J81-I81)</f>
        <v/>
      </c>
      <c r="L81" s="86" t="str">
        <f aca="false">IF(OR(G81="",H81="",J81=""),"",IF(H81=G81,"",MAX(0,MIN(1,(J81-G81)/(H81-G81)))))</f>
        <v/>
      </c>
      <c r="M81" s="61"/>
      <c r="N81" s="63"/>
      <c r="O81" s="87" t="str">
        <f aca="true">IF(N81="","",N81-TODAY())</f>
        <v/>
      </c>
      <c r="P81" s="61"/>
      <c r="Q81" s="60"/>
      <c r="R81" s="63"/>
      <c r="S81" s="60"/>
      <c r="T81" s="88" t="str">
        <f aca="false">IF(AND(B81&lt;&gt;"",AND(R81&lt;&gt;"",R81&gt;='Weekly Report'!$F$4,R81&lt;='Weekly Report'!$F$5)),ROW(),"")</f>
        <v/>
      </c>
    </row>
    <row r="82" customFormat="false" ht="15" hidden="false" customHeight="false" outlineLevel="0" collapsed="false">
      <c r="A82" s="56" t="s">
        <v>565</v>
      </c>
      <c r="B82" s="60"/>
      <c r="C82" s="61"/>
      <c r="D82" s="60"/>
      <c r="E82" s="60"/>
      <c r="F82" s="61"/>
      <c r="G82" s="61"/>
      <c r="H82" s="61"/>
      <c r="I82" s="61"/>
      <c r="J82" s="61"/>
      <c r="K82" s="85" t="str">
        <f aca="false">IF(OR(J82="",I82=""),"",J82-I82)</f>
        <v/>
      </c>
      <c r="L82" s="86" t="str">
        <f aca="false">IF(OR(G82="",H82="",J82=""),"",IF(H82=G82,"",MAX(0,MIN(1,(J82-G82)/(H82-G82)))))</f>
        <v/>
      </c>
      <c r="M82" s="61"/>
      <c r="N82" s="63"/>
      <c r="O82" s="87" t="str">
        <f aca="true">IF(N82="","",N82-TODAY())</f>
        <v/>
      </c>
      <c r="P82" s="61"/>
      <c r="Q82" s="60"/>
      <c r="R82" s="63"/>
      <c r="S82" s="60"/>
      <c r="T82" s="88" t="str">
        <f aca="false">IF(AND(B82&lt;&gt;"",AND(R82&lt;&gt;"",R82&gt;='Weekly Report'!$F$4,R82&lt;='Weekly Report'!$F$5)),ROW(),"")</f>
        <v/>
      </c>
    </row>
    <row r="83" customFormat="false" ht="15" hidden="false" customHeight="false" outlineLevel="0" collapsed="false">
      <c r="A83" s="56" t="s">
        <v>566</v>
      </c>
      <c r="B83" s="60"/>
      <c r="C83" s="61"/>
      <c r="D83" s="60"/>
      <c r="E83" s="60"/>
      <c r="F83" s="61"/>
      <c r="G83" s="61"/>
      <c r="H83" s="61"/>
      <c r="I83" s="61"/>
      <c r="J83" s="61"/>
      <c r="K83" s="85" t="str">
        <f aca="false">IF(OR(J83="",I83=""),"",J83-I83)</f>
        <v/>
      </c>
      <c r="L83" s="86" t="str">
        <f aca="false">IF(OR(G83="",H83="",J83=""),"",IF(H83=G83,"",MAX(0,MIN(1,(J83-G83)/(H83-G83)))))</f>
        <v/>
      </c>
      <c r="M83" s="61"/>
      <c r="N83" s="63"/>
      <c r="O83" s="87" t="str">
        <f aca="true">IF(N83="","",N83-TODAY())</f>
        <v/>
      </c>
      <c r="P83" s="61"/>
      <c r="Q83" s="60"/>
      <c r="R83" s="63"/>
      <c r="S83" s="60"/>
      <c r="T83" s="88" t="str">
        <f aca="false">IF(AND(B83&lt;&gt;"",AND(R83&lt;&gt;"",R83&gt;='Weekly Report'!$F$4,R83&lt;='Weekly Report'!$F$5)),ROW(),"")</f>
        <v/>
      </c>
    </row>
    <row r="84" customFormat="false" ht="15" hidden="false" customHeight="false" outlineLevel="0" collapsed="false">
      <c r="A84" s="56" t="s">
        <v>567</v>
      </c>
      <c r="B84" s="60"/>
      <c r="C84" s="61"/>
      <c r="D84" s="60"/>
      <c r="E84" s="60"/>
      <c r="F84" s="61"/>
      <c r="G84" s="61"/>
      <c r="H84" s="61"/>
      <c r="I84" s="61"/>
      <c r="J84" s="61"/>
      <c r="K84" s="85" t="str">
        <f aca="false">IF(OR(J84="",I84=""),"",J84-I84)</f>
        <v/>
      </c>
      <c r="L84" s="86" t="str">
        <f aca="false">IF(OR(G84="",H84="",J84=""),"",IF(H84=G84,"",MAX(0,MIN(1,(J84-G84)/(H84-G84)))))</f>
        <v/>
      </c>
      <c r="M84" s="61"/>
      <c r="N84" s="63"/>
      <c r="O84" s="87" t="str">
        <f aca="true">IF(N84="","",N84-TODAY())</f>
        <v/>
      </c>
      <c r="P84" s="61"/>
      <c r="Q84" s="60"/>
      <c r="R84" s="63"/>
      <c r="S84" s="60"/>
      <c r="T84" s="88" t="str">
        <f aca="false">IF(AND(B84&lt;&gt;"",AND(R84&lt;&gt;"",R84&gt;='Weekly Report'!$F$4,R84&lt;='Weekly Report'!$F$5)),ROW(),"")</f>
        <v/>
      </c>
    </row>
    <row r="85" customFormat="false" ht="15" hidden="false" customHeight="false" outlineLevel="0" collapsed="false">
      <c r="A85" s="56" t="s">
        <v>568</v>
      </c>
      <c r="B85" s="60"/>
      <c r="C85" s="61"/>
      <c r="D85" s="60"/>
      <c r="E85" s="60"/>
      <c r="F85" s="61"/>
      <c r="G85" s="61"/>
      <c r="H85" s="61"/>
      <c r="I85" s="61"/>
      <c r="J85" s="61"/>
      <c r="K85" s="85" t="str">
        <f aca="false">IF(OR(J85="",I85=""),"",J85-I85)</f>
        <v/>
      </c>
      <c r="L85" s="86" t="str">
        <f aca="false">IF(OR(G85="",H85="",J85=""),"",IF(H85=G85,"",MAX(0,MIN(1,(J85-G85)/(H85-G85)))))</f>
        <v/>
      </c>
      <c r="M85" s="61"/>
      <c r="N85" s="63"/>
      <c r="O85" s="87" t="str">
        <f aca="true">IF(N85="","",N85-TODAY())</f>
        <v/>
      </c>
      <c r="P85" s="61"/>
      <c r="Q85" s="60"/>
      <c r="R85" s="63"/>
      <c r="S85" s="60"/>
      <c r="T85" s="88" t="str">
        <f aca="false">IF(AND(B85&lt;&gt;"",AND(R85&lt;&gt;"",R85&gt;='Weekly Report'!$F$4,R85&lt;='Weekly Report'!$F$5)),ROW(),"")</f>
        <v/>
      </c>
    </row>
    <row r="86" customFormat="false" ht="15" hidden="false" customHeight="false" outlineLevel="0" collapsed="false">
      <c r="A86" s="56" t="s">
        <v>569</v>
      </c>
      <c r="B86" s="60"/>
      <c r="C86" s="61"/>
      <c r="D86" s="60"/>
      <c r="E86" s="60"/>
      <c r="F86" s="61"/>
      <c r="G86" s="61"/>
      <c r="H86" s="61"/>
      <c r="I86" s="61"/>
      <c r="J86" s="61"/>
      <c r="K86" s="85" t="str">
        <f aca="false">IF(OR(J86="",I86=""),"",J86-I86)</f>
        <v/>
      </c>
      <c r="L86" s="86" t="str">
        <f aca="false">IF(OR(G86="",H86="",J86=""),"",IF(H86=G86,"",MAX(0,MIN(1,(J86-G86)/(H86-G86)))))</f>
        <v/>
      </c>
      <c r="M86" s="61"/>
      <c r="N86" s="63"/>
      <c r="O86" s="87" t="str">
        <f aca="true">IF(N86="","",N86-TODAY())</f>
        <v/>
      </c>
      <c r="P86" s="61"/>
      <c r="Q86" s="60"/>
      <c r="R86" s="63"/>
      <c r="S86" s="60"/>
      <c r="T86" s="88" t="str">
        <f aca="false">IF(AND(B86&lt;&gt;"",AND(R86&lt;&gt;"",R86&gt;='Weekly Report'!$F$4,R86&lt;='Weekly Report'!$F$5)),ROW(),"")</f>
        <v/>
      </c>
    </row>
    <row r="87" customFormat="false" ht="15" hidden="false" customHeight="false" outlineLevel="0" collapsed="false">
      <c r="A87" s="56" t="s">
        <v>570</v>
      </c>
      <c r="B87" s="60"/>
      <c r="C87" s="61"/>
      <c r="D87" s="60"/>
      <c r="E87" s="60"/>
      <c r="F87" s="61"/>
      <c r="G87" s="61"/>
      <c r="H87" s="61"/>
      <c r="I87" s="61"/>
      <c r="J87" s="61"/>
      <c r="K87" s="85" t="str">
        <f aca="false">IF(OR(J87="",I87=""),"",J87-I87)</f>
        <v/>
      </c>
      <c r="L87" s="86" t="str">
        <f aca="false">IF(OR(G87="",H87="",J87=""),"",IF(H87=G87,"",MAX(0,MIN(1,(J87-G87)/(H87-G87)))))</f>
        <v/>
      </c>
      <c r="M87" s="61"/>
      <c r="N87" s="63"/>
      <c r="O87" s="87" t="str">
        <f aca="true">IF(N87="","",N87-TODAY())</f>
        <v/>
      </c>
      <c r="P87" s="61"/>
      <c r="Q87" s="60"/>
      <c r="R87" s="63"/>
      <c r="S87" s="60"/>
      <c r="T87" s="88" t="str">
        <f aca="false">IF(AND(B87&lt;&gt;"",AND(R87&lt;&gt;"",R87&gt;='Weekly Report'!$F$4,R87&lt;='Weekly Report'!$F$5)),ROW(),"")</f>
        <v/>
      </c>
    </row>
    <row r="88" customFormat="false" ht="15" hidden="false" customHeight="false" outlineLevel="0" collapsed="false">
      <c r="A88" s="56" t="s">
        <v>571</v>
      </c>
      <c r="B88" s="60"/>
      <c r="C88" s="61"/>
      <c r="D88" s="60"/>
      <c r="E88" s="60"/>
      <c r="F88" s="61"/>
      <c r="G88" s="61"/>
      <c r="H88" s="61"/>
      <c r="I88" s="61"/>
      <c r="J88" s="61"/>
      <c r="K88" s="85" t="str">
        <f aca="false">IF(OR(J88="",I88=""),"",J88-I88)</f>
        <v/>
      </c>
      <c r="L88" s="86" t="str">
        <f aca="false">IF(OR(G88="",H88="",J88=""),"",IF(H88=G88,"",MAX(0,MIN(1,(J88-G88)/(H88-G88)))))</f>
        <v/>
      </c>
      <c r="M88" s="61"/>
      <c r="N88" s="63"/>
      <c r="O88" s="87" t="str">
        <f aca="true">IF(N88="","",N88-TODAY())</f>
        <v/>
      </c>
      <c r="P88" s="61"/>
      <c r="Q88" s="60"/>
      <c r="R88" s="63"/>
      <c r="S88" s="60"/>
      <c r="T88" s="88" t="str">
        <f aca="false">IF(AND(B88&lt;&gt;"",AND(R88&lt;&gt;"",R88&gt;='Weekly Report'!$F$4,R88&lt;='Weekly Report'!$F$5)),ROW(),"")</f>
        <v/>
      </c>
    </row>
    <row r="89" customFormat="false" ht="15" hidden="false" customHeight="false" outlineLevel="0" collapsed="false">
      <c r="A89" s="56" t="s">
        <v>572</v>
      </c>
      <c r="B89" s="60"/>
      <c r="C89" s="61"/>
      <c r="D89" s="60"/>
      <c r="E89" s="60"/>
      <c r="F89" s="61"/>
      <c r="G89" s="61"/>
      <c r="H89" s="61"/>
      <c r="I89" s="61"/>
      <c r="J89" s="61"/>
      <c r="K89" s="85" t="str">
        <f aca="false">IF(OR(J89="",I89=""),"",J89-I89)</f>
        <v/>
      </c>
      <c r="L89" s="86" t="str">
        <f aca="false">IF(OR(G89="",H89="",J89=""),"",IF(H89=G89,"",MAX(0,MIN(1,(J89-G89)/(H89-G89)))))</f>
        <v/>
      </c>
      <c r="M89" s="61"/>
      <c r="N89" s="63"/>
      <c r="O89" s="87" t="str">
        <f aca="true">IF(N89="","",N89-TODAY())</f>
        <v/>
      </c>
      <c r="P89" s="61"/>
      <c r="Q89" s="60"/>
      <c r="R89" s="63"/>
      <c r="S89" s="60"/>
      <c r="T89" s="88" t="str">
        <f aca="false">IF(AND(B89&lt;&gt;"",AND(R89&lt;&gt;"",R89&gt;='Weekly Report'!$F$4,R89&lt;='Weekly Report'!$F$5)),ROW(),"")</f>
        <v/>
      </c>
    </row>
    <row r="90" customFormat="false" ht="15" hidden="false" customHeight="false" outlineLevel="0" collapsed="false">
      <c r="A90" s="56" t="s">
        <v>573</v>
      </c>
      <c r="B90" s="60"/>
      <c r="C90" s="61"/>
      <c r="D90" s="60"/>
      <c r="E90" s="60"/>
      <c r="F90" s="61"/>
      <c r="G90" s="61"/>
      <c r="H90" s="61"/>
      <c r="I90" s="61"/>
      <c r="J90" s="61"/>
      <c r="K90" s="85" t="str">
        <f aca="false">IF(OR(J90="",I90=""),"",J90-I90)</f>
        <v/>
      </c>
      <c r="L90" s="86" t="str">
        <f aca="false">IF(OR(G90="",H90="",J90=""),"",IF(H90=G90,"",MAX(0,MIN(1,(J90-G90)/(H90-G90)))))</f>
        <v/>
      </c>
      <c r="M90" s="61"/>
      <c r="N90" s="63"/>
      <c r="O90" s="87" t="str">
        <f aca="true">IF(N90="","",N90-TODAY())</f>
        <v/>
      </c>
      <c r="P90" s="61"/>
      <c r="Q90" s="60"/>
      <c r="R90" s="63"/>
      <c r="S90" s="60"/>
      <c r="T90" s="88" t="str">
        <f aca="false">IF(AND(B90&lt;&gt;"",AND(R90&lt;&gt;"",R90&gt;='Weekly Report'!$F$4,R90&lt;='Weekly Report'!$F$5)),ROW(),"")</f>
        <v/>
      </c>
    </row>
    <row r="91" customFormat="false" ht="15" hidden="false" customHeight="false" outlineLevel="0" collapsed="false">
      <c r="A91" s="56" t="s">
        <v>574</v>
      </c>
      <c r="B91" s="60"/>
      <c r="C91" s="61"/>
      <c r="D91" s="60"/>
      <c r="E91" s="60"/>
      <c r="F91" s="61"/>
      <c r="G91" s="61"/>
      <c r="H91" s="61"/>
      <c r="I91" s="61"/>
      <c r="J91" s="61"/>
      <c r="K91" s="85" t="str">
        <f aca="false">IF(OR(J91="",I91=""),"",J91-I91)</f>
        <v/>
      </c>
      <c r="L91" s="86" t="str">
        <f aca="false">IF(OR(G91="",H91="",J91=""),"",IF(H91=G91,"",MAX(0,MIN(1,(J91-G91)/(H91-G91)))))</f>
        <v/>
      </c>
      <c r="M91" s="61"/>
      <c r="N91" s="63"/>
      <c r="O91" s="87" t="str">
        <f aca="true">IF(N91="","",N91-TODAY())</f>
        <v/>
      </c>
      <c r="P91" s="61"/>
      <c r="Q91" s="60"/>
      <c r="R91" s="63"/>
      <c r="S91" s="60"/>
      <c r="T91" s="88" t="str">
        <f aca="false">IF(AND(B91&lt;&gt;"",AND(R91&lt;&gt;"",R91&gt;='Weekly Report'!$F$4,R91&lt;='Weekly Report'!$F$5)),ROW(),"")</f>
        <v/>
      </c>
    </row>
    <row r="92" customFormat="false" ht="15" hidden="false" customHeight="false" outlineLevel="0" collapsed="false">
      <c r="A92" s="56" t="s">
        <v>575</v>
      </c>
      <c r="B92" s="60"/>
      <c r="C92" s="61"/>
      <c r="D92" s="60"/>
      <c r="E92" s="60"/>
      <c r="F92" s="61"/>
      <c r="G92" s="61"/>
      <c r="H92" s="61"/>
      <c r="I92" s="61"/>
      <c r="J92" s="61"/>
      <c r="K92" s="85" t="str">
        <f aca="false">IF(OR(J92="",I92=""),"",J92-I92)</f>
        <v/>
      </c>
      <c r="L92" s="86" t="str">
        <f aca="false">IF(OR(G92="",H92="",J92=""),"",IF(H92=G92,"",MAX(0,MIN(1,(J92-G92)/(H92-G92)))))</f>
        <v/>
      </c>
      <c r="M92" s="61"/>
      <c r="N92" s="63"/>
      <c r="O92" s="87" t="str">
        <f aca="true">IF(N92="","",N92-TODAY())</f>
        <v/>
      </c>
      <c r="P92" s="61"/>
      <c r="Q92" s="60"/>
      <c r="R92" s="63"/>
      <c r="S92" s="60"/>
      <c r="T92" s="88" t="str">
        <f aca="false">IF(AND(B92&lt;&gt;"",AND(R92&lt;&gt;"",R92&gt;='Weekly Report'!$F$4,R92&lt;='Weekly Report'!$F$5)),ROW(),"")</f>
        <v/>
      </c>
    </row>
    <row r="93" customFormat="false" ht="15" hidden="false" customHeight="false" outlineLevel="0" collapsed="false">
      <c r="A93" s="56" t="s">
        <v>576</v>
      </c>
      <c r="B93" s="60"/>
      <c r="C93" s="61"/>
      <c r="D93" s="60"/>
      <c r="E93" s="60"/>
      <c r="F93" s="61"/>
      <c r="G93" s="61"/>
      <c r="H93" s="61"/>
      <c r="I93" s="61"/>
      <c r="J93" s="61"/>
      <c r="K93" s="85" t="str">
        <f aca="false">IF(OR(J93="",I93=""),"",J93-I93)</f>
        <v/>
      </c>
      <c r="L93" s="86" t="str">
        <f aca="false">IF(OR(G93="",H93="",J93=""),"",IF(H93=G93,"",MAX(0,MIN(1,(J93-G93)/(H93-G93)))))</f>
        <v/>
      </c>
      <c r="M93" s="61"/>
      <c r="N93" s="63"/>
      <c r="O93" s="87" t="str">
        <f aca="true">IF(N93="","",N93-TODAY())</f>
        <v/>
      </c>
      <c r="P93" s="61"/>
      <c r="Q93" s="60"/>
      <c r="R93" s="63"/>
      <c r="S93" s="60"/>
      <c r="T93" s="88" t="str">
        <f aca="false">IF(AND(B93&lt;&gt;"",AND(R93&lt;&gt;"",R93&gt;='Weekly Report'!$F$4,R93&lt;='Weekly Report'!$F$5)),ROW(),"")</f>
        <v/>
      </c>
    </row>
    <row r="94" customFormat="false" ht="15" hidden="false" customHeight="false" outlineLevel="0" collapsed="false">
      <c r="A94" s="56" t="s">
        <v>577</v>
      </c>
      <c r="B94" s="60"/>
      <c r="C94" s="61"/>
      <c r="D94" s="60"/>
      <c r="E94" s="60"/>
      <c r="F94" s="61"/>
      <c r="G94" s="61"/>
      <c r="H94" s="61"/>
      <c r="I94" s="61"/>
      <c r="J94" s="61"/>
      <c r="K94" s="85" t="str">
        <f aca="false">IF(OR(J94="",I94=""),"",J94-I94)</f>
        <v/>
      </c>
      <c r="L94" s="86" t="str">
        <f aca="false">IF(OR(G94="",H94="",J94=""),"",IF(H94=G94,"",MAX(0,MIN(1,(J94-G94)/(H94-G94)))))</f>
        <v/>
      </c>
      <c r="M94" s="61"/>
      <c r="N94" s="63"/>
      <c r="O94" s="87" t="str">
        <f aca="true">IF(N94="","",N94-TODAY())</f>
        <v/>
      </c>
      <c r="P94" s="61"/>
      <c r="Q94" s="60"/>
      <c r="R94" s="63"/>
      <c r="S94" s="60"/>
      <c r="T94" s="88" t="str">
        <f aca="false">IF(AND(B94&lt;&gt;"",AND(R94&lt;&gt;"",R94&gt;='Weekly Report'!$F$4,R94&lt;='Weekly Report'!$F$5)),ROW(),"")</f>
        <v/>
      </c>
    </row>
    <row r="95" customFormat="false" ht="15" hidden="false" customHeight="false" outlineLevel="0" collapsed="false">
      <c r="A95" s="56" t="s">
        <v>578</v>
      </c>
      <c r="B95" s="60"/>
      <c r="C95" s="61"/>
      <c r="D95" s="60"/>
      <c r="E95" s="60"/>
      <c r="F95" s="61"/>
      <c r="G95" s="61"/>
      <c r="H95" s="61"/>
      <c r="I95" s="61"/>
      <c r="J95" s="61"/>
      <c r="K95" s="85" t="str">
        <f aca="false">IF(OR(J95="",I95=""),"",J95-I95)</f>
        <v/>
      </c>
      <c r="L95" s="86" t="str">
        <f aca="false">IF(OR(G95="",H95="",J95=""),"",IF(H95=G95,"",MAX(0,MIN(1,(J95-G95)/(H95-G95)))))</f>
        <v/>
      </c>
      <c r="M95" s="61"/>
      <c r="N95" s="63"/>
      <c r="O95" s="87" t="str">
        <f aca="true">IF(N95="","",N95-TODAY())</f>
        <v/>
      </c>
      <c r="P95" s="61"/>
      <c r="Q95" s="60"/>
      <c r="R95" s="63"/>
      <c r="S95" s="60"/>
      <c r="T95" s="88" t="str">
        <f aca="false">IF(AND(B95&lt;&gt;"",AND(R95&lt;&gt;"",R95&gt;='Weekly Report'!$F$4,R95&lt;='Weekly Report'!$F$5)),ROW(),"")</f>
        <v/>
      </c>
    </row>
    <row r="96" customFormat="false" ht="15" hidden="false" customHeight="false" outlineLevel="0" collapsed="false">
      <c r="A96" s="56" t="s">
        <v>579</v>
      </c>
      <c r="B96" s="60"/>
      <c r="C96" s="61"/>
      <c r="D96" s="60"/>
      <c r="E96" s="60"/>
      <c r="F96" s="61"/>
      <c r="G96" s="61"/>
      <c r="H96" s="61"/>
      <c r="I96" s="61"/>
      <c r="J96" s="61"/>
      <c r="K96" s="85" t="str">
        <f aca="false">IF(OR(J96="",I96=""),"",J96-I96)</f>
        <v/>
      </c>
      <c r="L96" s="86" t="str">
        <f aca="false">IF(OR(G96="",H96="",J96=""),"",IF(H96=G96,"",MAX(0,MIN(1,(J96-G96)/(H96-G96)))))</f>
        <v/>
      </c>
      <c r="M96" s="61"/>
      <c r="N96" s="63"/>
      <c r="O96" s="87" t="str">
        <f aca="true">IF(N96="","",N96-TODAY())</f>
        <v/>
      </c>
      <c r="P96" s="61"/>
      <c r="Q96" s="60"/>
      <c r="R96" s="63"/>
      <c r="S96" s="60"/>
      <c r="T96" s="88" t="str">
        <f aca="false">IF(AND(B96&lt;&gt;"",AND(R96&lt;&gt;"",R96&gt;='Weekly Report'!$F$4,R96&lt;='Weekly Report'!$F$5)),ROW(),"")</f>
        <v/>
      </c>
    </row>
    <row r="97" customFormat="false" ht="15" hidden="false" customHeight="false" outlineLevel="0" collapsed="false">
      <c r="A97" s="56" t="s">
        <v>580</v>
      </c>
      <c r="B97" s="60"/>
      <c r="C97" s="61"/>
      <c r="D97" s="60"/>
      <c r="E97" s="60"/>
      <c r="F97" s="61"/>
      <c r="G97" s="61"/>
      <c r="H97" s="61"/>
      <c r="I97" s="61"/>
      <c r="J97" s="61"/>
      <c r="K97" s="85" t="str">
        <f aca="false">IF(OR(J97="",I97=""),"",J97-I97)</f>
        <v/>
      </c>
      <c r="L97" s="86" t="str">
        <f aca="false">IF(OR(G97="",H97="",J97=""),"",IF(H97=G97,"",MAX(0,MIN(1,(J97-G97)/(H97-G97)))))</f>
        <v/>
      </c>
      <c r="M97" s="61"/>
      <c r="N97" s="63"/>
      <c r="O97" s="87" t="str">
        <f aca="true">IF(N97="","",N97-TODAY())</f>
        <v/>
      </c>
      <c r="P97" s="61"/>
      <c r="Q97" s="60"/>
      <c r="R97" s="63"/>
      <c r="S97" s="60"/>
      <c r="T97" s="88" t="str">
        <f aca="false">IF(AND(B97&lt;&gt;"",AND(R97&lt;&gt;"",R97&gt;='Weekly Report'!$F$4,R97&lt;='Weekly Report'!$F$5)),ROW(),"")</f>
        <v/>
      </c>
    </row>
    <row r="98" customFormat="false" ht="15" hidden="false" customHeight="false" outlineLevel="0" collapsed="false">
      <c r="A98" s="56" t="s">
        <v>581</v>
      </c>
      <c r="B98" s="60"/>
      <c r="C98" s="61"/>
      <c r="D98" s="60"/>
      <c r="E98" s="60"/>
      <c r="F98" s="61"/>
      <c r="G98" s="61"/>
      <c r="H98" s="61"/>
      <c r="I98" s="61"/>
      <c r="J98" s="61"/>
      <c r="K98" s="85" t="str">
        <f aca="false">IF(OR(J98="",I98=""),"",J98-I98)</f>
        <v/>
      </c>
      <c r="L98" s="86" t="str">
        <f aca="false">IF(OR(G98="",H98="",J98=""),"",IF(H98=G98,"",MAX(0,MIN(1,(J98-G98)/(H98-G98)))))</f>
        <v/>
      </c>
      <c r="M98" s="61"/>
      <c r="N98" s="63"/>
      <c r="O98" s="87" t="str">
        <f aca="true">IF(N98="","",N98-TODAY())</f>
        <v/>
      </c>
      <c r="P98" s="61"/>
      <c r="Q98" s="60"/>
      <c r="R98" s="63"/>
      <c r="S98" s="60"/>
      <c r="T98" s="88" t="str">
        <f aca="false">IF(AND(B98&lt;&gt;"",AND(R98&lt;&gt;"",R98&gt;='Weekly Report'!$F$4,R98&lt;='Weekly Report'!$F$5)),ROW(),"")</f>
        <v/>
      </c>
    </row>
    <row r="99" customFormat="false" ht="15" hidden="false" customHeight="false" outlineLevel="0" collapsed="false">
      <c r="A99" s="56" t="s">
        <v>582</v>
      </c>
      <c r="B99" s="60"/>
      <c r="C99" s="61"/>
      <c r="D99" s="60"/>
      <c r="E99" s="60"/>
      <c r="F99" s="61"/>
      <c r="G99" s="61"/>
      <c r="H99" s="61"/>
      <c r="I99" s="61"/>
      <c r="J99" s="61"/>
      <c r="K99" s="85" t="str">
        <f aca="false">IF(OR(J99="",I99=""),"",J99-I99)</f>
        <v/>
      </c>
      <c r="L99" s="86" t="str">
        <f aca="false">IF(OR(G99="",H99="",J99=""),"",IF(H99=G99,"",MAX(0,MIN(1,(J99-G99)/(H99-G99)))))</f>
        <v/>
      </c>
      <c r="M99" s="61"/>
      <c r="N99" s="63"/>
      <c r="O99" s="87" t="str">
        <f aca="true">IF(N99="","",N99-TODAY())</f>
        <v/>
      </c>
      <c r="P99" s="61"/>
      <c r="Q99" s="60"/>
      <c r="R99" s="63"/>
      <c r="S99" s="60"/>
      <c r="T99" s="88" t="str">
        <f aca="false">IF(AND(B99&lt;&gt;"",AND(R99&lt;&gt;"",R99&gt;='Weekly Report'!$F$4,R99&lt;='Weekly Report'!$F$5)),ROW(),"")</f>
        <v/>
      </c>
    </row>
    <row r="100" customFormat="false" ht="15" hidden="false" customHeight="false" outlineLevel="0" collapsed="false">
      <c r="A100" s="56" t="s">
        <v>583</v>
      </c>
      <c r="B100" s="60"/>
      <c r="C100" s="61"/>
      <c r="D100" s="60"/>
      <c r="E100" s="60"/>
      <c r="F100" s="61"/>
      <c r="G100" s="61"/>
      <c r="H100" s="61"/>
      <c r="I100" s="61"/>
      <c r="J100" s="61"/>
      <c r="K100" s="85" t="str">
        <f aca="false">IF(OR(J100="",I100=""),"",J100-I100)</f>
        <v/>
      </c>
      <c r="L100" s="86" t="str">
        <f aca="false">IF(OR(G100="",H100="",J100=""),"",IF(H100=G100,"",MAX(0,MIN(1,(J100-G100)/(H100-G100)))))</f>
        <v/>
      </c>
      <c r="M100" s="61"/>
      <c r="N100" s="63"/>
      <c r="O100" s="87" t="str">
        <f aca="true">IF(N100="","",N100-TODAY())</f>
        <v/>
      </c>
      <c r="P100" s="61"/>
      <c r="Q100" s="60"/>
      <c r="R100" s="63"/>
      <c r="S100" s="60"/>
      <c r="T100" s="88" t="str">
        <f aca="false">IF(AND(B100&lt;&gt;"",AND(R100&lt;&gt;"",R100&gt;='Weekly Report'!$F$4,R100&lt;='Weekly Report'!$F$5)),ROW(),"")</f>
        <v/>
      </c>
    </row>
    <row r="101" customFormat="false" ht="15" hidden="false" customHeight="false" outlineLevel="0" collapsed="false">
      <c r="A101" s="56" t="s">
        <v>584</v>
      </c>
      <c r="B101" s="60"/>
      <c r="C101" s="61"/>
      <c r="D101" s="60"/>
      <c r="E101" s="60"/>
      <c r="F101" s="61"/>
      <c r="G101" s="61"/>
      <c r="H101" s="61"/>
      <c r="I101" s="61"/>
      <c r="J101" s="61"/>
      <c r="K101" s="85" t="str">
        <f aca="false">IF(OR(J101="",I101=""),"",J101-I101)</f>
        <v/>
      </c>
      <c r="L101" s="86" t="str">
        <f aca="false">IF(OR(G101="",H101="",J101=""),"",IF(H101=G101,"",MAX(0,MIN(1,(J101-G101)/(H101-G101)))))</f>
        <v/>
      </c>
      <c r="M101" s="61"/>
      <c r="N101" s="63"/>
      <c r="O101" s="87" t="str">
        <f aca="true">IF(N101="","",N101-TODAY())</f>
        <v/>
      </c>
      <c r="P101" s="61"/>
      <c r="Q101" s="60"/>
      <c r="R101" s="63"/>
      <c r="S101" s="60"/>
      <c r="T101" s="88" t="str">
        <f aca="false">IF(AND(B101&lt;&gt;"",AND(R101&lt;&gt;"",R101&gt;='Weekly Report'!$F$4,R101&lt;='Weekly Report'!$F$5)),ROW(),"")</f>
        <v/>
      </c>
    </row>
    <row r="102" customFormat="false" ht="15" hidden="false" customHeight="false" outlineLevel="0" collapsed="false">
      <c r="A102" s="56" t="s">
        <v>585</v>
      </c>
      <c r="B102" s="60"/>
      <c r="C102" s="61"/>
      <c r="D102" s="60"/>
      <c r="E102" s="60"/>
      <c r="F102" s="61"/>
      <c r="G102" s="61"/>
      <c r="H102" s="61"/>
      <c r="I102" s="61"/>
      <c r="J102" s="61"/>
      <c r="K102" s="85" t="str">
        <f aca="false">IF(OR(J102="",I102=""),"",J102-I102)</f>
        <v/>
      </c>
      <c r="L102" s="86" t="str">
        <f aca="false">IF(OR(G102="",H102="",J102=""),"",IF(H102=G102,"",MAX(0,MIN(1,(J102-G102)/(H102-G102)))))</f>
        <v/>
      </c>
      <c r="M102" s="61"/>
      <c r="N102" s="63"/>
      <c r="O102" s="87" t="str">
        <f aca="true">IF(N102="","",N102-TODAY())</f>
        <v/>
      </c>
      <c r="P102" s="61"/>
      <c r="Q102" s="60"/>
      <c r="R102" s="63"/>
      <c r="S102" s="60"/>
      <c r="T102" s="88" t="str">
        <f aca="false">IF(AND(B102&lt;&gt;"",AND(R102&lt;&gt;"",R102&gt;='Weekly Report'!$F$4,R102&lt;='Weekly Report'!$F$5)),ROW(),"")</f>
        <v/>
      </c>
    </row>
    <row r="103" customFormat="false" ht="15" hidden="false" customHeight="false" outlineLevel="0" collapsed="false">
      <c r="A103" s="56" t="s">
        <v>586</v>
      </c>
      <c r="B103" s="60"/>
      <c r="C103" s="61"/>
      <c r="D103" s="60"/>
      <c r="E103" s="60"/>
      <c r="F103" s="61"/>
      <c r="G103" s="61"/>
      <c r="H103" s="61"/>
      <c r="I103" s="61"/>
      <c r="J103" s="61"/>
      <c r="K103" s="85" t="str">
        <f aca="false">IF(OR(J103="",I103=""),"",J103-I103)</f>
        <v/>
      </c>
      <c r="L103" s="86" t="str">
        <f aca="false">IF(OR(G103="",H103="",J103=""),"",IF(H103=G103,"",MAX(0,MIN(1,(J103-G103)/(H103-G103)))))</f>
        <v/>
      </c>
      <c r="M103" s="61"/>
      <c r="N103" s="63"/>
      <c r="O103" s="87" t="str">
        <f aca="true">IF(N103="","",N103-TODAY())</f>
        <v/>
      </c>
      <c r="P103" s="61"/>
      <c r="Q103" s="60"/>
      <c r="R103" s="63"/>
      <c r="S103" s="60"/>
      <c r="T103" s="88" t="str">
        <f aca="false">IF(AND(B103&lt;&gt;"",AND(R103&lt;&gt;"",R103&gt;='Weekly Report'!$F$4,R103&lt;='Weekly Report'!$F$5)),ROW(),"")</f>
        <v/>
      </c>
    </row>
    <row r="104" customFormat="false" ht="15" hidden="false" customHeight="false" outlineLevel="0" collapsed="false">
      <c r="A104" s="56" t="s">
        <v>587</v>
      </c>
      <c r="B104" s="60"/>
      <c r="C104" s="61"/>
      <c r="D104" s="60"/>
      <c r="E104" s="60"/>
      <c r="F104" s="61"/>
      <c r="G104" s="61"/>
      <c r="H104" s="61"/>
      <c r="I104" s="61"/>
      <c r="J104" s="61"/>
      <c r="K104" s="85" t="str">
        <f aca="false">IF(OR(J104="",I104=""),"",J104-I104)</f>
        <v/>
      </c>
      <c r="L104" s="86" t="str">
        <f aca="false">IF(OR(G104="",H104="",J104=""),"",IF(H104=G104,"",MAX(0,MIN(1,(J104-G104)/(H104-G104)))))</f>
        <v/>
      </c>
      <c r="M104" s="61"/>
      <c r="N104" s="63"/>
      <c r="O104" s="87" t="str">
        <f aca="true">IF(N104="","",N104-TODAY())</f>
        <v/>
      </c>
      <c r="P104" s="61"/>
      <c r="Q104" s="60"/>
      <c r="R104" s="63"/>
      <c r="S104" s="60"/>
      <c r="T104" s="88" t="str">
        <f aca="false">IF(AND(B104&lt;&gt;"",AND(R104&lt;&gt;"",R104&gt;='Weekly Report'!$F$4,R104&lt;='Weekly Report'!$F$5)),ROW(),"")</f>
        <v/>
      </c>
    </row>
    <row r="105" customFormat="false" ht="15" hidden="false" customHeight="false" outlineLevel="0" collapsed="false">
      <c r="A105" s="56" t="s">
        <v>588</v>
      </c>
      <c r="B105" s="60"/>
      <c r="C105" s="61"/>
      <c r="D105" s="60"/>
      <c r="E105" s="60"/>
      <c r="F105" s="61"/>
      <c r="G105" s="61"/>
      <c r="H105" s="61"/>
      <c r="I105" s="61"/>
      <c r="J105" s="61"/>
      <c r="K105" s="85" t="str">
        <f aca="false">IF(OR(J105="",I105=""),"",J105-I105)</f>
        <v/>
      </c>
      <c r="L105" s="86" t="str">
        <f aca="false">IF(OR(G105="",H105="",J105=""),"",IF(H105=G105,"",MAX(0,MIN(1,(J105-G105)/(H105-G105)))))</f>
        <v/>
      </c>
      <c r="M105" s="61"/>
      <c r="N105" s="63"/>
      <c r="O105" s="87" t="str">
        <f aca="true">IF(N105="","",N105-TODAY())</f>
        <v/>
      </c>
      <c r="P105" s="61"/>
      <c r="Q105" s="60"/>
      <c r="R105" s="63"/>
      <c r="S105" s="60"/>
      <c r="T105" s="88" t="str">
        <f aca="false">IF(AND(B105&lt;&gt;"",AND(R105&lt;&gt;"",R105&gt;='Weekly Report'!$F$4,R105&lt;='Weekly Report'!$F$5)),ROW(),"")</f>
        <v/>
      </c>
    </row>
    <row r="106" customFormat="false" ht="15" hidden="false" customHeight="false" outlineLevel="0" collapsed="false">
      <c r="A106" s="56" t="s">
        <v>589</v>
      </c>
      <c r="B106" s="60"/>
      <c r="C106" s="61"/>
      <c r="D106" s="60"/>
      <c r="E106" s="60"/>
      <c r="F106" s="61"/>
      <c r="G106" s="61"/>
      <c r="H106" s="61"/>
      <c r="I106" s="61"/>
      <c r="J106" s="61"/>
      <c r="K106" s="85" t="str">
        <f aca="false">IF(OR(J106="",I106=""),"",J106-I106)</f>
        <v/>
      </c>
      <c r="L106" s="86" t="str">
        <f aca="false">IF(OR(G106="",H106="",J106=""),"",IF(H106=G106,"",MAX(0,MIN(1,(J106-G106)/(H106-G106)))))</f>
        <v/>
      </c>
      <c r="M106" s="61"/>
      <c r="N106" s="63"/>
      <c r="O106" s="87" t="str">
        <f aca="true">IF(N106="","",N106-TODAY())</f>
        <v/>
      </c>
      <c r="P106" s="61"/>
      <c r="Q106" s="60"/>
      <c r="R106" s="63"/>
      <c r="S106" s="60"/>
      <c r="T106" s="88" t="str">
        <f aca="false">IF(AND(B106&lt;&gt;"",AND(R106&lt;&gt;"",R106&gt;='Weekly Report'!$F$4,R106&lt;='Weekly Report'!$F$5)),ROW(),"")</f>
        <v/>
      </c>
    </row>
    <row r="107" customFormat="false" ht="15" hidden="false" customHeight="false" outlineLevel="0" collapsed="false">
      <c r="A107" s="56" t="s">
        <v>590</v>
      </c>
      <c r="B107" s="60"/>
      <c r="C107" s="61"/>
      <c r="D107" s="60"/>
      <c r="E107" s="60"/>
      <c r="F107" s="61"/>
      <c r="G107" s="61"/>
      <c r="H107" s="61"/>
      <c r="I107" s="61"/>
      <c r="J107" s="61"/>
      <c r="K107" s="85" t="str">
        <f aca="false">IF(OR(J107="",I107=""),"",J107-I107)</f>
        <v/>
      </c>
      <c r="L107" s="86" t="str">
        <f aca="false">IF(OR(G107="",H107="",J107=""),"",IF(H107=G107,"",MAX(0,MIN(1,(J107-G107)/(H107-G107)))))</f>
        <v/>
      </c>
      <c r="M107" s="61"/>
      <c r="N107" s="63"/>
      <c r="O107" s="87" t="str">
        <f aca="true">IF(N107="","",N107-TODAY())</f>
        <v/>
      </c>
      <c r="P107" s="61"/>
      <c r="Q107" s="60"/>
      <c r="R107" s="63"/>
      <c r="S107" s="60"/>
      <c r="T107" s="88" t="str">
        <f aca="false">IF(AND(B107&lt;&gt;"",AND(R107&lt;&gt;"",R107&gt;='Weekly Report'!$F$4,R107&lt;='Weekly Report'!$F$5)),ROW(),"")</f>
        <v/>
      </c>
    </row>
    <row r="108" customFormat="false" ht="15" hidden="false" customHeight="false" outlineLevel="0" collapsed="false">
      <c r="A108" s="56" t="s">
        <v>591</v>
      </c>
      <c r="B108" s="60"/>
      <c r="C108" s="61"/>
      <c r="D108" s="60"/>
      <c r="E108" s="60"/>
      <c r="F108" s="61"/>
      <c r="G108" s="61"/>
      <c r="H108" s="61"/>
      <c r="I108" s="61"/>
      <c r="J108" s="61"/>
      <c r="K108" s="85" t="str">
        <f aca="false">IF(OR(J108="",I108=""),"",J108-I108)</f>
        <v/>
      </c>
      <c r="L108" s="86" t="str">
        <f aca="false">IF(OR(G108="",H108="",J108=""),"",IF(H108=G108,"",MAX(0,MIN(1,(J108-G108)/(H108-G108)))))</f>
        <v/>
      </c>
      <c r="M108" s="61"/>
      <c r="N108" s="63"/>
      <c r="O108" s="87" t="str">
        <f aca="true">IF(N108="","",N108-TODAY())</f>
        <v/>
      </c>
      <c r="P108" s="61"/>
      <c r="Q108" s="60"/>
      <c r="R108" s="63"/>
      <c r="S108" s="60"/>
      <c r="T108" s="88" t="str">
        <f aca="false">IF(AND(B108&lt;&gt;"",AND(R108&lt;&gt;"",R108&gt;='Weekly Report'!$F$4,R108&lt;='Weekly Report'!$F$5)),ROW(),"")</f>
        <v/>
      </c>
    </row>
    <row r="109" customFormat="false" ht="15" hidden="false" customHeight="false" outlineLevel="0" collapsed="false">
      <c r="A109" s="56" t="s">
        <v>592</v>
      </c>
      <c r="B109" s="60"/>
      <c r="C109" s="61"/>
      <c r="D109" s="60"/>
      <c r="E109" s="60"/>
      <c r="F109" s="61"/>
      <c r="G109" s="61"/>
      <c r="H109" s="61"/>
      <c r="I109" s="61"/>
      <c r="J109" s="61"/>
      <c r="K109" s="85" t="str">
        <f aca="false">IF(OR(J109="",I109=""),"",J109-I109)</f>
        <v/>
      </c>
      <c r="L109" s="86" t="str">
        <f aca="false">IF(OR(G109="",H109="",J109=""),"",IF(H109=G109,"",MAX(0,MIN(1,(J109-G109)/(H109-G109)))))</f>
        <v/>
      </c>
      <c r="M109" s="61"/>
      <c r="N109" s="63"/>
      <c r="O109" s="87" t="str">
        <f aca="true">IF(N109="","",N109-TODAY())</f>
        <v/>
      </c>
      <c r="P109" s="61"/>
      <c r="Q109" s="60"/>
      <c r="R109" s="63"/>
      <c r="S109" s="60"/>
      <c r="T109" s="88" t="str">
        <f aca="false">IF(AND(B109&lt;&gt;"",AND(R109&lt;&gt;"",R109&gt;='Weekly Report'!$F$4,R109&lt;='Weekly Report'!$F$5)),ROW(),"")</f>
        <v/>
      </c>
    </row>
    <row r="110" customFormat="false" ht="15" hidden="false" customHeight="false" outlineLevel="0" collapsed="false">
      <c r="A110" s="56" t="s">
        <v>593</v>
      </c>
      <c r="B110" s="60"/>
      <c r="C110" s="61"/>
      <c r="D110" s="60"/>
      <c r="E110" s="60"/>
      <c r="F110" s="61"/>
      <c r="G110" s="61"/>
      <c r="H110" s="61"/>
      <c r="I110" s="61"/>
      <c r="J110" s="61"/>
      <c r="K110" s="85" t="str">
        <f aca="false">IF(OR(J110="",I110=""),"",J110-I110)</f>
        <v/>
      </c>
      <c r="L110" s="86" t="str">
        <f aca="false">IF(OR(G110="",H110="",J110=""),"",IF(H110=G110,"",MAX(0,MIN(1,(J110-G110)/(H110-G110)))))</f>
        <v/>
      </c>
      <c r="M110" s="61"/>
      <c r="N110" s="63"/>
      <c r="O110" s="87" t="str">
        <f aca="true">IF(N110="","",N110-TODAY())</f>
        <v/>
      </c>
      <c r="P110" s="61"/>
      <c r="Q110" s="60"/>
      <c r="R110" s="63"/>
      <c r="S110" s="60"/>
      <c r="T110" s="88" t="str">
        <f aca="false">IF(AND(B110&lt;&gt;"",AND(R110&lt;&gt;"",R110&gt;='Weekly Report'!$F$4,R110&lt;='Weekly Report'!$F$5)),ROW(),"")</f>
        <v/>
      </c>
    </row>
    <row r="111" customFormat="false" ht="15" hidden="false" customHeight="false" outlineLevel="0" collapsed="false">
      <c r="A111" s="56" t="s">
        <v>594</v>
      </c>
      <c r="B111" s="60"/>
      <c r="C111" s="61"/>
      <c r="D111" s="60"/>
      <c r="E111" s="60"/>
      <c r="F111" s="61"/>
      <c r="G111" s="61"/>
      <c r="H111" s="61"/>
      <c r="I111" s="61"/>
      <c r="J111" s="61"/>
      <c r="K111" s="85" t="str">
        <f aca="false">IF(OR(J111="",I111=""),"",J111-I111)</f>
        <v/>
      </c>
      <c r="L111" s="86" t="str">
        <f aca="false">IF(OR(G111="",H111="",J111=""),"",IF(H111=G111,"",MAX(0,MIN(1,(J111-G111)/(H111-G111)))))</f>
        <v/>
      </c>
      <c r="M111" s="61"/>
      <c r="N111" s="63"/>
      <c r="O111" s="87" t="str">
        <f aca="true">IF(N111="","",N111-TODAY())</f>
        <v/>
      </c>
      <c r="P111" s="61"/>
      <c r="Q111" s="60"/>
      <c r="R111" s="63"/>
      <c r="S111" s="60"/>
      <c r="T111" s="88" t="str">
        <f aca="false">IF(AND(B111&lt;&gt;"",AND(R111&lt;&gt;"",R111&gt;='Weekly Report'!$F$4,R111&lt;='Weekly Report'!$F$5)),ROW(),"")</f>
        <v/>
      </c>
    </row>
    <row r="112" customFormat="false" ht="15" hidden="false" customHeight="false" outlineLevel="0" collapsed="false">
      <c r="A112" s="56" t="s">
        <v>595</v>
      </c>
      <c r="B112" s="60"/>
      <c r="C112" s="61"/>
      <c r="D112" s="60"/>
      <c r="E112" s="60"/>
      <c r="F112" s="61"/>
      <c r="G112" s="61"/>
      <c r="H112" s="61"/>
      <c r="I112" s="61"/>
      <c r="J112" s="61"/>
      <c r="K112" s="85" t="str">
        <f aca="false">IF(OR(J112="",I112=""),"",J112-I112)</f>
        <v/>
      </c>
      <c r="L112" s="86" t="str">
        <f aca="false">IF(OR(G112="",H112="",J112=""),"",IF(H112=G112,"",MAX(0,MIN(1,(J112-G112)/(H112-G112)))))</f>
        <v/>
      </c>
      <c r="M112" s="61"/>
      <c r="N112" s="63"/>
      <c r="O112" s="87" t="str">
        <f aca="true">IF(N112="","",N112-TODAY())</f>
        <v/>
      </c>
      <c r="P112" s="61"/>
      <c r="Q112" s="60"/>
      <c r="R112" s="63"/>
      <c r="S112" s="60"/>
      <c r="T112" s="88" t="str">
        <f aca="false">IF(AND(B112&lt;&gt;"",AND(R112&lt;&gt;"",R112&gt;='Weekly Report'!$F$4,R112&lt;='Weekly Report'!$F$5)),ROW(),"")</f>
        <v/>
      </c>
    </row>
    <row r="113" customFormat="false" ht="15" hidden="false" customHeight="false" outlineLevel="0" collapsed="false">
      <c r="A113" s="56" t="s">
        <v>596</v>
      </c>
      <c r="B113" s="60"/>
      <c r="C113" s="61"/>
      <c r="D113" s="60"/>
      <c r="E113" s="60"/>
      <c r="F113" s="61"/>
      <c r="G113" s="61"/>
      <c r="H113" s="61"/>
      <c r="I113" s="61"/>
      <c r="J113" s="61"/>
      <c r="K113" s="85" t="str">
        <f aca="false">IF(OR(J113="",I113=""),"",J113-I113)</f>
        <v/>
      </c>
      <c r="L113" s="86" t="str">
        <f aca="false">IF(OR(G113="",H113="",J113=""),"",IF(H113=G113,"",MAX(0,MIN(1,(J113-G113)/(H113-G113)))))</f>
        <v/>
      </c>
      <c r="M113" s="61"/>
      <c r="N113" s="63"/>
      <c r="O113" s="87" t="str">
        <f aca="true">IF(N113="","",N113-TODAY())</f>
        <v/>
      </c>
      <c r="P113" s="61"/>
      <c r="Q113" s="60"/>
      <c r="R113" s="63"/>
      <c r="S113" s="60"/>
      <c r="T113" s="88" t="str">
        <f aca="false">IF(AND(B113&lt;&gt;"",AND(R113&lt;&gt;"",R113&gt;='Weekly Report'!$F$4,R113&lt;='Weekly Report'!$F$5)),ROW(),"")</f>
        <v/>
      </c>
    </row>
    <row r="114" customFormat="false" ht="15" hidden="false" customHeight="false" outlineLevel="0" collapsed="false">
      <c r="A114" s="56" t="s">
        <v>597</v>
      </c>
      <c r="B114" s="60"/>
      <c r="C114" s="61"/>
      <c r="D114" s="60"/>
      <c r="E114" s="60"/>
      <c r="F114" s="61"/>
      <c r="G114" s="61"/>
      <c r="H114" s="61"/>
      <c r="I114" s="61"/>
      <c r="J114" s="61"/>
      <c r="K114" s="85" t="str">
        <f aca="false">IF(OR(J114="",I114=""),"",J114-I114)</f>
        <v/>
      </c>
      <c r="L114" s="86" t="str">
        <f aca="false">IF(OR(G114="",H114="",J114=""),"",IF(H114=G114,"",MAX(0,MIN(1,(J114-G114)/(H114-G114)))))</f>
        <v/>
      </c>
      <c r="M114" s="61"/>
      <c r="N114" s="63"/>
      <c r="O114" s="87" t="str">
        <f aca="true">IF(N114="","",N114-TODAY())</f>
        <v/>
      </c>
      <c r="P114" s="61"/>
      <c r="Q114" s="60"/>
      <c r="R114" s="63"/>
      <c r="S114" s="60"/>
      <c r="T114" s="88" t="str">
        <f aca="false">IF(AND(B114&lt;&gt;"",AND(R114&lt;&gt;"",R114&gt;='Weekly Report'!$F$4,R114&lt;='Weekly Report'!$F$5)),ROW(),"")</f>
        <v/>
      </c>
    </row>
    <row r="115" customFormat="false" ht="15" hidden="false" customHeight="false" outlineLevel="0" collapsed="false">
      <c r="A115" s="56" t="s">
        <v>598</v>
      </c>
      <c r="B115" s="60"/>
      <c r="C115" s="61"/>
      <c r="D115" s="60"/>
      <c r="E115" s="60"/>
      <c r="F115" s="61"/>
      <c r="G115" s="61"/>
      <c r="H115" s="61"/>
      <c r="I115" s="61"/>
      <c r="J115" s="61"/>
      <c r="K115" s="85" t="str">
        <f aca="false">IF(OR(J115="",I115=""),"",J115-I115)</f>
        <v/>
      </c>
      <c r="L115" s="86" t="str">
        <f aca="false">IF(OR(G115="",H115="",J115=""),"",IF(H115=G115,"",MAX(0,MIN(1,(J115-G115)/(H115-G115)))))</f>
        <v/>
      </c>
      <c r="M115" s="61"/>
      <c r="N115" s="63"/>
      <c r="O115" s="87" t="str">
        <f aca="true">IF(N115="","",N115-TODAY())</f>
        <v/>
      </c>
      <c r="P115" s="61"/>
      <c r="Q115" s="60"/>
      <c r="R115" s="63"/>
      <c r="S115" s="60"/>
      <c r="T115" s="88" t="str">
        <f aca="false">IF(AND(B115&lt;&gt;"",AND(R115&lt;&gt;"",R115&gt;='Weekly Report'!$F$4,R115&lt;='Weekly Report'!$F$5)),ROW(),"")</f>
        <v/>
      </c>
    </row>
    <row r="116" customFormat="false" ht="15" hidden="false" customHeight="false" outlineLevel="0" collapsed="false">
      <c r="A116" s="56" t="s">
        <v>599</v>
      </c>
      <c r="B116" s="60"/>
      <c r="C116" s="61"/>
      <c r="D116" s="60"/>
      <c r="E116" s="60"/>
      <c r="F116" s="61"/>
      <c r="G116" s="61"/>
      <c r="H116" s="61"/>
      <c r="I116" s="61"/>
      <c r="J116" s="61"/>
      <c r="K116" s="85" t="str">
        <f aca="false">IF(OR(J116="",I116=""),"",J116-I116)</f>
        <v/>
      </c>
      <c r="L116" s="86" t="str">
        <f aca="false">IF(OR(G116="",H116="",J116=""),"",IF(H116=G116,"",MAX(0,MIN(1,(J116-G116)/(H116-G116)))))</f>
        <v/>
      </c>
      <c r="M116" s="61"/>
      <c r="N116" s="63"/>
      <c r="O116" s="87" t="str">
        <f aca="true">IF(N116="","",N116-TODAY())</f>
        <v/>
      </c>
      <c r="P116" s="61"/>
      <c r="Q116" s="60"/>
      <c r="R116" s="63"/>
      <c r="S116" s="60"/>
      <c r="T116" s="88" t="str">
        <f aca="false">IF(AND(B116&lt;&gt;"",AND(R116&lt;&gt;"",R116&gt;='Weekly Report'!$F$4,R116&lt;='Weekly Report'!$F$5)),ROW(),"")</f>
        <v/>
      </c>
    </row>
    <row r="117" customFormat="false" ht="15" hidden="false" customHeight="false" outlineLevel="0" collapsed="false">
      <c r="A117" s="56" t="s">
        <v>600</v>
      </c>
      <c r="B117" s="60"/>
      <c r="C117" s="61"/>
      <c r="D117" s="60"/>
      <c r="E117" s="60"/>
      <c r="F117" s="61"/>
      <c r="G117" s="61"/>
      <c r="H117" s="61"/>
      <c r="I117" s="61"/>
      <c r="J117" s="61"/>
      <c r="K117" s="85" t="str">
        <f aca="false">IF(OR(J117="",I117=""),"",J117-I117)</f>
        <v/>
      </c>
      <c r="L117" s="86" t="str">
        <f aca="false">IF(OR(G117="",H117="",J117=""),"",IF(H117=G117,"",MAX(0,MIN(1,(J117-G117)/(H117-G117)))))</f>
        <v/>
      </c>
      <c r="M117" s="61"/>
      <c r="N117" s="63"/>
      <c r="O117" s="87" t="str">
        <f aca="true">IF(N117="","",N117-TODAY())</f>
        <v/>
      </c>
      <c r="P117" s="61"/>
      <c r="Q117" s="60"/>
      <c r="R117" s="63"/>
      <c r="S117" s="60"/>
      <c r="T117" s="88" t="str">
        <f aca="false">IF(AND(B117&lt;&gt;"",AND(R117&lt;&gt;"",R117&gt;='Weekly Report'!$F$4,R117&lt;='Weekly Report'!$F$5)),ROW(),"")</f>
        <v/>
      </c>
    </row>
    <row r="118" customFormat="false" ht="15" hidden="false" customHeight="false" outlineLevel="0" collapsed="false">
      <c r="A118" s="56" t="s">
        <v>601</v>
      </c>
      <c r="B118" s="60"/>
      <c r="C118" s="61"/>
      <c r="D118" s="60"/>
      <c r="E118" s="60"/>
      <c r="F118" s="61"/>
      <c r="G118" s="61"/>
      <c r="H118" s="61"/>
      <c r="I118" s="61"/>
      <c r="J118" s="61"/>
      <c r="K118" s="85" t="str">
        <f aca="false">IF(OR(J118="",I118=""),"",J118-I118)</f>
        <v/>
      </c>
      <c r="L118" s="86" t="str">
        <f aca="false">IF(OR(G118="",H118="",J118=""),"",IF(H118=G118,"",MAX(0,MIN(1,(J118-G118)/(H118-G118)))))</f>
        <v/>
      </c>
      <c r="M118" s="61"/>
      <c r="N118" s="63"/>
      <c r="O118" s="87" t="str">
        <f aca="true">IF(N118="","",N118-TODAY())</f>
        <v/>
      </c>
      <c r="P118" s="61"/>
      <c r="Q118" s="60"/>
      <c r="R118" s="63"/>
      <c r="S118" s="60"/>
      <c r="T118" s="88" t="str">
        <f aca="false">IF(AND(B118&lt;&gt;"",AND(R118&lt;&gt;"",R118&gt;='Weekly Report'!$F$4,R118&lt;='Weekly Report'!$F$5)),ROW(),"")</f>
        <v/>
      </c>
    </row>
    <row r="119" customFormat="false" ht="15" hidden="false" customHeight="false" outlineLevel="0" collapsed="false">
      <c r="A119" s="56" t="s">
        <v>602</v>
      </c>
      <c r="B119" s="60"/>
      <c r="C119" s="61"/>
      <c r="D119" s="60"/>
      <c r="E119" s="60"/>
      <c r="F119" s="61"/>
      <c r="G119" s="61"/>
      <c r="H119" s="61"/>
      <c r="I119" s="61"/>
      <c r="J119" s="61"/>
      <c r="K119" s="85" t="str">
        <f aca="false">IF(OR(J119="",I119=""),"",J119-I119)</f>
        <v/>
      </c>
      <c r="L119" s="86" t="str">
        <f aca="false">IF(OR(G119="",H119="",J119=""),"",IF(H119=G119,"",MAX(0,MIN(1,(J119-G119)/(H119-G119)))))</f>
        <v/>
      </c>
      <c r="M119" s="61"/>
      <c r="N119" s="63"/>
      <c r="O119" s="87" t="str">
        <f aca="true">IF(N119="","",N119-TODAY())</f>
        <v/>
      </c>
      <c r="P119" s="61"/>
      <c r="Q119" s="60"/>
      <c r="R119" s="63"/>
      <c r="S119" s="60"/>
      <c r="T119" s="88" t="str">
        <f aca="false">IF(AND(B119&lt;&gt;"",AND(R119&lt;&gt;"",R119&gt;='Weekly Report'!$F$4,R119&lt;='Weekly Report'!$F$5)),ROW(),"")</f>
        <v/>
      </c>
    </row>
    <row r="120" customFormat="false" ht="15" hidden="false" customHeight="false" outlineLevel="0" collapsed="false">
      <c r="A120" s="56" t="s">
        <v>603</v>
      </c>
      <c r="B120" s="60"/>
      <c r="C120" s="61"/>
      <c r="D120" s="60"/>
      <c r="E120" s="60"/>
      <c r="F120" s="61"/>
      <c r="G120" s="61"/>
      <c r="H120" s="61"/>
      <c r="I120" s="61"/>
      <c r="J120" s="61"/>
      <c r="K120" s="85" t="str">
        <f aca="false">IF(OR(J120="",I120=""),"",J120-I120)</f>
        <v/>
      </c>
      <c r="L120" s="86" t="str">
        <f aca="false">IF(OR(G120="",H120="",J120=""),"",IF(H120=G120,"",MAX(0,MIN(1,(J120-G120)/(H120-G120)))))</f>
        <v/>
      </c>
      <c r="M120" s="61"/>
      <c r="N120" s="63"/>
      <c r="O120" s="87" t="str">
        <f aca="true">IF(N120="","",N120-TODAY())</f>
        <v/>
      </c>
      <c r="P120" s="61"/>
      <c r="Q120" s="60"/>
      <c r="R120" s="63"/>
      <c r="S120" s="60"/>
      <c r="T120" s="88" t="str">
        <f aca="false">IF(AND(B120&lt;&gt;"",AND(R120&lt;&gt;"",R120&gt;='Weekly Report'!$F$4,R120&lt;='Weekly Report'!$F$5)),ROW(),"")</f>
        <v/>
      </c>
    </row>
    <row r="121" customFormat="false" ht="15" hidden="false" customHeight="false" outlineLevel="0" collapsed="false">
      <c r="A121" s="56" t="s">
        <v>604</v>
      </c>
      <c r="B121" s="60"/>
      <c r="C121" s="61"/>
      <c r="D121" s="60"/>
      <c r="E121" s="60"/>
      <c r="F121" s="61"/>
      <c r="G121" s="61"/>
      <c r="H121" s="61"/>
      <c r="I121" s="61"/>
      <c r="J121" s="61"/>
      <c r="K121" s="85" t="str">
        <f aca="false">IF(OR(J121="",I121=""),"",J121-I121)</f>
        <v/>
      </c>
      <c r="L121" s="86" t="str">
        <f aca="false">IF(OR(G121="",H121="",J121=""),"",IF(H121=G121,"",MAX(0,MIN(1,(J121-G121)/(H121-G121)))))</f>
        <v/>
      </c>
      <c r="M121" s="61"/>
      <c r="N121" s="63"/>
      <c r="O121" s="87" t="str">
        <f aca="true">IF(N121="","",N121-TODAY())</f>
        <v/>
      </c>
      <c r="P121" s="61"/>
      <c r="Q121" s="60"/>
      <c r="R121" s="63"/>
      <c r="S121" s="60"/>
      <c r="T121" s="88" t="str">
        <f aca="false">IF(AND(B121&lt;&gt;"",AND(R121&lt;&gt;"",R121&gt;='Weekly Report'!$F$4,R121&lt;='Weekly Report'!$F$5)),ROW(),"")</f>
        <v/>
      </c>
    </row>
    <row r="122" customFormat="false" ht="15" hidden="false" customHeight="false" outlineLevel="0" collapsed="false">
      <c r="A122" s="56" t="s">
        <v>605</v>
      </c>
      <c r="B122" s="60"/>
      <c r="C122" s="61"/>
      <c r="D122" s="60"/>
      <c r="E122" s="60"/>
      <c r="F122" s="61"/>
      <c r="G122" s="61"/>
      <c r="H122" s="61"/>
      <c r="I122" s="61"/>
      <c r="J122" s="61"/>
      <c r="K122" s="85" t="str">
        <f aca="false">IF(OR(J122="",I122=""),"",J122-I122)</f>
        <v/>
      </c>
      <c r="L122" s="86" t="str">
        <f aca="false">IF(OR(G122="",H122="",J122=""),"",IF(H122=G122,"",MAX(0,MIN(1,(J122-G122)/(H122-G122)))))</f>
        <v/>
      </c>
      <c r="M122" s="61"/>
      <c r="N122" s="63"/>
      <c r="O122" s="87" t="str">
        <f aca="true">IF(N122="","",N122-TODAY())</f>
        <v/>
      </c>
      <c r="P122" s="61"/>
      <c r="Q122" s="60"/>
      <c r="R122" s="63"/>
      <c r="S122" s="60"/>
      <c r="T122" s="88" t="str">
        <f aca="false">IF(AND(B122&lt;&gt;"",AND(R122&lt;&gt;"",R122&gt;='Weekly Report'!$F$4,R122&lt;='Weekly Report'!$F$5)),ROW(),"")</f>
        <v/>
      </c>
    </row>
    <row r="123" customFormat="false" ht="15" hidden="false" customHeight="false" outlineLevel="0" collapsed="false">
      <c r="A123" s="56" t="s">
        <v>606</v>
      </c>
      <c r="B123" s="60"/>
      <c r="C123" s="61"/>
      <c r="D123" s="60"/>
      <c r="E123" s="60"/>
      <c r="F123" s="61"/>
      <c r="G123" s="61"/>
      <c r="H123" s="61"/>
      <c r="I123" s="61"/>
      <c r="J123" s="61"/>
      <c r="K123" s="85" t="str">
        <f aca="false">IF(OR(J123="",I123=""),"",J123-I123)</f>
        <v/>
      </c>
      <c r="L123" s="86" t="str">
        <f aca="false">IF(OR(G123="",H123="",J123=""),"",IF(H123=G123,"",MAX(0,MIN(1,(J123-G123)/(H123-G123)))))</f>
        <v/>
      </c>
      <c r="M123" s="61"/>
      <c r="N123" s="63"/>
      <c r="O123" s="87" t="str">
        <f aca="true">IF(N123="","",N123-TODAY())</f>
        <v/>
      </c>
      <c r="P123" s="61"/>
      <c r="Q123" s="60"/>
      <c r="R123" s="63"/>
      <c r="S123" s="60"/>
      <c r="T123" s="88" t="str">
        <f aca="false">IF(AND(B123&lt;&gt;"",AND(R123&lt;&gt;"",R123&gt;='Weekly Report'!$F$4,R123&lt;='Weekly Report'!$F$5)),ROW(),"")</f>
        <v/>
      </c>
    </row>
    <row r="124" customFormat="false" ht="15" hidden="false" customHeight="false" outlineLevel="0" collapsed="false">
      <c r="A124" s="56" t="s">
        <v>607</v>
      </c>
      <c r="B124" s="60"/>
      <c r="C124" s="61"/>
      <c r="D124" s="60"/>
      <c r="E124" s="60"/>
      <c r="F124" s="61"/>
      <c r="G124" s="61"/>
      <c r="H124" s="61"/>
      <c r="I124" s="61"/>
      <c r="J124" s="61"/>
      <c r="K124" s="85" t="str">
        <f aca="false">IF(OR(J124="",I124=""),"",J124-I124)</f>
        <v/>
      </c>
      <c r="L124" s="86" t="str">
        <f aca="false">IF(OR(G124="",H124="",J124=""),"",IF(H124=G124,"",MAX(0,MIN(1,(J124-G124)/(H124-G124)))))</f>
        <v/>
      </c>
      <c r="M124" s="61"/>
      <c r="N124" s="63"/>
      <c r="O124" s="87" t="str">
        <f aca="true">IF(N124="","",N124-TODAY())</f>
        <v/>
      </c>
      <c r="P124" s="61"/>
      <c r="Q124" s="60"/>
      <c r="R124" s="63"/>
      <c r="S124" s="60"/>
      <c r="T124" s="88" t="str">
        <f aca="false">IF(AND(B124&lt;&gt;"",AND(R124&lt;&gt;"",R124&gt;='Weekly Report'!$F$4,R124&lt;='Weekly Report'!$F$5)),ROW(),"")</f>
        <v/>
      </c>
    </row>
    <row r="125" customFormat="false" ht="15" hidden="false" customHeight="false" outlineLevel="0" collapsed="false">
      <c r="A125" s="56" t="s">
        <v>608</v>
      </c>
      <c r="B125" s="60"/>
      <c r="C125" s="61"/>
      <c r="D125" s="60"/>
      <c r="E125" s="60"/>
      <c r="F125" s="61"/>
      <c r="G125" s="61"/>
      <c r="H125" s="61"/>
      <c r="I125" s="61"/>
      <c r="J125" s="61"/>
      <c r="K125" s="85" t="str">
        <f aca="false">IF(OR(J125="",I125=""),"",J125-I125)</f>
        <v/>
      </c>
      <c r="L125" s="86" t="str">
        <f aca="false">IF(OR(G125="",H125="",J125=""),"",IF(H125=G125,"",MAX(0,MIN(1,(J125-G125)/(H125-G125)))))</f>
        <v/>
      </c>
      <c r="M125" s="61"/>
      <c r="N125" s="63"/>
      <c r="O125" s="87" t="str">
        <f aca="true">IF(N125="","",N125-TODAY())</f>
        <v/>
      </c>
      <c r="P125" s="61"/>
      <c r="Q125" s="60"/>
      <c r="R125" s="63"/>
      <c r="S125" s="60"/>
      <c r="T125" s="88" t="str">
        <f aca="false">IF(AND(B125&lt;&gt;"",AND(R125&lt;&gt;"",R125&gt;='Weekly Report'!$F$4,R125&lt;='Weekly Report'!$F$5)),ROW(),"")</f>
        <v/>
      </c>
    </row>
    <row r="126" customFormat="false" ht="15" hidden="false" customHeight="false" outlineLevel="0" collapsed="false">
      <c r="A126" s="56" t="s">
        <v>609</v>
      </c>
      <c r="B126" s="60"/>
      <c r="C126" s="61"/>
      <c r="D126" s="60"/>
      <c r="E126" s="60"/>
      <c r="F126" s="61"/>
      <c r="G126" s="61"/>
      <c r="H126" s="61"/>
      <c r="I126" s="61"/>
      <c r="J126" s="61"/>
      <c r="K126" s="85" t="str">
        <f aca="false">IF(OR(J126="",I126=""),"",J126-I126)</f>
        <v/>
      </c>
      <c r="L126" s="86" t="str">
        <f aca="false">IF(OR(G126="",H126="",J126=""),"",IF(H126=G126,"",MAX(0,MIN(1,(J126-G126)/(H126-G126)))))</f>
        <v/>
      </c>
      <c r="M126" s="61"/>
      <c r="N126" s="63"/>
      <c r="O126" s="87" t="str">
        <f aca="true">IF(N126="","",N126-TODAY())</f>
        <v/>
      </c>
      <c r="P126" s="61"/>
      <c r="Q126" s="60"/>
      <c r="R126" s="63"/>
      <c r="S126" s="60"/>
      <c r="T126" s="88" t="str">
        <f aca="false">IF(AND(B126&lt;&gt;"",AND(R126&lt;&gt;"",R126&gt;='Weekly Report'!$F$4,R126&lt;='Weekly Report'!$F$5)),ROW(),"")</f>
        <v/>
      </c>
    </row>
    <row r="127" customFormat="false" ht="15" hidden="false" customHeight="false" outlineLevel="0" collapsed="false">
      <c r="A127" s="56" t="s">
        <v>610</v>
      </c>
      <c r="B127" s="60"/>
      <c r="C127" s="61"/>
      <c r="D127" s="60"/>
      <c r="E127" s="60"/>
      <c r="F127" s="61"/>
      <c r="G127" s="61"/>
      <c r="H127" s="61"/>
      <c r="I127" s="61"/>
      <c r="J127" s="61"/>
      <c r="K127" s="85" t="str">
        <f aca="false">IF(OR(J127="",I127=""),"",J127-I127)</f>
        <v/>
      </c>
      <c r="L127" s="86" t="str">
        <f aca="false">IF(OR(G127="",H127="",J127=""),"",IF(H127=G127,"",MAX(0,MIN(1,(J127-G127)/(H127-G127)))))</f>
        <v/>
      </c>
      <c r="M127" s="61"/>
      <c r="N127" s="63"/>
      <c r="O127" s="87" t="str">
        <f aca="true">IF(N127="","",N127-TODAY())</f>
        <v/>
      </c>
      <c r="P127" s="61"/>
      <c r="Q127" s="60"/>
      <c r="R127" s="63"/>
      <c r="S127" s="60"/>
      <c r="T127" s="88" t="str">
        <f aca="false">IF(AND(B127&lt;&gt;"",AND(R127&lt;&gt;"",R127&gt;='Weekly Report'!$F$4,R127&lt;='Weekly Report'!$F$5)),ROW(),"")</f>
        <v/>
      </c>
    </row>
    <row r="128" customFormat="false" ht="15" hidden="false" customHeight="false" outlineLevel="0" collapsed="false">
      <c r="A128" s="56" t="s">
        <v>611</v>
      </c>
      <c r="B128" s="60"/>
      <c r="C128" s="61"/>
      <c r="D128" s="60"/>
      <c r="E128" s="60"/>
      <c r="F128" s="61"/>
      <c r="G128" s="61"/>
      <c r="H128" s="61"/>
      <c r="I128" s="61"/>
      <c r="J128" s="61"/>
      <c r="K128" s="85" t="str">
        <f aca="false">IF(OR(J128="",I128=""),"",J128-I128)</f>
        <v/>
      </c>
      <c r="L128" s="86" t="str">
        <f aca="false">IF(OR(G128="",H128="",J128=""),"",IF(H128=G128,"",MAX(0,MIN(1,(J128-G128)/(H128-G128)))))</f>
        <v/>
      </c>
      <c r="M128" s="61"/>
      <c r="N128" s="63"/>
      <c r="O128" s="87" t="str">
        <f aca="true">IF(N128="","",N128-TODAY())</f>
        <v/>
      </c>
      <c r="P128" s="61"/>
      <c r="Q128" s="60"/>
      <c r="R128" s="63"/>
      <c r="S128" s="60"/>
      <c r="T128" s="88" t="str">
        <f aca="false">IF(AND(B128&lt;&gt;"",AND(R128&lt;&gt;"",R128&gt;='Weekly Report'!$F$4,R128&lt;='Weekly Report'!$F$5)),ROW(),"")</f>
        <v/>
      </c>
    </row>
    <row r="129" customFormat="false" ht="15" hidden="false" customHeight="false" outlineLevel="0" collapsed="false">
      <c r="A129" s="56" t="s">
        <v>612</v>
      </c>
      <c r="B129" s="60"/>
      <c r="C129" s="61"/>
      <c r="D129" s="60"/>
      <c r="E129" s="60"/>
      <c r="F129" s="61"/>
      <c r="G129" s="61"/>
      <c r="H129" s="61"/>
      <c r="I129" s="61"/>
      <c r="J129" s="61"/>
      <c r="K129" s="85" t="str">
        <f aca="false">IF(OR(J129="",I129=""),"",J129-I129)</f>
        <v/>
      </c>
      <c r="L129" s="86" t="str">
        <f aca="false">IF(OR(G129="",H129="",J129=""),"",IF(H129=G129,"",MAX(0,MIN(1,(J129-G129)/(H129-G129)))))</f>
        <v/>
      </c>
      <c r="M129" s="61"/>
      <c r="N129" s="63"/>
      <c r="O129" s="87" t="str">
        <f aca="true">IF(N129="","",N129-TODAY())</f>
        <v/>
      </c>
      <c r="P129" s="61"/>
      <c r="Q129" s="60"/>
      <c r="R129" s="63"/>
      <c r="S129" s="60"/>
      <c r="T129" s="88" t="str">
        <f aca="false">IF(AND(B129&lt;&gt;"",AND(R129&lt;&gt;"",R129&gt;='Weekly Report'!$F$4,R129&lt;='Weekly Report'!$F$5)),ROW(),"")</f>
        <v/>
      </c>
    </row>
    <row r="130" customFormat="false" ht="15" hidden="false" customHeight="false" outlineLevel="0" collapsed="false">
      <c r="A130" s="56" t="s">
        <v>613</v>
      </c>
      <c r="B130" s="60"/>
      <c r="C130" s="61"/>
      <c r="D130" s="60"/>
      <c r="E130" s="60"/>
      <c r="F130" s="61"/>
      <c r="G130" s="61"/>
      <c r="H130" s="61"/>
      <c r="I130" s="61"/>
      <c r="J130" s="61"/>
      <c r="K130" s="85" t="str">
        <f aca="false">IF(OR(J130="",I130=""),"",J130-I130)</f>
        <v/>
      </c>
      <c r="L130" s="86" t="str">
        <f aca="false">IF(OR(G130="",H130="",J130=""),"",IF(H130=G130,"",MAX(0,MIN(1,(J130-G130)/(H130-G130)))))</f>
        <v/>
      </c>
      <c r="M130" s="61"/>
      <c r="N130" s="63"/>
      <c r="O130" s="87" t="str">
        <f aca="true">IF(N130="","",N130-TODAY())</f>
        <v/>
      </c>
      <c r="P130" s="61"/>
      <c r="Q130" s="60"/>
      <c r="R130" s="63"/>
      <c r="S130" s="60"/>
      <c r="T130" s="88" t="str">
        <f aca="false">IF(AND(B130&lt;&gt;"",AND(R130&lt;&gt;"",R130&gt;='Weekly Report'!$F$4,R130&lt;='Weekly Report'!$F$5)),ROW(),"")</f>
        <v/>
      </c>
    </row>
    <row r="131" customFormat="false" ht="15" hidden="false" customHeight="false" outlineLevel="0" collapsed="false">
      <c r="A131" s="56" t="s">
        <v>614</v>
      </c>
      <c r="B131" s="60"/>
      <c r="C131" s="61"/>
      <c r="D131" s="60"/>
      <c r="E131" s="60"/>
      <c r="F131" s="61"/>
      <c r="G131" s="61"/>
      <c r="H131" s="61"/>
      <c r="I131" s="61"/>
      <c r="J131" s="61"/>
      <c r="K131" s="85" t="str">
        <f aca="false">IF(OR(J131="",I131=""),"",J131-I131)</f>
        <v/>
      </c>
      <c r="L131" s="86" t="str">
        <f aca="false">IF(OR(G131="",H131="",J131=""),"",IF(H131=G131,"",MAX(0,MIN(1,(J131-G131)/(H131-G131)))))</f>
        <v/>
      </c>
      <c r="M131" s="61"/>
      <c r="N131" s="63"/>
      <c r="O131" s="87" t="str">
        <f aca="true">IF(N131="","",N131-TODAY())</f>
        <v/>
      </c>
      <c r="P131" s="61"/>
      <c r="Q131" s="60"/>
      <c r="R131" s="63"/>
      <c r="S131" s="60"/>
      <c r="T131" s="88" t="str">
        <f aca="false">IF(AND(B131&lt;&gt;"",AND(R131&lt;&gt;"",R131&gt;='Weekly Report'!$F$4,R131&lt;='Weekly Report'!$F$5)),ROW(),"")</f>
        <v/>
      </c>
    </row>
    <row r="132" customFormat="false" ht="15" hidden="false" customHeight="false" outlineLevel="0" collapsed="false">
      <c r="A132" s="56" t="s">
        <v>615</v>
      </c>
      <c r="B132" s="60"/>
      <c r="C132" s="61"/>
      <c r="D132" s="60"/>
      <c r="E132" s="60"/>
      <c r="F132" s="61"/>
      <c r="G132" s="61"/>
      <c r="H132" s="61"/>
      <c r="I132" s="61"/>
      <c r="J132" s="61"/>
      <c r="K132" s="85" t="str">
        <f aca="false">IF(OR(J132="",I132=""),"",J132-I132)</f>
        <v/>
      </c>
      <c r="L132" s="86" t="str">
        <f aca="false">IF(OR(G132="",H132="",J132=""),"",IF(H132=G132,"",MAX(0,MIN(1,(J132-G132)/(H132-G132)))))</f>
        <v/>
      </c>
      <c r="M132" s="61"/>
      <c r="N132" s="63"/>
      <c r="O132" s="87" t="str">
        <f aca="true">IF(N132="","",N132-TODAY())</f>
        <v/>
      </c>
      <c r="P132" s="61"/>
      <c r="Q132" s="60"/>
      <c r="R132" s="63"/>
      <c r="S132" s="60"/>
      <c r="T132" s="88" t="str">
        <f aca="false">IF(AND(B132&lt;&gt;"",AND(R132&lt;&gt;"",R132&gt;='Weekly Report'!$F$4,R132&lt;='Weekly Report'!$F$5)),ROW(),"")</f>
        <v/>
      </c>
    </row>
    <row r="133" customFormat="false" ht="15" hidden="false" customHeight="false" outlineLevel="0" collapsed="false">
      <c r="A133" s="56" t="s">
        <v>616</v>
      </c>
      <c r="B133" s="60"/>
      <c r="C133" s="61"/>
      <c r="D133" s="60"/>
      <c r="E133" s="60"/>
      <c r="F133" s="61"/>
      <c r="G133" s="61"/>
      <c r="H133" s="61"/>
      <c r="I133" s="61"/>
      <c r="J133" s="61"/>
      <c r="K133" s="85" t="str">
        <f aca="false">IF(OR(J133="",I133=""),"",J133-I133)</f>
        <v/>
      </c>
      <c r="L133" s="86" t="str">
        <f aca="false">IF(OR(G133="",H133="",J133=""),"",IF(H133=G133,"",MAX(0,MIN(1,(J133-G133)/(H133-G133)))))</f>
        <v/>
      </c>
      <c r="M133" s="61"/>
      <c r="N133" s="63"/>
      <c r="O133" s="87" t="str">
        <f aca="true">IF(N133="","",N133-TODAY())</f>
        <v/>
      </c>
      <c r="P133" s="61"/>
      <c r="Q133" s="60"/>
      <c r="R133" s="63"/>
      <c r="S133" s="60"/>
      <c r="T133" s="88" t="str">
        <f aca="false">IF(AND(B133&lt;&gt;"",AND(R133&lt;&gt;"",R133&gt;='Weekly Report'!$F$4,R133&lt;='Weekly Report'!$F$5)),ROW(),"")</f>
        <v/>
      </c>
    </row>
    <row r="134" customFormat="false" ht="15" hidden="false" customHeight="false" outlineLevel="0" collapsed="false">
      <c r="A134" s="56" t="s">
        <v>617</v>
      </c>
      <c r="B134" s="60"/>
      <c r="C134" s="61"/>
      <c r="D134" s="60"/>
      <c r="E134" s="60"/>
      <c r="F134" s="61"/>
      <c r="G134" s="61"/>
      <c r="H134" s="61"/>
      <c r="I134" s="61"/>
      <c r="J134" s="61"/>
      <c r="K134" s="85" t="str">
        <f aca="false">IF(OR(J134="",I134=""),"",J134-I134)</f>
        <v/>
      </c>
      <c r="L134" s="86" t="str">
        <f aca="false">IF(OR(G134="",H134="",J134=""),"",IF(H134=G134,"",MAX(0,MIN(1,(J134-G134)/(H134-G134)))))</f>
        <v/>
      </c>
      <c r="M134" s="61"/>
      <c r="N134" s="63"/>
      <c r="O134" s="87" t="str">
        <f aca="true">IF(N134="","",N134-TODAY())</f>
        <v/>
      </c>
      <c r="P134" s="61"/>
      <c r="Q134" s="60"/>
      <c r="R134" s="63"/>
      <c r="S134" s="60"/>
      <c r="T134" s="88" t="str">
        <f aca="false">IF(AND(B134&lt;&gt;"",AND(R134&lt;&gt;"",R134&gt;='Weekly Report'!$F$4,R134&lt;='Weekly Report'!$F$5)),ROW(),"")</f>
        <v/>
      </c>
    </row>
    <row r="135" customFormat="false" ht="15" hidden="false" customHeight="false" outlineLevel="0" collapsed="false">
      <c r="A135" s="56" t="s">
        <v>618</v>
      </c>
      <c r="B135" s="60"/>
      <c r="C135" s="61"/>
      <c r="D135" s="60"/>
      <c r="E135" s="60"/>
      <c r="F135" s="61"/>
      <c r="G135" s="61"/>
      <c r="H135" s="61"/>
      <c r="I135" s="61"/>
      <c r="J135" s="61"/>
      <c r="K135" s="85" t="str">
        <f aca="false">IF(OR(J135="",I135=""),"",J135-I135)</f>
        <v/>
      </c>
      <c r="L135" s="86" t="str">
        <f aca="false">IF(OR(G135="",H135="",J135=""),"",IF(H135=G135,"",MAX(0,MIN(1,(J135-G135)/(H135-G135)))))</f>
        <v/>
      </c>
      <c r="M135" s="61"/>
      <c r="N135" s="63"/>
      <c r="O135" s="87" t="str">
        <f aca="true">IF(N135="","",N135-TODAY())</f>
        <v/>
      </c>
      <c r="P135" s="61"/>
      <c r="Q135" s="60"/>
      <c r="R135" s="63"/>
      <c r="S135" s="60"/>
      <c r="T135" s="88" t="str">
        <f aca="false">IF(AND(B135&lt;&gt;"",AND(R135&lt;&gt;"",R135&gt;='Weekly Report'!$F$4,R135&lt;='Weekly Report'!$F$5)),ROW(),"")</f>
        <v/>
      </c>
    </row>
    <row r="136" customFormat="false" ht="15" hidden="false" customHeight="false" outlineLevel="0" collapsed="false">
      <c r="A136" s="56" t="s">
        <v>619</v>
      </c>
      <c r="B136" s="60"/>
      <c r="C136" s="61"/>
      <c r="D136" s="60"/>
      <c r="E136" s="60"/>
      <c r="F136" s="61"/>
      <c r="G136" s="61"/>
      <c r="H136" s="61"/>
      <c r="I136" s="61"/>
      <c r="J136" s="61"/>
      <c r="K136" s="85" t="str">
        <f aca="false">IF(OR(J136="",I136=""),"",J136-I136)</f>
        <v/>
      </c>
      <c r="L136" s="86" t="str">
        <f aca="false">IF(OR(G136="",H136="",J136=""),"",IF(H136=G136,"",MAX(0,MIN(1,(J136-G136)/(H136-G136)))))</f>
        <v/>
      </c>
      <c r="M136" s="61"/>
      <c r="N136" s="63"/>
      <c r="O136" s="87" t="str">
        <f aca="true">IF(N136="","",N136-TODAY())</f>
        <v/>
      </c>
      <c r="P136" s="61"/>
      <c r="Q136" s="60"/>
      <c r="R136" s="63"/>
      <c r="S136" s="60"/>
      <c r="T136" s="88" t="str">
        <f aca="false">IF(AND(B136&lt;&gt;"",AND(R136&lt;&gt;"",R136&gt;='Weekly Report'!$F$4,R136&lt;='Weekly Report'!$F$5)),ROW(),"")</f>
        <v/>
      </c>
    </row>
    <row r="137" customFormat="false" ht="15" hidden="false" customHeight="false" outlineLevel="0" collapsed="false">
      <c r="A137" s="56" t="s">
        <v>620</v>
      </c>
      <c r="B137" s="60"/>
      <c r="C137" s="61"/>
      <c r="D137" s="60"/>
      <c r="E137" s="60"/>
      <c r="F137" s="61"/>
      <c r="G137" s="61"/>
      <c r="H137" s="61"/>
      <c r="I137" s="61"/>
      <c r="J137" s="61"/>
      <c r="K137" s="85" t="str">
        <f aca="false">IF(OR(J137="",I137=""),"",J137-I137)</f>
        <v/>
      </c>
      <c r="L137" s="86" t="str">
        <f aca="false">IF(OR(G137="",H137="",J137=""),"",IF(H137=G137,"",MAX(0,MIN(1,(J137-G137)/(H137-G137)))))</f>
        <v/>
      </c>
      <c r="M137" s="61"/>
      <c r="N137" s="63"/>
      <c r="O137" s="87" t="str">
        <f aca="true">IF(N137="","",N137-TODAY())</f>
        <v/>
      </c>
      <c r="P137" s="61"/>
      <c r="Q137" s="60"/>
      <c r="R137" s="63"/>
      <c r="S137" s="60"/>
      <c r="T137" s="88" t="str">
        <f aca="false">IF(AND(B137&lt;&gt;"",AND(R137&lt;&gt;"",R137&gt;='Weekly Report'!$F$4,R137&lt;='Weekly Report'!$F$5)),ROW(),"")</f>
        <v/>
      </c>
    </row>
    <row r="138" customFormat="false" ht="15" hidden="false" customHeight="false" outlineLevel="0" collapsed="false">
      <c r="A138" s="56" t="s">
        <v>621</v>
      </c>
      <c r="B138" s="60"/>
      <c r="C138" s="61"/>
      <c r="D138" s="60"/>
      <c r="E138" s="60"/>
      <c r="F138" s="61"/>
      <c r="G138" s="61"/>
      <c r="H138" s="61"/>
      <c r="I138" s="61"/>
      <c r="J138" s="61"/>
      <c r="K138" s="85" t="str">
        <f aca="false">IF(OR(J138="",I138=""),"",J138-I138)</f>
        <v/>
      </c>
      <c r="L138" s="86" t="str">
        <f aca="false">IF(OR(G138="",H138="",J138=""),"",IF(H138=G138,"",MAX(0,MIN(1,(J138-G138)/(H138-G138)))))</f>
        <v/>
      </c>
      <c r="M138" s="61"/>
      <c r="N138" s="63"/>
      <c r="O138" s="87" t="str">
        <f aca="true">IF(N138="","",N138-TODAY())</f>
        <v/>
      </c>
      <c r="P138" s="61"/>
      <c r="Q138" s="60"/>
      <c r="R138" s="63"/>
      <c r="S138" s="60"/>
      <c r="T138" s="88" t="str">
        <f aca="false">IF(AND(B138&lt;&gt;"",AND(R138&lt;&gt;"",R138&gt;='Weekly Report'!$F$4,R138&lt;='Weekly Report'!$F$5)),ROW(),"")</f>
        <v/>
      </c>
    </row>
    <row r="139" customFormat="false" ht="15" hidden="false" customHeight="false" outlineLevel="0" collapsed="false">
      <c r="A139" s="56" t="s">
        <v>622</v>
      </c>
      <c r="B139" s="60"/>
      <c r="C139" s="61"/>
      <c r="D139" s="60"/>
      <c r="E139" s="60"/>
      <c r="F139" s="61"/>
      <c r="G139" s="61"/>
      <c r="H139" s="61"/>
      <c r="I139" s="61"/>
      <c r="J139" s="61"/>
      <c r="K139" s="85" t="str">
        <f aca="false">IF(OR(J139="",I139=""),"",J139-I139)</f>
        <v/>
      </c>
      <c r="L139" s="86" t="str">
        <f aca="false">IF(OR(G139="",H139="",J139=""),"",IF(H139=G139,"",MAX(0,MIN(1,(J139-G139)/(H139-G139)))))</f>
        <v/>
      </c>
      <c r="M139" s="61"/>
      <c r="N139" s="63"/>
      <c r="O139" s="87" t="str">
        <f aca="true">IF(N139="","",N139-TODAY())</f>
        <v/>
      </c>
      <c r="P139" s="61"/>
      <c r="Q139" s="60"/>
      <c r="R139" s="63"/>
      <c r="S139" s="60"/>
      <c r="T139" s="88" t="str">
        <f aca="false">IF(AND(B139&lt;&gt;"",AND(R139&lt;&gt;"",R139&gt;='Weekly Report'!$F$4,R139&lt;='Weekly Report'!$F$5)),ROW(),"")</f>
        <v/>
      </c>
    </row>
    <row r="140" customFormat="false" ht="15" hidden="false" customHeight="false" outlineLevel="0" collapsed="false">
      <c r="A140" s="56" t="s">
        <v>623</v>
      </c>
      <c r="B140" s="60"/>
      <c r="C140" s="61"/>
      <c r="D140" s="60"/>
      <c r="E140" s="60"/>
      <c r="F140" s="61"/>
      <c r="G140" s="61"/>
      <c r="H140" s="61"/>
      <c r="I140" s="61"/>
      <c r="J140" s="61"/>
      <c r="K140" s="85" t="str">
        <f aca="false">IF(OR(J140="",I140=""),"",J140-I140)</f>
        <v/>
      </c>
      <c r="L140" s="86" t="str">
        <f aca="false">IF(OR(G140="",H140="",J140=""),"",IF(H140=G140,"",MAX(0,MIN(1,(J140-G140)/(H140-G140)))))</f>
        <v/>
      </c>
      <c r="M140" s="61"/>
      <c r="N140" s="63"/>
      <c r="O140" s="87" t="str">
        <f aca="true">IF(N140="","",N140-TODAY())</f>
        <v/>
      </c>
      <c r="P140" s="61"/>
      <c r="Q140" s="60"/>
      <c r="R140" s="63"/>
      <c r="S140" s="60"/>
      <c r="T140" s="88" t="str">
        <f aca="false">IF(AND(B140&lt;&gt;"",AND(R140&lt;&gt;"",R140&gt;='Weekly Report'!$F$4,R140&lt;='Weekly Report'!$F$5)),ROW(),"")</f>
        <v/>
      </c>
    </row>
    <row r="141" customFormat="false" ht="15" hidden="false" customHeight="false" outlineLevel="0" collapsed="false">
      <c r="A141" s="56" t="s">
        <v>624</v>
      </c>
      <c r="B141" s="60"/>
      <c r="C141" s="61"/>
      <c r="D141" s="60"/>
      <c r="E141" s="60"/>
      <c r="F141" s="61"/>
      <c r="G141" s="61"/>
      <c r="H141" s="61"/>
      <c r="I141" s="61"/>
      <c r="J141" s="61"/>
      <c r="K141" s="85" t="str">
        <f aca="false">IF(OR(J141="",I141=""),"",J141-I141)</f>
        <v/>
      </c>
      <c r="L141" s="86" t="str">
        <f aca="false">IF(OR(G141="",H141="",J141=""),"",IF(H141=G141,"",MAX(0,MIN(1,(J141-G141)/(H141-G141)))))</f>
        <v/>
      </c>
      <c r="M141" s="61"/>
      <c r="N141" s="63"/>
      <c r="O141" s="87" t="str">
        <f aca="true">IF(N141="","",N141-TODAY())</f>
        <v/>
      </c>
      <c r="P141" s="61"/>
      <c r="Q141" s="60"/>
      <c r="R141" s="63"/>
      <c r="S141" s="60"/>
      <c r="T141" s="88" t="str">
        <f aca="false">IF(AND(B141&lt;&gt;"",AND(R141&lt;&gt;"",R141&gt;='Weekly Report'!$F$4,R141&lt;='Weekly Report'!$F$5)),ROW(),"")</f>
        <v/>
      </c>
    </row>
    <row r="142" customFormat="false" ht="15" hidden="false" customHeight="false" outlineLevel="0" collapsed="false">
      <c r="A142" s="56" t="s">
        <v>625</v>
      </c>
      <c r="B142" s="60"/>
      <c r="C142" s="61"/>
      <c r="D142" s="60"/>
      <c r="E142" s="60"/>
      <c r="F142" s="61"/>
      <c r="G142" s="61"/>
      <c r="H142" s="61"/>
      <c r="I142" s="61"/>
      <c r="J142" s="61"/>
      <c r="K142" s="85" t="str">
        <f aca="false">IF(OR(J142="",I142=""),"",J142-I142)</f>
        <v/>
      </c>
      <c r="L142" s="86" t="str">
        <f aca="false">IF(OR(G142="",H142="",J142=""),"",IF(H142=G142,"",MAX(0,MIN(1,(J142-G142)/(H142-G142)))))</f>
        <v/>
      </c>
      <c r="M142" s="61"/>
      <c r="N142" s="63"/>
      <c r="O142" s="87" t="str">
        <f aca="true">IF(N142="","",N142-TODAY())</f>
        <v/>
      </c>
      <c r="P142" s="61"/>
      <c r="Q142" s="60"/>
      <c r="R142" s="63"/>
      <c r="S142" s="60"/>
      <c r="T142" s="88" t="str">
        <f aca="false">IF(AND(B142&lt;&gt;"",AND(R142&lt;&gt;"",R142&gt;='Weekly Report'!$F$4,R142&lt;='Weekly Report'!$F$5)),ROW(),"")</f>
        <v/>
      </c>
    </row>
    <row r="143" customFormat="false" ht="15" hidden="false" customHeight="false" outlineLevel="0" collapsed="false">
      <c r="A143" s="56" t="s">
        <v>626</v>
      </c>
      <c r="B143" s="60"/>
      <c r="C143" s="61"/>
      <c r="D143" s="60"/>
      <c r="E143" s="60"/>
      <c r="F143" s="61"/>
      <c r="G143" s="61"/>
      <c r="H143" s="61"/>
      <c r="I143" s="61"/>
      <c r="J143" s="61"/>
      <c r="K143" s="85" t="str">
        <f aca="false">IF(OR(J143="",I143=""),"",J143-I143)</f>
        <v/>
      </c>
      <c r="L143" s="86" t="str">
        <f aca="false">IF(OR(G143="",H143="",J143=""),"",IF(H143=G143,"",MAX(0,MIN(1,(J143-G143)/(H143-G143)))))</f>
        <v/>
      </c>
      <c r="M143" s="61"/>
      <c r="N143" s="63"/>
      <c r="O143" s="87" t="str">
        <f aca="true">IF(N143="","",N143-TODAY())</f>
        <v/>
      </c>
      <c r="P143" s="61"/>
      <c r="Q143" s="60"/>
      <c r="R143" s="63"/>
      <c r="S143" s="60"/>
      <c r="T143" s="88" t="str">
        <f aca="false">IF(AND(B143&lt;&gt;"",AND(R143&lt;&gt;"",R143&gt;='Weekly Report'!$F$4,R143&lt;='Weekly Report'!$F$5)),ROW(),"")</f>
        <v/>
      </c>
    </row>
    <row r="144" customFormat="false" ht="15" hidden="false" customHeight="false" outlineLevel="0" collapsed="false">
      <c r="A144" s="56" t="s">
        <v>627</v>
      </c>
      <c r="B144" s="60"/>
      <c r="C144" s="61"/>
      <c r="D144" s="60"/>
      <c r="E144" s="60"/>
      <c r="F144" s="61"/>
      <c r="G144" s="61"/>
      <c r="H144" s="61"/>
      <c r="I144" s="61"/>
      <c r="J144" s="61"/>
      <c r="K144" s="85" t="str">
        <f aca="false">IF(OR(J144="",I144=""),"",J144-I144)</f>
        <v/>
      </c>
      <c r="L144" s="86" t="str">
        <f aca="false">IF(OR(G144="",H144="",J144=""),"",IF(H144=G144,"",MAX(0,MIN(1,(J144-G144)/(H144-G144)))))</f>
        <v/>
      </c>
      <c r="M144" s="61"/>
      <c r="N144" s="63"/>
      <c r="O144" s="87" t="str">
        <f aca="true">IF(N144="","",N144-TODAY())</f>
        <v/>
      </c>
      <c r="P144" s="61"/>
      <c r="Q144" s="60"/>
      <c r="R144" s="63"/>
      <c r="S144" s="60"/>
      <c r="T144" s="88" t="str">
        <f aca="false">IF(AND(B144&lt;&gt;"",AND(R144&lt;&gt;"",R144&gt;='Weekly Report'!$F$4,R144&lt;='Weekly Report'!$F$5)),ROW(),"")</f>
        <v/>
      </c>
    </row>
    <row r="145" customFormat="false" ht="15" hidden="false" customHeight="false" outlineLevel="0" collapsed="false">
      <c r="A145" s="56" t="s">
        <v>628</v>
      </c>
      <c r="B145" s="60"/>
      <c r="C145" s="61"/>
      <c r="D145" s="60"/>
      <c r="E145" s="60"/>
      <c r="F145" s="61"/>
      <c r="G145" s="61"/>
      <c r="H145" s="61"/>
      <c r="I145" s="61"/>
      <c r="J145" s="61"/>
      <c r="K145" s="85" t="str">
        <f aca="false">IF(OR(J145="",I145=""),"",J145-I145)</f>
        <v/>
      </c>
      <c r="L145" s="86" t="str">
        <f aca="false">IF(OR(G145="",H145="",J145=""),"",IF(H145=G145,"",MAX(0,MIN(1,(J145-G145)/(H145-G145)))))</f>
        <v/>
      </c>
      <c r="M145" s="61"/>
      <c r="N145" s="63"/>
      <c r="O145" s="87" t="str">
        <f aca="true">IF(N145="","",N145-TODAY())</f>
        <v/>
      </c>
      <c r="P145" s="61"/>
      <c r="Q145" s="60"/>
      <c r="R145" s="63"/>
      <c r="S145" s="60"/>
      <c r="T145" s="88" t="str">
        <f aca="false">IF(AND(B145&lt;&gt;"",AND(R145&lt;&gt;"",R145&gt;='Weekly Report'!$F$4,R145&lt;='Weekly Report'!$F$5)),ROW(),"")</f>
        <v/>
      </c>
    </row>
    <row r="146" customFormat="false" ht="15" hidden="false" customHeight="false" outlineLevel="0" collapsed="false">
      <c r="A146" s="56" t="s">
        <v>629</v>
      </c>
      <c r="B146" s="60"/>
      <c r="C146" s="61"/>
      <c r="D146" s="60"/>
      <c r="E146" s="60"/>
      <c r="F146" s="61"/>
      <c r="G146" s="61"/>
      <c r="H146" s="61"/>
      <c r="I146" s="61"/>
      <c r="J146" s="61"/>
      <c r="K146" s="85" t="str">
        <f aca="false">IF(OR(J146="",I146=""),"",J146-I146)</f>
        <v/>
      </c>
      <c r="L146" s="86" t="str">
        <f aca="false">IF(OR(G146="",H146="",J146=""),"",IF(H146=G146,"",MAX(0,MIN(1,(J146-G146)/(H146-G146)))))</f>
        <v/>
      </c>
      <c r="M146" s="61"/>
      <c r="N146" s="63"/>
      <c r="O146" s="87" t="str">
        <f aca="true">IF(N146="","",N146-TODAY())</f>
        <v/>
      </c>
      <c r="P146" s="61"/>
      <c r="Q146" s="60"/>
      <c r="R146" s="63"/>
      <c r="S146" s="60"/>
      <c r="T146" s="88" t="str">
        <f aca="false">IF(AND(B146&lt;&gt;"",AND(R146&lt;&gt;"",R146&gt;='Weekly Report'!$F$4,R146&lt;='Weekly Report'!$F$5)),ROW(),"")</f>
        <v/>
      </c>
    </row>
    <row r="147" customFormat="false" ht="15" hidden="false" customHeight="false" outlineLevel="0" collapsed="false">
      <c r="A147" s="56" t="s">
        <v>630</v>
      </c>
      <c r="B147" s="60"/>
      <c r="C147" s="61"/>
      <c r="D147" s="60"/>
      <c r="E147" s="60"/>
      <c r="F147" s="61"/>
      <c r="G147" s="61"/>
      <c r="H147" s="61"/>
      <c r="I147" s="61"/>
      <c r="J147" s="61"/>
      <c r="K147" s="85" t="str">
        <f aca="false">IF(OR(J147="",I147=""),"",J147-I147)</f>
        <v/>
      </c>
      <c r="L147" s="86" t="str">
        <f aca="false">IF(OR(G147="",H147="",J147=""),"",IF(H147=G147,"",MAX(0,MIN(1,(J147-G147)/(H147-G147)))))</f>
        <v/>
      </c>
      <c r="M147" s="61"/>
      <c r="N147" s="63"/>
      <c r="O147" s="87" t="str">
        <f aca="true">IF(N147="","",N147-TODAY())</f>
        <v/>
      </c>
      <c r="P147" s="61"/>
      <c r="Q147" s="60"/>
      <c r="R147" s="63"/>
      <c r="S147" s="60"/>
      <c r="T147" s="88" t="str">
        <f aca="false">IF(AND(B147&lt;&gt;"",AND(R147&lt;&gt;"",R147&gt;='Weekly Report'!$F$4,R147&lt;='Weekly Report'!$F$5)),ROW(),"")</f>
        <v/>
      </c>
    </row>
    <row r="148" customFormat="false" ht="15" hidden="false" customHeight="false" outlineLevel="0" collapsed="false">
      <c r="A148" s="56" t="s">
        <v>631</v>
      </c>
      <c r="B148" s="60"/>
      <c r="C148" s="61"/>
      <c r="D148" s="60"/>
      <c r="E148" s="60"/>
      <c r="F148" s="61"/>
      <c r="G148" s="61"/>
      <c r="H148" s="61"/>
      <c r="I148" s="61"/>
      <c r="J148" s="61"/>
      <c r="K148" s="85" t="str">
        <f aca="false">IF(OR(J148="",I148=""),"",J148-I148)</f>
        <v/>
      </c>
      <c r="L148" s="86" t="str">
        <f aca="false">IF(OR(G148="",H148="",J148=""),"",IF(H148=G148,"",MAX(0,MIN(1,(J148-G148)/(H148-G148)))))</f>
        <v/>
      </c>
      <c r="M148" s="61"/>
      <c r="N148" s="63"/>
      <c r="O148" s="87" t="str">
        <f aca="true">IF(N148="","",N148-TODAY())</f>
        <v/>
      </c>
      <c r="P148" s="61"/>
      <c r="Q148" s="60"/>
      <c r="R148" s="63"/>
      <c r="S148" s="60"/>
      <c r="T148" s="88" t="str">
        <f aca="false">IF(AND(B148&lt;&gt;"",AND(R148&lt;&gt;"",R148&gt;='Weekly Report'!$F$4,R148&lt;='Weekly Report'!$F$5)),ROW(),"")</f>
        <v/>
      </c>
    </row>
    <row r="149" customFormat="false" ht="15" hidden="false" customHeight="false" outlineLevel="0" collapsed="false">
      <c r="A149" s="56" t="s">
        <v>632</v>
      </c>
      <c r="B149" s="60"/>
      <c r="C149" s="61"/>
      <c r="D149" s="60"/>
      <c r="E149" s="60"/>
      <c r="F149" s="61"/>
      <c r="G149" s="61"/>
      <c r="H149" s="61"/>
      <c r="I149" s="61"/>
      <c r="J149" s="61"/>
      <c r="K149" s="85" t="str">
        <f aca="false">IF(OR(J149="",I149=""),"",J149-I149)</f>
        <v/>
      </c>
      <c r="L149" s="86" t="str">
        <f aca="false">IF(OR(G149="",H149="",J149=""),"",IF(H149=G149,"",MAX(0,MIN(1,(J149-G149)/(H149-G149)))))</f>
        <v/>
      </c>
      <c r="M149" s="61"/>
      <c r="N149" s="63"/>
      <c r="O149" s="87" t="str">
        <f aca="true">IF(N149="","",N149-TODAY())</f>
        <v/>
      </c>
      <c r="P149" s="61"/>
      <c r="Q149" s="60"/>
      <c r="R149" s="63"/>
      <c r="S149" s="60"/>
      <c r="T149" s="88" t="str">
        <f aca="false">IF(AND(B149&lt;&gt;"",AND(R149&lt;&gt;"",R149&gt;='Weekly Report'!$F$4,R149&lt;='Weekly Report'!$F$5)),ROW(),"")</f>
        <v/>
      </c>
    </row>
    <row r="150" customFormat="false" ht="15" hidden="false" customHeight="false" outlineLevel="0" collapsed="false">
      <c r="A150" s="56" t="s">
        <v>633</v>
      </c>
      <c r="B150" s="60"/>
      <c r="C150" s="61"/>
      <c r="D150" s="60"/>
      <c r="E150" s="60"/>
      <c r="F150" s="61"/>
      <c r="G150" s="61"/>
      <c r="H150" s="61"/>
      <c r="I150" s="61"/>
      <c r="J150" s="61"/>
      <c r="K150" s="85" t="str">
        <f aca="false">IF(OR(J150="",I150=""),"",J150-I150)</f>
        <v/>
      </c>
      <c r="L150" s="86" t="str">
        <f aca="false">IF(OR(G150="",H150="",J150=""),"",IF(H150=G150,"",MAX(0,MIN(1,(J150-G150)/(H150-G150)))))</f>
        <v/>
      </c>
      <c r="M150" s="61"/>
      <c r="N150" s="63"/>
      <c r="O150" s="87" t="str">
        <f aca="true">IF(N150="","",N150-TODAY())</f>
        <v/>
      </c>
      <c r="P150" s="61"/>
      <c r="Q150" s="60"/>
      <c r="R150" s="63"/>
      <c r="S150" s="60"/>
      <c r="T150" s="88" t="str">
        <f aca="false">IF(AND(B150&lt;&gt;"",AND(R150&lt;&gt;"",R150&gt;='Weekly Report'!$F$4,R150&lt;='Weekly Report'!$F$5)),ROW(),"")</f>
        <v/>
      </c>
    </row>
    <row r="151" customFormat="false" ht="15" hidden="false" customHeight="false" outlineLevel="0" collapsed="false">
      <c r="A151" s="56" t="s">
        <v>634</v>
      </c>
      <c r="B151" s="60"/>
      <c r="C151" s="61"/>
      <c r="D151" s="60"/>
      <c r="E151" s="60"/>
      <c r="F151" s="61"/>
      <c r="G151" s="61"/>
      <c r="H151" s="61"/>
      <c r="I151" s="61"/>
      <c r="J151" s="61"/>
      <c r="K151" s="85" t="str">
        <f aca="false">IF(OR(J151="",I151=""),"",J151-I151)</f>
        <v/>
      </c>
      <c r="L151" s="86" t="str">
        <f aca="false">IF(OR(G151="",H151="",J151=""),"",IF(H151=G151,"",MAX(0,MIN(1,(J151-G151)/(H151-G151)))))</f>
        <v/>
      </c>
      <c r="M151" s="61"/>
      <c r="N151" s="63"/>
      <c r="O151" s="87" t="str">
        <f aca="true">IF(N151="","",N151-TODAY())</f>
        <v/>
      </c>
      <c r="P151" s="61"/>
      <c r="Q151" s="60"/>
      <c r="R151" s="63"/>
      <c r="S151" s="60"/>
      <c r="T151" s="88" t="str">
        <f aca="false">IF(AND(B151&lt;&gt;"",AND(R151&lt;&gt;"",R151&gt;='Weekly Report'!$F$4,R151&lt;='Weekly Report'!$F$5)),ROW(),"")</f>
        <v/>
      </c>
    </row>
    <row r="152" customFormat="false" ht="15" hidden="false" customHeight="false" outlineLevel="0" collapsed="false">
      <c r="A152" s="56" t="s">
        <v>635</v>
      </c>
      <c r="B152" s="60"/>
      <c r="C152" s="61"/>
      <c r="D152" s="60"/>
      <c r="E152" s="60"/>
      <c r="F152" s="61"/>
      <c r="G152" s="61"/>
      <c r="H152" s="61"/>
      <c r="I152" s="61"/>
      <c r="J152" s="61"/>
      <c r="K152" s="85" t="str">
        <f aca="false">IF(OR(J152="",I152=""),"",J152-I152)</f>
        <v/>
      </c>
      <c r="L152" s="86" t="str">
        <f aca="false">IF(OR(G152="",H152="",J152=""),"",IF(H152=G152,"",MAX(0,MIN(1,(J152-G152)/(H152-G152)))))</f>
        <v/>
      </c>
      <c r="M152" s="61"/>
      <c r="N152" s="63"/>
      <c r="O152" s="87" t="str">
        <f aca="true">IF(N152="","",N152-TODAY())</f>
        <v/>
      </c>
      <c r="P152" s="61"/>
      <c r="Q152" s="60"/>
      <c r="R152" s="63"/>
      <c r="S152" s="60"/>
      <c r="T152" s="88" t="str">
        <f aca="false">IF(AND(B152&lt;&gt;"",AND(R152&lt;&gt;"",R152&gt;='Weekly Report'!$F$4,R152&lt;='Weekly Report'!$F$5)),ROW(),"")</f>
        <v/>
      </c>
    </row>
    <row r="153" customFormat="false" ht="15" hidden="false" customHeight="false" outlineLevel="0" collapsed="false">
      <c r="A153" s="56" t="s">
        <v>636</v>
      </c>
      <c r="B153" s="60"/>
      <c r="C153" s="61"/>
      <c r="D153" s="60"/>
      <c r="E153" s="60"/>
      <c r="F153" s="61"/>
      <c r="G153" s="61"/>
      <c r="H153" s="61"/>
      <c r="I153" s="61"/>
      <c r="J153" s="61"/>
      <c r="K153" s="85" t="str">
        <f aca="false">IF(OR(J153="",I153=""),"",J153-I153)</f>
        <v/>
      </c>
      <c r="L153" s="86" t="str">
        <f aca="false">IF(OR(G153="",H153="",J153=""),"",IF(H153=G153,"",MAX(0,MIN(1,(J153-G153)/(H153-G153)))))</f>
        <v/>
      </c>
      <c r="M153" s="61"/>
      <c r="N153" s="63"/>
      <c r="O153" s="87" t="str">
        <f aca="true">IF(N153="","",N153-TODAY())</f>
        <v/>
      </c>
      <c r="P153" s="61"/>
      <c r="Q153" s="60"/>
      <c r="R153" s="63"/>
      <c r="S153" s="60"/>
      <c r="T153" s="88" t="str">
        <f aca="false">IF(AND(B153&lt;&gt;"",AND(R153&lt;&gt;"",R153&gt;='Weekly Report'!$F$4,R153&lt;='Weekly Report'!$F$5)),ROW(),"")</f>
        <v/>
      </c>
    </row>
    <row r="154" customFormat="false" ht="15" hidden="false" customHeight="false" outlineLevel="0" collapsed="false">
      <c r="A154" s="56" t="s">
        <v>637</v>
      </c>
      <c r="B154" s="60"/>
      <c r="C154" s="61"/>
      <c r="D154" s="60"/>
      <c r="E154" s="60"/>
      <c r="F154" s="61"/>
      <c r="G154" s="61"/>
      <c r="H154" s="61"/>
      <c r="I154" s="61"/>
      <c r="J154" s="61"/>
      <c r="K154" s="85" t="str">
        <f aca="false">IF(OR(J154="",I154=""),"",J154-I154)</f>
        <v/>
      </c>
      <c r="L154" s="86" t="str">
        <f aca="false">IF(OR(G154="",H154="",J154=""),"",IF(H154=G154,"",MAX(0,MIN(1,(J154-G154)/(H154-G154)))))</f>
        <v/>
      </c>
      <c r="M154" s="61"/>
      <c r="N154" s="63"/>
      <c r="O154" s="87" t="str">
        <f aca="true">IF(N154="","",N154-TODAY())</f>
        <v/>
      </c>
      <c r="P154" s="61"/>
      <c r="Q154" s="60"/>
      <c r="R154" s="63"/>
      <c r="S154" s="60"/>
      <c r="T154" s="88" t="str">
        <f aca="false">IF(AND(B154&lt;&gt;"",AND(R154&lt;&gt;"",R154&gt;='Weekly Report'!$F$4,R154&lt;='Weekly Report'!$F$5)),ROW(),"")</f>
        <v/>
      </c>
    </row>
    <row r="155" customFormat="false" ht="15" hidden="false" customHeight="false" outlineLevel="0" collapsed="false">
      <c r="A155" s="56" t="s">
        <v>638</v>
      </c>
      <c r="B155" s="60"/>
      <c r="C155" s="61"/>
      <c r="D155" s="60"/>
      <c r="E155" s="60"/>
      <c r="F155" s="61"/>
      <c r="G155" s="61"/>
      <c r="H155" s="61"/>
      <c r="I155" s="61"/>
      <c r="J155" s="61"/>
      <c r="K155" s="85" t="str">
        <f aca="false">IF(OR(J155="",I155=""),"",J155-I155)</f>
        <v/>
      </c>
      <c r="L155" s="86" t="str">
        <f aca="false">IF(OR(G155="",H155="",J155=""),"",IF(H155=G155,"",MAX(0,MIN(1,(J155-G155)/(H155-G155)))))</f>
        <v/>
      </c>
      <c r="M155" s="61"/>
      <c r="N155" s="63"/>
      <c r="O155" s="87" t="str">
        <f aca="true">IF(N155="","",N155-TODAY())</f>
        <v/>
      </c>
      <c r="P155" s="61"/>
      <c r="Q155" s="60"/>
      <c r="R155" s="63"/>
      <c r="S155" s="60"/>
      <c r="T155" s="88" t="str">
        <f aca="false">IF(AND(B155&lt;&gt;"",AND(R155&lt;&gt;"",R155&gt;='Weekly Report'!$F$4,R155&lt;='Weekly Report'!$F$5)),ROW(),"")</f>
        <v/>
      </c>
    </row>
    <row r="156" customFormat="false" ht="15" hidden="false" customHeight="false" outlineLevel="0" collapsed="false">
      <c r="A156" s="56" t="s">
        <v>639</v>
      </c>
      <c r="B156" s="60"/>
      <c r="C156" s="61"/>
      <c r="D156" s="60"/>
      <c r="E156" s="60"/>
      <c r="F156" s="61"/>
      <c r="G156" s="61"/>
      <c r="H156" s="61"/>
      <c r="I156" s="61"/>
      <c r="J156" s="61"/>
      <c r="K156" s="85" t="str">
        <f aca="false">IF(OR(J156="",I156=""),"",J156-I156)</f>
        <v/>
      </c>
      <c r="L156" s="86" t="str">
        <f aca="false">IF(OR(G156="",H156="",J156=""),"",IF(H156=G156,"",MAX(0,MIN(1,(J156-G156)/(H156-G156)))))</f>
        <v/>
      </c>
      <c r="M156" s="61"/>
      <c r="N156" s="63"/>
      <c r="O156" s="87" t="str">
        <f aca="true">IF(N156="","",N156-TODAY())</f>
        <v/>
      </c>
      <c r="P156" s="61"/>
      <c r="Q156" s="60"/>
      <c r="R156" s="63"/>
      <c r="S156" s="60"/>
      <c r="T156" s="88" t="str">
        <f aca="false">IF(AND(B156&lt;&gt;"",AND(R156&lt;&gt;"",R156&gt;='Weekly Report'!$F$4,R156&lt;='Weekly Report'!$F$5)),ROW(),"")</f>
        <v/>
      </c>
    </row>
    <row r="157" customFormat="false" ht="15" hidden="false" customHeight="false" outlineLevel="0" collapsed="false">
      <c r="A157" s="56" t="s">
        <v>640</v>
      </c>
      <c r="B157" s="60"/>
      <c r="C157" s="61"/>
      <c r="D157" s="60"/>
      <c r="E157" s="60"/>
      <c r="F157" s="61"/>
      <c r="G157" s="61"/>
      <c r="H157" s="61"/>
      <c r="I157" s="61"/>
      <c r="J157" s="61"/>
      <c r="K157" s="85" t="str">
        <f aca="false">IF(OR(J157="",I157=""),"",J157-I157)</f>
        <v/>
      </c>
      <c r="L157" s="86" t="str">
        <f aca="false">IF(OR(G157="",H157="",J157=""),"",IF(H157=G157,"",MAX(0,MIN(1,(J157-G157)/(H157-G157)))))</f>
        <v/>
      </c>
      <c r="M157" s="61"/>
      <c r="N157" s="63"/>
      <c r="O157" s="87" t="str">
        <f aca="true">IF(N157="","",N157-TODAY())</f>
        <v/>
      </c>
      <c r="P157" s="61"/>
      <c r="Q157" s="60"/>
      <c r="R157" s="63"/>
      <c r="S157" s="60"/>
      <c r="T157" s="88" t="str">
        <f aca="false">IF(AND(B157&lt;&gt;"",AND(R157&lt;&gt;"",R157&gt;='Weekly Report'!$F$4,R157&lt;='Weekly Report'!$F$5)),ROW(),"")</f>
        <v/>
      </c>
    </row>
    <row r="158" customFormat="false" ht="15" hidden="false" customHeight="false" outlineLevel="0" collapsed="false">
      <c r="A158" s="56" t="s">
        <v>641</v>
      </c>
      <c r="B158" s="60"/>
      <c r="C158" s="61"/>
      <c r="D158" s="60"/>
      <c r="E158" s="60"/>
      <c r="F158" s="61"/>
      <c r="G158" s="61"/>
      <c r="H158" s="61"/>
      <c r="I158" s="61"/>
      <c r="J158" s="61"/>
      <c r="K158" s="85" t="str">
        <f aca="false">IF(OR(J158="",I158=""),"",J158-I158)</f>
        <v/>
      </c>
      <c r="L158" s="86" t="str">
        <f aca="false">IF(OR(G158="",H158="",J158=""),"",IF(H158=G158,"",MAX(0,MIN(1,(J158-G158)/(H158-G158)))))</f>
        <v/>
      </c>
      <c r="M158" s="61"/>
      <c r="N158" s="63"/>
      <c r="O158" s="87" t="str">
        <f aca="true">IF(N158="","",N158-TODAY())</f>
        <v/>
      </c>
      <c r="P158" s="61"/>
      <c r="Q158" s="60"/>
      <c r="R158" s="63"/>
      <c r="S158" s="60"/>
      <c r="T158" s="88" t="str">
        <f aca="false">IF(AND(B158&lt;&gt;"",AND(R158&lt;&gt;"",R158&gt;='Weekly Report'!$F$4,R158&lt;='Weekly Report'!$F$5)),ROW(),"")</f>
        <v/>
      </c>
    </row>
    <row r="159" customFormat="false" ht="15" hidden="false" customHeight="false" outlineLevel="0" collapsed="false">
      <c r="A159" s="56" t="s">
        <v>642</v>
      </c>
      <c r="B159" s="60"/>
      <c r="C159" s="61"/>
      <c r="D159" s="60"/>
      <c r="E159" s="60"/>
      <c r="F159" s="61"/>
      <c r="G159" s="61"/>
      <c r="H159" s="61"/>
      <c r="I159" s="61"/>
      <c r="J159" s="61"/>
      <c r="K159" s="85" t="str">
        <f aca="false">IF(OR(J159="",I159=""),"",J159-I159)</f>
        <v/>
      </c>
      <c r="L159" s="86" t="str">
        <f aca="false">IF(OR(G159="",H159="",J159=""),"",IF(H159=G159,"",MAX(0,MIN(1,(J159-G159)/(H159-G159)))))</f>
        <v/>
      </c>
      <c r="M159" s="61"/>
      <c r="N159" s="63"/>
      <c r="O159" s="87" t="str">
        <f aca="true">IF(N159="","",N159-TODAY())</f>
        <v/>
      </c>
      <c r="P159" s="61"/>
      <c r="Q159" s="60"/>
      <c r="R159" s="63"/>
      <c r="S159" s="60"/>
      <c r="T159" s="88" t="str">
        <f aca="false">IF(AND(B159&lt;&gt;"",AND(R159&lt;&gt;"",R159&gt;='Weekly Report'!$F$4,R159&lt;='Weekly Report'!$F$5)),ROW(),"")</f>
        <v/>
      </c>
    </row>
    <row r="160" customFormat="false" ht="15" hidden="false" customHeight="false" outlineLevel="0" collapsed="false">
      <c r="A160" s="56" t="s">
        <v>643</v>
      </c>
      <c r="B160" s="60"/>
      <c r="C160" s="61"/>
      <c r="D160" s="60"/>
      <c r="E160" s="60"/>
      <c r="F160" s="61"/>
      <c r="G160" s="61"/>
      <c r="H160" s="61"/>
      <c r="I160" s="61"/>
      <c r="J160" s="61"/>
      <c r="K160" s="85" t="str">
        <f aca="false">IF(OR(J160="",I160=""),"",J160-I160)</f>
        <v/>
      </c>
      <c r="L160" s="86" t="str">
        <f aca="false">IF(OR(G160="",H160="",J160=""),"",IF(H160=G160,"",MAX(0,MIN(1,(J160-G160)/(H160-G160)))))</f>
        <v/>
      </c>
      <c r="M160" s="61"/>
      <c r="N160" s="63"/>
      <c r="O160" s="87" t="str">
        <f aca="true">IF(N160="","",N160-TODAY())</f>
        <v/>
      </c>
      <c r="P160" s="61"/>
      <c r="Q160" s="60"/>
      <c r="R160" s="63"/>
      <c r="S160" s="60"/>
      <c r="T160" s="88" t="str">
        <f aca="false">IF(AND(B160&lt;&gt;"",AND(R160&lt;&gt;"",R160&gt;='Weekly Report'!$F$4,R160&lt;='Weekly Report'!$F$5)),ROW(),"")</f>
        <v/>
      </c>
    </row>
    <row r="161" customFormat="false" ht="15" hidden="false" customHeight="false" outlineLevel="0" collapsed="false">
      <c r="A161" s="56" t="s">
        <v>644</v>
      </c>
      <c r="B161" s="60"/>
      <c r="C161" s="61"/>
      <c r="D161" s="60"/>
      <c r="E161" s="60"/>
      <c r="F161" s="61"/>
      <c r="G161" s="61"/>
      <c r="H161" s="61"/>
      <c r="I161" s="61"/>
      <c r="J161" s="61"/>
      <c r="K161" s="85" t="str">
        <f aca="false">IF(OR(J161="",I161=""),"",J161-I161)</f>
        <v/>
      </c>
      <c r="L161" s="86" t="str">
        <f aca="false">IF(OR(G161="",H161="",J161=""),"",IF(H161=G161,"",MAX(0,MIN(1,(J161-G161)/(H161-G161)))))</f>
        <v/>
      </c>
      <c r="M161" s="61"/>
      <c r="N161" s="63"/>
      <c r="O161" s="87" t="str">
        <f aca="true">IF(N161="","",N161-TODAY())</f>
        <v/>
      </c>
      <c r="P161" s="61"/>
      <c r="Q161" s="60"/>
      <c r="R161" s="63"/>
      <c r="S161" s="60"/>
      <c r="T161" s="88" t="str">
        <f aca="false">IF(AND(B161&lt;&gt;"",AND(R161&lt;&gt;"",R161&gt;='Weekly Report'!$F$4,R161&lt;='Weekly Report'!$F$5)),ROW(),"")</f>
        <v/>
      </c>
    </row>
    <row r="162" customFormat="false" ht="15" hidden="false" customHeight="false" outlineLevel="0" collapsed="false">
      <c r="A162" s="56" t="s">
        <v>645</v>
      </c>
      <c r="B162" s="60"/>
      <c r="C162" s="61"/>
      <c r="D162" s="60"/>
      <c r="E162" s="60"/>
      <c r="F162" s="61"/>
      <c r="G162" s="61"/>
      <c r="H162" s="61"/>
      <c r="I162" s="61"/>
      <c r="J162" s="61"/>
      <c r="K162" s="85" t="str">
        <f aca="false">IF(OR(J162="",I162=""),"",J162-I162)</f>
        <v/>
      </c>
      <c r="L162" s="86" t="str">
        <f aca="false">IF(OR(G162="",H162="",J162=""),"",IF(H162=G162,"",MAX(0,MIN(1,(J162-G162)/(H162-G162)))))</f>
        <v/>
      </c>
      <c r="M162" s="61"/>
      <c r="N162" s="63"/>
      <c r="O162" s="87" t="str">
        <f aca="true">IF(N162="","",N162-TODAY())</f>
        <v/>
      </c>
      <c r="P162" s="61"/>
      <c r="Q162" s="60"/>
      <c r="R162" s="63"/>
      <c r="S162" s="60"/>
      <c r="T162" s="88" t="str">
        <f aca="false">IF(AND(B162&lt;&gt;"",AND(R162&lt;&gt;"",R162&gt;='Weekly Report'!$F$4,R162&lt;='Weekly Report'!$F$5)),ROW(),"")</f>
        <v/>
      </c>
    </row>
    <row r="163" customFormat="false" ht="15" hidden="false" customHeight="false" outlineLevel="0" collapsed="false">
      <c r="A163" s="56" t="s">
        <v>646</v>
      </c>
      <c r="B163" s="60"/>
      <c r="C163" s="61"/>
      <c r="D163" s="60"/>
      <c r="E163" s="60"/>
      <c r="F163" s="61"/>
      <c r="G163" s="61"/>
      <c r="H163" s="61"/>
      <c r="I163" s="61"/>
      <c r="J163" s="61"/>
      <c r="K163" s="85" t="str">
        <f aca="false">IF(OR(J163="",I163=""),"",J163-I163)</f>
        <v/>
      </c>
      <c r="L163" s="86" t="str">
        <f aca="false">IF(OR(G163="",H163="",J163=""),"",IF(H163=G163,"",MAX(0,MIN(1,(J163-G163)/(H163-G163)))))</f>
        <v/>
      </c>
      <c r="M163" s="61"/>
      <c r="N163" s="63"/>
      <c r="O163" s="87" t="str">
        <f aca="true">IF(N163="","",N163-TODAY())</f>
        <v/>
      </c>
      <c r="P163" s="61"/>
      <c r="Q163" s="60"/>
      <c r="R163" s="63"/>
      <c r="S163" s="60"/>
      <c r="T163" s="88" t="str">
        <f aca="false">IF(AND(B163&lt;&gt;"",AND(R163&lt;&gt;"",R163&gt;='Weekly Report'!$F$4,R163&lt;='Weekly Report'!$F$5)),ROW(),"")</f>
        <v/>
      </c>
    </row>
    <row r="164" customFormat="false" ht="15" hidden="false" customHeight="false" outlineLevel="0" collapsed="false">
      <c r="A164" s="56" t="s">
        <v>647</v>
      </c>
      <c r="B164" s="60"/>
      <c r="C164" s="61"/>
      <c r="D164" s="60"/>
      <c r="E164" s="60"/>
      <c r="F164" s="61"/>
      <c r="G164" s="61"/>
      <c r="H164" s="61"/>
      <c r="I164" s="61"/>
      <c r="J164" s="61"/>
      <c r="K164" s="85" t="str">
        <f aca="false">IF(OR(J164="",I164=""),"",J164-I164)</f>
        <v/>
      </c>
      <c r="L164" s="86" t="str">
        <f aca="false">IF(OR(G164="",H164="",J164=""),"",IF(H164=G164,"",MAX(0,MIN(1,(J164-G164)/(H164-G164)))))</f>
        <v/>
      </c>
      <c r="M164" s="61"/>
      <c r="N164" s="63"/>
      <c r="O164" s="87" t="str">
        <f aca="true">IF(N164="","",N164-TODAY())</f>
        <v/>
      </c>
      <c r="P164" s="61"/>
      <c r="Q164" s="60"/>
      <c r="R164" s="63"/>
      <c r="S164" s="60"/>
      <c r="T164" s="88" t="str">
        <f aca="false">IF(AND(B164&lt;&gt;"",AND(R164&lt;&gt;"",R164&gt;='Weekly Report'!$F$4,R164&lt;='Weekly Report'!$F$5)),ROW(),"")</f>
        <v/>
      </c>
    </row>
    <row r="165" customFormat="false" ht="15" hidden="false" customHeight="false" outlineLevel="0" collapsed="false">
      <c r="A165" s="56" t="s">
        <v>648</v>
      </c>
      <c r="B165" s="60"/>
      <c r="C165" s="61"/>
      <c r="D165" s="60"/>
      <c r="E165" s="60"/>
      <c r="F165" s="61"/>
      <c r="G165" s="61"/>
      <c r="H165" s="61"/>
      <c r="I165" s="61"/>
      <c r="J165" s="61"/>
      <c r="K165" s="85" t="str">
        <f aca="false">IF(OR(J165="",I165=""),"",J165-I165)</f>
        <v/>
      </c>
      <c r="L165" s="86" t="str">
        <f aca="false">IF(OR(G165="",H165="",J165=""),"",IF(H165=G165,"",MAX(0,MIN(1,(J165-G165)/(H165-G165)))))</f>
        <v/>
      </c>
      <c r="M165" s="61"/>
      <c r="N165" s="63"/>
      <c r="O165" s="87" t="str">
        <f aca="true">IF(N165="","",N165-TODAY())</f>
        <v/>
      </c>
      <c r="P165" s="61"/>
      <c r="Q165" s="60"/>
      <c r="R165" s="63"/>
      <c r="S165" s="60"/>
      <c r="T165" s="88" t="str">
        <f aca="false">IF(AND(B165&lt;&gt;"",AND(R165&lt;&gt;"",R165&gt;='Weekly Report'!$F$4,R165&lt;='Weekly Report'!$F$5)),ROW(),"")</f>
        <v/>
      </c>
    </row>
    <row r="166" customFormat="false" ht="15" hidden="false" customHeight="false" outlineLevel="0" collapsed="false">
      <c r="A166" s="56" t="s">
        <v>649</v>
      </c>
      <c r="B166" s="60"/>
      <c r="C166" s="61"/>
      <c r="D166" s="60"/>
      <c r="E166" s="60"/>
      <c r="F166" s="61"/>
      <c r="G166" s="61"/>
      <c r="H166" s="61"/>
      <c r="I166" s="61"/>
      <c r="J166" s="61"/>
      <c r="K166" s="85" t="str">
        <f aca="false">IF(OR(J166="",I166=""),"",J166-I166)</f>
        <v/>
      </c>
      <c r="L166" s="86" t="str">
        <f aca="false">IF(OR(G166="",H166="",J166=""),"",IF(H166=G166,"",MAX(0,MIN(1,(J166-G166)/(H166-G166)))))</f>
        <v/>
      </c>
      <c r="M166" s="61"/>
      <c r="N166" s="63"/>
      <c r="O166" s="87" t="str">
        <f aca="true">IF(N166="","",N166-TODAY())</f>
        <v/>
      </c>
      <c r="P166" s="61"/>
      <c r="Q166" s="60"/>
      <c r="R166" s="63"/>
      <c r="S166" s="60"/>
      <c r="T166" s="88" t="str">
        <f aca="false">IF(AND(B166&lt;&gt;"",AND(R166&lt;&gt;"",R166&gt;='Weekly Report'!$F$4,R166&lt;='Weekly Report'!$F$5)),ROW(),"")</f>
        <v/>
      </c>
    </row>
    <row r="167" customFormat="false" ht="15" hidden="false" customHeight="false" outlineLevel="0" collapsed="false">
      <c r="A167" s="56" t="s">
        <v>650</v>
      </c>
      <c r="B167" s="60"/>
      <c r="C167" s="61"/>
      <c r="D167" s="60"/>
      <c r="E167" s="60"/>
      <c r="F167" s="61"/>
      <c r="G167" s="61"/>
      <c r="H167" s="61"/>
      <c r="I167" s="61"/>
      <c r="J167" s="61"/>
      <c r="K167" s="85" t="str">
        <f aca="false">IF(OR(J167="",I167=""),"",J167-I167)</f>
        <v/>
      </c>
      <c r="L167" s="86" t="str">
        <f aca="false">IF(OR(G167="",H167="",J167=""),"",IF(H167=G167,"",MAX(0,MIN(1,(J167-G167)/(H167-G167)))))</f>
        <v/>
      </c>
      <c r="M167" s="61"/>
      <c r="N167" s="63"/>
      <c r="O167" s="87" t="str">
        <f aca="true">IF(N167="","",N167-TODAY())</f>
        <v/>
      </c>
      <c r="P167" s="61"/>
      <c r="Q167" s="60"/>
      <c r="R167" s="63"/>
      <c r="S167" s="60"/>
      <c r="T167" s="88" t="str">
        <f aca="false">IF(AND(B167&lt;&gt;"",AND(R167&lt;&gt;"",R167&gt;='Weekly Report'!$F$4,R167&lt;='Weekly Report'!$F$5)),ROW(),"")</f>
        <v/>
      </c>
    </row>
    <row r="168" customFormat="false" ht="15" hidden="false" customHeight="false" outlineLevel="0" collapsed="false">
      <c r="A168" s="56" t="s">
        <v>651</v>
      </c>
      <c r="B168" s="60"/>
      <c r="C168" s="61"/>
      <c r="D168" s="60"/>
      <c r="E168" s="60"/>
      <c r="F168" s="61"/>
      <c r="G168" s="61"/>
      <c r="H168" s="61"/>
      <c r="I168" s="61"/>
      <c r="J168" s="61"/>
      <c r="K168" s="85" t="str">
        <f aca="false">IF(OR(J168="",I168=""),"",J168-I168)</f>
        <v/>
      </c>
      <c r="L168" s="86" t="str">
        <f aca="false">IF(OR(G168="",H168="",J168=""),"",IF(H168=G168,"",MAX(0,MIN(1,(J168-G168)/(H168-G168)))))</f>
        <v/>
      </c>
      <c r="M168" s="61"/>
      <c r="N168" s="63"/>
      <c r="O168" s="87" t="str">
        <f aca="true">IF(N168="","",N168-TODAY())</f>
        <v/>
      </c>
      <c r="P168" s="61"/>
      <c r="Q168" s="60"/>
      <c r="R168" s="63"/>
      <c r="S168" s="60"/>
      <c r="T168" s="88" t="str">
        <f aca="false">IF(AND(B168&lt;&gt;"",AND(R168&lt;&gt;"",R168&gt;='Weekly Report'!$F$4,R168&lt;='Weekly Report'!$F$5)),ROW(),"")</f>
        <v/>
      </c>
    </row>
    <row r="169" customFormat="false" ht="15" hidden="false" customHeight="false" outlineLevel="0" collapsed="false">
      <c r="A169" s="56" t="s">
        <v>652</v>
      </c>
      <c r="B169" s="60"/>
      <c r="C169" s="61"/>
      <c r="D169" s="60"/>
      <c r="E169" s="60"/>
      <c r="F169" s="61"/>
      <c r="G169" s="61"/>
      <c r="H169" s="61"/>
      <c r="I169" s="61"/>
      <c r="J169" s="61"/>
      <c r="K169" s="85" t="str">
        <f aca="false">IF(OR(J169="",I169=""),"",J169-I169)</f>
        <v/>
      </c>
      <c r="L169" s="86" t="str">
        <f aca="false">IF(OR(G169="",H169="",J169=""),"",IF(H169=G169,"",MAX(0,MIN(1,(J169-G169)/(H169-G169)))))</f>
        <v/>
      </c>
      <c r="M169" s="61"/>
      <c r="N169" s="63"/>
      <c r="O169" s="87" t="str">
        <f aca="true">IF(N169="","",N169-TODAY())</f>
        <v/>
      </c>
      <c r="P169" s="61"/>
      <c r="Q169" s="60"/>
      <c r="R169" s="63"/>
      <c r="S169" s="60"/>
      <c r="T169" s="88" t="str">
        <f aca="false">IF(AND(B169&lt;&gt;"",AND(R169&lt;&gt;"",R169&gt;='Weekly Report'!$F$4,R169&lt;='Weekly Report'!$F$5)),ROW(),"")</f>
        <v/>
      </c>
    </row>
    <row r="170" customFormat="false" ht="15" hidden="false" customHeight="false" outlineLevel="0" collapsed="false">
      <c r="A170" s="56" t="s">
        <v>653</v>
      </c>
      <c r="B170" s="60"/>
      <c r="C170" s="61"/>
      <c r="D170" s="60"/>
      <c r="E170" s="60"/>
      <c r="F170" s="61"/>
      <c r="G170" s="61"/>
      <c r="H170" s="61"/>
      <c r="I170" s="61"/>
      <c r="J170" s="61"/>
      <c r="K170" s="85" t="str">
        <f aca="false">IF(OR(J170="",I170=""),"",J170-I170)</f>
        <v/>
      </c>
      <c r="L170" s="86" t="str">
        <f aca="false">IF(OR(G170="",H170="",J170=""),"",IF(H170=G170,"",MAX(0,MIN(1,(J170-G170)/(H170-G170)))))</f>
        <v/>
      </c>
      <c r="M170" s="61"/>
      <c r="N170" s="63"/>
      <c r="O170" s="87" t="str">
        <f aca="true">IF(N170="","",N170-TODAY())</f>
        <v/>
      </c>
      <c r="P170" s="61"/>
      <c r="Q170" s="60"/>
      <c r="R170" s="63"/>
      <c r="S170" s="60"/>
      <c r="T170" s="88" t="str">
        <f aca="false">IF(AND(B170&lt;&gt;"",AND(R170&lt;&gt;"",R170&gt;='Weekly Report'!$F$4,R170&lt;='Weekly Report'!$F$5)),ROW(),"")</f>
        <v/>
      </c>
    </row>
    <row r="171" customFormat="false" ht="15" hidden="false" customHeight="false" outlineLevel="0" collapsed="false">
      <c r="A171" s="56" t="s">
        <v>654</v>
      </c>
      <c r="B171" s="60"/>
      <c r="C171" s="61"/>
      <c r="D171" s="60"/>
      <c r="E171" s="60"/>
      <c r="F171" s="61"/>
      <c r="G171" s="61"/>
      <c r="H171" s="61"/>
      <c r="I171" s="61"/>
      <c r="J171" s="61"/>
      <c r="K171" s="85" t="str">
        <f aca="false">IF(OR(J171="",I171=""),"",J171-I171)</f>
        <v/>
      </c>
      <c r="L171" s="86" t="str">
        <f aca="false">IF(OR(G171="",H171="",J171=""),"",IF(H171=G171,"",MAX(0,MIN(1,(J171-G171)/(H171-G171)))))</f>
        <v/>
      </c>
      <c r="M171" s="61"/>
      <c r="N171" s="63"/>
      <c r="O171" s="87" t="str">
        <f aca="true">IF(N171="","",N171-TODAY())</f>
        <v/>
      </c>
      <c r="P171" s="61"/>
      <c r="Q171" s="60"/>
      <c r="R171" s="63"/>
      <c r="S171" s="60"/>
      <c r="T171" s="88" t="str">
        <f aca="false">IF(AND(B171&lt;&gt;"",AND(R171&lt;&gt;"",R171&gt;='Weekly Report'!$F$4,R171&lt;='Weekly Report'!$F$5)),ROW(),"")</f>
        <v/>
      </c>
    </row>
    <row r="172" customFormat="false" ht="15" hidden="false" customHeight="false" outlineLevel="0" collapsed="false">
      <c r="A172" s="56" t="s">
        <v>655</v>
      </c>
      <c r="B172" s="60"/>
      <c r="C172" s="61"/>
      <c r="D172" s="60"/>
      <c r="E172" s="60"/>
      <c r="F172" s="61"/>
      <c r="G172" s="61"/>
      <c r="H172" s="61"/>
      <c r="I172" s="61"/>
      <c r="J172" s="61"/>
      <c r="K172" s="85" t="str">
        <f aca="false">IF(OR(J172="",I172=""),"",J172-I172)</f>
        <v/>
      </c>
      <c r="L172" s="86" t="str">
        <f aca="false">IF(OR(G172="",H172="",J172=""),"",IF(H172=G172,"",MAX(0,MIN(1,(J172-G172)/(H172-G172)))))</f>
        <v/>
      </c>
      <c r="M172" s="61"/>
      <c r="N172" s="63"/>
      <c r="O172" s="87" t="str">
        <f aca="true">IF(N172="","",N172-TODAY())</f>
        <v/>
      </c>
      <c r="P172" s="61"/>
      <c r="Q172" s="60"/>
      <c r="R172" s="63"/>
      <c r="S172" s="60"/>
      <c r="T172" s="88" t="str">
        <f aca="false">IF(AND(B172&lt;&gt;"",AND(R172&lt;&gt;"",R172&gt;='Weekly Report'!$F$4,R172&lt;='Weekly Report'!$F$5)),ROW(),"")</f>
        <v/>
      </c>
    </row>
    <row r="173" customFormat="false" ht="15" hidden="false" customHeight="false" outlineLevel="0" collapsed="false">
      <c r="A173" s="56" t="s">
        <v>656</v>
      </c>
      <c r="B173" s="60"/>
      <c r="C173" s="61"/>
      <c r="D173" s="60"/>
      <c r="E173" s="60"/>
      <c r="F173" s="61"/>
      <c r="G173" s="61"/>
      <c r="H173" s="61"/>
      <c r="I173" s="61"/>
      <c r="J173" s="61"/>
      <c r="K173" s="85" t="str">
        <f aca="false">IF(OR(J173="",I173=""),"",J173-I173)</f>
        <v/>
      </c>
      <c r="L173" s="86" t="str">
        <f aca="false">IF(OR(G173="",H173="",J173=""),"",IF(H173=G173,"",MAX(0,MIN(1,(J173-G173)/(H173-G173)))))</f>
        <v/>
      </c>
      <c r="M173" s="61"/>
      <c r="N173" s="63"/>
      <c r="O173" s="87" t="str">
        <f aca="true">IF(N173="","",N173-TODAY())</f>
        <v/>
      </c>
      <c r="P173" s="61"/>
      <c r="Q173" s="60"/>
      <c r="R173" s="63"/>
      <c r="S173" s="60"/>
      <c r="T173" s="88" t="str">
        <f aca="false">IF(AND(B173&lt;&gt;"",AND(R173&lt;&gt;"",R173&gt;='Weekly Report'!$F$4,R173&lt;='Weekly Report'!$F$5)),ROW(),"")</f>
        <v/>
      </c>
    </row>
    <row r="174" customFormat="false" ht="15" hidden="false" customHeight="false" outlineLevel="0" collapsed="false">
      <c r="A174" s="56" t="s">
        <v>657</v>
      </c>
      <c r="B174" s="60"/>
      <c r="C174" s="61"/>
      <c r="D174" s="60"/>
      <c r="E174" s="60"/>
      <c r="F174" s="61"/>
      <c r="G174" s="61"/>
      <c r="H174" s="61"/>
      <c r="I174" s="61"/>
      <c r="J174" s="61"/>
      <c r="K174" s="85" t="str">
        <f aca="false">IF(OR(J174="",I174=""),"",J174-I174)</f>
        <v/>
      </c>
      <c r="L174" s="86" t="str">
        <f aca="false">IF(OR(G174="",H174="",J174=""),"",IF(H174=G174,"",MAX(0,MIN(1,(J174-G174)/(H174-G174)))))</f>
        <v/>
      </c>
      <c r="M174" s="61"/>
      <c r="N174" s="63"/>
      <c r="O174" s="87" t="str">
        <f aca="true">IF(N174="","",N174-TODAY())</f>
        <v/>
      </c>
      <c r="P174" s="61"/>
      <c r="Q174" s="60"/>
      <c r="R174" s="63"/>
      <c r="S174" s="60"/>
      <c r="T174" s="88" t="str">
        <f aca="false">IF(AND(B174&lt;&gt;"",AND(R174&lt;&gt;"",R174&gt;='Weekly Report'!$F$4,R174&lt;='Weekly Report'!$F$5)),ROW(),"")</f>
        <v/>
      </c>
    </row>
    <row r="175" customFormat="false" ht="15" hidden="false" customHeight="false" outlineLevel="0" collapsed="false">
      <c r="A175" s="56" t="s">
        <v>658</v>
      </c>
      <c r="B175" s="60"/>
      <c r="C175" s="61"/>
      <c r="D175" s="60"/>
      <c r="E175" s="60"/>
      <c r="F175" s="61"/>
      <c r="G175" s="61"/>
      <c r="H175" s="61"/>
      <c r="I175" s="61"/>
      <c r="J175" s="61"/>
      <c r="K175" s="85" t="str">
        <f aca="false">IF(OR(J175="",I175=""),"",J175-I175)</f>
        <v/>
      </c>
      <c r="L175" s="86" t="str">
        <f aca="false">IF(OR(G175="",H175="",J175=""),"",IF(H175=G175,"",MAX(0,MIN(1,(J175-G175)/(H175-G175)))))</f>
        <v/>
      </c>
      <c r="M175" s="61"/>
      <c r="N175" s="63"/>
      <c r="O175" s="87" t="str">
        <f aca="true">IF(N175="","",N175-TODAY())</f>
        <v/>
      </c>
      <c r="P175" s="61"/>
      <c r="Q175" s="60"/>
      <c r="R175" s="63"/>
      <c r="S175" s="60"/>
      <c r="T175" s="88" t="str">
        <f aca="false">IF(AND(B175&lt;&gt;"",AND(R175&lt;&gt;"",R175&gt;='Weekly Report'!$F$4,R175&lt;='Weekly Report'!$F$5)),ROW(),"")</f>
        <v/>
      </c>
    </row>
    <row r="176" customFormat="false" ht="15" hidden="false" customHeight="false" outlineLevel="0" collapsed="false">
      <c r="A176" s="56" t="s">
        <v>659</v>
      </c>
      <c r="B176" s="60"/>
      <c r="C176" s="61"/>
      <c r="D176" s="60"/>
      <c r="E176" s="60"/>
      <c r="F176" s="61"/>
      <c r="G176" s="61"/>
      <c r="H176" s="61"/>
      <c r="I176" s="61"/>
      <c r="J176" s="61"/>
      <c r="K176" s="85" t="str">
        <f aca="false">IF(OR(J176="",I176=""),"",J176-I176)</f>
        <v/>
      </c>
      <c r="L176" s="86" t="str">
        <f aca="false">IF(OR(G176="",H176="",J176=""),"",IF(H176=G176,"",MAX(0,MIN(1,(J176-G176)/(H176-G176)))))</f>
        <v/>
      </c>
      <c r="M176" s="61"/>
      <c r="N176" s="63"/>
      <c r="O176" s="87" t="str">
        <f aca="true">IF(N176="","",N176-TODAY())</f>
        <v/>
      </c>
      <c r="P176" s="61"/>
      <c r="Q176" s="60"/>
      <c r="R176" s="63"/>
      <c r="S176" s="60"/>
      <c r="T176" s="88" t="str">
        <f aca="false">IF(AND(B176&lt;&gt;"",AND(R176&lt;&gt;"",R176&gt;='Weekly Report'!$F$4,R176&lt;='Weekly Report'!$F$5)),ROW(),"")</f>
        <v/>
      </c>
    </row>
    <row r="177" customFormat="false" ht="15" hidden="false" customHeight="false" outlineLevel="0" collapsed="false">
      <c r="A177" s="56" t="s">
        <v>660</v>
      </c>
      <c r="B177" s="60"/>
      <c r="C177" s="61"/>
      <c r="D177" s="60"/>
      <c r="E177" s="60"/>
      <c r="F177" s="61"/>
      <c r="G177" s="61"/>
      <c r="H177" s="61"/>
      <c r="I177" s="61"/>
      <c r="J177" s="61"/>
      <c r="K177" s="85" t="str">
        <f aca="false">IF(OR(J177="",I177=""),"",J177-I177)</f>
        <v/>
      </c>
      <c r="L177" s="86" t="str">
        <f aca="false">IF(OR(G177="",H177="",J177=""),"",IF(H177=G177,"",MAX(0,MIN(1,(J177-G177)/(H177-G177)))))</f>
        <v/>
      </c>
      <c r="M177" s="61"/>
      <c r="N177" s="63"/>
      <c r="O177" s="87" t="str">
        <f aca="true">IF(N177="","",N177-TODAY())</f>
        <v/>
      </c>
      <c r="P177" s="61"/>
      <c r="Q177" s="60"/>
      <c r="R177" s="63"/>
      <c r="S177" s="60"/>
      <c r="T177" s="88" t="str">
        <f aca="false">IF(AND(B177&lt;&gt;"",AND(R177&lt;&gt;"",R177&gt;='Weekly Report'!$F$4,R177&lt;='Weekly Report'!$F$5)),ROW(),"")</f>
        <v/>
      </c>
    </row>
    <row r="178" customFormat="false" ht="15" hidden="false" customHeight="false" outlineLevel="0" collapsed="false">
      <c r="A178" s="56" t="s">
        <v>661</v>
      </c>
      <c r="B178" s="60"/>
      <c r="C178" s="61"/>
      <c r="D178" s="60"/>
      <c r="E178" s="60"/>
      <c r="F178" s="61"/>
      <c r="G178" s="61"/>
      <c r="H178" s="61"/>
      <c r="I178" s="61"/>
      <c r="J178" s="61"/>
      <c r="K178" s="85" t="str">
        <f aca="false">IF(OR(J178="",I178=""),"",J178-I178)</f>
        <v/>
      </c>
      <c r="L178" s="86" t="str">
        <f aca="false">IF(OR(G178="",H178="",J178=""),"",IF(H178=G178,"",MAX(0,MIN(1,(J178-G178)/(H178-G178)))))</f>
        <v/>
      </c>
      <c r="M178" s="61"/>
      <c r="N178" s="63"/>
      <c r="O178" s="87" t="str">
        <f aca="true">IF(N178="","",N178-TODAY())</f>
        <v/>
      </c>
      <c r="P178" s="61"/>
      <c r="Q178" s="60"/>
      <c r="R178" s="63"/>
      <c r="S178" s="60"/>
      <c r="T178" s="88" t="str">
        <f aca="false">IF(AND(B178&lt;&gt;"",AND(R178&lt;&gt;"",R178&gt;='Weekly Report'!$F$4,R178&lt;='Weekly Report'!$F$5)),ROW(),"")</f>
        <v/>
      </c>
    </row>
    <row r="179" customFormat="false" ht="15" hidden="false" customHeight="false" outlineLevel="0" collapsed="false">
      <c r="A179" s="56" t="s">
        <v>662</v>
      </c>
      <c r="B179" s="60"/>
      <c r="C179" s="61"/>
      <c r="D179" s="60"/>
      <c r="E179" s="60"/>
      <c r="F179" s="61"/>
      <c r="G179" s="61"/>
      <c r="H179" s="61"/>
      <c r="I179" s="61"/>
      <c r="J179" s="61"/>
      <c r="K179" s="85" t="str">
        <f aca="false">IF(OR(J179="",I179=""),"",J179-I179)</f>
        <v/>
      </c>
      <c r="L179" s="86" t="str">
        <f aca="false">IF(OR(G179="",H179="",J179=""),"",IF(H179=G179,"",MAX(0,MIN(1,(J179-G179)/(H179-G179)))))</f>
        <v/>
      </c>
      <c r="M179" s="61"/>
      <c r="N179" s="63"/>
      <c r="O179" s="87" t="str">
        <f aca="true">IF(N179="","",N179-TODAY())</f>
        <v/>
      </c>
      <c r="P179" s="61"/>
      <c r="Q179" s="60"/>
      <c r="R179" s="63"/>
      <c r="S179" s="60"/>
      <c r="T179" s="88" t="str">
        <f aca="false">IF(AND(B179&lt;&gt;"",AND(R179&lt;&gt;"",R179&gt;='Weekly Report'!$F$4,R179&lt;='Weekly Report'!$F$5)),ROW(),"")</f>
        <v/>
      </c>
    </row>
    <row r="180" customFormat="false" ht="15" hidden="false" customHeight="false" outlineLevel="0" collapsed="false">
      <c r="A180" s="56" t="s">
        <v>663</v>
      </c>
      <c r="B180" s="60"/>
      <c r="C180" s="61"/>
      <c r="D180" s="60"/>
      <c r="E180" s="60"/>
      <c r="F180" s="61"/>
      <c r="G180" s="61"/>
      <c r="H180" s="61"/>
      <c r="I180" s="61"/>
      <c r="J180" s="61"/>
      <c r="K180" s="85" t="str">
        <f aca="false">IF(OR(J180="",I180=""),"",J180-I180)</f>
        <v/>
      </c>
      <c r="L180" s="86" t="str">
        <f aca="false">IF(OR(G180="",H180="",J180=""),"",IF(H180=G180,"",MAX(0,MIN(1,(J180-G180)/(H180-G180)))))</f>
        <v/>
      </c>
      <c r="M180" s="61"/>
      <c r="N180" s="63"/>
      <c r="O180" s="87" t="str">
        <f aca="true">IF(N180="","",N180-TODAY())</f>
        <v/>
      </c>
      <c r="P180" s="61"/>
      <c r="Q180" s="60"/>
      <c r="R180" s="63"/>
      <c r="S180" s="60"/>
      <c r="T180" s="88" t="str">
        <f aca="false">IF(AND(B180&lt;&gt;"",AND(R180&lt;&gt;"",R180&gt;='Weekly Report'!$F$4,R180&lt;='Weekly Report'!$F$5)),ROW(),"")</f>
        <v/>
      </c>
    </row>
    <row r="181" customFormat="false" ht="15" hidden="false" customHeight="false" outlineLevel="0" collapsed="false">
      <c r="A181" s="56" t="s">
        <v>664</v>
      </c>
      <c r="B181" s="60"/>
      <c r="C181" s="61"/>
      <c r="D181" s="60"/>
      <c r="E181" s="60"/>
      <c r="F181" s="61"/>
      <c r="G181" s="61"/>
      <c r="H181" s="61"/>
      <c r="I181" s="61"/>
      <c r="J181" s="61"/>
      <c r="K181" s="85" t="str">
        <f aca="false">IF(OR(J181="",I181=""),"",J181-I181)</f>
        <v/>
      </c>
      <c r="L181" s="86" t="str">
        <f aca="false">IF(OR(G181="",H181="",J181=""),"",IF(H181=G181,"",MAX(0,MIN(1,(J181-G181)/(H181-G181)))))</f>
        <v/>
      </c>
      <c r="M181" s="61"/>
      <c r="N181" s="63"/>
      <c r="O181" s="87" t="str">
        <f aca="true">IF(N181="","",N181-TODAY())</f>
        <v/>
      </c>
      <c r="P181" s="61"/>
      <c r="Q181" s="60"/>
      <c r="R181" s="63"/>
      <c r="S181" s="60"/>
      <c r="T181" s="88" t="str">
        <f aca="false">IF(AND(B181&lt;&gt;"",AND(R181&lt;&gt;"",R181&gt;='Weekly Report'!$F$4,R181&lt;='Weekly Report'!$F$5)),ROW(),"")</f>
        <v/>
      </c>
    </row>
    <row r="182" customFormat="false" ht="15" hidden="false" customHeight="false" outlineLevel="0" collapsed="false">
      <c r="A182" s="56" t="s">
        <v>665</v>
      </c>
      <c r="B182" s="60"/>
      <c r="C182" s="61"/>
      <c r="D182" s="60"/>
      <c r="E182" s="60"/>
      <c r="F182" s="61"/>
      <c r="G182" s="61"/>
      <c r="H182" s="61"/>
      <c r="I182" s="61"/>
      <c r="J182" s="61"/>
      <c r="K182" s="85" t="str">
        <f aca="false">IF(OR(J182="",I182=""),"",J182-I182)</f>
        <v/>
      </c>
      <c r="L182" s="86" t="str">
        <f aca="false">IF(OR(G182="",H182="",J182=""),"",IF(H182=G182,"",MAX(0,MIN(1,(J182-G182)/(H182-G182)))))</f>
        <v/>
      </c>
      <c r="M182" s="61"/>
      <c r="N182" s="63"/>
      <c r="O182" s="87" t="str">
        <f aca="true">IF(N182="","",N182-TODAY())</f>
        <v/>
      </c>
      <c r="P182" s="61"/>
      <c r="Q182" s="60"/>
      <c r="R182" s="63"/>
      <c r="S182" s="60"/>
      <c r="T182" s="88" t="str">
        <f aca="false">IF(AND(B182&lt;&gt;"",AND(R182&lt;&gt;"",R182&gt;='Weekly Report'!$F$4,R182&lt;='Weekly Report'!$F$5)),ROW(),"")</f>
        <v/>
      </c>
    </row>
    <row r="183" customFormat="false" ht="15" hidden="false" customHeight="false" outlineLevel="0" collapsed="false">
      <c r="A183" s="56" t="s">
        <v>666</v>
      </c>
      <c r="B183" s="60"/>
      <c r="C183" s="61"/>
      <c r="D183" s="60"/>
      <c r="E183" s="60"/>
      <c r="F183" s="61"/>
      <c r="G183" s="61"/>
      <c r="H183" s="61"/>
      <c r="I183" s="61"/>
      <c r="J183" s="61"/>
      <c r="K183" s="85" t="str">
        <f aca="false">IF(OR(J183="",I183=""),"",J183-I183)</f>
        <v/>
      </c>
      <c r="L183" s="86" t="str">
        <f aca="false">IF(OR(G183="",H183="",J183=""),"",IF(H183=G183,"",MAX(0,MIN(1,(J183-G183)/(H183-G183)))))</f>
        <v/>
      </c>
      <c r="M183" s="61"/>
      <c r="N183" s="63"/>
      <c r="O183" s="87" t="str">
        <f aca="true">IF(N183="","",N183-TODAY())</f>
        <v/>
      </c>
      <c r="P183" s="61"/>
      <c r="Q183" s="60"/>
      <c r="R183" s="63"/>
      <c r="S183" s="60"/>
      <c r="T183" s="88" t="str">
        <f aca="false">IF(AND(B183&lt;&gt;"",AND(R183&lt;&gt;"",R183&gt;='Weekly Report'!$F$4,R183&lt;='Weekly Report'!$F$5)),ROW(),"")</f>
        <v/>
      </c>
    </row>
    <row r="184" customFormat="false" ht="15" hidden="false" customHeight="false" outlineLevel="0" collapsed="false">
      <c r="A184" s="56" t="s">
        <v>667</v>
      </c>
      <c r="B184" s="60"/>
      <c r="C184" s="61"/>
      <c r="D184" s="60"/>
      <c r="E184" s="60"/>
      <c r="F184" s="61"/>
      <c r="G184" s="61"/>
      <c r="H184" s="61"/>
      <c r="I184" s="61"/>
      <c r="J184" s="61"/>
      <c r="K184" s="85" t="str">
        <f aca="false">IF(OR(J184="",I184=""),"",J184-I184)</f>
        <v/>
      </c>
      <c r="L184" s="86" t="str">
        <f aca="false">IF(OR(G184="",H184="",J184=""),"",IF(H184=G184,"",MAX(0,MIN(1,(J184-G184)/(H184-G184)))))</f>
        <v/>
      </c>
      <c r="M184" s="61"/>
      <c r="N184" s="63"/>
      <c r="O184" s="87" t="str">
        <f aca="true">IF(N184="","",N184-TODAY())</f>
        <v/>
      </c>
      <c r="P184" s="61"/>
      <c r="Q184" s="60"/>
      <c r="R184" s="63"/>
      <c r="S184" s="60"/>
      <c r="T184" s="88" t="str">
        <f aca="false">IF(AND(B184&lt;&gt;"",AND(R184&lt;&gt;"",R184&gt;='Weekly Report'!$F$4,R184&lt;='Weekly Report'!$F$5)),ROW(),"")</f>
        <v/>
      </c>
    </row>
    <row r="185" customFormat="false" ht="15" hidden="false" customHeight="false" outlineLevel="0" collapsed="false">
      <c r="A185" s="56" t="s">
        <v>668</v>
      </c>
      <c r="B185" s="60"/>
      <c r="C185" s="61"/>
      <c r="D185" s="60"/>
      <c r="E185" s="60"/>
      <c r="F185" s="61"/>
      <c r="G185" s="61"/>
      <c r="H185" s="61"/>
      <c r="I185" s="61"/>
      <c r="J185" s="61"/>
      <c r="K185" s="85" t="str">
        <f aca="false">IF(OR(J185="",I185=""),"",J185-I185)</f>
        <v/>
      </c>
      <c r="L185" s="86" t="str">
        <f aca="false">IF(OR(G185="",H185="",J185=""),"",IF(H185=G185,"",MAX(0,MIN(1,(J185-G185)/(H185-G185)))))</f>
        <v/>
      </c>
      <c r="M185" s="61"/>
      <c r="N185" s="63"/>
      <c r="O185" s="87" t="str">
        <f aca="true">IF(N185="","",N185-TODAY())</f>
        <v/>
      </c>
      <c r="P185" s="61"/>
      <c r="Q185" s="60"/>
      <c r="R185" s="63"/>
      <c r="S185" s="60"/>
      <c r="T185" s="88" t="str">
        <f aca="false">IF(AND(B185&lt;&gt;"",AND(R185&lt;&gt;"",R185&gt;='Weekly Report'!$F$4,R185&lt;='Weekly Report'!$F$5)),ROW(),"")</f>
        <v/>
      </c>
    </row>
    <row r="186" customFormat="false" ht="15" hidden="false" customHeight="false" outlineLevel="0" collapsed="false">
      <c r="A186" s="56" t="s">
        <v>669</v>
      </c>
      <c r="B186" s="60"/>
      <c r="C186" s="61"/>
      <c r="D186" s="60"/>
      <c r="E186" s="60"/>
      <c r="F186" s="61"/>
      <c r="G186" s="61"/>
      <c r="H186" s="61"/>
      <c r="I186" s="61"/>
      <c r="J186" s="61"/>
      <c r="K186" s="85" t="str">
        <f aca="false">IF(OR(J186="",I186=""),"",J186-I186)</f>
        <v/>
      </c>
      <c r="L186" s="86" t="str">
        <f aca="false">IF(OR(G186="",H186="",J186=""),"",IF(H186=G186,"",MAX(0,MIN(1,(J186-G186)/(H186-G186)))))</f>
        <v/>
      </c>
      <c r="M186" s="61"/>
      <c r="N186" s="63"/>
      <c r="O186" s="87" t="str">
        <f aca="true">IF(N186="","",N186-TODAY())</f>
        <v/>
      </c>
      <c r="P186" s="61"/>
      <c r="Q186" s="60"/>
      <c r="R186" s="63"/>
      <c r="S186" s="60"/>
      <c r="T186" s="88" t="str">
        <f aca="false">IF(AND(B186&lt;&gt;"",AND(R186&lt;&gt;"",R186&gt;='Weekly Report'!$F$4,R186&lt;='Weekly Report'!$F$5)),ROW(),"")</f>
        <v/>
      </c>
    </row>
    <row r="187" customFormat="false" ht="15" hidden="false" customHeight="false" outlineLevel="0" collapsed="false">
      <c r="A187" s="56" t="s">
        <v>670</v>
      </c>
      <c r="B187" s="60"/>
      <c r="C187" s="61"/>
      <c r="D187" s="60"/>
      <c r="E187" s="60"/>
      <c r="F187" s="61"/>
      <c r="G187" s="61"/>
      <c r="H187" s="61"/>
      <c r="I187" s="61"/>
      <c r="J187" s="61"/>
      <c r="K187" s="85" t="str">
        <f aca="false">IF(OR(J187="",I187=""),"",J187-I187)</f>
        <v/>
      </c>
      <c r="L187" s="86" t="str">
        <f aca="false">IF(OR(G187="",H187="",J187=""),"",IF(H187=G187,"",MAX(0,MIN(1,(J187-G187)/(H187-G187)))))</f>
        <v/>
      </c>
      <c r="M187" s="61"/>
      <c r="N187" s="63"/>
      <c r="O187" s="87" t="str">
        <f aca="true">IF(N187="","",N187-TODAY())</f>
        <v/>
      </c>
      <c r="P187" s="61"/>
      <c r="Q187" s="60"/>
      <c r="R187" s="63"/>
      <c r="S187" s="60"/>
      <c r="T187" s="88" t="str">
        <f aca="false">IF(AND(B187&lt;&gt;"",AND(R187&lt;&gt;"",R187&gt;='Weekly Report'!$F$4,R187&lt;='Weekly Report'!$F$5)),ROW(),"")</f>
        <v/>
      </c>
    </row>
    <row r="188" customFormat="false" ht="15" hidden="false" customHeight="false" outlineLevel="0" collapsed="false">
      <c r="A188" s="56" t="s">
        <v>671</v>
      </c>
      <c r="B188" s="60"/>
      <c r="C188" s="61"/>
      <c r="D188" s="60"/>
      <c r="E188" s="60"/>
      <c r="F188" s="61"/>
      <c r="G188" s="61"/>
      <c r="H188" s="61"/>
      <c r="I188" s="61"/>
      <c r="J188" s="61"/>
      <c r="K188" s="85" t="str">
        <f aca="false">IF(OR(J188="",I188=""),"",J188-I188)</f>
        <v/>
      </c>
      <c r="L188" s="86" t="str">
        <f aca="false">IF(OR(G188="",H188="",J188=""),"",IF(H188=G188,"",MAX(0,MIN(1,(J188-G188)/(H188-G188)))))</f>
        <v/>
      </c>
      <c r="M188" s="61"/>
      <c r="N188" s="63"/>
      <c r="O188" s="87" t="str">
        <f aca="true">IF(N188="","",N188-TODAY())</f>
        <v/>
      </c>
      <c r="P188" s="61"/>
      <c r="Q188" s="60"/>
      <c r="R188" s="63"/>
      <c r="S188" s="60"/>
      <c r="T188" s="88" t="str">
        <f aca="false">IF(AND(B188&lt;&gt;"",AND(R188&lt;&gt;"",R188&gt;='Weekly Report'!$F$4,R188&lt;='Weekly Report'!$F$5)),ROW(),"")</f>
        <v/>
      </c>
    </row>
    <row r="189" customFormat="false" ht="15" hidden="false" customHeight="false" outlineLevel="0" collapsed="false">
      <c r="A189" s="56" t="s">
        <v>672</v>
      </c>
      <c r="B189" s="60"/>
      <c r="C189" s="61"/>
      <c r="D189" s="60"/>
      <c r="E189" s="60"/>
      <c r="F189" s="61"/>
      <c r="G189" s="61"/>
      <c r="H189" s="61"/>
      <c r="I189" s="61"/>
      <c r="J189" s="61"/>
      <c r="K189" s="85" t="str">
        <f aca="false">IF(OR(J189="",I189=""),"",J189-I189)</f>
        <v/>
      </c>
      <c r="L189" s="86" t="str">
        <f aca="false">IF(OR(G189="",H189="",J189=""),"",IF(H189=G189,"",MAX(0,MIN(1,(J189-G189)/(H189-G189)))))</f>
        <v/>
      </c>
      <c r="M189" s="61"/>
      <c r="N189" s="63"/>
      <c r="O189" s="87" t="str">
        <f aca="true">IF(N189="","",N189-TODAY())</f>
        <v/>
      </c>
      <c r="P189" s="61"/>
      <c r="Q189" s="60"/>
      <c r="R189" s="63"/>
      <c r="S189" s="60"/>
      <c r="T189" s="88" t="str">
        <f aca="false">IF(AND(B189&lt;&gt;"",AND(R189&lt;&gt;"",R189&gt;='Weekly Report'!$F$4,R189&lt;='Weekly Report'!$F$5)),ROW(),"")</f>
        <v/>
      </c>
    </row>
    <row r="190" customFormat="false" ht="15" hidden="false" customHeight="false" outlineLevel="0" collapsed="false">
      <c r="A190" s="56" t="s">
        <v>673</v>
      </c>
      <c r="B190" s="60"/>
      <c r="C190" s="61"/>
      <c r="D190" s="60"/>
      <c r="E190" s="60"/>
      <c r="F190" s="61"/>
      <c r="G190" s="61"/>
      <c r="H190" s="61"/>
      <c r="I190" s="61"/>
      <c r="J190" s="61"/>
      <c r="K190" s="85" t="str">
        <f aca="false">IF(OR(J190="",I190=""),"",J190-I190)</f>
        <v/>
      </c>
      <c r="L190" s="86" t="str">
        <f aca="false">IF(OR(G190="",H190="",J190=""),"",IF(H190=G190,"",MAX(0,MIN(1,(J190-G190)/(H190-G190)))))</f>
        <v/>
      </c>
      <c r="M190" s="61"/>
      <c r="N190" s="63"/>
      <c r="O190" s="87" t="str">
        <f aca="true">IF(N190="","",N190-TODAY())</f>
        <v/>
      </c>
      <c r="P190" s="61"/>
      <c r="Q190" s="60"/>
      <c r="R190" s="63"/>
      <c r="S190" s="60"/>
      <c r="T190" s="88" t="str">
        <f aca="false">IF(AND(B190&lt;&gt;"",AND(R190&lt;&gt;"",R190&gt;='Weekly Report'!$F$4,R190&lt;='Weekly Report'!$F$5)),ROW(),"")</f>
        <v/>
      </c>
    </row>
    <row r="191" customFormat="false" ht="15" hidden="false" customHeight="false" outlineLevel="0" collapsed="false">
      <c r="A191" s="56" t="s">
        <v>674</v>
      </c>
      <c r="B191" s="60"/>
      <c r="C191" s="61"/>
      <c r="D191" s="60"/>
      <c r="E191" s="60"/>
      <c r="F191" s="61"/>
      <c r="G191" s="61"/>
      <c r="H191" s="61"/>
      <c r="I191" s="61"/>
      <c r="J191" s="61"/>
      <c r="K191" s="85" t="str">
        <f aca="false">IF(OR(J191="",I191=""),"",J191-I191)</f>
        <v/>
      </c>
      <c r="L191" s="86" t="str">
        <f aca="false">IF(OR(G191="",H191="",J191=""),"",IF(H191=G191,"",MAX(0,MIN(1,(J191-G191)/(H191-G191)))))</f>
        <v/>
      </c>
      <c r="M191" s="61"/>
      <c r="N191" s="63"/>
      <c r="O191" s="87" t="str">
        <f aca="true">IF(N191="","",N191-TODAY())</f>
        <v/>
      </c>
      <c r="P191" s="61"/>
      <c r="Q191" s="60"/>
      <c r="R191" s="63"/>
      <c r="S191" s="60"/>
      <c r="T191" s="88" t="str">
        <f aca="false">IF(AND(B191&lt;&gt;"",AND(R191&lt;&gt;"",R191&gt;='Weekly Report'!$F$4,R191&lt;='Weekly Report'!$F$5)),ROW(),"")</f>
        <v/>
      </c>
    </row>
    <row r="192" customFormat="false" ht="15" hidden="false" customHeight="false" outlineLevel="0" collapsed="false">
      <c r="A192" s="56" t="s">
        <v>675</v>
      </c>
      <c r="B192" s="60"/>
      <c r="C192" s="61"/>
      <c r="D192" s="60"/>
      <c r="E192" s="60"/>
      <c r="F192" s="61"/>
      <c r="G192" s="61"/>
      <c r="H192" s="61"/>
      <c r="I192" s="61"/>
      <c r="J192" s="61"/>
      <c r="K192" s="85" t="str">
        <f aca="false">IF(OR(J192="",I192=""),"",J192-I192)</f>
        <v/>
      </c>
      <c r="L192" s="86" t="str">
        <f aca="false">IF(OR(G192="",H192="",J192=""),"",IF(H192=G192,"",MAX(0,MIN(1,(J192-G192)/(H192-G192)))))</f>
        <v/>
      </c>
      <c r="M192" s="61"/>
      <c r="N192" s="63"/>
      <c r="O192" s="87" t="str">
        <f aca="true">IF(N192="","",N192-TODAY())</f>
        <v/>
      </c>
      <c r="P192" s="61"/>
      <c r="Q192" s="60"/>
      <c r="R192" s="63"/>
      <c r="S192" s="60"/>
      <c r="T192" s="88" t="str">
        <f aca="false">IF(AND(B192&lt;&gt;"",AND(R192&lt;&gt;"",R192&gt;='Weekly Report'!$F$4,R192&lt;='Weekly Report'!$F$5)),ROW(),"")</f>
        <v/>
      </c>
    </row>
    <row r="193" customFormat="false" ht="15" hidden="false" customHeight="false" outlineLevel="0" collapsed="false">
      <c r="A193" s="56" t="s">
        <v>676</v>
      </c>
      <c r="B193" s="60"/>
      <c r="C193" s="61"/>
      <c r="D193" s="60"/>
      <c r="E193" s="60"/>
      <c r="F193" s="61"/>
      <c r="G193" s="61"/>
      <c r="H193" s="61"/>
      <c r="I193" s="61"/>
      <c r="J193" s="61"/>
      <c r="K193" s="85" t="str">
        <f aca="false">IF(OR(J193="",I193=""),"",J193-I193)</f>
        <v/>
      </c>
      <c r="L193" s="86" t="str">
        <f aca="false">IF(OR(G193="",H193="",J193=""),"",IF(H193=G193,"",MAX(0,MIN(1,(J193-G193)/(H193-G193)))))</f>
        <v/>
      </c>
      <c r="M193" s="61"/>
      <c r="N193" s="63"/>
      <c r="O193" s="87" t="str">
        <f aca="true">IF(N193="","",N193-TODAY())</f>
        <v/>
      </c>
      <c r="P193" s="61"/>
      <c r="Q193" s="60"/>
      <c r="R193" s="63"/>
      <c r="S193" s="60"/>
      <c r="T193" s="88" t="str">
        <f aca="false">IF(AND(B193&lt;&gt;"",AND(R193&lt;&gt;"",R193&gt;='Weekly Report'!$F$4,R193&lt;='Weekly Report'!$F$5)),ROW(),"")</f>
        <v/>
      </c>
    </row>
    <row r="194" customFormat="false" ht="15" hidden="false" customHeight="false" outlineLevel="0" collapsed="false">
      <c r="A194" s="56" t="s">
        <v>677</v>
      </c>
      <c r="B194" s="60"/>
      <c r="C194" s="61"/>
      <c r="D194" s="60"/>
      <c r="E194" s="60"/>
      <c r="F194" s="61"/>
      <c r="G194" s="61"/>
      <c r="H194" s="61"/>
      <c r="I194" s="61"/>
      <c r="J194" s="61"/>
      <c r="K194" s="85" t="str">
        <f aca="false">IF(OR(J194="",I194=""),"",J194-I194)</f>
        <v/>
      </c>
      <c r="L194" s="86" t="str">
        <f aca="false">IF(OR(G194="",H194="",J194=""),"",IF(H194=G194,"",MAX(0,MIN(1,(J194-G194)/(H194-G194)))))</f>
        <v/>
      </c>
      <c r="M194" s="61"/>
      <c r="N194" s="63"/>
      <c r="O194" s="87" t="str">
        <f aca="true">IF(N194="","",N194-TODAY())</f>
        <v/>
      </c>
      <c r="P194" s="61"/>
      <c r="Q194" s="60"/>
      <c r="R194" s="63"/>
      <c r="S194" s="60"/>
      <c r="T194" s="88" t="str">
        <f aca="false">IF(AND(B194&lt;&gt;"",AND(R194&lt;&gt;"",R194&gt;='Weekly Report'!$F$4,R194&lt;='Weekly Report'!$F$5)),ROW(),"")</f>
        <v/>
      </c>
    </row>
    <row r="195" customFormat="false" ht="15" hidden="false" customHeight="false" outlineLevel="0" collapsed="false">
      <c r="A195" s="56" t="s">
        <v>678</v>
      </c>
      <c r="B195" s="60"/>
      <c r="C195" s="61"/>
      <c r="D195" s="60"/>
      <c r="E195" s="60"/>
      <c r="F195" s="61"/>
      <c r="G195" s="61"/>
      <c r="H195" s="61"/>
      <c r="I195" s="61"/>
      <c r="J195" s="61"/>
      <c r="K195" s="85" t="str">
        <f aca="false">IF(OR(J195="",I195=""),"",J195-I195)</f>
        <v/>
      </c>
      <c r="L195" s="86" t="str">
        <f aca="false">IF(OR(G195="",H195="",J195=""),"",IF(H195=G195,"",MAX(0,MIN(1,(J195-G195)/(H195-G195)))))</f>
        <v/>
      </c>
      <c r="M195" s="61"/>
      <c r="N195" s="63"/>
      <c r="O195" s="87" t="str">
        <f aca="true">IF(N195="","",N195-TODAY())</f>
        <v/>
      </c>
      <c r="P195" s="61"/>
      <c r="Q195" s="60"/>
      <c r="R195" s="63"/>
      <c r="S195" s="60"/>
      <c r="T195" s="88" t="str">
        <f aca="false">IF(AND(B195&lt;&gt;"",AND(R195&lt;&gt;"",R195&gt;='Weekly Report'!$F$4,R195&lt;='Weekly Report'!$F$5)),ROW(),"")</f>
        <v/>
      </c>
    </row>
    <row r="196" customFormat="false" ht="15" hidden="false" customHeight="false" outlineLevel="0" collapsed="false">
      <c r="A196" s="56" t="s">
        <v>679</v>
      </c>
      <c r="B196" s="60"/>
      <c r="C196" s="61"/>
      <c r="D196" s="60"/>
      <c r="E196" s="60"/>
      <c r="F196" s="61"/>
      <c r="G196" s="61"/>
      <c r="H196" s="61"/>
      <c r="I196" s="61"/>
      <c r="J196" s="61"/>
      <c r="K196" s="85" t="str">
        <f aca="false">IF(OR(J196="",I196=""),"",J196-I196)</f>
        <v/>
      </c>
      <c r="L196" s="86" t="str">
        <f aca="false">IF(OR(G196="",H196="",J196=""),"",IF(H196=G196,"",MAX(0,MIN(1,(J196-G196)/(H196-G196)))))</f>
        <v/>
      </c>
      <c r="M196" s="61"/>
      <c r="N196" s="63"/>
      <c r="O196" s="87" t="str">
        <f aca="true">IF(N196="","",N196-TODAY())</f>
        <v/>
      </c>
      <c r="P196" s="61"/>
      <c r="Q196" s="60"/>
      <c r="R196" s="63"/>
      <c r="S196" s="60"/>
      <c r="T196" s="88" t="str">
        <f aca="false">IF(AND(B196&lt;&gt;"",AND(R196&lt;&gt;"",R196&gt;='Weekly Report'!$F$4,R196&lt;='Weekly Report'!$F$5)),ROW(),"")</f>
        <v/>
      </c>
    </row>
    <row r="197" customFormat="false" ht="15" hidden="false" customHeight="false" outlineLevel="0" collapsed="false">
      <c r="A197" s="56" t="s">
        <v>680</v>
      </c>
      <c r="B197" s="60"/>
      <c r="C197" s="61"/>
      <c r="D197" s="60"/>
      <c r="E197" s="60"/>
      <c r="F197" s="61"/>
      <c r="G197" s="61"/>
      <c r="H197" s="61"/>
      <c r="I197" s="61"/>
      <c r="J197" s="61"/>
      <c r="K197" s="85" t="str">
        <f aca="false">IF(OR(J197="",I197=""),"",J197-I197)</f>
        <v/>
      </c>
      <c r="L197" s="86" t="str">
        <f aca="false">IF(OR(G197="",H197="",J197=""),"",IF(H197=G197,"",MAX(0,MIN(1,(J197-G197)/(H197-G197)))))</f>
        <v/>
      </c>
      <c r="M197" s="61"/>
      <c r="N197" s="63"/>
      <c r="O197" s="87" t="str">
        <f aca="true">IF(N197="","",N197-TODAY())</f>
        <v/>
      </c>
      <c r="P197" s="61"/>
      <c r="Q197" s="60"/>
      <c r="R197" s="63"/>
      <c r="S197" s="60"/>
      <c r="T197" s="88" t="str">
        <f aca="false">IF(AND(B197&lt;&gt;"",AND(R197&lt;&gt;"",R197&gt;='Weekly Report'!$F$4,R197&lt;='Weekly Report'!$F$5)),ROW(),"")</f>
        <v/>
      </c>
    </row>
    <row r="198" customFormat="false" ht="15" hidden="false" customHeight="false" outlineLevel="0" collapsed="false">
      <c r="A198" s="56" t="s">
        <v>681</v>
      </c>
      <c r="B198" s="60"/>
      <c r="C198" s="61"/>
      <c r="D198" s="60"/>
      <c r="E198" s="60"/>
      <c r="F198" s="61"/>
      <c r="G198" s="61"/>
      <c r="H198" s="61"/>
      <c r="I198" s="61"/>
      <c r="J198" s="61"/>
      <c r="K198" s="85" t="str">
        <f aca="false">IF(OR(J198="",I198=""),"",J198-I198)</f>
        <v/>
      </c>
      <c r="L198" s="86" t="str">
        <f aca="false">IF(OR(G198="",H198="",J198=""),"",IF(H198=G198,"",MAX(0,MIN(1,(J198-G198)/(H198-G198)))))</f>
        <v/>
      </c>
      <c r="M198" s="61"/>
      <c r="N198" s="63"/>
      <c r="O198" s="87" t="str">
        <f aca="true">IF(N198="","",N198-TODAY())</f>
        <v/>
      </c>
      <c r="P198" s="61"/>
      <c r="Q198" s="60"/>
      <c r="R198" s="63"/>
      <c r="S198" s="60"/>
      <c r="T198" s="88" t="str">
        <f aca="false">IF(AND(B198&lt;&gt;"",AND(R198&lt;&gt;"",R198&gt;='Weekly Report'!$F$4,R198&lt;='Weekly Report'!$F$5)),ROW(),"")</f>
        <v/>
      </c>
    </row>
    <row r="199" customFormat="false" ht="15" hidden="false" customHeight="false" outlineLevel="0" collapsed="false">
      <c r="A199" s="56" t="s">
        <v>682</v>
      </c>
      <c r="B199" s="60"/>
      <c r="C199" s="61"/>
      <c r="D199" s="60"/>
      <c r="E199" s="60"/>
      <c r="F199" s="61"/>
      <c r="G199" s="61"/>
      <c r="H199" s="61"/>
      <c r="I199" s="61"/>
      <c r="J199" s="61"/>
      <c r="K199" s="85" t="str">
        <f aca="false">IF(OR(J199="",I199=""),"",J199-I199)</f>
        <v/>
      </c>
      <c r="L199" s="86" t="str">
        <f aca="false">IF(OR(G199="",H199="",J199=""),"",IF(H199=G199,"",MAX(0,MIN(1,(J199-G199)/(H199-G199)))))</f>
        <v/>
      </c>
      <c r="M199" s="61"/>
      <c r="N199" s="63"/>
      <c r="O199" s="87" t="str">
        <f aca="true">IF(N199="","",N199-TODAY())</f>
        <v/>
      </c>
      <c r="P199" s="61"/>
      <c r="Q199" s="60"/>
      <c r="R199" s="63"/>
      <c r="S199" s="60"/>
      <c r="T199" s="88" t="str">
        <f aca="false">IF(AND(B199&lt;&gt;"",AND(R199&lt;&gt;"",R199&gt;='Weekly Report'!$F$4,R199&lt;='Weekly Report'!$F$5)),ROW(),"")</f>
        <v/>
      </c>
    </row>
    <row r="200" customFormat="false" ht="15" hidden="false" customHeight="false" outlineLevel="0" collapsed="false">
      <c r="A200" s="56" t="s">
        <v>683</v>
      </c>
      <c r="B200" s="60"/>
      <c r="C200" s="61"/>
      <c r="D200" s="60"/>
      <c r="E200" s="60"/>
      <c r="F200" s="61"/>
      <c r="G200" s="61"/>
      <c r="H200" s="61"/>
      <c r="I200" s="61"/>
      <c r="J200" s="61"/>
      <c r="K200" s="85" t="str">
        <f aca="false">IF(OR(J200="",I200=""),"",J200-I200)</f>
        <v/>
      </c>
      <c r="L200" s="86" t="str">
        <f aca="false">IF(OR(G200="",H200="",J200=""),"",IF(H200=G200,"",MAX(0,MIN(1,(J200-G200)/(H200-G200)))))</f>
        <v/>
      </c>
      <c r="M200" s="61"/>
      <c r="N200" s="63"/>
      <c r="O200" s="87" t="str">
        <f aca="true">IF(N200="","",N200-TODAY())</f>
        <v/>
      </c>
      <c r="P200" s="61"/>
      <c r="Q200" s="60"/>
      <c r="R200" s="63"/>
      <c r="S200" s="60"/>
      <c r="T200" s="88" t="str">
        <f aca="false">IF(AND(B200&lt;&gt;"",AND(R200&lt;&gt;"",R200&gt;='Weekly Report'!$F$4,R200&lt;='Weekly Report'!$F$5)),ROW(),"")</f>
        <v/>
      </c>
    </row>
    <row r="201" customFormat="false" ht="15" hidden="false" customHeight="false" outlineLevel="0" collapsed="false">
      <c r="A201" s="56" t="s">
        <v>684</v>
      </c>
      <c r="B201" s="60"/>
      <c r="C201" s="61"/>
      <c r="D201" s="60"/>
      <c r="E201" s="60"/>
      <c r="F201" s="61"/>
      <c r="G201" s="61"/>
      <c r="H201" s="61"/>
      <c r="I201" s="61"/>
      <c r="J201" s="61"/>
      <c r="K201" s="85" t="str">
        <f aca="false">IF(OR(J201="",I201=""),"",J201-I201)</f>
        <v/>
      </c>
      <c r="L201" s="86" t="str">
        <f aca="false">IF(OR(G201="",H201="",J201=""),"",IF(H201=G201,"",MAX(0,MIN(1,(J201-G201)/(H201-G201)))))</f>
        <v/>
      </c>
      <c r="M201" s="61"/>
      <c r="N201" s="63"/>
      <c r="O201" s="87" t="str">
        <f aca="true">IF(N201="","",N201-TODAY())</f>
        <v/>
      </c>
      <c r="P201" s="61"/>
      <c r="Q201" s="60"/>
      <c r="R201" s="63"/>
      <c r="S201" s="60"/>
      <c r="T201" s="88" t="str">
        <f aca="false">IF(AND(B201&lt;&gt;"",AND(R201&lt;&gt;"",R201&gt;='Weekly Report'!$F$4,R201&lt;='Weekly Report'!$F$5)),ROW(),"")</f>
        <v/>
      </c>
    </row>
    <row r="202" customFormat="false" ht="15" hidden="false" customHeight="false" outlineLevel="0" collapsed="false">
      <c r="A202" s="56" t="s">
        <v>685</v>
      </c>
      <c r="B202" s="60"/>
      <c r="C202" s="61"/>
      <c r="D202" s="60"/>
      <c r="E202" s="60"/>
      <c r="F202" s="61"/>
      <c r="G202" s="61"/>
      <c r="H202" s="61"/>
      <c r="I202" s="61"/>
      <c r="J202" s="61"/>
      <c r="K202" s="85" t="str">
        <f aca="false">IF(OR(J202="",I202=""),"",J202-I202)</f>
        <v/>
      </c>
      <c r="L202" s="86" t="str">
        <f aca="false">IF(OR(G202="",H202="",J202=""),"",IF(H202=G202,"",MAX(0,MIN(1,(J202-G202)/(H202-G202)))))</f>
        <v/>
      </c>
      <c r="M202" s="61"/>
      <c r="N202" s="63"/>
      <c r="O202" s="87" t="str">
        <f aca="true">IF(N202="","",N202-TODAY())</f>
        <v/>
      </c>
      <c r="P202" s="61"/>
      <c r="Q202" s="60"/>
      <c r="R202" s="63"/>
      <c r="S202" s="60"/>
      <c r="T202" s="88" t="str">
        <f aca="false">IF(AND(B202&lt;&gt;"",AND(R202&lt;&gt;"",R202&gt;='Weekly Report'!$F$4,R202&lt;='Weekly Report'!$F$5)),ROW(),"")</f>
        <v/>
      </c>
    </row>
    <row r="203" customFormat="false" ht="15" hidden="false" customHeight="false" outlineLevel="0" collapsed="false">
      <c r="A203" s="56" t="s">
        <v>686</v>
      </c>
      <c r="B203" s="60"/>
      <c r="C203" s="61"/>
      <c r="D203" s="60"/>
      <c r="E203" s="60"/>
      <c r="F203" s="61"/>
      <c r="G203" s="61"/>
      <c r="H203" s="61"/>
      <c r="I203" s="61"/>
      <c r="J203" s="61"/>
      <c r="K203" s="85" t="str">
        <f aca="false">IF(OR(J203="",I203=""),"",J203-I203)</f>
        <v/>
      </c>
      <c r="L203" s="86" t="str">
        <f aca="false">IF(OR(G203="",H203="",J203=""),"",IF(H203=G203,"",MAX(0,MIN(1,(J203-G203)/(H203-G203)))))</f>
        <v/>
      </c>
      <c r="M203" s="61"/>
      <c r="N203" s="63"/>
      <c r="O203" s="87" t="str">
        <f aca="true">IF(N203="","",N203-TODAY())</f>
        <v/>
      </c>
      <c r="P203" s="61"/>
      <c r="Q203" s="60"/>
      <c r="R203" s="63"/>
      <c r="S203" s="60"/>
      <c r="T203" s="88" t="str">
        <f aca="false">IF(AND(B203&lt;&gt;"",AND(R203&lt;&gt;"",R203&gt;='Weekly Report'!$F$4,R203&lt;='Weekly Report'!$F$5)),ROW(),"")</f>
        <v/>
      </c>
    </row>
    <row r="204" customFormat="false" ht="15" hidden="false" customHeight="false" outlineLevel="0" collapsed="false">
      <c r="A204" s="56" t="s">
        <v>687</v>
      </c>
      <c r="B204" s="60"/>
      <c r="C204" s="61"/>
      <c r="D204" s="60"/>
      <c r="E204" s="60"/>
      <c r="F204" s="61"/>
      <c r="G204" s="61"/>
      <c r="H204" s="61"/>
      <c r="I204" s="61"/>
      <c r="J204" s="61"/>
      <c r="K204" s="85" t="str">
        <f aca="false">IF(OR(J204="",I204=""),"",J204-I204)</f>
        <v/>
      </c>
      <c r="L204" s="86" t="str">
        <f aca="false">IF(OR(G204="",H204="",J204=""),"",IF(H204=G204,"",MAX(0,MIN(1,(J204-G204)/(H204-G204)))))</f>
        <v/>
      </c>
      <c r="M204" s="61"/>
      <c r="N204" s="63"/>
      <c r="O204" s="87" t="str">
        <f aca="true">IF(N204="","",N204-TODAY())</f>
        <v/>
      </c>
      <c r="P204" s="61"/>
      <c r="Q204" s="60"/>
      <c r="R204" s="63"/>
      <c r="S204" s="60"/>
      <c r="T204" s="88" t="str">
        <f aca="false">IF(AND(B204&lt;&gt;"",AND(R204&lt;&gt;"",R204&gt;='Weekly Report'!$F$4,R204&lt;='Weekly Report'!$F$5)),ROW(),"")</f>
        <v/>
      </c>
    </row>
    <row r="205" customFormat="false" ht="15" hidden="false" customHeight="false" outlineLevel="0" collapsed="false">
      <c r="A205" s="56" t="s">
        <v>688</v>
      </c>
      <c r="B205" s="60"/>
      <c r="C205" s="61"/>
      <c r="D205" s="60"/>
      <c r="E205" s="60"/>
      <c r="F205" s="61"/>
      <c r="G205" s="61"/>
      <c r="H205" s="61"/>
      <c r="I205" s="61"/>
      <c r="J205" s="61"/>
      <c r="K205" s="85" t="str">
        <f aca="false">IF(OR(J205="",I205=""),"",J205-I205)</f>
        <v/>
      </c>
      <c r="L205" s="86" t="str">
        <f aca="false">IF(OR(G205="",H205="",J205=""),"",IF(H205=G205,"",MAX(0,MIN(1,(J205-G205)/(H205-G205)))))</f>
        <v/>
      </c>
      <c r="M205" s="61"/>
      <c r="N205" s="63"/>
      <c r="O205" s="87" t="str">
        <f aca="true">IF(N205="","",N205-TODAY())</f>
        <v/>
      </c>
      <c r="P205" s="61"/>
      <c r="Q205" s="60"/>
      <c r="R205" s="63"/>
      <c r="S205" s="60"/>
      <c r="T205" s="88" t="str">
        <f aca="false">IF(AND(B205&lt;&gt;"",AND(R205&lt;&gt;"",R205&gt;='Weekly Report'!$F$4,R205&lt;='Weekly Report'!$F$5)),ROW(),"")</f>
        <v/>
      </c>
    </row>
    <row r="206" customFormat="false" ht="15" hidden="false" customHeight="false" outlineLevel="0" collapsed="false">
      <c r="A206" s="56" t="s">
        <v>689</v>
      </c>
      <c r="B206" s="60"/>
      <c r="C206" s="61"/>
      <c r="D206" s="60"/>
      <c r="E206" s="60"/>
      <c r="F206" s="61"/>
      <c r="G206" s="61"/>
      <c r="H206" s="61"/>
      <c r="I206" s="61"/>
      <c r="J206" s="61"/>
      <c r="K206" s="85" t="str">
        <f aca="false">IF(OR(J206="",I206=""),"",J206-I206)</f>
        <v/>
      </c>
      <c r="L206" s="86" t="str">
        <f aca="false">IF(OR(G206="",H206="",J206=""),"",IF(H206=G206,"",MAX(0,MIN(1,(J206-G206)/(H206-G206)))))</f>
        <v/>
      </c>
      <c r="M206" s="61"/>
      <c r="N206" s="63"/>
      <c r="O206" s="87" t="str">
        <f aca="true">IF(N206="","",N206-TODAY())</f>
        <v/>
      </c>
      <c r="P206" s="61"/>
      <c r="Q206" s="60"/>
      <c r="R206" s="63"/>
      <c r="S206" s="60"/>
      <c r="T206" s="88" t="str">
        <f aca="false">IF(AND(B206&lt;&gt;"",AND(R206&lt;&gt;"",R206&gt;='Weekly Report'!$F$4,R206&lt;='Weekly Report'!$F$5)),ROW(),"")</f>
        <v/>
      </c>
    </row>
    <row r="207" customFormat="false" ht="15" hidden="false" customHeight="false" outlineLevel="0" collapsed="false">
      <c r="A207" s="56" t="s">
        <v>690</v>
      </c>
      <c r="B207" s="60"/>
      <c r="C207" s="61"/>
      <c r="D207" s="60"/>
      <c r="E207" s="60"/>
      <c r="F207" s="61"/>
      <c r="G207" s="61"/>
      <c r="H207" s="61"/>
      <c r="I207" s="61"/>
      <c r="J207" s="61"/>
      <c r="K207" s="85" t="str">
        <f aca="false">IF(OR(J207="",I207=""),"",J207-I207)</f>
        <v/>
      </c>
      <c r="L207" s="86" t="str">
        <f aca="false">IF(OR(G207="",H207="",J207=""),"",IF(H207=G207,"",MAX(0,MIN(1,(J207-G207)/(H207-G207)))))</f>
        <v/>
      </c>
      <c r="M207" s="61"/>
      <c r="N207" s="63"/>
      <c r="O207" s="87" t="str">
        <f aca="true">IF(N207="","",N207-TODAY())</f>
        <v/>
      </c>
      <c r="P207" s="61"/>
      <c r="Q207" s="60"/>
      <c r="R207" s="63"/>
      <c r="S207" s="60"/>
      <c r="T207" s="88" t="str">
        <f aca="false">IF(AND(B207&lt;&gt;"",AND(R207&lt;&gt;"",R207&gt;='Weekly Report'!$F$4,R207&lt;='Weekly Report'!$F$5)),ROW(),"")</f>
        <v/>
      </c>
    </row>
    <row r="208" customFormat="false" ht="15" hidden="false" customHeight="false" outlineLevel="0" collapsed="false">
      <c r="A208" s="56" t="s">
        <v>691</v>
      </c>
      <c r="B208" s="60"/>
      <c r="C208" s="61"/>
      <c r="D208" s="60"/>
      <c r="E208" s="60"/>
      <c r="F208" s="61"/>
      <c r="G208" s="61"/>
      <c r="H208" s="61"/>
      <c r="I208" s="61"/>
      <c r="J208" s="61"/>
      <c r="K208" s="85" t="str">
        <f aca="false">IF(OR(J208="",I208=""),"",J208-I208)</f>
        <v/>
      </c>
      <c r="L208" s="86" t="str">
        <f aca="false">IF(OR(G208="",H208="",J208=""),"",IF(H208=G208,"",MAX(0,MIN(1,(J208-G208)/(H208-G208)))))</f>
        <v/>
      </c>
      <c r="M208" s="61"/>
      <c r="N208" s="63"/>
      <c r="O208" s="87" t="str">
        <f aca="true">IF(N208="","",N208-TODAY())</f>
        <v/>
      </c>
      <c r="P208" s="61"/>
      <c r="Q208" s="60"/>
      <c r="R208" s="63"/>
      <c r="S208" s="60"/>
      <c r="T208" s="88" t="str">
        <f aca="false">IF(AND(B208&lt;&gt;"",AND(R208&lt;&gt;"",R208&gt;='Weekly Report'!$F$4,R208&lt;='Weekly Report'!$F$5)),ROW(),"")</f>
        <v/>
      </c>
    </row>
    <row r="209" customFormat="false" ht="15" hidden="false" customHeight="false" outlineLevel="0" collapsed="false">
      <c r="A209" s="56" t="s">
        <v>692</v>
      </c>
      <c r="B209" s="60"/>
      <c r="C209" s="61"/>
      <c r="D209" s="60"/>
      <c r="E209" s="60"/>
      <c r="F209" s="61"/>
      <c r="G209" s="61"/>
      <c r="H209" s="61"/>
      <c r="I209" s="61"/>
      <c r="J209" s="61"/>
      <c r="K209" s="85" t="str">
        <f aca="false">IF(OR(J209="",I209=""),"",J209-I209)</f>
        <v/>
      </c>
      <c r="L209" s="86" t="str">
        <f aca="false">IF(OR(G209="",H209="",J209=""),"",IF(H209=G209,"",MAX(0,MIN(1,(J209-G209)/(H209-G209)))))</f>
        <v/>
      </c>
      <c r="M209" s="61"/>
      <c r="N209" s="63"/>
      <c r="O209" s="87" t="str">
        <f aca="true">IF(N209="","",N209-TODAY())</f>
        <v/>
      </c>
      <c r="P209" s="61"/>
      <c r="Q209" s="60"/>
      <c r="R209" s="63"/>
      <c r="S209" s="60"/>
      <c r="T209" s="88" t="str">
        <f aca="false">IF(AND(B209&lt;&gt;"",AND(R209&lt;&gt;"",R209&gt;='Weekly Report'!$F$4,R209&lt;='Weekly Report'!$F$5)),ROW(),"")</f>
        <v/>
      </c>
    </row>
    <row r="210" customFormat="false" ht="15" hidden="false" customHeight="false" outlineLevel="0" collapsed="false">
      <c r="A210" s="56" t="s">
        <v>693</v>
      </c>
      <c r="B210" s="60"/>
      <c r="C210" s="61"/>
      <c r="D210" s="60"/>
      <c r="E210" s="60"/>
      <c r="F210" s="61"/>
      <c r="G210" s="61"/>
      <c r="H210" s="61"/>
      <c r="I210" s="61"/>
      <c r="J210" s="61"/>
      <c r="K210" s="85" t="str">
        <f aca="false">IF(OR(J210="",I210=""),"",J210-I210)</f>
        <v/>
      </c>
      <c r="L210" s="86" t="str">
        <f aca="false">IF(OR(G210="",H210="",J210=""),"",IF(H210=G210,"",MAX(0,MIN(1,(J210-G210)/(H210-G210)))))</f>
        <v/>
      </c>
      <c r="M210" s="61"/>
      <c r="N210" s="63"/>
      <c r="O210" s="87" t="str">
        <f aca="true">IF(N210="","",N210-TODAY())</f>
        <v/>
      </c>
      <c r="P210" s="61"/>
      <c r="Q210" s="60"/>
      <c r="R210" s="63"/>
      <c r="S210" s="60"/>
      <c r="T210" s="88" t="str">
        <f aca="false">IF(AND(B210&lt;&gt;"",AND(R210&lt;&gt;"",R210&gt;='Weekly Report'!$F$4,R210&lt;='Weekly Report'!$F$5)),ROW(),"")</f>
        <v/>
      </c>
    </row>
    <row r="211" customFormat="false" ht="15" hidden="false" customHeight="false" outlineLevel="0" collapsed="false">
      <c r="A211" s="56" t="s">
        <v>694</v>
      </c>
      <c r="B211" s="60"/>
      <c r="C211" s="61"/>
      <c r="D211" s="60"/>
      <c r="E211" s="60"/>
      <c r="F211" s="61"/>
      <c r="G211" s="61"/>
      <c r="H211" s="61"/>
      <c r="I211" s="61"/>
      <c r="J211" s="61"/>
      <c r="K211" s="85" t="str">
        <f aca="false">IF(OR(J211="",I211=""),"",J211-I211)</f>
        <v/>
      </c>
      <c r="L211" s="86" t="str">
        <f aca="false">IF(OR(G211="",H211="",J211=""),"",IF(H211=G211,"",MAX(0,MIN(1,(J211-G211)/(H211-G211)))))</f>
        <v/>
      </c>
      <c r="M211" s="61"/>
      <c r="N211" s="63"/>
      <c r="O211" s="87" t="str">
        <f aca="true">IF(N211="","",N211-TODAY())</f>
        <v/>
      </c>
      <c r="P211" s="61"/>
      <c r="Q211" s="60"/>
      <c r="R211" s="63"/>
      <c r="S211" s="60"/>
      <c r="T211" s="88" t="str">
        <f aca="false">IF(AND(B211&lt;&gt;"",AND(R211&lt;&gt;"",R211&gt;='Weekly Report'!$F$4,R211&lt;='Weekly Report'!$F$5)),ROW(),"")</f>
        <v/>
      </c>
    </row>
    <row r="212" customFormat="false" ht="15" hidden="false" customHeight="false" outlineLevel="0" collapsed="false">
      <c r="A212" s="56" t="s">
        <v>695</v>
      </c>
      <c r="B212" s="60"/>
      <c r="C212" s="61"/>
      <c r="D212" s="60"/>
      <c r="E212" s="60"/>
      <c r="F212" s="61"/>
      <c r="G212" s="61"/>
      <c r="H212" s="61"/>
      <c r="I212" s="61"/>
      <c r="J212" s="61"/>
      <c r="K212" s="85" t="str">
        <f aca="false">IF(OR(J212="",I212=""),"",J212-I212)</f>
        <v/>
      </c>
      <c r="L212" s="86" t="str">
        <f aca="false">IF(OR(G212="",H212="",J212=""),"",IF(H212=G212,"",MAX(0,MIN(1,(J212-G212)/(H212-G212)))))</f>
        <v/>
      </c>
      <c r="M212" s="61"/>
      <c r="N212" s="63"/>
      <c r="O212" s="87" t="str">
        <f aca="true">IF(N212="","",N212-TODAY())</f>
        <v/>
      </c>
      <c r="P212" s="61"/>
      <c r="Q212" s="60"/>
      <c r="R212" s="63"/>
      <c r="S212" s="60"/>
      <c r="T212" s="88" t="str">
        <f aca="false">IF(AND(B212&lt;&gt;"",AND(R212&lt;&gt;"",R212&gt;='Weekly Report'!$F$4,R212&lt;='Weekly Report'!$F$5)),ROW(),"")</f>
        <v/>
      </c>
    </row>
    <row r="213" customFormat="false" ht="15" hidden="false" customHeight="false" outlineLevel="0" collapsed="false">
      <c r="A213" s="56" t="s">
        <v>696</v>
      </c>
      <c r="B213" s="60"/>
      <c r="C213" s="61"/>
      <c r="D213" s="60"/>
      <c r="E213" s="60"/>
      <c r="F213" s="61"/>
      <c r="G213" s="61"/>
      <c r="H213" s="61"/>
      <c r="I213" s="61"/>
      <c r="J213" s="61"/>
      <c r="K213" s="85" t="str">
        <f aca="false">IF(OR(J213="",I213=""),"",J213-I213)</f>
        <v/>
      </c>
      <c r="L213" s="86" t="str">
        <f aca="false">IF(OR(G213="",H213="",J213=""),"",IF(H213=G213,"",MAX(0,MIN(1,(J213-G213)/(H213-G213)))))</f>
        <v/>
      </c>
      <c r="M213" s="61"/>
      <c r="N213" s="63"/>
      <c r="O213" s="87" t="str">
        <f aca="true">IF(N213="","",N213-TODAY())</f>
        <v/>
      </c>
      <c r="P213" s="61"/>
      <c r="Q213" s="60"/>
      <c r="R213" s="63"/>
      <c r="S213" s="60"/>
      <c r="T213" s="88" t="str">
        <f aca="false">IF(AND(B213&lt;&gt;"",AND(R213&lt;&gt;"",R213&gt;='Weekly Report'!$F$4,R213&lt;='Weekly Report'!$F$5)),ROW(),"")</f>
        <v/>
      </c>
    </row>
    <row r="214" customFormat="false" ht="15" hidden="false" customHeight="false" outlineLevel="0" collapsed="false">
      <c r="A214" s="56" t="s">
        <v>697</v>
      </c>
      <c r="B214" s="60"/>
      <c r="C214" s="61"/>
      <c r="D214" s="60"/>
      <c r="E214" s="60"/>
      <c r="F214" s="61"/>
      <c r="G214" s="61"/>
      <c r="H214" s="61"/>
      <c r="I214" s="61"/>
      <c r="J214" s="61"/>
      <c r="K214" s="85" t="str">
        <f aca="false">IF(OR(J214="",I214=""),"",J214-I214)</f>
        <v/>
      </c>
      <c r="L214" s="86" t="str">
        <f aca="false">IF(OR(G214="",H214="",J214=""),"",IF(H214=G214,"",MAX(0,MIN(1,(J214-G214)/(H214-G214)))))</f>
        <v/>
      </c>
      <c r="M214" s="61"/>
      <c r="N214" s="63"/>
      <c r="O214" s="87" t="str">
        <f aca="true">IF(N214="","",N214-TODAY())</f>
        <v/>
      </c>
      <c r="P214" s="61"/>
      <c r="Q214" s="60"/>
      <c r="R214" s="63"/>
      <c r="S214" s="60"/>
      <c r="T214" s="88" t="str">
        <f aca="false">IF(AND(B214&lt;&gt;"",AND(R214&lt;&gt;"",R214&gt;='Weekly Report'!$F$4,R214&lt;='Weekly Report'!$F$5)),ROW(),"")</f>
        <v/>
      </c>
    </row>
    <row r="215" customFormat="false" ht="15" hidden="false" customHeight="false" outlineLevel="0" collapsed="false">
      <c r="A215" s="56" t="s">
        <v>698</v>
      </c>
      <c r="B215" s="60"/>
      <c r="C215" s="61"/>
      <c r="D215" s="60"/>
      <c r="E215" s="60"/>
      <c r="F215" s="61"/>
      <c r="G215" s="61"/>
      <c r="H215" s="61"/>
      <c r="I215" s="61"/>
      <c r="J215" s="61"/>
      <c r="K215" s="85" t="str">
        <f aca="false">IF(OR(J215="",I215=""),"",J215-I215)</f>
        <v/>
      </c>
      <c r="L215" s="86" t="str">
        <f aca="false">IF(OR(G215="",H215="",J215=""),"",IF(H215=G215,"",MAX(0,MIN(1,(J215-G215)/(H215-G215)))))</f>
        <v/>
      </c>
      <c r="M215" s="61"/>
      <c r="N215" s="63"/>
      <c r="O215" s="87" t="str">
        <f aca="true">IF(N215="","",N215-TODAY())</f>
        <v/>
      </c>
      <c r="P215" s="61"/>
      <c r="Q215" s="60"/>
      <c r="R215" s="63"/>
      <c r="S215" s="60"/>
      <c r="T215" s="88" t="str">
        <f aca="false">IF(AND(B215&lt;&gt;"",AND(R215&lt;&gt;"",R215&gt;='Weekly Report'!$F$4,R215&lt;='Weekly Report'!$F$5)),ROW(),"")</f>
        <v/>
      </c>
    </row>
    <row r="216" customFormat="false" ht="15" hidden="false" customHeight="false" outlineLevel="0" collapsed="false">
      <c r="A216" s="56" t="s">
        <v>699</v>
      </c>
      <c r="B216" s="60"/>
      <c r="C216" s="61"/>
      <c r="D216" s="60"/>
      <c r="E216" s="60"/>
      <c r="F216" s="61"/>
      <c r="G216" s="61"/>
      <c r="H216" s="61"/>
      <c r="I216" s="61"/>
      <c r="J216" s="61"/>
      <c r="K216" s="85" t="str">
        <f aca="false">IF(OR(J216="",I216=""),"",J216-I216)</f>
        <v/>
      </c>
      <c r="L216" s="86" t="str">
        <f aca="false">IF(OR(G216="",H216="",J216=""),"",IF(H216=G216,"",MAX(0,MIN(1,(J216-G216)/(H216-G216)))))</f>
        <v/>
      </c>
      <c r="M216" s="61"/>
      <c r="N216" s="63"/>
      <c r="O216" s="87" t="str">
        <f aca="true">IF(N216="","",N216-TODAY())</f>
        <v/>
      </c>
      <c r="P216" s="61"/>
      <c r="Q216" s="60"/>
      <c r="R216" s="63"/>
      <c r="S216" s="60"/>
      <c r="T216" s="88" t="str">
        <f aca="false">IF(AND(B216&lt;&gt;"",AND(R216&lt;&gt;"",R216&gt;='Weekly Report'!$F$4,R216&lt;='Weekly Report'!$F$5)),ROW(),"")</f>
        <v/>
      </c>
    </row>
    <row r="217" customFormat="false" ht="15" hidden="false" customHeight="false" outlineLevel="0" collapsed="false">
      <c r="A217" s="56" t="s">
        <v>700</v>
      </c>
      <c r="B217" s="60"/>
      <c r="C217" s="61"/>
      <c r="D217" s="60"/>
      <c r="E217" s="60"/>
      <c r="F217" s="61"/>
      <c r="G217" s="61"/>
      <c r="H217" s="61"/>
      <c r="I217" s="61"/>
      <c r="J217" s="61"/>
      <c r="K217" s="85" t="str">
        <f aca="false">IF(OR(J217="",I217=""),"",J217-I217)</f>
        <v/>
      </c>
      <c r="L217" s="86" t="str">
        <f aca="false">IF(OR(G217="",H217="",J217=""),"",IF(H217=G217,"",MAX(0,MIN(1,(J217-G217)/(H217-G217)))))</f>
        <v/>
      </c>
      <c r="M217" s="61"/>
      <c r="N217" s="63"/>
      <c r="O217" s="87" t="str">
        <f aca="true">IF(N217="","",N217-TODAY())</f>
        <v/>
      </c>
      <c r="P217" s="61"/>
      <c r="Q217" s="60"/>
      <c r="R217" s="63"/>
      <c r="S217" s="60"/>
      <c r="T217" s="88" t="str">
        <f aca="false">IF(AND(B217&lt;&gt;"",AND(R217&lt;&gt;"",R217&gt;='Weekly Report'!$F$4,R217&lt;='Weekly Report'!$F$5)),ROW(),"")</f>
        <v/>
      </c>
    </row>
    <row r="218" customFormat="false" ht="15" hidden="false" customHeight="false" outlineLevel="0" collapsed="false">
      <c r="A218" s="56" t="s">
        <v>701</v>
      </c>
      <c r="B218" s="60"/>
      <c r="C218" s="61"/>
      <c r="D218" s="60"/>
      <c r="E218" s="60"/>
      <c r="F218" s="61"/>
      <c r="G218" s="61"/>
      <c r="H218" s="61"/>
      <c r="I218" s="61"/>
      <c r="J218" s="61"/>
      <c r="K218" s="85" t="str">
        <f aca="false">IF(OR(J218="",I218=""),"",J218-I218)</f>
        <v/>
      </c>
      <c r="L218" s="86" t="str">
        <f aca="false">IF(OR(G218="",H218="",J218=""),"",IF(H218=G218,"",MAX(0,MIN(1,(J218-G218)/(H218-G218)))))</f>
        <v/>
      </c>
      <c r="M218" s="61"/>
      <c r="N218" s="63"/>
      <c r="O218" s="87" t="str">
        <f aca="true">IF(N218="","",N218-TODAY())</f>
        <v/>
      </c>
      <c r="P218" s="61"/>
      <c r="Q218" s="60"/>
      <c r="R218" s="63"/>
      <c r="S218" s="60"/>
      <c r="T218" s="88" t="str">
        <f aca="false">IF(AND(B218&lt;&gt;"",AND(R218&lt;&gt;"",R218&gt;='Weekly Report'!$F$4,R218&lt;='Weekly Report'!$F$5)),ROW(),"")</f>
        <v/>
      </c>
    </row>
    <row r="219" customFormat="false" ht="15" hidden="false" customHeight="false" outlineLevel="0" collapsed="false">
      <c r="A219" s="56" t="s">
        <v>702</v>
      </c>
      <c r="B219" s="60"/>
      <c r="C219" s="61"/>
      <c r="D219" s="60"/>
      <c r="E219" s="60"/>
      <c r="F219" s="61"/>
      <c r="G219" s="61"/>
      <c r="H219" s="61"/>
      <c r="I219" s="61"/>
      <c r="J219" s="61"/>
      <c r="K219" s="85" t="str">
        <f aca="false">IF(OR(J219="",I219=""),"",J219-I219)</f>
        <v/>
      </c>
      <c r="L219" s="86" t="str">
        <f aca="false">IF(OR(G219="",H219="",J219=""),"",IF(H219=G219,"",MAX(0,MIN(1,(J219-G219)/(H219-G219)))))</f>
        <v/>
      </c>
      <c r="M219" s="61"/>
      <c r="N219" s="63"/>
      <c r="O219" s="87" t="str">
        <f aca="true">IF(N219="","",N219-TODAY())</f>
        <v/>
      </c>
      <c r="P219" s="61"/>
      <c r="Q219" s="60"/>
      <c r="R219" s="63"/>
      <c r="S219" s="60"/>
      <c r="T219" s="88" t="str">
        <f aca="false">IF(AND(B219&lt;&gt;"",AND(R219&lt;&gt;"",R219&gt;='Weekly Report'!$F$4,R219&lt;='Weekly Report'!$F$5)),ROW(),"")</f>
        <v/>
      </c>
    </row>
    <row r="220" customFormat="false" ht="15" hidden="false" customHeight="false" outlineLevel="0" collapsed="false">
      <c r="A220" s="56" t="s">
        <v>703</v>
      </c>
      <c r="B220" s="60"/>
      <c r="C220" s="61"/>
      <c r="D220" s="60"/>
      <c r="E220" s="60"/>
      <c r="F220" s="61"/>
      <c r="G220" s="61"/>
      <c r="H220" s="61"/>
      <c r="I220" s="61"/>
      <c r="J220" s="61"/>
      <c r="K220" s="85" t="str">
        <f aca="false">IF(OR(J220="",I220=""),"",J220-I220)</f>
        <v/>
      </c>
      <c r="L220" s="86" t="str">
        <f aca="false">IF(OR(G220="",H220="",J220=""),"",IF(H220=G220,"",MAX(0,MIN(1,(J220-G220)/(H220-G220)))))</f>
        <v/>
      </c>
      <c r="M220" s="61"/>
      <c r="N220" s="63"/>
      <c r="O220" s="87" t="str">
        <f aca="true">IF(N220="","",N220-TODAY())</f>
        <v/>
      </c>
      <c r="P220" s="61"/>
      <c r="Q220" s="60"/>
      <c r="R220" s="63"/>
      <c r="S220" s="60"/>
      <c r="T220" s="88" t="str">
        <f aca="false">IF(AND(B220&lt;&gt;"",AND(R220&lt;&gt;"",R220&gt;='Weekly Report'!$F$4,R220&lt;='Weekly Report'!$F$5)),ROW(),"")</f>
        <v/>
      </c>
    </row>
    <row r="221" customFormat="false" ht="15" hidden="false" customHeight="false" outlineLevel="0" collapsed="false">
      <c r="A221" s="56" t="s">
        <v>704</v>
      </c>
      <c r="B221" s="60"/>
      <c r="C221" s="61"/>
      <c r="D221" s="60"/>
      <c r="E221" s="60"/>
      <c r="F221" s="61"/>
      <c r="G221" s="61"/>
      <c r="H221" s="61"/>
      <c r="I221" s="61"/>
      <c r="J221" s="61"/>
      <c r="K221" s="85" t="str">
        <f aca="false">IF(OR(J221="",I221=""),"",J221-I221)</f>
        <v/>
      </c>
      <c r="L221" s="86" t="str">
        <f aca="false">IF(OR(G221="",H221="",J221=""),"",IF(H221=G221,"",MAX(0,MIN(1,(J221-G221)/(H221-G221)))))</f>
        <v/>
      </c>
      <c r="M221" s="61"/>
      <c r="N221" s="63"/>
      <c r="O221" s="87" t="str">
        <f aca="true">IF(N221="","",N221-TODAY())</f>
        <v/>
      </c>
      <c r="P221" s="61"/>
      <c r="Q221" s="60"/>
      <c r="R221" s="63"/>
      <c r="S221" s="60"/>
      <c r="T221" s="88" t="str">
        <f aca="false">IF(AND(B221&lt;&gt;"",AND(R221&lt;&gt;"",R221&gt;='Weekly Report'!$F$4,R221&lt;='Weekly Report'!$F$5)),ROW(),"")</f>
        <v/>
      </c>
    </row>
    <row r="222" customFormat="false" ht="15" hidden="false" customHeight="false" outlineLevel="0" collapsed="false">
      <c r="A222" s="56" t="s">
        <v>705</v>
      </c>
      <c r="B222" s="60"/>
      <c r="C222" s="61"/>
      <c r="D222" s="60"/>
      <c r="E222" s="60"/>
      <c r="F222" s="61"/>
      <c r="G222" s="61"/>
      <c r="H222" s="61"/>
      <c r="I222" s="61"/>
      <c r="J222" s="61"/>
      <c r="K222" s="85" t="str">
        <f aca="false">IF(OR(J222="",I222=""),"",J222-I222)</f>
        <v/>
      </c>
      <c r="L222" s="86" t="str">
        <f aca="false">IF(OR(G222="",H222="",J222=""),"",IF(H222=G222,"",MAX(0,MIN(1,(J222-G222)/(H222-G222)))))</f>
        <v/>
      </c>
      <c r="M222" s="61"/>
      <c r="N222" s="63"/>
      <c r="O222" s="87" t="str">
        <f aca="true">IF(N222="","",N222-TODAY())</f>
        <v/>
      </c>
      <c r="P222" s="61"/>
      <c r="Q222" s="60"/>
      <c r="R222" s="63"/>
      <c r="S222" s="60"/>
      <c r="T222" s="88" t="str">
        <f aca="false">IF(AND(B222&lt;&gt;"",AND(R222&lt;&gt;"",R222&gt;='Weekly Report'!$F$4,R222&lt;='Weekly Report'!$F$5)),ROW(),"")</f>
        <v/>
      </c>
    </row>
    <row r="223" customFormat="false" ht="15" hidden="false" customHeight="false" outlineLevel="0" collapsed="false">
      <c r="A223" s="56" t="s">
        <v>706</v>
      </c>
      <c r="B223" s="60"/>
      <c r="C223" s="61"/>
      <c r="D223" s="60"/>
      <c r="E223" s="60"/>
      <c r="F223" s="61"/>
      <c r="G223" s="61"/>
      <c r="H223" s="61"/>
      <c r="I223" s="61"/>
      <c r="J223" s="61"/>
      <c r="K223" s="85" t="str">
        <f aca="false">IF(OR(J223="",I223=""),"",J223-I223)</f>
        <v/>
      </c>
      <c r="L223" s="86" t="str">
        <f aca="false">IF(OR(G223="",H223="",J223=""),"",IF(H223=G223,"",MAX(0,MIN(1,(J223-G223)/(H223-G223)))))</f>
        <v/>
      </c>
      <c r="M223" s="61"/>
      <c r="N223" s="63"/>
      <c r="O223" s="87" t="str">
        <f aca="true">IF(N223="","",N223-TODAY())</f>
        <v/>
      </c>
      <c r="P223" s="61"/>
      <c r="Q223" s="60"/>
      <c r="R223" s="63"/>
      <c r="S223" s="60"/>
      <c r="T223" s="88" t="str">
        <f aca="false">IF(AND(B223&lt;&gt;"",AND(R223&lt;&gt;"",R223&gt;='Weekly Report'!$F$4,R223&lt;='Weekly Report'!$F$5)),ROW(),"")</f>
        <v/>
      </c>
    </row>
    <row r="224" customFormat="false" ht="15" hidden="false" customHeight="false" outlineLevel="0" collapsed="false">
      <c r="A224" s="56" t="s">
        <v>707</v>
      </c>
      <c r="B224" s="60"/>
      <c r="C224" s="61"/>
      <c r="D224" s="60"/>
      <c r="E224" s="60"/>
      <c r="F224" s="61"/>
      <c r="G224" s="61"/>
      <c r="H224" s="61"/>
      <c r="I224" s="61"/>
      <c r="J224" s="61"/>
      <c r="K224" s="85" t="str">
        <f aca="false">IF(OR(J224="",I224=""),"",J224-I224)</f>
        <v/>
      </c>
      <c r="L224" s="86" t="str">
        <f aca="false">IF(OR(G224="",H224="",J224=""),"",IF(H224=G224,"",MAX(0,MIN(1,(J224-G224)/(H224-G224)))))</f>
        <v/>
      </c>
      <c r="M224" s="61"/>
      <c r="N224" s="63"/>
      <c r="O224" s="87" t="str">
        <f aca="true">IF(N224="","",N224-TODAY())</f>
        <v/>
      </c>
      <c r="P224" s="61"/>
      <c r="Q224" s="60"/>
      <c r="R224" s="63"/>
      <c r="S224" s="60"/>
      <c r="T224" s="88" t="str">
        <f aca="false">IF(AND(B224&lt;&gt;"",AND(R224&lt;&gt;"",R224&gt;='Weekly Report'!$F$4,R224&lt;='Weekly Report'!$F$5)),ROW(),"")</f>
        <v/>
      </c>
    </row>
    <row r="225" customFormat="false" ht="15" hidden="false" customHeight="false" outlineLevel="0" collapsed="false">
      <c r="A225" s="56" t="s">
        <v>708</v>
      </c>
      <c r="B225" s="60"/>
      <c r="C225" s="61"/>
      <c r="D225" s="60"/>
      <c r="E225" s="60"/>
      <c r="F225" s="61"/>
      <c r="G225" s="61"/>
      <c r="H225" s="61"/>
      <c r="I225" s="61"/>
      <c r="J225" s="61"/>
      <c r="K225" s="85" t="str">
        <f aca="false">IF(OR(J225="",I225=""),"",J225-I225)</f>
        <v/>
      </c>
      <c r="L225" s="86" t="str">
        <f aca="false">IF(OR(G225="",H225="",J225=""),"",IF(H225=G225,"",MAX(0,MIN(1,(J225-G225)/(H225-G225)))))</f>
        <v/>
      </c>
      <c r="M225" s="61"/>
      <c r="N225" s="63"/>
      <c r="O225" s="87" t="str">
        <f aca="true">IF(N225="","",N225-TODAY())</f>
        <v/>
      </c>
      <c r="P225" s="61"/>
      <c r="Q225" s="60"/>
      <c r="R225" s="63"/>
      <c r="S225" s="60"/>
      <c r="T225" s="88" t="str">
        <f aca="false">IF(AND(B225&lt;&gt;"",AND(R225&lt;&gt;"",R225&gt;='Weekly Report'!$F$4,R225&lt;='Weekly Report'!$F$5)),ROW(),"")</f>
        <v/>
      </c>
    </row>
    <row r="226" customFormat="false" ht="15" hidden="false" customHeight="false" outlineLevel="0" collapsed="false">
      <c r="A226" s="56" t="s">
        <v>709</v>
      </c>
      <c r="B226" s="60"/>
      <c r="C226" s="61"/>
      <c r="D226" s="60"/>
      <c r="E226" s="60"/>
      <c r="F226" s="61"/>
      <c r="G226" s="61"/>
      <c r="H226" s="61"/>
      <c r="I226" s="61"/>
      <c r="J226" s="61"/>
      <c r="K226" s="85" t="str">
        <f aca="false">IF(OR(J226="",I226=""),"",J226-I226)</f>
        <v/>
      </c>
      <c r="L226" s="86" t="str">
        <f aca="false">IF(OR(G226="",H226="",J226=""),"",IF(H226=G226,"",MAX(0,MIN(1,(J226-G226)/(H226-G226)))))</f>
        <v/>
      </c>
      <c r="M226" s="61"/>
      <c r="N226" s="63"/>
      <c r="O226" s="87" t="str">
        <f aca="true">IF(N226="","",N226-TODAY())</f>
        <v/>
      </c>
      <c r="P226" s="61"/>
      <c r="Q226" s="60"/>
      <c r="R226" s="63"/>
      <c r="S226" s="60"/>
      <c r="T226" s="88" t="str">
        <f aca="false">IF(AND(B226&lt;&gt;"",AND(R226&lt;&gt;"",R226&gt;='Weekly Report'!$F$4,R226&lt;='Weekly Report'!$F$5)),ROW(),"")</f>
        <v/>
      </c>
    </row>
    <row r="227" customFormat="false" ht="15" hidden="false" customHeight="false" outlineLevel="0" collapsed="false">
      <c r="A227" s="56" t="s">
        <v>710</v>
      </c>
      <c r="B227" s="60"/>
      <c r="C227" s="61"/>
      <c r="D227" s="60"/>
      <c r="E227" s="60"/>
      <c r="F227" s="61"/>
      <c r="G227" s="61"/>
      <c r="H227" s="61"/>
      <c r="I227" s="61"/>
      <c r="J227" s="61"/>
      <c r="K227" s="85" t="str">
        <f aca="false">IF(OR(J227="",I227=""),"",J227-I227)</f>
        <v/>
      </c>
      <c r="L227" s="86" t="str">
        <f aca="false">IF(OR(G227="",H227="",J227=""),"",IF(H227=G227,"",MAX(0,MIN(1,(J227-G227)/(H227-G227)))))</f>
        <v/>
      </c>
      <c r="M227" s="61"/>
      <c r="N227" s="63"/>
      <c r="O227" s="87" t="str">
        <f aca="true">IF(N227="","",N227-TODAY())</f>
        <v/>
      </c>
      <c r="P227" s="61"/>
      <c r="Q227" s="60"/>
      <c r="R227" s="63"/>
      <c r="S227" s="60"/>
      <c r="T227" s="88" t="str">
        <f aca="false">IF(AND(B227&lt;&gt;"",AND(R227&lt;&gt;"",R227&gt;='Weekly Report'!$F$4,R227&lt;='Weekly Report'!$F$5)),ROW(),"")</f>
        <v/>
      </c>
    </row>
    <row r="228" customFormat="false" ht="15" hidden="false" customHeight="false" outlineLevel="0" collapsed="false">
      <c r="A228" s="56" t="s">
        <v>711</v>
      </c>
      <c r="B228" s="60"/>
      <c r="C228" s="61"/>
      <c r="D228" s="60"/>
      <c r="E228" s="60"/>
      <c r="F228" s="61"/>
      <c r="G228" s="61"/>
      <c r="H228" s="61"/>
      <c r="I228" s="61"/>
      <c r="J228" s="61"/>
      <c r="K228" s="85" t="str">
        <f aca="false">IF(OR(J228="",I228=""),"",J228-I228)</f>
        <v/>
      </c>
      <c r="L228" s="86" t="str">
        <f aca="false">IF(OR(G228="",H228="",J228=""),"",IF(H228=G228,"",MAX(0,MIN(1,(J228-G228)/(H228-G228)))))</f>
        <v/>
      </c>
      <c r="M228" s="61"/>
      <c r="N228" s="63"/>
      <c r="O228" s="87" t="str">
        <f aca="true">IF(N228="","",N228-TODAY())</f>
        <v/>
      </c>
      <c r="P228" s="61"/>
      <c r="Q228" s="60"/>
      <c r="R228" s="63"/>
      <c r="S228" s="60"/>
      <c r="T228" s="88" t="str">
        <f aca="false">IF(AND(B228&lt;&gt;"",AND(R228&lt;&gt;"",R228&gt;='Weekly Report'!$F$4,R228&lt;='Weekly Report'!$F$5)),ROW(),"")</f>
        <v/>
      </c>
    </row>
    <row r="229" customFormat="false" ht="15" hidden="false" customHeight="false" outlineLevel="0" collapsed="false">
      <c r="A229" s="56" t="s">
        <v>712</v>
      </c>
      <c r="B229" s="60"/>
      <c r="C229" s="61"/>
      <c r="D229" s="60"/>
      <c r="E229" s="60"/>
      <c r="F229" s="61"/>
      <c r="G229" s="61"/>
      <c r="H229" s="61"/>
      <c r="I229" s="61"/>
      <c r="J229" s="61"/>
      <c r="K229" s="85" t="str">
        <f aca="false">IF(OR(J229="",I229=""),"",J229-I229)</f>
        <v/>
      </c>
      <c r="L229" s="86" t="str">
        <f aca="false">IF(OR(G229="",H229="",J229=""),"",IF(H229=G229,"",MAX(0,MIN(1,(J229-G229)/(H229-G229)))))</f>
        <v/>
      </c>
      <c r="M229" s="61"/>
      <c r="N229" s="63"/>
      <c r="O229" s="87" t="str">
        <f aca="true">IF(N229="","",N229-TODAY())</f>
        <v/>
      </c>
      <c r="P229" s="61"/>
      <c r="Q229" s="60"/>
      <c r="R229" s="63"/>
      <c r="S229" s="60"/>
      <c r="T229" s="88" t="str">
        <f aca="false">IF(AND(B229&lt;&gt;"",AND(R229&lt;&gt;"",R229&gt;='Weekly Report'!$F$4,R229&lt;='Weekly Report'!$F$5)),ROW(),"")</f>
        <v/>
      </c>
    </row>
    <row r="230" customFormat="false" ht="15" hidden="false" customHeight="false" outlineLevel="0" collapsed="false">
      <c r="A230" s="56" t="s">
        <v>713</v>
      </c>
      <c r="B230" s="60"/>
      <c r="C230" s="61"/>
      <c r="D230" s="60"/>
      <c r="E230" s="60"/>
      <c r="F230" s="61"/>
      <c r="G230" s="61"/>
      <c r="H230" s="61"/>
      <c r="I230" s="61"/>
      <c r="J230" s="61"/>
      <c r="K230" s="85" t="str">
        <f aca="false">IF(OR(J230="",I230=""),"",J230-I230)</f>
        <v/>
      </c>
      <c r="L230" s="86" t="str">
        <f aca="false">IF(OR(G230="",H230="",J230=""),"",IF(H230=G230,"",MAX(0,MIN(1,(J230-G230)/(H230-G230)))))</f>
        <v/>
      </c>
      <c r="M230" s="61"/>
      <c r="N230" s="63"/>
      <c r="O230" s="87" t="str">
        <f aca="true">IF(N230="","",N230-TODAY())</f>
        <v/>
      </c>
      <c r="P230" s="61"/>
      <c r="Q230" s="60"/>
      <c r="R230" s="63"/>
      <c r="S230" s="60"/>
      <c r="T230" s="88" t="str">
        <f aca="false">IF(AND(B230&lt;&gt;"",AND(R230&lt;&gt;"",R230&gt;='Weekly Report'!$F$4,R230&lt;='Weekly Report'!$F$5)),ROW(),"")</f>
        <v/>
      </c>
    </row>
    <row r="231" customFormat="false" ht="15" hidden="false" customHeight="false" outlineLevel="0" collapsed="false">
      <c r="A231" s="56" t="s">
        <v>714</v>
      </c>
      <c r="B231" s="60"/>
      <c r="C231" s="61"/>
      <c r="D231" s="60"/>
      <c r="E231" s="60"/>
      <c r="F231" s="61"/>
      <c r="G231" s="61"/>
      <c r="H231" s="61"/>
      <c r="I231" s="61"/>
      <c r="J231" s="61"/>
      <c r="K231" s="85" t="str">
        <f aca="false">IF(OR(J231="",I231=""),"",J231-I231)</f>
        <v/>
      </c>
      <c r="L231" s="86" t="str">
        <f aca="false">IF(OR(G231="",H231="",J231=""),"",IF(H231=G231,"",MAX(0,MIN(1,(J231-G231)/(H231-G231)))))</f>
        <v/>
      </c>
      <c r="M231" s="61"/>
      <c r="N231" s="63"/>
      <c r="O231" s="87" t="str">
        <f aca="true">IF(N231="","",N231-TODAY())</f>
        <v/>
      </c>
      <c r="P231" s="61"/>
      <c r="Q231" s="60"/>
      <c r="R231" s="63"/>
      <c r="S231" s="60"/>
      <c r="T231" s="88" t="str">
        <f aca="false">IF(AND(B231&lt;&gt;"",AND(R231&lt;&gt;"",R231&gt;='Weekly Report'!$F$4,R231&lt;='Weekly Report'!$F$5)),ROW(),"")</f>
        <v/>
      </c>
    </row>
    <row r="232" customFormat="false" ht="15" hidden="false" customHeight="false" outlineLevel="0" collapsed="false">
      <c r="A232" s="56" t="s">
        <v>715</v>
      </c>
      <c r="B232" s="60"/>
      <c r="C232" s="61"/>
      <c r="D232" s="60"/>
      <c r="E232" s="60"/>
      <c r="F232" s="61"/>
      <c r="G232" s="61"/>
      <c r="H232" s="61"/>
      <c r="I232" s="61"/>
      <c r="J232" s="61"/>
      <c r="K232" s="85" t="str">
        <f aca="false">IF(OR(J232="",I232=""),"",J232-I232)</f>
        <v/>
      </c>
      <c r="L232" s="86" t="str">
        <f aca="false">IF(OR(G232="",H232="",J232=""),"",IF(H232=G232,"",MAX(0,MIN(1,(J232-G232)/(H232-G232)))))</f>
        <v/>
      </c>
      <c r="M232" s="61"/>
      <c r="N232" s="63"/>
      <c r="O232" s="87" t="str">
        <f aca="true">IF(N232="","",N232-TODAY())</f>
        <v/>
      </c>
      <c r="P232" s="61"/>
      <c r="Q232" s="60"/>
      <c r="R232" s="63"/>
      <c r="S232" s="60"/>
      <c r="T232" s="88" t="str">
        <f aca="false">IF(AND(B232&lt;&gt;"",AND(R232&lt;&gt;"",R232&gt;='Weekly Report'!$F$4,R232&lt;='Weekly Report'!$F$5)),ROW(),"")</f>
        <v/>
      </c>
    </row>
    <row r="233" customFormat="false" ht="15" hidden="false" customHeight="false" outlineLevel="0" collapsed="false">
      <c r="A233" s="56" t="s">
        <v>716</v>
      </c>
      <c r="B233" s="60"/>
      <c r="C233" s="61"/>
      <c r="D233" s="60"/>
      <c r="E233" s="60"/>
      <c r="F233" s="61"/>
      <c r="G233" s="61"/>
      <c r="H233" s="61"/>
      <c r="I233" s="61"/>
      <c r="J233" s="61"/>
      <c r="K233" s="85" t="str">
        <f aca="false">IF(OR(J233="",I233=""),"",J233-I233)</f>
        <v/>
      </c>
      <c r="L233" s="86" t="str">
        <f aca="false">IF(OR(G233="",H233="",J233=""),"",IF(H233=G233,"",MAX(0,MIN(1,(J233-G233)/(H233-G233)))))</f>
        <v/>
      </c>
      <c r="M233" s="61"/>
      <c r="N233" s="63"/>
      <c r="O233" s="87" t="str">
        <f aca="true">IF(N233="","",N233-TODAY())</f>
        <v/>
      </c>
      <c r="P233" s="61"/>
      <c r="Q233" s="60"/>
      <c r="R233" s="63"/>
      <c r="S233" s="60"/>
      <c r="T233" s="88" t="str">
        <f aca="false">IF(AND(B233&lt;&gt;"",AND(R233&lt;&gt;"",R233&gt;='Weekly Report'!$F$4,R233&lt;='Weekly Report'!$F$5)),ROW(),"")</f>
        <v/>
      </c>
    </row>
    <row r="234" customFormat="false" ht="15" hidden="false" customHeight="false" outlineLevel="0" collapsed="false">
      <c r="A234" s="56" t="s">
        <v>717</v>
      </c>
      <c r="B234" s="60"/>
      <c r="C234" s="61"/>
      <c r="D234" s="60"/>
      <c r="E234" s="60"/>
      <c r="F234" s="61"/>
      <c r="G234" s="61"/>
      <c r="H234" s="61"/>
      <c r="I234" s="61"/>
      <c r="J234" s="61"/>
      <c r="K234" s="85" t="str">
        <f aca="false">IF(OR(J234="",I234=""),"",J234-I234)</f>
        <v/>
      </c>
      <c r="L234" s="86" t="str">
        <f aca="false">IF(OR(G234="",H234="",J234=""),"",IF(H234=G234,"",MAX(0,MIN(1,(J234-G234)/(H234-G234)))))</f>
        <v/>
      </c>
      <c r="M234" s="61"/>
      <c r="N234" s="63"/>
      <c r="O234" s="87" t="str">
        <f aca="true">IF(N234="","",N234-TODAY())</f>
        <v/>
      </c>
      <c r="P234" s="61"/>
      <c r="Q234" s="60"/>
      <c r="R234" s="63"/>
      <c r="S234" s="60"/>
      <c r="T234" s="88" t="str">
        <f aca="false">IF(AND(B234&lt;&gt;"",AND(R234&lt;&gt;"",R234&gt;='Weekly Report'!$F$4,R234&lt;='Weekly Report'!$F$5)),ROW(),"")</f>
        <v/>
      </c>
    </row>
    <row r="235" customFormat="false" ht="15" hidden="false" customHeight="false" outlineLevel="0" collapsed="false">
      <c r="A235" s="56" t="s">
        <v>718</v>
      </c>
      <c r="B235" s="60"/>
      <c r="C235" s="61"/>
      <c r="D235" s="60"/>
      <c r="E235" s="60"/>
      <c r="F235" s="61"/>
      <c r="G235" s="61"/>
      <c r="H235" s="61"/>
      <c r="I235" s="61"/>
      <c r="J235" s="61"/>
      <c r="K235" s="85" t="str">
        <f aca="false">IF(OR(J235="",I235=""),"",J235-I235)</f>
        <v/>
      </c>
      <c r="L235" s="86" t="str">
        <f aca="false">IF(OR(G235="",H235="",J235=""),"",IF(H235=G235,"",MAX(0,MIN(1,(J235-G235)/(H235-G235)))))</f>
        <v/>
      </c>
      <c r="M235" s="61"/>
      <c r="N235" s="63"/>
      <c r="O235" s="87" t="str">
        <f aca="true">IF(N235="","",N235-TODAY())</f>
        <v/>
      </c>
      <c r="P235" s="61"/>
      <c r="Q235" s="60"/>
      <c r="R235" s="63"/>
      <c r="S235" s="60"/>
      <c r="T235" s="88" t="str">
        <f aca="false">IF(AND(B235&lt;&gt;"",AND(R235&lt;&gt;"",R235&gt;='Weekly Report'!$F$4,R235&lt;='Weekly Report'!$F$5)),ROW(),"")</f>
        <v/>
      </c>
    </row>
    <row r="236" customFormat="false" ht="15" hidden="false" customHeight="false" outlineLevel="0" collapsed="false">
      <c r="A236" s="56" t="s">
        <v>719</v>
      </c>
      <c r="B236" s="60"/>
      <c r="C236" s="61"/>
      <c r="D236" s="60"/>
      <c r="E236" s="60"/>
      <c r="F236" s="61"/>
      <c r="G236" s="61"/>
      <c r="H236" s="61"/>
      <c r="I236" s="61"/>
      <c r="J236" s="61"/>
      <c r="K236" s="85" t="str">
        <f aca="false">IF(OR(J236="",I236=""),"",J236-I236)</f>
        <v/>
      </c>
      <c r="L236" s="86" t="str">
        <f aca="false">IF(OR(G236="",H236="",J236=""),"",IF(H236=G236,"",MAX(0,MIN(1,(J236-G236)/(H236-G236)))))</f>
        <v/>
      </c>
      <c r="M236" s="61"/>
      <c r="N236" s="63"/>
      <c r="O236" s="87" t="str">
        <f aca="true">IF(N236="","",N236-TODAY())</f>
        <v/>
      </c>
      <c r="P236" s="61"/>
      <c r="Q236" s="60"/>
      <c r="R236" s="63"/>
      <c r="S236" s="60"/>
      <c r="T236" s="88" t="str">
        <f aca="false">IF(AND(B236&lt;&gt;"",AND(R236&lt;&gt;"",R236&gt;='Weekly Report'!$F$4,R236&lt;='Weekly Report'!$F$5)),ROW(),"")</f>
        <v/>
      </c>
    </row>
    <row r="237" customFormat="false" ht="15" hidden="false" customHeight="false" outlineLevel="0" collapsed="false">
      <c r="A237" s="56" t="s">
        <v>720</v>
      </c>
      <c r="B237" s="60"/>
      <c r="C237" s="61"/>
      <c r="D237" s="60"/>
      <c r="E237" s="60"/>
      <c r="F237" s="61"/>
      <c r="G237" s="61"/>
      <c r="H237" s="61"/>
      <c r="I237" s="61"/>
      <c r="J237" s="61"/>
      <c r="K237" s="85" t="str">
        <f aca="false">IF(OR(J237="",I237=""),"",J237-I237)</f>
        <v/>
      </c>
      <c r="L237" s="86" t="str">
        <f aca="false">IF(OR(G237="",H237="",J237=""),"",IF(H237=G237,"",MAX(0,MIN(1,(J237-G237)/(H237-G237)))))</f>
        <v/>
      </c>
      <c r="M237" s="61"/>
      <c r="N237" s="63"/>
      <c r="O237" s="87" t="str">
        <f aca="true">IF(N237="","",N237-TODAY())</f>
        <v/>
      </c>
      <c r="P237" s="61"/>
      <c r="Q237" s="60"/>
      <c r="R237" s="63"/>
      <c r="S237" s="60"/>
      <c r="T237" s="88" t="str">
        <f aca="false">IF(AND(B237&lt;&gt;"",AND(R237&lt;&gt;"",R237&gt;='Weekly Report'!$F$4,R237&lt;='Weekly Report'!$F$5)),ROW(),"")</f>
        <v/>
      </c>
    </row>
    <row r="238" customFormat="false" ht="15" hidden="false" customHeight="false" outlineLevel="0" collapsed="false">
      <c r="A238" s="56" t="s">
        <v>721</v>
      </c>
      <c r="B238" s="60"/>
      <c r="C238" s="61"/>
      <c r="D238" s="60"/>
      <c r="E238" s="60"/>
      <c r="F238" s="61"/>
      <c r="G238" s="61"/>
      <c r="H238" s="61"/>
      <c r="I238" s="61"/>
      <c r="J238" s="61"/>
      <c r="K238" s="85" t="str">
        <f aca="false">IF(OR(J238="",I238=""),"",J238-I238)</f>
        <v/>
      </c>
      <c r="L238" s="86" t="str">
        <f aca="false">IF(OR(G238="",H238="",J238=""),"",IF(H238=G238,"",MAX(0,MIN(1,(J238-G238)/(H238-G238)))))</f>
        <v/>
      </c>
      <c r="M238" s="61"/>
      <c r="N238" s="63"/>
      <c r="O238" s="87" t="str">
        <f aca="true">IF(N238="","",N238-TODAY())</f>
        <v/>
      </c>
      <c r="P238" s="61"/>
      <c r="Q238" s="60"/>
      <c r="R238" s="63"/>
      <c r="S238" s="60"/>
      <c r="T238" s="88" t="str">
        <f aca="false">IF(AND(B238&lt;&gt;"",AND(R238&lt;&gt;"",R238&gt;='Weekly Report'!$F$4,R238&lt;='Weekly Report'!$F$5)),ROW(),"")</f>
        <v/>
      </c>
    </row>
    <row r="239" customFormat="false" ht="15" hidden="false" customHeight="false" outlineLevel="0" collapsed="false">
      <c r="A239" s="56" t="s">
        <v>722</v>
      </c>
      <c r="B239" s="60"/>
      <c r="C239" s="61"/>
      <c r="D239" s="60"/>
      <c r="E239" s="60"/>
      <c r="F239" s="61"/>
      <c r="G239" s="61"/>
      <c r="H239" s="61"/>
      <c r="I239" s="61"/>
      <c r="J239" s="61"/>
      <c r="K239" s="85" t="str">
        <f aca="false">IF(OR(J239="",I239=""),"",J239-I239)</f>
        <v/>
      </c>
      <c r="L239" s="86" t="str">
        <f aca="false">IF(OR(G239="",H239="",J239=""),"",IF(H239=G239,"",MAX(0,MIN(1,(J239-G239)/(H239-G239)))))</f>
        <v/>
      </c>
      <c r="M239" s="61"/>
      <c r="N239" s="63"/>
      <c r="O239" s="87" t="str">
        <f aca="true">IF(N239="","",N239-TODAY())</f>
        <v/>
      </c>
      <c r="P239" s="61"/>
      <c r="Q239" s="60"/>
      <c r="R239" s="63"/>
      <c r="S239" s="60"/>
      <c r="T239" s="88" t="str">
        <f aca="false">IF(AND(B239&lt;&gt;"",AND(R239&lt;&gt;"",R239&gt;='Weekly Report'!$F$4,R239&lt;='Weekly Report'!$F$5)),ROW(),"")</f>
        <v/>
      </c>
    </row>
    <row r="240" customFormat="false" ht="15" hidden="false" customHeight="false" outlineLevel="0" collapsed="false">
      <c r="A240" s="56" t="s">
        <v>723</v>
      </c>
      <c r="B240" s="60"/>
      <c r="C240" s="61"/>
      <c r="D240" s="60"/>
      <c r="E240" s="60"/>
      <c r="F240" s="61"/>
      <c r="G240" s="61"/>
      <c r="H240" s="61"/>
      <c r="I240" s="61"/>
      <c r="J240" s="61"/>
      <c r="K240" s="85" t="str">
        <f aca="false">IF(OR(J240="",I240=""),"",J240-I240)</f>
        <v/>
      </c>
      <c r="L240" s="86" t="str">
        <f aca="false">IF(OR(G240="",H240="",J240=""),"",IF(H240=G240,"",MAX(0,MIN(1,(J240-G240)/(H240-G240)))))</f>
        <v/>
      </c>
      <c r="M240" s="61"/>
      <c r="N240" s="63"/>
      <c r="O240" s="87" t="str">
        <f aca="true">IF(N240="","",N240-TODAY())</f>
        <v/>
      </c>
      <c r="P240" s="61"/>
      <c r="Q240" s="60"/>
      <c r="R240" s="63"/>
      <c r="S240" s="60"/>
      <c r="T240" s="88" t="str">
        <f aca="false">IF(AND(B240&lt;&gt;"",AND(R240&lt;&gt;"",R240&gt;='Weekly Report'!$F$4,R240&lt;='Weekly Report'!$F$5)),ROW(),"")</f>
        <v/>
      </c>
    </row>
    <row r="241" customFormat="false" ht="15" hidden="false" customHeight="false" outlineLevel="0" collapsed="false">
      <c r="A241" s="56" t="s">
        <v>724</v>
      </c>
      <c r="B241" s="60"/>
      <c r="C241" s="61"/>
      <c r="D241" s="60"/>
      <c r="E241" s="60"/>
      <c r="F241" s="61"/>
      <c r="G241" s="61"/>
      <c r="H241" s="61"/>
      <c r="I241" s="61"/>
      <c r="J241" s="61"/>
      <c r="K241" s="85" t="str">
        <f aca="false">IF(OR(J241="",I241=""),"",J241-I241)</f>
        <v/>
      </c>
      <c r="L241" s="86" t="str">
        <f aca="false">IF(OR(G241="",H241="",J241=""),"",IF(H241=G241,"",MAX(0,MIN(1,(J241-G241)/(H241-G241)))))</f>
        <v/>
      </c>
      <c r="M241" s="61"/>
      <c r="N241" s="63"/>
      <c r="O241" s="87" t="str">
        <f aca="true">IF(N241="","",N241-TODAY())</f>
        <v/>
      </c>
      <c r="P241" s="61"/>
      <c r="Q241" s="60"/>
      <c r="R241" s="63"/>
      <c r="S241" s="60"/>
      <c r="T241" s="88" t="str">
        <f aca="false">IF(AND(B241&lt;&gt;"",AND(R241&lt;&gt;"",R241&gt;='Weekly Report'!$F$4,R241&lt;='Weekly Report'!$F$5)),ROW(),"")</f>
        <v/>
      </c>
    </row>
    <row r="242" customFormat="false" ht="15" hidden="false" customHeight="false" outlineLevel="0" collapsed="false">
      <c r="A242" s="56" t="s">
        <v>725</v>
      </c>
      <c r="B242" s="60"/>
      <c r="C242" s="61"/>
      <c r="D242" s="60"/>
      <c r="E242" s="60"/>
      <c r="F242" s="61"/>
      <c r="G242" s="61"/>
      <c r="H242" s="61"/>
      <c r="I242" s="61"/>
      <c r="J242" s="61"/>
      <c r="K242" s="85" t="str">
        <f aca="false">IF(OR(J242="",I242=""),"",J242-I242)</f>
        <v/>
      </c>
      <c r="L242" s="86" t="str">
        <f aca="false">IF(OR(G242="",H242="",J242=""),"",IF(H242=G242,"",MAX(0,MIN(1,(J242-G242)/(H242-G242)))))</f>
        <v/>
      </c>
      <c r="M242" s="61"/>
      <c r="N242" s="63"/>
      <c r="O242" s="87" t="str">
        <f aca="true">IF(N242="","",N242-TODAY())</f>
        <v/>
      </c>
      <c r="P242" s="61"/>
      <c r="Q242" s="60"/>
      <c r="R242" s="63"/>
      <c r="S242" s="60"/>
      <c r="T242" s="88" t="str">
        <f aca="false">IF(AND(B242&lt;&gt;"",AND(R242&lt;&gt;"",R242&gt;='Weekly Report'!$F$4,R242&lt;='Weekly Report'!$F$5)),ROW(),"")</f>
        <v/>
      </c>
    </row>
    <row r="243" customFormat="false" ht="15" hidden="false" customHeight="false" outlineLevel="0" collapsed="false">
      <c r="A243" s="56" t="s">
        <v>726</v>
      </c>
      <c r="B243" s="60"/>
      <c r="C243" s="61"/>
      <c r="D243" s="60"/>
      <c r="E243" s="60"/>
      <c r="F243" s="61"/>
      <c r="G243" s="61"/>
      <c r="H243" s="61"/>
      <c r="I243" s="61"/>
      <c r="J243" s="61"/>
      <c r="K243" s="85" t="str">
        <f aca="false">IF(OR(J243="",I243=""),"",J243-I243)</f>
        <v/>
      </c>
      <c r="L243" s="86" t="str">
        <f aca="false">IF(OR(G243="",H243="",J243=""),"",IF(H243=G243,"",MAX(0,MIN(1,(J243-G243)/(H243-G243)))))</f>
        <v/>
      </c>
      <c r="M243" s="61"/>
      <c r="N243" s="63"/>
      <c r="O243" s="87" t="str">
        <f aca="true">IF(N243="","",N243-TODAY())</f>
        <v/>
      </c>
      <c r="P243" s="61"/>
      <c r="Q243" s="60"/>
      <c r="R243" s="63"/>
      <c r="S243" s="60"/>
      <c r="T243" s="88" t="str">
        <f aca="false">IF(AND(B243&lt;&gt;"",AND(R243&lt;&gt;"",R243&gt;='Weekly Report'!$F$4,R243&lt;='Weekly Report'!$F$5)),ROW(),"")</f>
        <v/>
      </c>
    </row>
    <row r="244" customFormat="false" ht="15" hidden="false" customHeight="false" outlineLevel="0" collapsed="false">
      <c r="A244" s="56" t="s">
        <v>727</v>
      </c>
      <c r="B244" s="60"/>
      <c r="C244" s="61"/>
      <c r="D244" s="60"/>
      <c r="E244" s="60"/>
      <c r="F244" s="61"/>
      <c r="G244" s="61"/>
      <c r="H244" s="61"/>
      <c r="I244" s="61"/>
      <c r="J244" s="61"/>
      <c r="K244" s="85" t="str">
        <f aca="false">IF(OR(J244="",I244=""),"",J244-I244)</f>
        <v/>
      </c>
      <c r="L244" s="86" t="str">
        <f aca="false">IF(OR(G244="",H244="",J244=""),"",IF(H244=G244,"",MAX(0,MIN(1,(J244-G244)/(H244-G244)))))</f>
        <v/>
      </c>
      <c r="M244" s="61"/>
      <c r="N244" s="63"/>
      <c r="O244" s="87" t="str">
        <f aca="true">IF(N244="","",N244-TODAY())</f>
        <v/>
      </c>
      <c r="P244" s="61"/>
      <c r="Q244" s="60"/>
      <c r="R244" s="63"/>
      <c r="S244" s="60"/>
      <c r="T244" s="88" t="str">
        <f aca="false">IF(AND(B244&lt;&gt;"",AND(R244&lt;&gt;"",R244&gt;='Weekly Report'!$F$4,R244&lt;='Weekly Report'!$F$5)),ROW(),"")</f>
        <v/>
      </c>
    </row>
    <row r="245" customFormat="false" ht="15" hidden="false" customHeight="false" outlineLevel="0" collapsed="false">
      <c r="A245" s="56" t="s">
        <v>728</v>
      </c>
      <c r="B245" s="60"/>
      <c r="C245" s="61"/>
      <c r="D245" s="60"/>
      <c r="E245" s="60"/>
      <c r="F245" s="61"/>
      <c r="G245" s="61"/>
      <c r="H245" s="61"/>
      <c r="I245" s="61"/>
      <c r="J245" s="61"/>
      <c r="K245" s="85" t="str">
        <f aca="false">IF(OR(J245="",I245=""),"",J245-I245)</f>
        <v/>
      </c>
      <c r="L245" s="86" t="str">
        <f aca="false">IF(OR(G245="",H245="",J245=""),"",IF(H245=G245,"",MAX(0,MIN(1,(J245-G245)/(H245-G245)))))</f>
        <v/>
      </c>
      <c r="M245" s="61"/>
      <c r="N245" s="63"/>
      <c r="O245" s="87" t="str">
        <f aca="true">IF(N245="","",N245-TODAY())</f>
        <v/>
      </c>
      <c r="P245" s="61"/>
      <c r="Q245" s="60"/>
      <c r="R245" s="63"/>
      <c r="S245" s="60"/>
      <c r="T245" s="88" t="str">
        <f aca="false">IF(AND(B245&lt;&gt;"",AND(R245&lt;&gt;"",R245&gt;='Weekly Report'!$F$4,R245&lt;='Weekly Report'!$F$5)),ROW(),"")</f>
        <v/>
      </c>
    </row>
    <row r="246" customFormat="false" ht="15" hidden="false" customHeight="false" outlineLevel="0" collapsed="false">
      <c r="A246" s="56" t="s">
        <v>729</v>
      </c>
      <c r="B246" s="60"/>
      <c r="C246" s="61"/>
      <c r="D246" s="60"/>
      <c r="E246" s="60"/>
      <c r="F246" s="61"/>
      <c r="G246" s="61"/>
      <c r="H246" s="61"/>
      <c r="I246" s="61"/>
      <c r="J246" s="61"/>
      <c r="K246" s="85" t="str">
        <f aca="false">IF(OR(J246="",I246=""),"",J246-I246)</f>
        <v/>
      </c>
      <c r="L246" s="86" t="str">
        <f aca="false">IF(OR(G246="",H246="",J246=""),"",IF(H246=G246,"",MAX(0,MIN(1,(J246-G246)/(H246-G246)))))</f>
        <v/>
      </c>
      <c r="M246" s="61"/>
      <c r="N246" s="63"/>
      <c r="O246" s="87" t="str">
        <f aca="true">IF(N246="","",N246-TODAY())</f>
        <v/>
      </c>
      <c r="P246" s="61"/>
      <c r="Q246" s="60"/>
      <c r="R246" s="63"/>
      <c r="S246" s="60"/>
      <c r="T246" s="88" t="str">
        <f aca="false">IF(AND(B246&lt;&gt;"",AND(R246&lt;&gt;"",R246&gt;='Weekly Report'!$F$4,R246&lt;='Weekly Report'!$F$5)),ROW(),"")</f>
        <v/>
      </c>
    </row>
    <row r="247" customFormat="false" ht="15" hidden="false" customHeight="false" outlineLevel="0" collapsed="false">
      <c r="A247" s="56" t="s">
        <v>730</v>
      </c>
      <c r="B247" s="60"/>
      <c r="C247" s="61"/>
      <c r="D247" s="60"/>
      <c r="E247" s="60"/>
      <c r="F247" s="61"/>
      <c r="G247" s="61"/>
      <c r="H247" s="61"/>
      <c r="I247" s="61"/>
      <c r="J247" s="61"/>
      <c r="K247" s="85" t="str">
        <f aca="false">IF(OR(J247="",I247=""),"",J247-I247)</f>
        <v/>
      </c>
      <c r="L247" s="86" t="str">
        <f aca="false">IF(OR(G247="",H247="",J247=""),"",IF(H247=G247,"",MAX(0,MIN(1,(J247-G247)/(H247-G247)))))</f>
        <v/>
      </c>
      <c r="M247" s="61"/>
      <c r="N247" s="63"/>
      <c r="O247" s="87" t="str">
        <f aca="true">IF(N247="","",N247-TODAY())</f>
        <v/>
      </c>
      <c r="P247" s="61"/>
      <c r="Q247" s="60"/>
      <c r="R247" s="63"/>
      <c r="S247" s="60"/>
      <c r="T247" s="88" t="str">
        <f aca="false">IF(AND(B247&lt;&gt;"",AND(R247&lt;&gt;"",R247&gt;='Weekly Report'!$F$4,R247&lt;='Weekly Report'!$F$5)),ROW(),"")</f>
        <v/>
      </c>
    </row>
    <row r="248" customFormat="false" ht="15" hidden="false" customHeight="false" outlineLevel="0" collapsed="false">
      <c r="A248" s="56" t="s">
        <v>731</v>
      </c>
      <c r="B248" s="60"/>
      <c r="C248" s="61"/>
      <c r="D248" s="60"/>
      <c r="E248" s="60"/>
      <c r="F248" s="61"/>
      <c r="G248" s="61"/>
      <c r="H248" s="61"/>
      <c r="I248" s="61"/>
      <c r="J248" s="61"/>
      <c r="K248" s="85" t="str">
        <f aca="false">IF(OR(J248="",I248=""),"",J248-I248)</f>
        <v/>
      </c>
      <c r="L248" s="86" t="str">
        <f aca="false">IF(OR(G248="",H248="",J248=""),"",IF(H248=G248,"",MAX(0,MIN(1,(J248-G248)/(H248-G248)))))</f>
        <v/>
      </c>
      <c r="M248" s="61"/>
      <c r="N248" s="63"/>
      <c r="O248" s="87" t="str">
        <f aca="true">IF(N248="","",N248-TODAY())</f>
        <v/>
      </c>
      <c r="P248" s="61"/>
      <c r="Q248" s="60"/>
      <c r="R248" s="63"/>
      <c r="S248" s="60"/>
      <c r="T248" s="88" t="str">
        <f aca="false">IF(AND(B248&lt;&gt;"",AND(R248&lt;&gt;"",R248&gt;='Weekly Report'!$F$4,R248&lt;='Weekly Report'!$F$5)),ROW(),"")</f>
        <v/>
      </c>
    </row>
    <row r="249" customFormat="false" ht="15" hidden="false" customHeight="false" outlineLevel="0" collapsed="false">
      <c r="A249" s="56" t="s">
        <v>732</v>
      </c>
      <c r="B249" s="60"/>
      <c r="C249" s="61"/>
      <c r="D249" s="60"/>
      <c r="E249" s="60"/>
      <c r="F249" s="61"/>
      <c r="G249" s="61"/>
      <c r="H249" s="61"/>
      <c r="I249" s="61"/>
      <c r="J249" s="61"/>
      <c r="K249" s="85" t="str">
        <f aca="false">IF(OR(J249="",I249=""),"",J249-I249)</f>
        <v/>
      </c>
      <c r="L249" s="86" t="str">
        <f aca="false">IF(OR(G249="",H249="",J249=""),"",IF(H249=G249,"",MAX(0,MIN(1,(J249-G249)/(H249-G249)))))</f>
        <v/>
      </c>
      <c r="M249" s="61"/>
      <c r="N249" s="63"/>
      <c r="O249" s="87" t="str">
        <f aca="true">IF(N249="","",N249-TODAY())</f>
        <v/>
      </c>
      <c r="P249" s="61"/>
      <c r="Q249" s="60"/>
      <c r="R249" s="63"/>
      <c r="S249" s="60"/>
      <c r="T249" s="88" t="str">
        <f aca="false">IF(AND(B249&lt;&gt;"",AND(R249&lt;&gt;"",R249&gt;='Weekly Report'!$F$4,R249&lt;='Weekly Report'!$F$5)),ROW(),"")</f>
        <v/>
      </c>
    </row>
    <row r="250" customFormat="false" ht="15" hidden="false" customHeight="false" outlineLevel="0" collapsed="false">
      <c r="A250" s="56" t="s">
        <v>733</v>
      </c>
      <c r="B250" s="60"/>
      <c r="C250" s="61"/>
      <c r="D250" s="60"/>
      <c r="E250" s="60"/>
      <c r="F250" s="61"/>
      <c r="G250" s="61"/>
      <c r="H250" s="61"/>
      <c r="I250" s="61"/>
      <c r="J250" s="61"/>
      <c r="K250" s="85" t="str">
        <f aca="false">IF(OR(J250="",I250=""),"",J250-I250)</f>
        <v/>
      </c>
      <c r="L250" s="86" t="str">
        <f aca="false">IF(OR(G250="",H250="",J250=""),"",IF(H250=G250,"",MAX(0,MIN(1,(J250-G250)/(H250-G250)))))</f>
        <v/>
      </c>
      <c r="M250" s="61"/>
      <c r="N250" s="63"/>
      <c r="O250" s="87" t="str">
        <f aca="true">IF(N250="","",N250-TODAY())</f>
        <v/>
      </c>
      <c r="P250" s="61"/>
      <c r="Q250" s="60"/>
      <c r="R250" s="63"/>
      <c r="S250" s="60"/>
      <c r="T250" s="88" t="str">
        <f aca="false">IF(AND(B250&lt;&gt;"",AND(R250&lt;&gt;"",R250&gt;='Weekly Report'!$F$4,R250&lt;='Weekly Report'!$F$5)),ROW(),"")</f>
        <v/>
      </c>
    </row>
    <row r="251" customFormat="false" ht="15" hidden="false" customHeight="false" outlineLevel="0" collapsed="false">
      <c r="A251" s="56" t="s">
        <v>734</v>
      </c>
      <c r="B251" s="60"/>
      <c r="C251" s="61"/>
      <c r="D251" s="60"/>
      <c r="E251" s="60"/>
      <c r="F251" s="61"/>
      <c r="G251" s="61"/>
      <c r="H251" s="61"/>
      <c r="I251" s="61"/>
      <c r="J251" s="61"/>
      <c r="K251" s="85" t="str">
        <f aca="false">IF(OR(J251="",I251=""),"",J251-I251)</f>
        <v/>
      </c>
      <c r="L251" s="86" t="str">
        <f aca="false">IF(OR(G251="",H251="",J251=""),"",IF(H251=G251,"",MAX(0,MIN(1,(J251-G251)/(H251-G251)))))</f>
        <v/>
      </c>
      <c r="M251" s="61"/>
      <c r="N251" s="63"/>
      <c r="O251" s="87" t="str">
        <f aca="true">IF(N251="","",N251-TODAY())</f>
        <v/>
      </c>
      <c r="P251" s="61"/>
      <c r="Q251" s="60"/>
      <c r="R251" s="63"/>
      <c r="S251" s="60"/>
      <c r="T251" s="88" t="str">
        <f aca="false">IF(AND(B251&lt;&gt;"",AND(R251&lt;&gt;"",R251&gt;='Weekly Report'!$F$4,R251&lt;='Weekly Report'!$F$5)),ROW(),"")</f>
        <v/>
      </c>
    </row>
    <row r="252" customFormat="false" ht="15" hidden="false" customHeight="false" outlineLevel="0" collapsed="false">
      <c r="A252" s="56" t="s">
        <v>735</v>
      </c>
      <c r="B252" s="60"/>
      <c r="C252" s="61"/>
      <c r="D252" s="60"/>
      <c r="E252" s="60"/>
      <c r="F252" s="61"/>
      <c r="G252" s="61"/>
      <c r="H252" s="61"/>
      <c r="I252" s="61"/>
      <c r="J252" s="61"/>
      <c r="K252" s="85" t="str">
        <f aca="false">IF(OR(J252="",I252=""),"",J252-I252)</f>
        <v/>
      </c>
      <c r="L252" s="86" t="str">
        <f aca="false">IF(OR(G252="",H252="",J252=""),"",IF(H252=G252,"",MAX(0,MIN(1,(J252-G252)/(H252-G252)))))</f>
        <v/>
      </c>
      <c r="M252" s="61"/>
      <c r="N252" s="63"/>
      <c r="O252" s="87" t="str">
        <f aca="true">IF(N252="","",N252-TODAY())</f>
        <v/>
      </c>
      <c r="P252" s="61"/>
      <c r="Q252" s="60"/>
      <c r="R252" s="63"/>
      <c r="S252" s="60"/>
      <c r="T252" s="88" t="str">
        <f aca="false">IF(AND(B252&lt;&gt;"",AND(R252&lt;&gt;"",R252&gt;='Weekly Report'!$F$4,R252&lt;='Weekly Report'!$F$5)),ROW(),"")</f>
        <v/>
      </c>
    </row>
    <row r="253" customFormat="false" ht="15" hidden="false" customHeight="false" outlineLevel="0" collapsed="false">
      <c r="A253" s="56" t="s">
        <v>736</v>
      </c>
      <c r="B253" s="60"/>
      <c r="C253" s="61"/>
      <c r="D253" s="60"/>
      <c r="E253" s="60"/>
      <c r="F253" s="61"/>
      <c r="G253" s="61"/>
      <c r="H253" s="61"/>
      <c r="I253" s="61"/>
      <c r="J253" s="61"/>
      <c r="K253" s="85" t="str">
        <f aca="false">IF(OR(J253="",I253=""),"",J253-I253)</f>
        <v/>
      </c>
      <c r="L253" s="86" t="str">
        <f aca="false">IF(OR(G253="",H253="",J253=""),"",IF(H253=G253,"",MAX(0,MIN(1,(J253-G253)/(H253-G253)))))</f>
        <v/>
      </c>
      <c r="M253" s="61"/>
      <c r="N253" s="63"/>
      <c r="O253" s="87" t="str">
        <f aca="true">IF(N253="","",N253-TODAY())</f>
        <v/>
      </c>
      <c r="P253" s="61"/>
      <c r="Q253" s="60"/>
      <c r="R253" s="63"/>
      <c r="S253" s="60"/>
      <c r="T253" s="88" t="str">
        <f aca="false">IF(AND(B253&lt;&gt;"",AND(R253&lt;&gt;"",R253&gt;='Weekly Report'!$F$4,R253&lt;='Weekly Report'!$F$5)),ROW(),"")</f>
        <v/>
      </c>
    </row>
    <row r="254" customFormat="false" ht="15" hidden="false" customHeight="false" outlineLevel="0" collapsed="false">
      <c r="A254" s="56" t="s">
        <v>737</v>
      </c>
      <c r="B254" s="60"/>
      <c r="C254" s="61"/>
      <c r="D254" s="60"/>
      <c r="E254" s="60"/>
      <c r="F254" s="61"/>
      <c r="G254" s="61"/>
      <c r="H254" s="61"/>
      <c r="I254" s="61"/>
      <c r="J254" s="61"/>
      <c r="K254" s="85" t="str">
        <f aca="false">IF(OR(J254="",I254=""),"",J254-I254)</f>
        <v/>
      </c>
      <c r="L254" s="86" t="str">
        <f aca="false">IF(OR(G254="",H254="",J254=""),"",IF(H254=G254,"",MAX(0,MIN(1,(J254-G254)/(H254-G254)))))</f>
        <v/>
      </c>
      <c r="M254" s="61"/>
      <c r="N254" s="63"/>
      <c r="O254" s="87" t="str">
        <f aca="true">IF(N254="","",N254-TODAY())</f>
        <v/>
      </c>
      <c r="P254" s="61"/>
      <c r="Q254" s="60"/>
      <c r="R254" s="63"/>
      <c r="S254" s="60"/>
      <c r="T254" s="88" t="str">
        <f aca="false">IF(AND(B254&lt;&gt;"",AND(R254&lt;&gt;"",R254&gt;='Weekly Report'!$F$4,R254&lt;='Weekly Report'!$F$5)),ROW(),"")</f>
        <v/>
      </c>
    </row>
    <row r="255" customFormat="false" ht="15" hidden="false" customHeight="false" outlineLevel="0" collapsed="false">
      <c r="A255" s="56" t="s">
        <v>738</v>
      </c>
      <c r="B255" s="60"/>
      <c r="C255" s="61"/>
      <c r="D255" s="60"/>
      <c r="E255" s="60"/>
      <c r="F255" s="61"/>
      <c r="G255" s="61"/>
      <c r="H255" s="61"/>
      <c r="I255" s="61"/>
      <c r="J255" s="61"/>
      <c r="K255" s="85" t="str">
        <f aca="false">IF(OR(J255="",I255=""),"",J255-I255)</f>
        <v/>
      </c>
      <c r="L255" s="86" t="str">
        <f aca="false">IF(OR(G255="",H255="",J255=""),"",IF(H255=G255,"",MAX(0,MIN(1,(J255-G255)/(H255-G255)))))</f>
        <v/>
      </c>
      <c r="M255" s="61"/>
      <c r="N255" s="63"/>
      <c r="O255" s="87" t="str">
        <f aca="true">IF(N255="","",N255-TODAY())</f>
        <v/>
      </c>
      <c r="P255" s="61"/>
      <c r="Q255" s="60"/>
      <c r="R255" s="63"/>
      <c r="S255" s="60"/>
      <c r="T255" s="88" t="str">
        <f aca="false">IF(AND(B255&lt;&gt;"",AND(R255&lt;&gt;"",R255&gt;='Weekly Report'!$F$4,R255&lt;='Weekly Report'!$F$5)),ROW(),"")</f>
        <v/>
      </c>
    </row>
    <row r="256" customFormat="false" ht="15" hidden="false" customHeight="false" outlineLevel="0" collapsed="false">
      <c r="A256" s="56" t="s">
        <v>739</v>
      </c>
      <c r="B256" s="60"/>
      <c r="C256" s="61"/>
      <c r="D256" s="60"/>
      <c r="E256" s="60"/>
      <c r="F256" s="61"/>
      <c r="G256" s="61"/>
      <c r="H256" s="61"/>
      <c r="I256" s="61"/>
      <c r="J256" s="61"/>
      <c r="K256" s="85" t="str">
        <f aca="false">IF(OR(J256="",I256=""),"",J256-I256)</f>
        <v/>
      </c>
      <c r="L256" s="86" t="str">
        <f aca="false">IF(OR(G256="",H256="",J256=""),"",IF(H256=G256,"",MAX(0,MIN(1,(J256-G256)/(H256-G256)))))</f>
        <v/>
      </c>
      <c r="M256" s="61"/>
      <c r="N256" s="63"/>
      <c r="O256" s="87" t="str">
        <f aca="true">IF(N256="","",N256-TODAY())</f>
        <v/>
      </c>
      <c r="P256" s="61"/>
      <c r="Q256" s="60"/>
      <c r="R256" s="63"/>
      <c r="S256" s="60"/>
      <c r="T256" s="88" t="str">
        <f aca="false">IF(AND(B256&lt;&gt;"",AND(R256&lt;&gt;"",R256&gt;='Weekly Report'!$F$4,R256&lt;='Weekly Report'!$F$5)),ROW(),"")</f>
        <v/>
      </c>
    </row>
    <row r="257" customFormat="false" ht="15" hidden="false" customHeight="false" outlineLevel="0" collapsed="false">
      <c r="A257" s="56" t="s">
        <v>740</v>
      </c>
      <c r="B257" s="60"/>
      <c r="C257" s="61"/>
      <c r="D257" s="60"/>
      <c r="E257" s="60"/>
      <c r="F257" s="61"/>
      <c r="G257" s="61"/>
      <c r="H257" s="61"/>
      <c r="I257" s="61"/>
      <c r="J257" s="61"/>
      <c r="K257" s="85" t="str">
        <f aca="false">IF(OR(J257="",I257=""),"",J257-I257)</f>
        <v/>
      </c>
      <c r="L257" s="86" t="str">
        <f aca="false">IF(OR(G257="",H257="",J257=""),"",IF(H257=G257,"",MAX(0,MIN(1,(J257-G257)/(H257-G257)))))</f>
        <v/>
      </c>
      <c r="M257" s="61"/>
      <c r="N257" s="63"/>
      <c r="O257" s="87" t="str">
        <f aca="true">IF(N257="","",N257-TODAY())</f>
        <v/>
      </c>
      <c r="P257" s="61"/>
      <c r="Q257" s="60"/>
      <c r="R257" s="63"/>
      <c r="S257" s="60"/>
      <c r="T257" s="88" t="str">
        <f aca="false">IF(AND(B257&lt;&gt;"",AND(R257&lt;&gt;"",R257&gt;='Weekly Report'!$F$4,R257&lt;='Weekly Report'!$F$5)),ROW(),"")</f>
        <v/>
      </c>
    </row>
    <row r="258" customFormat="false" ht="15" hidden="false" customHeight="false" outlineLevel="0" collapsed="false">
      <c r="A258" s="56" t="s">
        <v>741</v>
      </c>
      <c r="B258" s="60"/>
      <c r="C258" s="61"/>
      <c r="D258" s="60"/>
      <c r="E258" s="60"/>
      <c r="F258" s="61"/>
      <c r="G258" s="61"/>
      <c r="H258" s="61"/>
      <c r="I258" s="61"/>
      <c r="J258" s="61"/>
      <c r="K258" s="85" t="str">
        <f aca="false">IF(OR(J258="",I258=""),"",J258-I258)</f>
        <v/>
      </c>
      <c r="L258" s="86" t="str">
        <f aca="false">IF(OR(G258="",H258="",J258=""),"",IF(H258=G258,"",MAX(0,MIN(1,(J258-G258)/(H258-G258)))))</f>
        <v/>
      </c>
      <c r="M258" s="61"/>
      <c r="N258" s="63"/>
      <c r="O258" s="87" t="str">
        <f aca="true">IF(N258="","",N258-TODAY())</f>
        <v/>
      </c>
      <c r="P258" s="61"/>
      <c r="Q258" s="60"/>
      <c r="R258" s="63"/>
      <c r="S258" s="60"/>
      <c r="T258" s="88" t="str">
        <f aca="false">IF(AND(B258&lt;&gt;"",AND(R258&lt;&gt;"",R258&gt;='Weekly Report'!$F$4,R258&lt;='Weekly Report'!$F$5)),ROW(),"")</f>
        <v/>
      </c>
    </row>
    <row r="259" customFormat="false" ht="15" hidden="false" customHeight="false" outlineLevel="0" collapsed="false">
      <c r="A259" s="56" t="s">
        <v>742</v>
      </c>
      <c r="B259" s="60"/>
      <c r="C259" s="61"/>
      <c r="D259" s="60"/>
      <c r="E259" s="60"/>
      <c r="F259" s="61"/>
      <c r="G259" s="61"/>
      <c r="H259" s="61"/>
      <c r="I259" s="61"/>
      <c r="J259" s="61"/>
      <c r="K259" s="85" t="str">
        <f aca="false">IF(OR(J259="",I259=""),"",J259-I259)</f>
        <v/>
      </c>
      <c r="L259" s="86" t="str">
        <f aca="false">IF(OR(G259="",H259="",J259=""),"",IF(H259=G259,"",MAX(0,MIN(1,(J259-G259)/(H259-G259)))))</f>
        <v/>
      </c>
      <c r="M259" s="61"/>
      <c r="N259" s="63"/>
      <c r="O259" s="87" t="str">
        <f aca="true">IF(N259="","",N259-TODAY())</f>
        <v/>
      </c>
      <c r="P259" s="61"/>
      <c r="Q259" s="60"/>
      <c r="R259" s="63"/>
      <c r="S259" s="60"/>
      <c r="T259" s="88" t="str">
        <f aca="false">IF(AND(B259&lt;&gt;"",AND(R259&lt;&gt;"",R259&gt;='Weekly Report'!$F$4,R259&lt;='Weekly Report'!$F$5)),ROW(),"")</f>
        <v/>
      </c>
    </row>
    <row r="260" customFormat="false" ht="15" hidden="false" customHeight="false" outlineLevel="0" collapsed="false">
      <c r="A260" s="56" t="s">
        <v>743</v>
      </c>
      <c r="B260" s="60"/>
      <c r="C260" s="61"/>
      <c r="D260" s="60"/>
      <c r="E260" s="60"/>
      <c r="F260" s="61"/>
      <c r="G260" s="61"/>
      <c r="H260" s="61"/>
      <c r="I260" s="61"/>
      <c r="J260" s="61"/>
      <c r="K260" s="85" t="str">
        <f aca="false">IF(OR(J260="",I260=""),"",J260-I260)</f>
        <v/>
      </c>
      <c r="L260" s="86" t="str">
        <f aca="false">IF(OR(G260="",H260="",J260=""),"",IF(H260=G260,"",MAX(0,MIN(1,(J260-G260)/(H260-G260)))))</f>
        <v/>
      </c>
      <c r="M260" s="61"/>
      <c r="N260" s="63"/>
      <c r="O260" s="87" t="str">
        <f aca="true">IF(N260="","",N260-TODAY())</f>
        <v/>
      </c>
      <c r="P260" s="61"/>
      <c r="Q260" s="60"/>
      <c r="R260" s="63"/>
      <c r="S260" s="60"/>
      <c r="T260" s="88" t="str">
        <f aca="false">IF(AND(B260&lt;&gt;"",AND(R260&lt;&gt;"",R260&gt;='Weekly Report'!$F$4,R260&lt;='Weekly Report'!$F$5)),ROW(),"")</f>
        <v/>
      </c>
    </row>
    <row r="261" customFormat="false" ht="15" hidden="false" customHeight="false" outlineLevel="0" collapsed="false">
      <c r="A261" s="56" t="s">
        <v>744</v>
      </c>
      <c r="B261" s="60"/>
      <c r="C261" s="61"/>
      <c r="D261" s="60"/>
      <c r="E261" s="60"/>
      <c r="F261" s="61"/>
      <c r="G261" s="61"/>
      <c r="H261" s="61"/>
      <c r="I261" s="61"/>
      <c r="J261" s="61"/>
      <c r="K261" s="85" t="str">
        <f aca="false">IF(OR(J261="",I261=""),"",J261-I261)</f>
        <v/>
      </c>
      <c r="L261" s="86" t="str">
        <f aca="false">IF(OR(G261="",H261="",J261=""),"",IF(H261=G261,"",MAX(0,MIN(1,(J261-G261)/(H261-G261)))))</f>
        <v/>
      </c>
      <c r="M261" s="61"/>
      <c r="N261" s="63"/>
      <c r="O261" s="87" t="str">
        <f aca="true">IF(N261="","",N261-TODAY())</f>
        <v/>
      </c>
      <c r="P261" s="61"/>
      <c r="Q261" s="60"/>
      <c r="R261" s="63"/>
      <c r="S261" s="60"/>
      <c r="T261" s="88" t="str">
        <f aca="false">IF(AND(B261&lt;&gt;"",AND(R261&lt;&gt;"",R261&gt;='Weekly Report'!$F$4,R261&lt;='Weekly Report'!$F$5)),ROW(),"")</f>
        <v/>
      </c>
    </row>
    <row r="262" customFormat="false" ht="15" hidden="false" customHeight="false" outlineLevel="0" collapsed="false">
      <c r="A262" s="56" t="s">
        <v>745</v>
      </c>
      <c r="B262" s="60"/>
      <c r="C262" s="61"/>
      <c r="D262" s="60"/>
      <c r="E262" s="60"/>
      <c r="F262" s="61"/>
      <c r="G262" s="61"/>
      <c r="H262" s="61"/>
      <c r="I262" s="61"/>
      <c r="J262" s="61"/>
      <c r="K262" s="85" t="str">
        <f aca="false">IF(OR(J262="",I262=""),"",J262-I262)</f>
        <v/>
      </c>
      <c r="L262" s="86" t="str">
        <f aca="false">IF(OR(G262="",H262="",J262=""),"",IF(H262=G262,"",MAX(0,MIN(1,(J262-G262)/(H262-G262)))))</f>
        <v/>
      </c>
      <c r="M262" s="61"/>
      <c r="N262" s="63"/>
      <c r="O262" s="87" t="str">
        <f aca="true">IF(N262="","",N262-TODAY())</f>
        <v/>
      </c>
      <c r="P262" s="61"/>
      <c r="Q262" s="60"/>
      <c r="R262" s="63"/>
      <c r="S262" s="60"/>
      <c r="T262" s="88" t="str">
        <f aca="false">IF(AND(B262&lt;&gt;"",AND(R262&lt;&gt;"",R262&gt;='Weekly Report'!$F$4,R262&lt;='Weekly Report'!$F$5)),ROW(),"")</f>
        <v/>
      </c>
    </row>
    <row r="263" customFormat="false" ht="15" hidden="false" customHeight="false" outlineLevel="0" collapsed="false">
      <c r="A263" s="56" t="s">
        <v>746</v>
      </c>
      <c r="B263" s="60"/>
      <c r="C263" s="61"/>
      <c r="D263" s="60"/>
      <c r="E263" s="60"/>
      <c r="F263" s="61"/>
      <c r="G263" s="61"/>
      <c r="H263" s="61"/>
      <c r="I263" s="61"/>
      <c r="J263" s="61"/>
      <c r="K263" s="85" t="str">
        <f aca="false">IF(OR(J263="",I263=""),"",J263-I263)</f>
        <v/>
      </c>
      <c r="L263" s="86" t="str">
        <f aca="false">IF(OR(G263="",H263="",J263=""),"",IF(H263=G263,"",MAX(0,MIN(1,(J263-G263)/(H263-G263)))))</f>
        <v/>
      </c>
      <c r="M263" s="61"/>
      <c r="N263" s="63"/>
      <c r="O263" s="87" t="str">
        <f aca="true">IF(N263="","",N263-TODAY())</f>
        <v/>
      </c>
      <c r="P263" s="61"/>
      <c r="Q263" s="60"/>
      <c r="R263" s="63"/>
      <c r="S263" s="60"/>
      <c r="T263" s="88" t="str">
        <f aca="false">IF(AND(B263&lt;&gt;"",AND(R263&lt;&gt;"",R263&gt;='Weekly Report'!$F$4,R263&lt;='Weekly Report'!$F$5)),ROW(),"")</f>
        <v/>
      </c>
    </row>
    <row r="264" customFormat="false" ht="15" hidden="false" customHeight="false" outlineLevel="0" collapsed="false">
      <c r="A264" s="56" t="s">
        <v>747</v>
      </c>
      <c r="B264" s="60"/>
      <c r="C264" s="61"/>
      <c r="D264" s="60"/>
      <c r="E264" s="60"/>
      <c r="F264" s="61"/>
      <c r="G264" s="61"/>
      <c r="H264" s="61"/>
      <c r="I264" s="61"/>
      <c r="J264" s="61"/>
      <c r="K264" s="85" t="str">
        <f aca="false">IF(OR(J264="",I264=""),"",J264-I264)</f>
        <v/>
      </c>
      <c r="L264" s="86" t="str">
        <f aca="false">IF(OR(G264="",H264="",J264=""),"",IF(H264=G264,"",MAX(0,MIN(1,(J264-G264)/(H264-G264)))))</f>
        <v/>
      </c>
      <c r="M264" s="61"/>
      <c r="N264" s="63"/>
      <c r="O264" s="87" t="str">
        <f aca="true">IF(N264="","",N264-TODAY())</f>
        <v/>
      </c>
      <c r="P264" s="61"/>
      <c r="Q264" s="60"/>
      <c r="R264" s="63"/>
      <c r="S264" s="60"/>
      <c r="T264" s="88" t="str">
        <f aca="false">IF(AND(B264&lt;&gt;"",AND(R264&lt;&gt;"",R264&gt;='Weekly Report'!$F$4,R264&lt;='Weekly Report'!$F$5)),ROW(),"")</f>
        <v/>
      </c>
    </row>
    <row r="265" customFormat="false" ht="15" hidden="false" customHeight="false" outlineLevel="0" collapsed="false">
      <c r="A265" s="56" t="s">
        <v>748</v>
      </c>
      <c r="B265" s="60"/>
      <c r="C265" s="61"/>
      <c r="D265" s="60"/>
      <c r="E265" s="60"/>
      <c r="F265" s="61"/>
      <c r="G265" s="61"/>
      <c r="H265" s="61"/>
      <c r="I265" s="61"/>
      <c r="J265" s="61"/>
      <c r="K265" s="85" t="str">
        <f aca="false">IF(OR(J265="",I265=""),"",J265-I265)</f>
        <v/>
      </c>
      <c r="L265" s="86" t="str">
        <f aca="false">IF(OR(G265="",H265="",J265=""),"",IF(H265=G265,"",MAX(0,MIN(1,(J265-G265)/(H265-G265)))))</f>
        <v/>
      </c>
      <c r="M265" s="61"/>
      <c r="N265" s="63"/>
      <c r="O265" s="87" t="str">
        <f aca="true">IF(N265="","",N265-TODAY())</f>
        <v/>
      </c>
      <c r="P265" s="61"/>
      <c r="Q265" s="60"/>
      <c r="R265" s="63"/>
      <c r="S265" s="60"/>
      <c r="T265" s="88" t="str">
        <f aca="false">IF(AND(B265&lt;&gt;"",AND(R265&lt;&gt;"",R265&gt;='Weekly Report'!$F$4,R265&lt;='Weekly Report'!$F$5)),ROW(),"")</f>
        <v/>
      </c>
    </row>
    <row r="266" customFormat="false" ht="15" hidden="false" customHeight="false" outlineLevel="0" collapsed="false">
      <c r="A266" s="56" t="s">
        <v>749</v>
      </c>
      <c r="B266" s="60"/>
      <c r="C266" s="61"/>
      <c r="D266" s="60"/>
      <c r="E266" s="60"/>
      <c r="F266" s="61"/>
      <c r="G266" s="61"/>
      <c r="H266" s="61"/>
      <c r="I266" s="61"/>
      <c r="J266" s="61"/>
      <c r="K266" s="85" t="str">
        <f aca="false">IF(OR(J266="",I266=""),"",J266-I266)</f>
        <v/>
      </c>
      <c r="L266" s="86" t="str">
        <f aca="false">IF(OR(G266="",H266="",J266=""),"",IF(H266=G266,"",MAX(0,MIN(1,(J266-G266)/(H266-G266)))))</f>
        <v/>
      </c>
      <c r="M266" s="61"/>
      <c r="N266" s="63"/>
      <c r="O266" s="87" t="str">
        <f aca="true">IF(N266="","",N266-TODAY())</f>
        <v/>
      </c>
      <c r="P266" s="61"/>
      <c r="Q266" s="60"/>
      <c r="R266" s="63"/>
      <c r="S266" s="60"/>
      <c r="T266" s="88" t="str">
        <f aca="false">IF(AND(B266&lt;&gt;"",AND(R266&lt;&gt;"",R266&gt;='Weekly Report'!$F$4,R266&lt;='Weekly Report'!$F$5)),ROW(),"")</f>
        <v/>
      </c>
    </row>
    <row r="267" customFormat="false" ht="15" hidden="false" customHeight="false" outlineLevel="0" collapsed="false">
      <c r="A267" s="56" t="s">
        <v>750</v>
      </c>
      <c r="B267" s="60"/>
      <c r="C267" s="61"/>
      <c r="D267" s="60"/>
      <c r="E267" s="60"/>
      <c r="F267" s="61"/>
      <c r="G267" s="61"/>
      <c r="H267" s="61"/>
      <c r="I267" s="61"/>
      <c r="J267" s="61"/>
      <c r="K267" s="85" t="str">
        <f aca="false">IF(OR(J267="",I267=""),"",J267-I267)</f>
        <v/>
      </c>
      <c r="L267" s="86" t="str">
        <f aca="false">IF(OR(G267="",H267="",J267=""),"",IF(H267=G267,"",MAX(0,MIN(1,(J267-G267)/(H267-G267)))))</f>
        <v/>
      </c>
      <c r="M267" s="61"/>
      <c r="N267" s="63"/>
      <c r="O267" s="87" t="str">
        <f aca="true">IF(N267="","",N267-TODAY())</f>
        <v/>
      </c>
      <c r="P267" s="61"/>
      <c r="Q267" s="60"/>
      <c r="R267" s="63"/>
      <c r="S267" s="60"/>
      <c r="T267" s="88" t="str">
        <f aca="false">IF(AND(B267&lt;&gt;"",AND(R267&lt;&gt;"",R267&gt;='Weekly Report'!$F$4,R267&lt;='Weekly Report'!$F$5)),ROW(),"")</f>
        <v/>
      </c>
    </row>
    <row r="268" customFormat="false" ht="15" hidden="false" customHeight="false" outlineLevel="0" collapsed="false">
      <c r="A268" s="56" t="s">
        <v>751</v>
      </c>
      <c r="B268" s="60"/>
      <c r="C268" s="61"/>
      <c r="D268" s="60"/>
      <c r="E268" s="60"/>
      <c r="F268" s="61"/>
      <c r="G268" s="61"/>
      <c r="H268" s="61"/>
      <c r="I268" s="61"/>
      <c r="J268" s="61"/>
      <c r="K268" s="85" t="str">
        <f aca="false">IF(OR(J268="",I268=""),"",J268-I268)</f>
        <v/>
      </c>
      <c r="L268" s="86" t="str">
        <f aca="false">IF(OR(G268="",H268="",J268=""),"",IF(H268=G268,"",MAX(0,MIN(1,(J268-G268)/(H268-G268)))))</f>
        <v/>
      </c>
      <c r="M268" s="61"/>
      <c r="N268" s="63"/>
      <c r="O268" s="87" t="str">
        <f aca="true">IF(N268="","",N268-TODAY())</f>
        <v/>
      </c>
      <c r="P268" s="61"/>
      <c r="Q268" s="60"/>
      <c r="R268" s="63"/>
      <c r="S268" s="60"/>
      <c r="T268" s="88" t="str">
        <f aca="false">IF(AND(B268&lt;&gt;"",AND(R268&lt;&gt;"",R268&gt;='Weekly Report'!$F$4,R268&lt;='Weekly Report'!$F$5)),ROW(),"")</f>
        <v/>
      </c>
    </row>
    <row r="269" customFormat="false" ht="15" hidden="false" customHeight="false" outlineLevel="0" collapsed="false">
      <c r="A269" s="56" t="s">
        <v>752</v>
      </c>
      <c r="B269" s="60"/>
      <c r="C269" s="61"/>
      <c r="D269" s="60"/>
      <c r="E269" s="60"/>
      <c r="F269" s="61"/>
      <c r="G269" s="61"/>
      <c r="H269" s="61"/>
      <c r="I269" s="61"/>
      <c r="J269" s="61"/>
      <c r="K269" s="85" t="str">
        <f aca="false">IF(OR(J269="",I269=""),"",J269-I269)</f>
        <v/>
      </c>
      <c r="L269" s="86" t="str">
        <f aca="false">IF(OR(G269="",H269="",J269=""),"",IF(H269=G269,"",MAX(0,MIN(1,(J269-G269)/(H269-G269)))))</f>
        <v/>
      </c>
      <c r="M269" s="61"/>
      <c r="N269" s="63"/>
      <c r="O269" s="87" t="str">
        <f aca="true">IF(N269="","",N269-TODAY())</f>
        <v/>
      </c>
      <c r="P269" s="61"/>
      <c r="Q269" s="60"/>
      <c r="R269" s="63"/>
      <c r="S269" s="60"/>
      <c r="T269" s="88" t="str">
        <f aca="false">IF(AND(B269&lt;&gt;"",AND(R269&lt;&gt;"",R269&gt;='Weekly Report'!$F$4,R269&lt;='Weekly Report'!$F$5)),ROW(),"")</f>
        <v/>
      </c>
    </row>
    <row r="270" customFormat="false" ht="15" hidden="false" customHeight="false" outlineLevel="0" collapsed="false">
      <c r="A270" s="56" t="s">
        <v>753</v>
      </c>
      <c r="B270" s="60"/>
      <c r="C270" s="61"/>
      <c r="D270" s="60"/>
      <c r="E270" s="60"/>
      <c r="F270" s="61"/>
      <c r="G270" s="61"/>
      <c r="H270" s="61"/>
      <c r="I270" s="61"/>
      <c r="J270" s="61"/>
      <c r="K270" s="85" t="str">
        <f aca="false">IF(OR(J270="",I270=""),"",J270-I270)</f>
        <v/>
      </c>
      <c r="L270" s="86" t="str">
        <f aca="false">IF(OR(G270="",H270="",J270=""),"",IF(H270=G270,"",MAX(0,MIN(1,(J270-G270)/(H270-G270)))))</f>
        <v/>
      </c>
      <c r="M270" s="61"/>
      <c r="N270" s="63"/>
      <c r="O270" s="87" t="str">
        <f aca="true">IF(N270="","",N270-TODAY())</f>
        <v/>
      </c>
      <c r="P270" s="61"/>
      <c r="Q270" s="60"/>
      <c r="R270" s="63"/>
      <c r="S270" s="60"/>
      <c r="T270" s="88" t="str">
        <f aca="false">IF(AND(B270&lt;&gt;"",AND(R270&lt;&gt;"",R270&gt;='Weekly Report'!$F$4,R270&lt;='Weekly Report'!$F$5)),ROW(),"")</f>
        <v/>
      </c>
    </row>
    <row r="271" customFormat="false" ht="15" hidden="false" customHeight="false" outlineLevel="0" collapsed="false">
      <c r="A271" s="56" t="s">
        <v>754</v>
      </c>
      <c r="B271" s="60"/>
      <c r="C271" s="61"/>
      <c r="D271" s="60"/>
      <c r="E271" s="60"/>
      <c r="F271" s="61"/>
      <c r="G271" s="61"/>
      <c r="H271" s="61"/>
      <c r="I271" s="61"/>
      <c r="J271" s="61"/>
      <c r="K271" s="85" t="str">
        <f aca="false">IF(OR(J271="",I271=""),"",J271-I271)</f>
        <v/>
      </c>
      <c r="L271" s="86" t="str">
        <f aca="false">IF(OR(G271="",H271="",J271=""),"",IF(H271=G271,"",MAX(0,MIN(1,(J271-G271)/(H271-G271)))))</f>
        <v/>
      </c>
      <c r="M271" s="61"/>
      <c r="N271" s="63"/>
      <c r="O271" s="87" t="str">
        <f aca="true">IF(N271="","",N271-TODAY())</f>
        <v/>
      </c>
      <c r="P271" s="61"/>
      <c r="Q271" s="60"/>
      <c r="R271" s="63"/>
      <c r="S271" s="60"/>
      <c r="T271" s="88" t="str">
        <f aca="false">IF(AND(B271&lt;&gt;"",AND(R271&lt;&gt;"",R271&gt;='Weekly Report'!$F$4,R271&lt;='Weekly Report'!$F$5)),ROW(),"")</f>
        <v/>
      </c>
    </row>
    <row r="272" customFormat="false" ht="15" hidden="false" customHeight="false" outlineLevel="0" collapsed="false">
      <c r="A272" s="56" t="s">
        <v>755</v>
      </c>
      <c r="B272" s="60"/>
      <c r="C272" s="61"/>
      <c r="D272" s="60"/>
      <c r="E272" s="60"/>
      <c r="F272" s="61"/>
      <c r="G272" s="61"/>
      <c r="H272" s="61"/>
      <c r="I272" s="61"/>
      <c r="J272" s="61"/>
      <c r="K272" s="85" t="str">
        <f aca="false">IF(OR(J272="",I272=""),"",J272-I272)</f>
        <v/>
      </c>
      <c r="L272" s="86" t="str">
        <f aca="false">IF(OR(G272="",H272="",J272=""),"",IF(H272=G272,"",MAX(0,MIN(1,(J272-G272)/(H272-G272)))))</f>
        <v/>
      </c>
      <c r="M272" s="61"/>
      <c r="N272" s="63"/>
      <c r="O272" s="87" t="str">
        <f aca="true">IF(N272="","",N272-TODAY())</f>
        <v/>
      </c>
      <c r="P272" s="61"/>
      <c r="Q272" s="60"/>
      <c r="R272" s="63"/>
      <c r="S272" s="60"/>
      <c r="T272" s="88" t="str">
        <f aca="false">IF(AND(B272&lt;&gt;"",AND(R272&lt;&gt;"",R272&gt;='Weekly Report'!$F$4,R272&lt;='Weekly Report'!$F$5)),ROW(),"")</f>
        <v/>
      </c>
    </row>
    <row r="273" customFormat="false" ht="15" hidden="false" customHeight="false" outlineLevel="0" collapsed="false">
      <c r="A273" s="56" t="s">
        <v>756</v>
      </c>
      <c r="B273" s="60"/>
      <c r="C273" s="61"/>
      <c r="D273" s="60"/>
      <c r="E273" s="60"/>
      <c r="F273" s="61"/>
      <c r="G273" s="61"/>
      <c r="H273" s="61"/>
      <c r="I273" s="61"/>
      <c r="J273" s="61"/>
      <c r="K273" s="85" t="str">
        <f aca="false">IF(OR(J273="",I273=""),"",J273-I273)</f>
        <v/>
      </c>
      <c r="L273" s="86" t="str">
        <f aca="false">IF(OR(G273="",H273="",J273=""),"",IF(H273=G273,"",MAX(0,MIN(1,(J273-G273)/(H273-G273)))))</f>
        <v/>
      </c>
      <c r="M273" s="61"/>
      <c r="N273" s="63"/>
      <c r="O273" s="87" t="str">
        <f aca="true">IF(N273="","",N273-TODAY())</f>
        <v/>
      </c>
      <c r="P273" s="61"/>
      <c r="Q273" s="60"/>
      <c r="R273" s="63"/>
      <c r="S273" s="60"/>
      <c r="T273" s="88" t="str">
        <f aca="false">IF(AND(B273&lt;&gt;"",AND(R273&lt;&gt;"",R273&gt;='Weekly Report'!$F$4,R273&lt;='Weekly Report'!$F$5)),ROW(),"")</f>
        <v/>
      </c>
    </row>
    <row r="274" customFormat="false" ht="15" hidden="false" customHeight="false" outlineLevel="0" collapsed="false">
      <c r="A274" s="56" t="s">
        <v>757</v>
      </c>
      <c r="B274" s="60"/>
      <c r="C274" s="61"/>
      <c r="D274" s="60"/>
      <c r="E274" s="60"/>
      <c r="F274" s="61"/>
      <c r="G274" s="61"/>
      <c r="H274" s="61"/>
      <c r="I274" s="61"/>
      <c r="J274" s="61"/>
      <c r="K274" s="85" t="str">
        <f aca="false">IF(OR(J274="",I274=""),"",J274-I274)</f>
        <v/>
      </c>
      <c r="L274" s="86" t="str">
        <f aca="false">IF(OR(G274="",H274="",J274=""),"",IF(H274=G274,"",MAX(0,MIN(1,(J274-G274)/(H274-G274)))))</f>
        <v/>
      </c>
      <c r="M274" s="61"/>
      <c r="N274" s="63"/>
      <c r="O274" s="87" t="str">
        <f aca="true">IF(N274="","",N274-TODAY())</f>
        <v/>
      </c>
      <c r="P274" s="61"/>
      <c r="Q274" s="60"/>
      <c r="R274" s="63"/>
      <c r="S274" s="60"/>
      <c r="T274" s="88" t="str">
        <f aca="false">IF(AND(B274&lt;&gt;"",AND(R274&lt;&gt;"",R274&gt;='Weekly Report'!$F$4,R274&lt;='Weekly Report'!$F$5)),ROW(),"")</f>
        <v/>
      </c>
    </row>
    <row r="275" customFormat="false" ht="15" hidden="false" customHeight="false" outlineLevel="0" collapsed="false">
      <c r="A275" s="56" t="s">
        <v>758</v>
      </c>
      <c r="B275" s="60"/>
      <c r="C275" s="61"/>
      <c r="D275" s="60"/>
      <c r="E275" s="60"/>
      <c r="F275" s="61"/>
      <c r="G275" s="61"/>
      <c r="H275" s="61"/>
      <c r="I275" s="61"/>
      <c r="J275" s="61"/>
      <c r="K275" s="85" t="str">
        <f aca="false">IF(OR(J275="",I275=""),"",J275-I275)</f>
        <v/>
      </c>
      <c r="L275" s="86" t="str">
        <f aca="false">IF(OR(G275="",H275="",J275=""),"",IF(H275=G275,"",MAX(0,MIN(1,(J275-G275)/(H275-G275)))))</f>
        <v/>
      </c>
      <c r="M275" s="61"/>
      <c r="N275" s="63"/>
      <c r="O275" s="87" t="str">
        <f aca="true">IF(N275="","",N275-TODAY())</f>
        <v/>
      </c>
      <c r="P275" s="61"/>
      <c r="Q275" s="60"/>
      <c r="R275" s="63"/>
      <c r="S275" s="60"/>
      <c r="T275" s="88" t="str">
        <f aca="false">IF(AND(B275&lt;&gt;"",AND(R275&lt;&gt;"",R275&gt;='Weekly Report'!$F$4,R275&lt;='Weekly Report'!$F$5)),ROW(),"")</f>
        <v/>
      </c>
    </row>
    <row r="276" customFormat="false" ht="15" hidden="false" customHeight="false" outlineLevel="0" collapsed="false">
      <c r="A276" s="56" t="s">
        <v>759</v>
      </c>
      <c r="B276" s="60"/>
      <c r="C276" s="61"/>
      <c r="D276" s="60"/>
      <c r="E276" s="60"/>
      <c r="F276" s="61"/>
      <c r="G276" s="61"/>
      <c r="H276" s="61"/>
      <c r="I276" s="61"/>
      <c r="J276" s="61"/>
      <c r="K276" s="85" t="str">
        <f aca="false">IF(OR(J276="",I276=""),"",J276-I276)</f>
        <v/>
      </c>
      <c r="L276" s="86" t="str">
        <f aca="false">IF(OR(G276="",H276="",J276=""),"",IF(H276=G276,"",MAX(0,MIN(1,(J276-G276)/(H276-G276)))))</f>
        <v/>
      </c>
      <c r="M276" s="61"/>
      <c r="N276" s="63"/>
      <c r="O276" s="87" t="str">
        <f aca="true">IF(N276="","",N276-TODAY())</f>
        <v/>
      </c>
      <c r="P276" s="61"/>
      <c r="Q276" s="60"/>
      <c r="R276" s="63"/>
      <c r="S276" s="60"/>
      <c r="T276" s="88" t="str">
        <f aca="false">IF(AND(B276&lt;&gt;"",AND(R276&lt;&gt;"",R276&gt;='Weekly Report'!$F$4,R276&lt;='Weekly Report'!$F$5)),ROW(),"")</f>
        <v/>
      </c>
    </row>
    <row r="277" customFormat="false" ht="15" hidden="false" customHeight="false" outlineLevel="0" collapsed="false">
      <c r="A277" s="56" t="s">
        <v>760</v>
      </c>
      <c r="B277" s="60"/>
      <c r="C277" s="61"/>
      <c r="D277" s="60"/>
      <c r="E277" s="60"/>
      <c r="F277" s="61"/>
      <c r="G277" s="61"/>
      <c r="H277" s="61"/>
      <c r="I277" s="61"/>
      <c r="J277" s="61"/>
      <c r="K277" s="85" t="str">
        <f aca="false">IF(OR(J277="",I277=""),"",J277-I277)</f>
        <v/>
      </c>
      <c r="L277" s="86" t="str">
        <f aca="false">IF(OR(G277="",H277="",J277=""),"",IF(H277=G277,"",MAX(0,MIN(1,(J277-G277)/(H277-G277)))))</f>
        <v/>
      </c>
      <c r="M277" s="61"/>
      <c r="N277" s="63"/>
      <c r="O277" s="87" t="str">
        <f aca="true">IF(N277="","",N277-TODAY())</f>
        <v/>
      </c>
      <c r="P277" s="61"/>
      <c r="Q277" s="60"/>
      <c r="R277" s="63"/>
      <c r="S277" s="60"/>
      <c r="T277" s="88" t="str">
        <f aca="false">IF(AND(B277&lt;&gt;"",AND(R277&lt;&gt;"",R277&gt;='Weekly Report'!$F$4,R277&lt;='Weekly Report'!$F$5)),ROW(),"")</f>
        <v/>
      </c>
    </row>
    <row r="278" customFormat="false" ht="15" hidden="false" customHeight="false" outlineLevel="0" collapsed="false">
      <c r="A278" s="56" t="s">
        <v>761</v>
      </c>
      <c r="B278" s="60"/>
      <c r="C278" s="61"/>
      <c r="D278" s="60"/>
      <c r="E278" s="60"/>
      <c r="F278" s="61"/>
      <c r="G278" s="61"/>
      <c r="H278" s="61"/>
      <c r="I278" s="61"/>
      <c r="J278" s="61"/>
      <c r="K278" s="85" t="str">
        <f aca="false">IF(OR(J278="",I278=""),"",J278-I278)</f>
        <v/>
      </c>
      <c r="L278" s="86" t="str">
        <f aca="false">IF(OR(G278="",H278="",J278=""),"",IF(H278=G278,"",MAX(0,MIN(1,(J278-G278)/(H278-G278)))))</f>
        <v/>
      </c>
      <c r="M278" s="61"/>
      <c r="N278" s="63"/>
      <c r="O278" s="87" t="str">
        <f aca="true">IF(N278="","",N278-TODAY())</f>
        <v/>
      </c>
      <c r="P278" s="61"/>
      <c r="Q278" s="60"/>
      <c r="R278" s="63"/>
      <c r="S278" s="60"/>
      <c r="T278" s="88" t="str">
        <f aca="false">IF(AND(B278&lt;&gt;"",AND(R278&lt;&gt;"",R278&gt;='Weekly Report'!$F$4,R278&lt;='Weekly Report'!$F$5)),ROW(),"")</f>
        <v/>
      </c>
    </row>
    <row r="279" customFormat="false" ht="15" hidden="false" customHeight="false" outlineLevel="0" collapsed="false">
      <c r="A279" s="56" t="s">
        <v>762</v>
      </c>
      <c r="B279" s="60"/>
      <c r="C279" s="61"/>
      <c r="D279" s="60"/>
      <c r="E279" s="60"/>
      <c r="F279" s="61"/>
      <c r="G279" s="61"/>
      <c r="H279" s="61"/>
      <c r="I279" s="61"/>
      <c r="J279" s="61"/>
      <c r="K279" s="85" t="str">
        <f aca="false">IF(OR(J279="",I279=""),"",J279-I279)</f>
        <v/>
      </c>
      <c r="L279" s="86" t="str">
        <f aca="false">IF(OR(G279="",H279="",J279=""),"",IF(H279=G279,"",MAX(0,MIN(1,(J279-G279)/(H279-G279)))))</f>
        <v/>
      </c>
      <c r="M279" s="61"/>
      <c r="N279" s="63"/>
      <c r="O279" s="87" t="str">
        <f aca="true">IF(N279="","",N279-TODAY())</f>
        <v/>
      </c>
      <c r="P279" s="61"/>
      <c r="Q279" s="60"/>
      <c r="R279" s="63"/>
      <c r="S279" s="60"/>
      <c r="T279" s="88" t="str">
        <f aca="false">IF(AND(B279&lt;&gt;"",AND(R279&lt;&gt;"",R279&gt;='Weekly Report'!$F$4,R279&lt;='Weekly Report'!$F$5)),ROW(),"")</f>
        <v/>
      </c>
    </row>
    <row r="280" customFormat="false" ht="15" hidden="false" customHeight="false" outlineLevel="0" collapsed="false">
      <c r="A280" s="56" t="s">
        <v>763</v>
      </c>
      <c r="B280" s="60"/>
      <c r="C280" s="61"/>
      <c r="D280" s="60"/>
      <c r="E280" s="60"/>
      <c r="F280" s="61"/>
      <c r="G280" s="61"/>
      <c r="H280" s="61"/>
      <c r="I280" s="61"/>
      <c r="J280" s="61"/>
      <c r="K280" s="85" t="str">
        <f aca="false">IF(OR(J280="",I280=""),"",J280-I280)</f>
        <v/>
      </c>
      <c r="L280" s="86" t="str">
        <f aca="false">IF(OR(G280="",H280="",J280=""),"",IF(H280=G280,"",MAX(0,MIN(1,(J280-G280)/(H280-G280)))))</f>
        <v/>
      </c>
      <c r="M280" s="61"/>
      <c r="N280" s="63"/>
      <c r="O280" s="87" t="str">
        <f aca="true">IF(N280="","",N280-TODAY())</f>
        <v/>
      </c>
      <c r="P280" s="61"/>
      <c r="Q280" s="60"/>
      <c r="R280" s="63"/>
      <c r="S280" s="60"/>
      <c r="T280" s="88" t="str">
        <f aca="false">IF(AND(B280&lt;&gt;"",AND(R280&lt;&gt;"",R280&gt;='Weekly Report'!$F$4,R280&lt;='Weekly Report'!$F$5)),ROW(),"")</f>
        <v/>
      </c>
    </row>
    <row r="281" customFormat="false" ht="15" hidden="false" customHeight="false" outlineLevel="0" collapsed="false">
      <c r="A281" s="56" t="s">
        <v>764</v>
      </c>
      <c r="B281" s="60"/>
      <c r="C281" s="61"/>
      <c r="D281" s="60"/>
      <c r="E281" s="60"/>
      <c r="F281" s="61"/>
      <c r="G281" s="61"/>
      <c r="H281" s="61"/>
      <c r="I281" s="61"/>
      <c r="J281" s="61"/>
      <c r="K281" s="85" t="str">
        <f aca="false">IF(OR(J281="",I281=""),"",J281-I281)</f>
        <v/>
      </c>
      <c r="L281" s="86" t="str">
        <f aca="false">IF(OR(G281="",H281="",J281=""),"",IF(H281=G281,"",MAX(0,MIN(1,(J281-G281)/(H281-G281)))))</f>
        <v/>
      </c>
      <c r="M281" s="61"/>
      <c r="N281" s="63"/>
      <c r="O281" s="87" t="str">
        <f aca="true">IF(N281="","",N281-TODAY())</f>
        <v/>
      </c>
      <c r="P281" s="61"/>
      <c r="Q281" s="60"/>
      <c r="R281" s="63"/>
      <c r="S281" s="60"/>
      <c r="T281" s="88" t="str">
        <f aca="false">IF(AND(B281&lt;&gt;"",AND(R281&lt;&gt;"",R281&gt;='Weekly Report'!$F$4,R281&lt;='Weekly Report'!$F$5)),ROW(),"")</f>
        <v/>
      </c>
    </row>
    <row r="282" customFormat="false" ht="15" hidden="false" customHeight="false" outlineLevel="0" collapsed="false">
      <c r="A282" s="56" t="s">
        <v>765</v>
      </c>
      <c r="B282" s="60"/>
      <c r="C282" s="61"/>
      <c r="D282" s="60"/>
      <c r="E282" s="60"/>
      <c r="F282" s="61"/>
      <c r="G282" s="61"/>
      <c r="H282" s="61"/>
      <c r="I282" s="61"/>
      <c r="J282" s="61"/>
      <c r="K282" s="85" t="str">
        <f aca="false">IF(OR(J282="",I282=""),"",J282-I282)</f>
        <v/>
      </c>
      <c r="L282" s="86" t="str">
        <f aca="false">IF(OR(G282="",H282="",J282=""),"",IF(H282=G282,"",MAX(0,MIN(1,(J282-G282)/(H282-G282)))))</f>
        <v/>
      </c>
      <c r="M282" s="61"/>
      <c r="N282" s="63"/>
      <c r="O282" s="87" t="str">
        <f aca="true">IF(N282="","",N282-TODAY())</f>
        <v/>
      </c>
      <c r="P282" s="61"/>
      <c r="Q282" s="60"/>
      <c r="R282" s="63"/>
      <c r="S282" s="60"/>
      <c r="T282" s="88" t="str">
        <f aca="false">IF(AND(B282&lt;&gt;"",AND(R282&lt;&gt;"",R282&gt;='Weekly Report'!$F$4,R282&lt;='Weekly Report'!$F$5)),ROW(),"")</f>
        <v/>
      </c>
    </row>
    <row r="283" customFormat="false" ht="15" hidden="false" customHeight="false" outlineLevel="0" collapsed="false">
      <c r="A283" s="56" t="s">
        <v>766</v>
      </c>
      <c r="B283" s="60"/>
      <c r="C283" s="61"/>
      <c r="D283" s="60"/>
      <c r="E283" s="60"/>
      <c r="F283" s="61"/>
      <c r="G283" s="61"/>
      <c r="H283" s="61"/>
      <c r="I283" s="61"/>
      <c r="J283" s="61"/>
      <c r="K283" s="85" t="str">
        <f aca="false">IF(OR(J283="",I283=""),"",J283-I283)</f>
        <v/>
      </c>
      <c r="L283" s="86" t="str">
        <f aca="false">IF(OR(G283="",H283="",J283=""),"",IF(H283=G283,"",MAX(0,MIN(1,(J283-G283)/(H283-G283)))))</f>
        <v/>
      </c>
      <c r="M283" s="61"/>
      <c r="N283" s="63"/>
      <c r="O283" s="87" t="str">
        <f aca="true">IF(N283="","",N283-TODAY())</f>
        <v/>
      </c>
      <c r="P283" s="61"/>
      <c r="Q283" s="60"/>
      <c r="R283" s="63"/>
      <c r="S283" s="60"/>
      <c r="T283" s="88" t="str">
        <f aca="false">IF(AND(B283&lt;&gt;"",AND(R283&lt;&gt;"",R283&gt;='Weekly Report'!$F$4,R283&lt;='Weekly Report'!$F$5)),ROW(),"")</f>
        <v/>
      </c>
    </row>
    <row r="284" customFormat="false" ht="15" hidden="false" customHeight="false" outlineLevel="0" collapsed="false">
      <c r="A284" s="56" t="s">
        <v>767</v>
      </c>
      <c r="B284" s="60"/>
      <c r="C284" s="61"/>
      <c r="D284" s="60"/>
      <c r="E284" s="60"/>
      <c r="F284" s="61"/>
      <c r="G284" s="61"/>
      <c r="H284" s="61"/>
      <c r="I284" s="61"/>
      <c r="J284" s="61"/>
      <c r="K284" s="85" t="str">
        <f aca="false">IF(OR(J284="",I284=""),"",J284-I284)</f>
        <v/>
      </c>
      <c r="L284" s="86" t="str">
        <f aca="false">IF(OR(G284="",H284="",J284=""),"",IF(H284=G284,"",MAX(0,MIN(1,(J284-G284)/(H284-G284)))))</f>
        <v/>
      </c>
      <c r="M284" s="61"/>
      <c r="N284" s="63"/>
      <c r="O284" s="87" t="str">
        <f aca="true">IF(N284="","",N284-TODAY())</f>
        <v/>
      </c>
      <c r="P284" s="61"/>
      <c r="Q284" s="60"/>
      <c r="R284" s="63"/>
      <c r="S284" s="60"/>
      <c r="T284" s="88" t="str">
        <f aca="false">IF(AND(B284&lt;&gt;"",AND(R284&lt;&gt;"",R284&gt;='Weekly Report'!$F$4,R284&lt;='Weekly Report'!$F$5)),ROW(),"")</f>
        <v/>
      </c>
    </row>
    <row r="285" customFormat="false" ht="15" hidden="false" customHeight="false" outlineLevel="0" collapsed="false">
      <c r="A285" s="56" t="s">
        <v>768</v>
      </c>
      <c r="B285" s="60"/>
      <c r="C285" s="61"/>
      <c r="D285" s="60"/>
      <c r="E285" s="60"/>
      <c r="F285" s="61"/>
      <c r="G285" s="61"/>
      <c r="H285" s="61"/>
      <c r="I285" s="61"/>
      <c r="J285" s="61"/>
      <c r="K285" s="85" t="str">
        <f aca="false">IF(OR(J285="",I285=""),"",J285-I285)</f>
        <v/>
      </c>
      <c r="L285" s="86" t="str">
        <f aca="false">IF(OR(G285="",H285="",J285=""),"",IF(H285=G285,"",MAX(0,MIN(1,(J285-G285)/(H285-G285)))))</f>
        <v/>
      </c>
      <c r="M285" s="61"/>
      <c r="N285" s="63"/>
      <c r="O285" s="87" t="str">
        <f aca="true">IF(N285="","",N285-TODAY())</f>
        <v/>
      </c>
      <c r="P285" s="61"/>
      <c r="Q285" s="60"/>
      <c r="R285" s="63"/>
      <c r="S285" s="60"/>
      <c r="T285" s="88" t="str">
        <f aca="false">IF(AND(B285&lt;&gt;"",AND(R285&lt;&gt;"",R285&gt;='Weekly Report'!$F$4,R285&lt;='Weekly Report'!$F$5)),ROW(),"")</f>
        <v/>
      </c>
    </row>
    <row r="286" customFormat="false" ht="15" hidden="false" customHeight="false" outlineLevel="0" collapsed="false">
      <c r="A286" s="56" t="s">
        <v>769</v>
      </c>
      <c r="B286" s="60"/>
      <c r="C286" s="61"/>
      <c r="D286" s="60"/>
      <c r="E286" s="60"/>
      <c r="F286" s="61"/>
      <c r="G286" s="61"/>
      <c r="H286" s="61"/>
      <c r="I286" s="61"/>
      <c r="J286" s="61"/>
      <c r="K286" s="85" t="str">
        <f aca="false">IF(OR(J286="",I286=""),"",J286-I286)</f>
        <v/>
      </c>
      <c r="L286" s="86" t="str">
        <f aca="false">IF(OR(G286="",H286="",J286=""),"",IF(H286=G286,"",MAX(0,MIN(1,(J286-G286)/(H286-G286)))))</f>
        <v/>
      </c>
      <c r="M286" s="61"/>
      <c r="N286" s="63"/>
      <c r="O286" s="87" t="str">
        <f aca="true">IF(N286="","",N286-TODAY())</f>
        <v/>
      </c>
      <c r="P286" s="61"/>
      <c r="Q286" s="60"/>
      <c r="R286" s="63"/>
      <c r="S286" s="60"/>
      <c r="T286" s="88" t="str">
        <f aca="false">IF(AND(B286&lt;&gt;"",AND(R286&lt;&gt;"",R286&gt;='Weekly Report'!$F$4,R286&lt;='Weekly Report'!$F$5)),ROW(),"")</f>
        <v/>
      </c>
    </row>
    <row r="287" customFormat="false" ht="15" hidden="false" customHeight="false" outlineLevel="0" collapsed="false">
      <c r="A287" s="56" t="s">
        <v>770</v>
      </c>
      <c r="B287" s="60"/>
      <c r="C287" s="61"/>
      <c r="D287" s="60"/>
      <c r="E287" s="60"/>
      <c r="F287" s="61"/>
      <c r="G287" s="61"/>
      <c r="H287" s="61"/>
      <c r="I287" s="61"/>
      <c r="J287" s="61"/>
      <c r="K287" s="85" t="str">
        <f aca="false">IF(OR(J287="",I287=""),"",J287-I287)</f>
        <v/>
      </c>
      <c r="L287" s="86" t="str">
        <f aca="false">IF(OR(G287="",H287="",J287=""),"",IF(H287=G287,"",MAX(0,MIN(1,(J287-G287)/(H287-G287)))))</f>
        <v/>
      </c>
      <c r="M287" s="61"/>
      <c r="N287" s="63"/>
      <c r="O287" s="87" t="str">
        <f aca="true">IF(N287="","",N287-TODAY())</f>
        <v/>
      </c>
      <c r="P287" s="61"/>
      <c r="Q287" s="60"/>
      <c r="R287" s="63"/>
      <c r="S287" s="60"/>
      <c r="T287" s="88" t="str">
        <f aca="false">IF(AND(B287&lt;&gt;"",AND(R287&lt;&gt;"",R287&gt;='Weekly Report'!$F$4,R287&lt;='Weekly Report'!$F$5)),ROW(),"")</f>
        <v/>
      </c>
    </row>
    <row r="288" customFormat="false" ht="15" hidden="false" customHeight="false" outlineLevel="0" collapsed="false">
      <c r="A288" s="56" t="s">
        <v>771</v>
      </c>
      <c r="B288" s="60"/>
      <c r="C288" s="61"/>
      <c r="D288" s="60"/>
      <c r="E288" s="60"/>
      <c r="F288" s="61"/>
      <c r="G288" s="61"/>
      <c r="H288" s="61"/>
      <c r="I288" s="61"/>
      <c r="J288" s="61"/>
      <c r="K288" s="85" t="str">
        <f aca="false">IF(OR(J288="",I288=""),"",J288-I288)</f>
        <v/>
      </c>
      <c r="L288" s="86" t="str">
        <f aca="false">IF(OR(G288="",H288="",J288=""),"",IF(H288=G288,"",MAX(0,MIN(1,(J288-G288)/(H288-G288)))))</f>
        <v/>
      </c>
      <c r="M288" s="61"/>
      <c r="N288" s="63"/>
      <c r="O288" s="87" t="str">
        <f aca="true">IF(N288="","",N288-TODAY())</f>
        <v/>
      </c>
      <c r="P288" s="61"/>
      <c r="Q288" s="60"/>
      <c r="R288" s="63"/>
      <c r="S288" s="60"/>
      <c r="T288" s="88" t="str">
        <f aca="false">IF(AND(B288&lt;&gt;"",AND(R288&lt;&gt;"",R288&gt;='Weekly Report'!$F$4,R288&lt;='Weekly Report'!$F$5)),ROW(),"")</f>
        <v/>
      </c>
    </row>
    <row r="289" customFormat="false" ht="15" hidden="false" customHeight="false" outlineLevel="0" collapsed="false">
      <c r="A289" s="56" t="s">
        <v>772</v>
      </c>
      <c r="B289" s="60"/>
      <c r="C289" s="61"/>
      <c r="D289" s="60"/>
      <c r="E289" s="60"/>
      <c r="F289" s="61"/>
      <c r="G289" s="61"/>
      <c r="H289" s="61"/>
      <c r="I289" s="61"/>
      <c r="J289" s="61"/>
      <c r="K289" s="85" t="str">
        <f aca="false">IF(OR(J289="",I289=""),"",J289-I289)</f>
        <v/>
      </c>
      <c r="L289" s="86" t="str">
        <f aca="false">IF(OR(G289="",H289="",J289=""),"",IF(H289=G289,"",MAX(0,MIN(1,(J289-G289)/(H289-G289)))))</f>
        <v/>
      </c>
      <c r="M289" s="61"/>
      <c r="N289" s="63"/>
      <c r="O289" s="87" t="str">
        <f aca="true">IF(N289="","",N289-TODAY())</f>
        <v/>
      </c>
      <c r="P289" s="61"/>
      <c r="Q289" s="60"/>
      <c r="R289" s="63"/>
      <c r="S289" s="60"/>
      <c r="T289" s="88" t="str">
        <f aca="false">IF(AND(B289&lt;&gt;"",AND(R289&lt;&gt;"",R289&gt;='Weekly Report'!$F$4,R289&lt;='Weekly Report'!$F$5)),ROW(),"")</f>
        <v/>
      </c>
    </row>
    <row r="290" customFormat="false" ht="15" hidden="false" customHeight="false" outlineLevel="0" collapsed="false">
      <c r="A290" s="56" t="s">
        <v>773</v>
      </c>
      <c r="B290" s="60"/>
      <c r="C290" s="61"/>
      <c r="D290" s="60"/>
      <c r="E290" s="60"/>
      <c r="F290" s="61"/>
      <c r="G290" s="61"/>
      <c r="H290" s="61"/>
      <c r="I290" s="61"/>
      <c r="J290" s="61"/>
      <c r="K290" s="85" t="str">
        <f aca="false">IF(OR(J290="",I290=""),"",J290-I290)</f>
        <v/>
      </c>
      <c r="L290" s="86" t="str">
        <f aca="false">IF(OR(G290="",H290="",J290=""),"",IF(H290=G290,"",MAX(0,MIN(1,(J290-G290)/(H290-G290)))))</f>
        <v/>
      </c>
      <c r="M290" s="61"/>
      <c r="N290" s="63"/>
      <c r="O290" s="87" t="str">
        <f aca="true">IF(N290="","",N290-TODAY())</f>
        <v/>
      </c>
      <c r="P290" s="61"/>
      <c r="Q290" s="60"/>
      <c r="R290" s="63"/>
      <c r="S290" s="60"/>
      <c r="T290" s="88" t="str">
        <f aca="false">IF(AND(B290&lt;&gt;"",AND(R290&lt;&gt;"",R290&gt;='Weekly Report'!$F$4,R290&lt;='Weekly Report'!$F$5)),ROW(),"")</f>
        <v/>
      </c>
    </row>
    <row r="291" customFormat="false" ht="15" hidden="false" customHeight="false" outlineLevel="0" collapsed="false">
      <c r="A291" s="56" t="s">
        <v>774</v>
      </c>
      <c r="B291" s="60"/>
      <c r="C291" s="61"/>
      <c r="D291" s="60"/>
      <c r="E291" s="60"/>
      <c r="F291" s="61"/>
      <c r="G291" s="61"/>
      <c r="H291" s="61"/>
      <c r="I291" s="61"/>
      <c r="J291" s="61"/>
      <c r="K291" s="85" t="str">
        <f aca="false">IF(OR(J291="",I291=""),"",J291-I291)</f>
        <v/>
      </c>
      <c r="L291" s="86" t="str">
        <f aca="false">IF(OR(G291="",H291="",J291=""),"",IF(H291=G291,"",MAX(0,MIN(1,(J291-G291)/(H291-G291)))))</f>
        <v/>
      </c>
      <c r="M291" s="61"/>
      <c r="N291" s="63"/>
      <c r="O291" s="87" t="str">
        <f aca="true">IF(N291="","",N291-TODAY())</f>
        <v/>
      </c>
      <c r="P291" s="61"/>
      <c r="Q291" s="60"/>
      <c r="R291" s="63"/>
      <c r="S291" s="60"/>
      <c r="T291" s="88" t="str">
        <f aca="false">IF(AND(B291&lt;&gt;"",AND(R291&lt;&gt;"",R291&gt;='Weekly Report'!$F$4,R291&lt;='Weekly Report'!$F$5)),ROW(),"")</f>
        <v/>
      </c>
    </row>
    <row r="292" customFormat="false" ht="15" hidden="false" customHeight="false" outlineLevel="0" collapsed="false">
      <c r="A292" s="56" t="s">
        <v>775</v>
      </c>
      <c r="B292" s="60"/>
      <c r="C292" s="61"/>
      <c r="D292" s="60"/>
      <c r="E292" s="60"/>
      <c r="F292" s="61"/>
      <c r="G292" s="61"/>
      <c r="H292" s="61"/>
      <c r="I292" s="61"/>
      <c r="J292" s="61"/>
      <c r="K292" s="85" t="str">
        <f aca="false">IF(OR(J292="",I292=""),"",J292-I292)</f>
        <v/>
      </c>
      <c r="L292" s="86" t="str">
        <f aca="false">IF(OR(G292="",H292="",J292=""),"",IF(H292=G292,"",MAX(0,MIN(1,(J292-G292)/(H292-G292)))))</f>
        <v/>
      </c>
      <c r="M292" s="61"/>
      <c r="N292" s="63"/>
      <c r="O292" s="87" t="str">
        <f aca="true">IF(N292="","",N292-TODAY())</f>
        <v/>
      </c>
      <c r="P292" s="61"/>
      <c r="Q292" s="60"/>
      <c r="R292" s="63"/>
      <c r="S292" s="60"/>
      <c r="T292" s="88" t="str">
        <f aca="false">IF(AND(B292&lt;&gt;"",AND(R292&lt;&gt;"",R292&gt;='Weekly Report'!$F$4,R292&lt;='Weekly Report'!$F$5)),ROW(),"")</f>
        <v/>
      </c>
    </row>
    <row r="293" customFormat="false" ht="15" hidden="false" customHeight="false" outlineLevel="0" collapsed="false">
      <c r="A293" s="56" t="s">
        <v>776</v>
      </c>
      <c r="B293" s="60"/>
      <c r="C293" s="61"/>
      <c r="D293" s="60"/>
      <c r="E293" s="60"/>
      <c r="F293" s="61"/>
      <c r="G293" s="61"/>
      <c r="H293" s="61"/>
      <c r="I293" s="61"/>
      <c r="J293" s="61"/>
      <c r="K293" s="85" t="str">
        <f aca="false">IF(OR(J293="",I293=""),"",J293-I293)</f>
        <v/>
      </c>
      <c r="L293" s="86" t="str">
        <f aca="false">IF(OR(G293="",H293="",J293=""),"",IF(H293=G293,"",MAX(0,MIN(1,(J293-G293)/(H293-G293)))))</f>
        <v/>
      </c>
      <c r="M293" s="61"/>
      <c r="N293" s="63"/>
      <c r="O293" s="87" t="str">
        <f aca="true">IF(N293="","",N293-TODAY())</f>
        <v/>
      </c>
      <c r="P293" s="61"/>
      <c r="Q293" s="60"/>
      <c r="R293" s="63"/>
      <c r="S293" s="60"/>
      <c r="T293" s="88" t="str">
        <f aca="false">IF(AND(B293&lt;&gt;"",AND(R293&lt;&gt;"",R293&gt;='Weekly Report'!$F$4,R293&lt;='Weekly Report'!$F$5)),ROW(),"")</f>
        <v/>
      </c>
    </row>
    <row r="294" customFormat="false" ht="15" hidden="false" customHeight="false" outlineLevel="0" collapsed="false">
      <c r="A294" s="56" t="s">
        <v>777</v>
      </c>
      <c r="B294" s="60"/>
      <c r="C294" s="61"/>
      <c r="D294" s="60"/>
      <c r="E294" s="60"/>
      <c r="F294" s="61"/>
      <c r="G294" s="61"/>
      <c r="H294" s="61"/>
      <c r="I294" s="61"/>
      <c r="J294" s="61"/>
      <c r="K294" s="85" t="str">
        <f aca="false">IF(OR(J294="",I294=""),"",J294-I294)</f>
        <v/>
      </c>
      <c r="L294" s="86" t="str">
        <f aca="false">IF(OR(G294="",H294="",J294=""),"",IF(H294=G294,"",MAX(0,MIN(1,(J294-G294)/(H294-G294)))))</f>
        <v/>
      </c>
      <c r="M294" s="61"/>
      <c r="N294" s="63"/>
      <c r="O294" s="87" t="str">
        <f aca="true">IF(N294="","",N294-TODAY())</f>
        <v/>
      </c>
      <c r="P294" s="61"/>
      <c r="Q294" s="60"/>
      <c r="R294" s="63"/>
      <c r="S294" s="60"/>
      <c r="T294" s="88" t="str">
        <f aca="false">IF(AND(B294&lt;&gt;"",AND(R294&lt;&gt;"",R294&gt;='Weekly Report'!$F$4,R294&lt;='Weekly Report'!$F$5)),ROW(),"")</f>
        <v/>
      </c>
    </row>
    <row r="295" customFormat="false" ht="15" hidden="false" customHeight="false" outlineLevel="0" collapsed="false">
      <c r="A295" s="56" t="s">
        <v>778</v>
      </c>
      <c r="B295" s="60"/>
      <c r="C295" s="61"/>
      <c r="D295" s="60"/>
      <c r="E295" s="60"/>
      <c r="F295" s="61"/>
      <c r="G295" s="61"/>
      <c r="H295" s="61"/>
      <c r="I295" s="61"/>
      <c r="J295" s="61"/>
      <c r="K295" s="85" t="str">
        <f aca="false">IF(OR(J295="",I295=""),"",J295-I295)</f>
        <v/>
      </c>
      <c r="L295" s="86" t="str">
        <f aca="false">IF(OR(G295="",H295="",J295=""),"",IF(H295=G295,"",MAX(0,MIN(1,(J295-G295)/(H295-G295)))))</f>
        <v/>
      </c>
      <c r="M295" s="61"/>
      <c r="N295" s="63"/>
      <c r="O295" s="87" t="str">
        <f aca="true">IF(N295="","",N295-TODAY())</f>
        <v/>
      </c>
      <c r="P295" s="61"/>
      <c r="Q295" s="60"/>
      <c r="R295" s="63"/>
      <c r="S295" s="60"/>
      <c r="T295" s="88" t="str">
        <f aca="false">IF(AND(B295&lt;&gt;"",AND(R295&lt;&gt;"",R295&gt;='Weekly Report'!$F$4,R295&lt;='Weekly Report'!$F$5)),ROW(),"")</f>
        <v/>
      </c>
    </row>
    <row r="296" customFormat="false" ht="15" hidden="false" customHeight="false" outlineLevel="0" collapsed="false">
      <c r="A296" s="56" t="s">
        <v>779</v>
      </c>
      <c r="B296" s="60"/>
      <c r="C296" s="61"/>
      <c r="D296" s="60"/>
      <c r="E296" s="60"/>
      <c r="F296" s="61"/>
      <c r="G296" s="61"/>
      <c r="H296" s="61"/>
      <c r="I296" s="61"/>
      <c r="J296" s="61"/>
      <c r="K296" s="85" t="str">
        <f aca="false">IF(OR(J296="",I296=""),"",J296-I296)</f>
        <v/>
      </c>
      <c r="L296" s="86" t="str">
        <f aca="false">IF(OR(G296="",H296="",J296=""),"",IF(H296=G296,"",MAX(0,MIN(1,(J296-G296)/(H296-G296)))))</f>
        <v/>
      </c>
      <c r="M296" s="61"/>
      <c r="N296" s="63"/>
      <c r="O296" s="87" t="str">
        <f aca="true">IF(N296="","",N296-TODAY())</f>
        <v/>
      </c>
      <c r="P296" s="61"/>
      <c r="Q296" s="60"/>
      <c r="R296" s="63"/>
      <c r="S296" s="60"/>
      <c r="T296" s="88" t="str">
        <f aca="false">IF(AND(B296&lt;&gt;"",AND(R296&lt;&gt;"",R296&gt;='Weekly Report'!$F$4,R296&lt;='Weekly Report'!$F$5)),ROW(),"")</f>
        <v/>
      </c>
    </row>
    <row r="297" customFormat="false" ht="15" hidden="false" customHeight="false" outlineLevel="0" collapsed="false">
      <c r="A297" s="56" t="s">
        <v>780</v>
      </c>
      <c r="B297" s="60"/>
      <c r="C297" s="61"/>
      <c r="D297" s="60"/>
      <c r="E297" s="60"/>
      <c r="F297" s="61"/>
      <c r="G297" s="61"/>
      <c r="H297" s="61"/>
      <c r="I297" s="61"/>
      <c r="J297" s="61"/>
      <c r="K297" s="85" t="str">
        <f aca="false">IF(OR(J297="",I297=""),"",J297-I297)</f>
        <v/>
      </c>
      <c r="L297" s="86" t="str">
        <f aca="false">IF(OR(G297="",H297="",J297=""),"",IF(H297=G297,"",MAX(0,MIN(1,(J297-G297)/(H297-G297)))))</f>
        <v/>
      </c>
      <c r="M297" s="61"/>
      <c r="N297" s="63"/>
      <c r="O297" s="87" t="str">
        <f aca="true">IF(N297="","",N297-TODAY())</f>
        <v/>
      </c>
      <c r="P297" s="61"/>
      <c r="Q297" s="60"/>
      <c r="R297" s="63"/>
      <c r="S297" s="60"/>
      <c r="T297" s="88" t="str">
        <f aca="false">IF(AND(B297&lt;&gt;"",AND(R297&lt;&gt;"",R297&gt;='Weekly Report'!$F$4,R297&lt;='Weekly Report'!$F$5)),ROW(),"")</f>
        <v/>
      </c>
    </row>
    <row r="298" customFormat="false" ht="15" hidden="false" customHeight="false" outlineLevel="0" collapsed="false">
      <c r="A298" s="56" t="s">
        <v>781</v>
      </c>
      <c r="B298" s="60"/>
      <c r="C298" s="61"/>
      <c r="D298" s="60"/>
      <c r="E298" s="60"/>
      <c r="F298" s="61"/>
      <c r="G298" s="61"/>
      <c r="H298" s="61"/>
      <c r="I298" s="61"/>
      <c r="J298" s="61"/>
      <c r="K298" s="85" t="str">
        <f aca="false">IF(OR(J298="",I298=""),"",J298-I298)</f>
        <v/>
      </c>
      <c r="L298" s="86" t="str">
        <f aca="false">IF(OR(G298="",H298="",J298=""),"",IF(H298=G298,"",MAX(0,MIN(1,(J298-G298)/(H298-G298)))))</f>
        <v/>
      </c>
      <c r="M298" s="61"/>
      <c r="N298" s="63"/>
      <c r="O298" s="87" t="str">
        <f aca="true">IF(N298="","",N298-TODAY())</f>
        <v/>
      </c>
      <c r="P298" s="61"/>
      <c r="Q298" s="60"/>
      <c r="R298" s="63"/>
      <c r="S298" s="60"/>
      <c r="T298" s="88" t="str">
        <f aca="false">IF(AND(B298&lt;&gt;"",AND(R298&lt;&gt;"",R298&gt;='Weekly Report'!$F$4,R298&lt;='Weekly Report'!$F$5)),ROW(),"")</f>
        <v/>
      </c>
    </row>
    <row r="299" customFormat="false" ht="15" hidden="false" customHeight="false" outlineLevel="0" collapsed="false">
      <c r="A299" s="56" t="s">
        <v>782</v>
      </c>
      <c r="B299" s="60"/>
      <c r="C299" s="61"/>
      <c r="D299" s="60"/>
      <c r="E299" s="60"/>
      <c r="F299" s="61"/>
      <c r="G299" s="61"/>
      <c r="H299" s="61"/>
      <c r="I299" s="61"/>
      <c r="J299" s="61"/>
      <c r="K299" s="85" t="str">
        <f aca="false">IF(OR(J299="",I299=""),"",J299-I299)</f>
        <v/>
      </c>
      <c r="L299" s="86" t="str">
        <f aca="false">IF(OR(G299="",H299="",J299=""),"",IF(H299=G299,"",MAX(0,MIN(1,(J299-G299)/(H299-G299)))))</f>
        <v/>
      </c>
      <c r="M299" s="61"/>
      <c r="N299" s="63"/>
      <c r="O299" s="87" t="str">
        <f aca="true">IF(N299="","",N299-TODAY())</f>
        <v/>
      </c>
      <c r="P299" s="61"/>
      <c r="Q299" s="60"/>
      <c r="R299" s="63"/>
      <c r="S299" s="60"/>
      <c r="T299" s="88" t="str">
        <f aca="false">IF(AND(B299&lt;&gt;"",AND(R299&lt;&gt;"",R299&gt;='Weekly Report'!$F$4,R299&lt;='Weekly Report'!$F$5)),ROW(),"")</f>
        <v/>
      </c>
    </row>
    <row r="300" customFormat="false" ht="15" hidden="false" customHeight="false" outlineLevel="0" collapsed="false">
      <c r="A300" s="56" t="s">
        <v>783</v>
      </c>
      <c r="B300" s="60"/>
      <c r="C300" s="61"/>
      <c r="D300" s="60"/>
      <c r="E300" s="60"/>
      <c r="F300" s="61"/>
      <c r="G300" s="61"/>
      <c r="H300" s="61"/>
      <c r="I300" s="61"/>
      <c r="J300" s="61"/>
      <c r="K300" s="85" t="str">
        <f aca="false">IF(OR(J300="",I300=""),"",J300-I300)</f>
        <v/>
      </c>
      <c r="L300" s="86" t="str">
        <f aca="false">IF(OR(G300="",H300="",J300=""),"",IF(H300=G300,"",MAX(0,MIN(1,(J300-G300)/(H300-G300)))))</f>
        <v/>
      </c>
      <c r="M300" s="61"/>
      <c r="N300" s="63"/>
      <c r="O300" s="87" t="str">
        <f aca="true">IF(N300="","",N300-TODAY())</f>
        <v/>
      </c>
      <c r="P300" s="61"/>
      <c r="Q300" s="60"/>
      <c r="R300" s="63"/>
      <c r="S300" s="60"/>
      <c r="T300" s="88" t="str">
        <f aca="false">IF(AND(B300&lt;&gt;"",AND(R300&lt;&gt;"",R300&gt;='Weekly Report'!$F$4,R300&lt;='Weekly Report'!$F$5)),ROW(),"")</f>
        <v/>
      </c>
    </row>
    <row r="301" customFormat="false" ht="15" hidden="false" customHeight="false" outlineLevel="0" collapsed="false">
      <c r="A301" s="56" t="s">
        <v>784</v>
      </c>
      <c r="B301" s="60"/>
      <c r="C301" s="61"/>
      <c r="D301" s="60"/>
      <c r="E301" s="60"/>
      <c r="F301" s="61"/>
      <c r="G301" s="61"/>
      <c r="H301" s="61"/>
      <c r="I301" s="61"/>
      <c r="J301" s="61"/>
      <c r="K301" s="85" t="str">
        <f aca="false">IF(OR(J301="",I301=""),"",J301-I301)</f>
        <v/>
      </c>
      <c r="L301" s="86" t="str">
        <f aca="false">IF(OR(G301="",H301="",J301=""),"",IF(H301=G301,"",MAX(0,MIN(1,(J301-G301)/(H301-G301)))))</f>
        <v/>
      </c>
      <c r="M301" s="61"/>
      <c r="N301" s="63"/>
      <c r="O301" s="87" t="str">
        <f aca="true">IF(N301="","",N301-TODAY())</f>
        <v/>
      </c>
      <c r="P301" s="61"/>
      <c r="Q301" s="60"/>
      <c r="R301" s="63"/>
      <c r="S301" s="60"/>
      <c r="T301" s="88" t="str">
        <f aca="false">IF(AND(B301&lt;&gt;"",AND(R301&lt;&gt;"",R301&gt;='Weekly Report'!$F$4,R301&lt;='Weekly Report'!$F$5)),ROW(),"")</f>
        <v/>
      </c>
    </row>
    <row r="302" customFormat="false" ht="15" hidden="false" customHeight="false" outlineLevel="0" collapsed="false">
      <c r="A302" s="56" t="s">
        <v>785</v>
      </c>
      <c r="B302" s="60"/>
      <c r="C302" s="61"/>
      <c r="D302" s="60"/>
      <c r="E302" s="60"/>
      <c r="F302" s="61"/>
      <c r="G302" s="61"/>
      <c r="H302" s="61"/>
      <c r="I302" s="61"/>
      <c r="J302" s="61"/>
      <c r="K302" s="85" t="str">
        <f aca="false">IF(OR(J302="",I302=""),"",J302-I302)</f>
        <v/>
      </c>
      <c r="L302" s="86" t="str">
        <f aca="false">IF(OR(G302="",H302="",J302=""),"",IF(H302=G302,"",MAX(0,MIN(1,(J302-G302)/(H302-G302)))))</f>
        <v/>
      </c>
      <c r="M302" s="61"/>
      <c r="N302" s="63"/>
      <c r="O302" s="87" t="str">
        <f aca="true">IF(N302="","",N302-TODAY())</f>
        <v/>
      </c>
      <c r="P302" s="61"/>
      <c r="Q302" s="60"/>
      <c r="R302" s="63"/>
      <c r="S302" s="60"/>
      <c r="T302" s="88" t="str">
        <f aca="false">IF(AND(B302&lt;&gt;"",AND(R302&lt;&gt;"",R302&gt;='Weekly Report'!$F$4,R302&lt;='Weekly Report'!$F$5)),ROW(),"")</f>
        <v/>
      </c>
    </row>
    <row r="303" customFormat="false" ht="15" hidden="false" customHeight="false" outlineLevel="0" collapsed="false">
      <c r="A303" s="56" t="s">
        <v>786</v>
      </c>
      <c r="B303" s="60"/>
      <c r="C303" s="61"/>
      <c r="D303" s="60"/>
      <c r="E303" s="60"/>
      <c r="F303" s="61"/>
      <c r="G303" s="61"/>
      <c r="H303" s="61"/>
      <c r="I303" s="61"/>
      <c r="J303" s="61"/>
      <c r="K303" s="85" t="str">
        <f aca="false">IF(OR(J303="",I303=""),"",J303-I303)</f>
        <v/>
      </c>
      <c r="L303" s="86" t="str">
        <f aca="false">IF(OR(G303="",H303="",J303=""),"",IF(H303=G303,"",MAX(0,MIN(1,(J303-G303)/(H303-G303)))))</f>
        <v/>
      </c>
      <c r="M303" s="61"/>
      <c r="N303" s="63"/>
      <c r="O303" s="87" t="str">
        <f aca="true">IF(N303="","",N303-TODAY())</f>
        <v/>
      </c>
      <c r="P303" s="61"/>
      <c r="Q303" s="60"/>
      <c r="R303" s="63"/>
      <c r="S303" s="60"/>
      <c r="T303" s="88" t="str">
        <f aca="false">IF(AND(B303&lt;&gt;"",AND(R303&lt;&gt;"",R303&gt;='Weekly Report'!$F$4,R303&lt;='Weekly Report'!$F$5)),ROW(),"")</f>
        <v/>
      </c>
    </row>
    <row r="304" customFormat="false" ht="15" hidden="false" customHeight="false" outlineLevel="0" collapsed="false">
      <c r="A304" s="56" t="s">
        <v>787</v>
      </c>
      <c r="B304" s="60"/>
      <c r="C304" s="61"/>
      <c r="D304" s="60"/>
      <c r="E304" s="60"/>
      <c r="F304" s="61"/>
      <c r="G304" s="61"/>
      <c r="H304" s="61"/>
      <c r="I304" s="61"/>
      <c r="J304" s="61"/>
      <c r="K304" s="85" t="str">
        <f aca="false">IF(OR(J304="",I304=""),"",J304-I304)</f>
        <v/>
      </c>
      <c r="L304" s="86" t="str">
        <f aca="false">IF(OR(G304="",H304="",J304=""),"",IF(H304=G304,"",MAX(0,MIN(1,(J304-G304)/(H304-G304)))))</f>
        <v/>
      </c>
      <c r="M304" s="61"/>
      <c r="N304" s="63"/>
      <c r="O304" s="87" t="str">
        <f aca="true">IF(N304="","",N304-TODAY())</f>
        <v/>
      </c>
      <c r="P304" s="61"/>
      <c r="Q304" s="60"/>
      <c r="R304" s="63"/>
      <c r="S304" s="60"/>
      <c r="T304" s="88" t="str">
        <f aca="false">IF(AND(B304&lt;&gt;"",AND(R304&lt;&gt;"",R304&gt;='Weekly Report'!$F$4,R304&lt;='Weekly Report'!$F$5)),ROW(),"")</f>
        <v/>
      </c>
    </row>
  </sheetData>
  <autoFilter ref="A4:S304"/>
  <conditionalFormatting sqref="P5:P304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1">
      <formula>"Achieved"</formula>
    </cfRule>
    <cfRule type="cellIs" priority="4" operator="equal" aboveAverage="0" equalAverage="0" bottom="0" percent="0" rank="0" text="" dxfId="1">
      <formula>"Remediated"</formula>
    </cfRule>
    <cfRule type="cellIs" priority="5" operator="equal" aboveAverage="0" equalAverage="0" bottom="0" percent="0" rank="0" text="" dxfId="1">
      <formula>"Responded"</formula>
    </cfRule>
    <cfRule type="cellIs" priority="6" operator="equal" aboveAverage="0" equalAverage="0" bottom="0" percent="0" rank="0" text="" dxfId="1">
      <formula>"Closed"</formula>
    </cfRule>
    <cfRule type="cellIs" priority="7" operator="equal" aboveAverage="0" equalAverage="0" bottom="0" percent="0" rank="0" text="" dxfId="1">
      <formula>"Decided"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2">
      <formula>"Remediation In Progress"</formula>
    </cfRule>
    <cfRule type="cellIs" priority="10" operator="equal" aboveAverage="0" equalAverage="0" bottom="0" percent="0" rank="0" text="" dxfId="2">
      <formula>"At Risk"</formula>
    </cfRule>
    <cfRule type="cellIs" priority="11" operator="equal" aboveAverage="0" equalAverage="0" bottom="0" percent="0" rank="0" text="" dxfId="2">
      <formula>"Validating"</formula>
    </cfRule>
    <cfRule type="cellIs" priority="12" operator="equal" aboveAverage="0" equalAverage="0" bottom="0" percent="0" rank="0" text="" dxfId="2">
      <formula>"Awaiting Response"</formula>
    </cfRule>
    <cfRule type="cellIs" priority="13" operator="equal" aboveAverage="0" equalAverage="0" bottom="0" percent="0" rank="0" text="" dxfId="2">
      <formula>"Open"</formula>
    </cfRule>
    <cfRule type="cellIs" priority="14" operator="equal" aboveAverage="0" equalAverage="0" bottom="0" percent="0" rank="0" text="" dxfId="3">
      <formula>"Blocked"</formula>
    </cfRule>
    <cfRule type="cellIs" priority="15" operator="equal" aboveAverage="0" equalAverage="0" bottom="0" percent="0" rank="0" text="" dxfId="3">
      <formula>"Off Track"</formula>
    </cfRule>
    <cfRule type="cellIs" priority="16" operator="equal" aboveAverage="0" equalAverage="0" bottom="0" percent="0" rank="0" text="" dxfId="3">
      <formula>"Escalated"</formula>
    </cfRule>
    <cfRule type="cellIs" priority="17" operator="equal" aboveAverage="0" equalAverage="0" bottom="0" percent="0" rank="0" text="" dxfId="3">
      <formula>"Confirmed"</formula>
    </cfRule>
    <cfRule type="cellIs" priority="18" operator="equal" aboveAverage="0" equalAverage="0" bottom="0" percent="0" rank="0" text="" dxfId="3">
      <formula>"Delayed"</formula>
    </cfRule>
    <cfRule type="cellIs" priority="19" operator="equal" aboveAverage="0" equalAverage="0" bottom="0" percent="0" rank="0" text="" dxfId="4">
      <formula>"Cancelled"</formula>
    </cfRule>
    <cfRule type="cellIs" priority="20" operator="equal" aboveAverage="0" equalAverage="0" bottom="0" percent="0" rank="0" text="" dxfId="4">
      <formula>"False Positive"</formula>
    </cfRule>
    <cfRule type="cellIs" priority="21" operator="equal" aboveAverage="0" equalAverage="0" bottom="0" percent="0" rank="0" text="" dxfId="4">
      <formula>"Deferred"</formula>
    </cfRule>
    <cfRule type="cellIs" priority="22" operator="equal" aboveAverage="0" equalAverage="0" bottom="0" percent="0" rank="0" text="" dxfId="4">
      <formula>"On Hold"</formula>
    </cfRule>
    <cfRule type="cellIs" priority="23" operator="equal" aboveAverage="0" equalAverage="0" bottom="0" percent="0" rank="0" text="" dxfId="4">
      <formula>"Withdrawn"</formula>
    </cfRule>
  </conditionalFormatting>
  <conditionalFormatting sqref="L5:L304">
    <cfRule type="dataBar" priority="24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{5B3A80CB-6EFA-42E0-9660-70EF26D0BBFA}</x14:id>
        </ext>
      </extLst>
    </cfRule>
  </conditionalFormatting>
  <dataValidations count="4">
    <dataValidation allowBlank="true" error="Value not in the standard list. Keep it anyway?" errorStyle="warning" errorTitle="Not in list" operator="between" showDropDown="false" showErrorMessage="true" showInputMessage="false" sqref="C5:C304" type="list">
      <formula1>Lists!$G$4:$G$14</formula1>
      <formula2>0</formula2>
    </dataValidation>
    <dataValidation allowBlank="true" error="Enter a valid date (e.g. 19-Oct-2026)." errorStyle="stop" operator="greaterThan" showDropDown="false" showErrorMessage="true" showInputMessage="false" sqref="N5:N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P5:P304" type="list">
      <formula1>Lists!$M$4:$M$8</formula1>
      <formula2>0</formula2>
    </dataValidation>
    <dataValidation allowBlank="true" error="Enter a valid date (e.g. 19-Oct-2026)." errorStyle="stop" operator="greaterThan" showDropDown="false" showErrorMessage="true" showInputMessage="false" sqref="R5:R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3A80CB-6EFA-42E0-9660-70EF26D0BB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L5:L304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X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5" min="13" style="0" width="34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26"/>
    <col collapsed="false" customWidth="true" hidden="false" outlineLevel="0" max="22" min="22" style="0" width="15"/>
    <col collapsed="false" customWidth="true" hidden="false" outlineLevel="0" max="23" min="23" style="0" width="30"/>
    <col collapsed="false" customWidth="true" hidden="true" outlineLevel="1" max="24" min="24" style="0" width="8"/>
  </cols>
  <sheetData>
    <row r="1" customFormat="false" ht="19.7" hidden="false" customHeight="false" outlineLevel="0" collapsed="false">
      <c r="A1" s="53" t="s">
        <v>788</v>
      </c>
    </row>
    <row r="2" customFormat="false" ht="15" hidden="false" customHeight="false" outlineLevel="0" collapsed="false">
      <c r="A2" s="2" t="s">
        <v>789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790</v>
      </c>
      <c r="B4" s="55" t="s">
        <v>161</v>
      </c>
      <c r="C4" s="55" t="s">
        <v>791</v>
      </c>
      <c r="D4" s="55" t="s">
        <v>792</v>
      </c>
      <c r="E4" s="55" t="s">
        <v>793</v>
      </c>
      <c r="F4" s="55" t="s">
        <v>142</v>
      </c>
      <c r="G4" s="55" t="s">
        <v>794</v>
      </c>
      <c r="H4" s="55" t="s">
        <v>166</v>
      </c>
      <c r="I4" s="55" t="s">
        <v>795</v>
      </c>
      <c r="J4" s="55" t="s">
        <v>796</v>
      </c>
      <c r="K4" s="55" t="s">
        <v>797</v>
      </c>
      <c r="L4" s="55" t="s">
        <v>798</v>
      </c>
      <c r="M4" s="55" t="s">
        <v>799</v>
      </c>
      <c r="N4" s="55" t="s">
        <v>800</v>
      </c>
      <c r="O4" s="55" t="s">
        <v>801</v>
      </c>
      <c r="P4" s="55" t="s">
        <v>802</v>
      </c>
      <c r="Q4" s="55" t="s">
        <v>803</v>
      </c>
      <c r="R4" s="55" t="s">
        <v>804</v>
      </c>
      <c r="S4" s="55" t="s">
        <v>805</v>
      </c>
      <c r="T4" s="55" t="s">
        <v>806</v>
      </c>
      <c r="U4" s="55" t="s">
        <v>807</v>
      </c>
      <c r="V4" s="55" t="s">
        <v>808</v>
      </c>
      <c r="W4" s="55" t="s">
        <v>232</v>
      </c>
      <c r="X4" s="84" t="s">
        <v>809</v>
      </c>
    </row>
    <row r="5" customFormat="false" ht="35.05" hidden="false" customHeight="false" outlineLevel="0" collapsed="false">
      <c r="A5" s="56" t="s">
        <v>810</v>
      </c>
      <c r="B5" s="57" t="n">
        <v>46310</v>
      </c>
      <c r="C5" s="89" t="n">
        <v>0.416666666666667</v>
      </c>
      <c r="D5" s="90" t="n">
        <v>60</v>
      </c>
      <c r="E5" s="58" t="s">
        <v>402</v>
      </c>
      <c r="F5" s="58" t="s">
        <v>811</v>
      </c>
      <c r="G5" s="59" t="s">
        <v>812</v>
      </c>
      <c r="H5" s="58" t="s">
        <v>486</v>
      </c>
      <c r="I5" s="59" t="s">
        <v>813</v>
      </c>
      <c r="J5" s="58" t="s">
        <v>814</v>
      </c>
      <c r="K5" s="59" t="s">
        <v>815</v>
      </c>
      <c r="L5" s="59" t="s">
        <v>816</v>
      </c>
      <c r="M5" s="59" t="s">
        <v>817</v>
      </c>
      <c r="N5" s="59" t="s">
        <v>818</v>
      </c>
      <c r="O5" s="59" t="s">
        <v>819</v>
      </c>
      <c r="P5" s="58" t="s">
        <v>820</v>
      </c>
      <c r="Q5" s="58" t="s">
        <v>821</v>
      </c>
      <c r="R5" s="57" t="n">
        <v>46325</v>
      </c>
      <c r="S5" s="58" t="s">
        <v>822</v>
      </c>
      <c r="T5" s="62" t="str">
        <f aca="true">IF(Q5&lt;&gt;"Yes","",IF(S5="Yes","Done",IF(R5="","Date missing",IF(R5&lt;TODAY(),"OVERDUE","Scheduled"))))</f>
        <v>Scheduled</v>
      </c>
      <c r="U5" s="58" t="s">
        <v>823</v>
      </c>
      <c r="V5" s="58" t="s">
        <v>824</v>
      </c>
      <c r="W5" s="60"/>
      <c r="X5" s="88" t="n">
        <f aca="false">IF(AND(G5&lt;&gt;"",AND(B5&lt;&gt;"",B5&gt;='Weekly Report'!$F$4,B5&lt;='Weekly Report'!$F$5)),ROW(),"")</f>
        <v>5</v>
      </c>
    </row>
    <row r="6" customFormat="false" ht="15" hidden="false" customHeight="false" outlineLevel="0" collapsed="false">
      <c r="A6" s="56" t="s">
        <v>825</v>
      </c>
      <c r="B6" s="63"/>
      <c r="C6" s="91"/>
      <c r="D6" s="92"/>
      <c r="E6" s="61"/>
      <c r="F6" s="61"/>
      <c r="G6" s="60"/>
      <c r="H6" s="61"/>
      <c r="I6" s="60"/>
      <c r="J6" s="61"/>
      <c r="K6" s="60"/>
      <c r="L6" s="60"/>
      <c r="M6" s="60"/>
      <c r="N6" s="60"/>
      <c r="O6" s="60"/>
      <c r="P6" s="61"/>
      <c r="Q6" s="61"/>
      <c r="R6" s="63"/>
      <c r="S6" s="61"/>
      <c r="T6" s="62" t="str">
        <f aca="true">IF(Q6&lt;&gt;"Yes","",IF(S6="Yes","Done",IF(R6="","Date missing",IF(R6&lt;TODAY(),"OVERDUE","Scheduled"))))</f>
        <v/>
      </c>
      <c r="U6" s="61"/>
      <c r="V6" s="61"/>
      <c r="W6" s="60"/>
      <c r="X6" s="88" t="str">
        <f aca="false">IF(AND(G6&lt;&gt;"",AND(B6&lt;&gt;"",B6&gt;='Weekly Report'!$F$4,B6&lt;='Weekly Report'!$F$5)),ROW(),"")</f>
        <v/>
      </c>
    </row>
    <row r="7" customFormat="false" ht="15" hidden="false" customHeight="false" outlineLevel="0" collapsed="false">
      <c r="A7" s="56" t="s">
        <v>826</v>
      </c>
      <c r="B7" s="63"/>
      <c r="C7" s="91"/>
      <c r="D7" s="92"/>
      <c r="E7" s="61"/>
      <c r="F7" s="61"/>
      <c r="G7" s="60"/>
      <c r="H7" s="61"/>
      <c r="I7" s="60"/>
      <c r="J7" s="61"/>
      <c r="K7" s="60"/>
      <c r="L7" s="60"/>
      <c r="M7" s="60"/>
      <c r="N7" s="60"/>
      <c r="O7" s="60"/>
      <c r="P7" s="61"/>
      <c r="Q7" s="61"/>
      <c r="R7" s="63"/>
      <c r="S7" s="61"/>
      <c r="T7" s="62" t="str">
        <f aca="true">IF(Q7&lt;&gt;"Yes","",IF(S7="Yes","Done",IF(R7="","Date missing",IF(R7&lt;TODAY(),"OVERDUE","Scheduled"))))</f>
        <v/>
      </c>
      <c r="U7" s="61"/>
      <c r="V7" s="61"/>
      <c r="W7" s="60"/>
      <c r="X7" s="88" t="str">
        <f aca="false">IF(AND(G7&lt;&gt;"",AND(B7&lt;&gt;"",B7&gt;='Weekly Report'!$F$4,B7&lt;='Weekly Report'!$F$5)),ROW(),"")</f>
        <v/>
      </c>
    </row>
    <row r="8" customFormat="false" ht="15" hidden="false" customHeight="false" outlineLevel="0" collapsed="false">
      <c r="A8" s="56" t="s">
        <v>827</v>
      </c>
      <c r="B8" s="63"/>
      <c r="C8" s="91"/>
      <c r="D8" s="92"/>
      <c r="E8" s="61"/>
      <c r="F8" s="61"/>
      <c r="G8" s="60"/>
      <c r="H8" s="61"/>
      <c r="I8" s="60"/>
      <c r="J8" s="61"/>
      <c r="K8" s="60"/>
      <c r="L8" s="60"/>
      <c r="M8" s="60"/>
      <c r="N8" s="60"/>
      <c r="O8" s="60"/>
      <c r="P8" s="61"/>
      <c r="Q8" s="61"/>
      <c r="R8" s="63"/>
      <c r="S8" s="61"/>
      <c r="T8" s="62" t="str">
        <f aca="true">IF(Q8&lt;&gt;"Yes","",IF(S8="Yes","Done",IF(R8="","Date missing",IF(R8&lt;TODAY(),"OVERDUE","Scheduled"))))</f>
        <v/>
      </c>
      <c r="U8" s="61"/>
      <c r="V8" s="61"/>
      <c r="W8" s="60"/>
      <c r="X8" s="88" t="str">
        <f aca="false">IF(AND(G8&lt;&gt;"",AND(B8&lt;&gt;"",B8&gt;='Weekly Report'!$F$4,B8&lt;='Weekly Report'!$F$5)),ROW(),"")</f>
        <v/>
      </c>
    </row>
    <row r="9" customFormat="false" ht="15" hidden="false" customHeight="false" outlineLevel="0" collapsed="false">
      <c r="A9" s="56" t="s">
        <v>828</v>
      </c>
      <c r="B9" s="63"/>
      <c r="C9" s="91"/>
      <c r="D9" s="92"/>
      <c r="E9" s="61"/>
      <c r="F9" s="61"/>
      <c r="G9" s="60"/>
      <c r="H9" s="61"/>
      <c r="I9" s="60"/>
      <c r="J9" s="61"/>
      <c r="K9" s="60"/>
      <c r="L9" s="60"/>
      <c r="M9" s="60"/>
      <c r="N9" s="60"/>
      <c r="O9" s="60"/>
      <c r="P9" s="61"/>
      <c r="Q9" s="61"/>
      <c r="R9" s="63"/>
      <c r="S9" s="61"/>
      <c r="T9" s="62" t="str">
        <f aca="true">IF(Q9&lt;&gt;"Yes","",IF(S9="Yes","Done",IF(R9="","Date missing",IF(R9&lt;TODAY(),"OVERDUE","Scheduled"))))</f>
        <v/>
      </c>
      <c r="U9" s="61"/>
      <c r="V9" s="61"/>
      <c r="W9" s="60"/>
      <c r="X9" s="88" t="str">
        <f aca="false">IF(AND(G9&lt;&gt;"",AND(B9&lt;&gt;"",B9&gt;='Weekly Report'!$F$4,B9&lt;='Weekly Report'!$F$5)),ROW(),"")</f>
        <v/>
      </c>
    </row>
    <row r="10" customFormat="false" ht="15" hidden="false" customHeight="false" outlineLevel="0" collapsed="false">
      <c r="A10" s="56" t="s">
        <v>829</v>
      </c>
      <c r="B10" s="63"/>
      <c r="C10" s="91"/>
      <c r="D10" s="92"/>
      <c r="E10" s="61"/>
      <c r="F10" s="61"/>
      <c r="G10" s="60"/>
      <c r="H10" s="61"/>
      <c r="I10" s="60"/>
      <c r="J10" s="61"/>
      <c r="K10" s="60"/>
      <c r="L10" s="60"/>
      <c r="M10" s="60"/>
      <c r="N10" s="60"/>
      <c r="O10" s="60"/>
      <c r="P10" s="61"/>
      <c r="Q10" s="61"/>
      <c r="R10" s="63"/>
      <c r="S10" s="61"/>
      <c r="T10" s="62" t="str">
        <f aca="true">IF(Q10&lt;&gt;"Yes","",IF(S10="Yes","Done",IF(R10="","Date missing",IF(R10&lt;TODAY(),"OVERDUE","Scheduled"))))</f>
        <v/>
      </c>
      <c r="U10" s="61"/>
      <c r="V10" s="61"/>
      <c r="W10" s="60"/>
      <c r="X10" s="88" t="str">
        <f aca="false">IF(AND(G10&lt;&gt;"",AND(B10&lt;&gt;"",B10&gt;='Weekly Report'!$F$4,B10&lt;='Weekly Report'!$F$5)),ROW(),"")</f>
        <v/>
      </c>
    </row>
    <row r="11" customFormat="false" ht="15" hidden="false" customHeight="false" outlineLevel="0" collapsed="false">
      <c r="A11" s="56" t="s">
        <v>830</v>
      </c>
      <c r="B11" s="63"/>
      <c r="C11" s="91"/>
      <c r="D11" s="92"/>
      <c r="E11" s="61"/>
      <c r="F11" s="61"/>
      <c r="G11" s="60"/>
      <c r="H11" s="61"/>
      <c r="I11" s="60"/>
      <c r="J11" s="61"/>
      <c r="K11" s="60"/>
      <c r="L11" s="60"/>
      <c r="M11" s="60"/>
      <c r="N11" s="60"/>
      <c r="O11" s="60"/>
      <c r="P11" s="61"/>
      <c r="Q11" s="61"/>
      <c r="R11" s="63"/>
      <c r="S11" s="61"/>
      <c r="T11" s="62" t="str">
        <f aca="true">IF(Q11&lt;&gt;"Yes","",IF(S11="Yes","Done",IF(R11="","Date missing",IF(R11&lt;TODAY(),"OVERDUE","Scheduled"))))</f>
        <v/>
      </c>
      <c r="U11" s="61"/>
      <c r="V11" s="61"/>
      <c r="W11" s="60"/>
      <c r="X11" s="88" t="str">
        <f aca="false">IF(AND(G11&lt;&gt;"",AND(B11&lt;&gt;"",B11&gt;='Weekly Report'!$F$4,B11&lt;='Weekly Report'!$F$5)),ROW(),"")</f>
        <v/>
      </c>
    </row>
    <row r="12" customFormat="false" ht="15" hidden="false" customHeight="false" outlineLevel="0" collapsed="false">
      <c r="A12" s="56" t="s">
        <v>831</v>
      </c>
      <c r="B12" s="63"/>
      <c r="C12" s="91"/>
      <c r="D12" s="92"/>
      <c r="E12" s="61"/>
      <c r="F12" s="61"/>
      <c r="G12" s="60"/>
      <c r="H12" s="61"/>
      <c r="I12" s="60"/>
      <c r="J12" s="61"/>
      <c r="K12" s="60"/>
      <c r="L12" s="60"/>
      <c r="M12" s="60"/>
      <c r="N12" s="60"/>
      <c r="O12" s="60"/>
      <c r="P12" s="61"/>
      <c r="Q12" s="61"/>
      <c r="R12" s="63"/>
      <c r="S12" s="61"/>
      <c r="T12" s="62" t="str">
        <f aca="true">IF(Q12&lt;&gt;"Yes","",IF(S12="Yes","Done",IF(R12="","Date missing",IF(R12&lt;TODAY(),"OVERDUE","Scheduled"))))</f>
        <v/>
      </c>
      <c r="U12" s="61"/>
      <c r="V12" s="61"/>
      <c r="W12" s="60"/>
      <c r="X12" s="88" t="str">
        <f aca="false">IF(AND(G12&lt;&gt;"",AND(B12&lt;&gt;"",B12&gt;='Weekly Report'!$F$4,B12&lt;='Weekly Report'!$F$5)),ROW(),"")</f>
        <v/>
      </c>
    </row>
    <row r="13" customFormat="false" ht="15" hidden="false" customHeight="false" outlineLevel="0" collapsed="false">
      <c r="A13" s="56" t="s">
        <v>832</v>
      </c>
      <c r="B13" s="63"/>
      <c r="C13" s="91"/>
      <c r="D13" s="92"/>
      <c r="E13" s="61"/>
      <c r="F13" s="61"/>
      <c r="G13" s="60"/>
      <c r="H13" s="61"/>
      <c r="I13" s="60"/>
      <c r="J13" s="61"/>
      <c r="K13" s="60"/>
      <c r="L13" s="60"/>
      <c r="M13" s="60"/>
      <c r="N13" s="60"/>
      <c r="O13" s="60"/>
      <c r="P13" s="61"/>
      <c r="Q13" s="61"/>
      <c r="R13" s="63"/>
      <c r="S13" s="61"/>
      <c r="T13" s="62" t="str">
        <f aca="true">IF(Q13&lt;&gt;"Yes","",IF(S13="Yes","Done",IF(R13="","Date missing",IF(R13&lt;TODAY(),"OVERDUE","Scheduled"))))</f>
        <v/>
      </c>
      <c r="U13" s="61"/>
      <c r="V13" s="61"/>
      <c r="W13" s="60"/>
      <c r="X13" s="88" t="str">
        <f aca="false">IF(AND(G13&lt;&gt;"",AND(B13&lt;&gt;"",B13&gt;='Weekly Report'!$F$4,B13&lt;='Weekly Report'!$F$5)),ROW(),"")</f>
        <v/>
      </c>
    </row>
    <row r="14" customFormat="false" ht="15" hidden="false" customHeight="false" outlineLevel="0" collapsed="false">
      <c r="A14" s="56" t="s">
        <v>833</v>
      </c>
      <c r="B14" s="63"/>
      <c r="C14" s="91"/>
      <c r="D14" s="92"/>
      <c r="E14" s="61"/>
      <c r="F14" s="61"/>
      <c r="G14" s="60"/>
      <c r="H14" s="61"/>
      <c r="I14" s="60"/>
      <c r="J14" s="61"/>
      <c r="K14" s="60"/>
      <c r="L14" s="60"/>
      <c r="M14" s="60"/>
      <c r="N14" s="60"/>
      <c r="O14" s="60"/>
      <c r="P14" s="61"/>
      <c r="Q14" s="61"/>
      <c r="R14" s="63"/>
      <c r="S14" s="61"/>
      <c r="T14" s="62" t="str">
        <f aca="true">IF(Q14&lt;&gt;"Yes","",IF(S14="Yes","Done",IF(R14="","Date missing",IF(R14&lt;TODAY(),"OVERDUE","Scheduled"))))</f>
        <v/>
      </c>
      <c r="U14" s="61"/>
      <c r="V14" s="61"/>
      <c r="W14" s="60"/>
      <c r="X14" s="88" t="str">
        <f aca="false">IF(AND(G14&lt;&gt;"",AND(B14&lt;&gt;"",B14&gt;='Weekly Report'!$F$4,B14&lt;='Weekly Report'!$F$5)),ROW(),"")</f>
        <v/>
      </c>
    </row>
    <row r="15" customFormat="false" ht="15" hidden="false" customHeight="false" outlineLevel="0" collapsed="false">
      <c r="A15" s="56" t="s">
        <v>834</v>
      </c>
      <c r="B15" s="63"/>
      <c r="C15" s="91"/>
      <c r="D15" s="92"/>
      <c r="E15" s="61"/>
      <c r="F15" s="61"/>
      <c r="G15" s="60"/>
      <c r="H15" s="61"/>
      <c r="I15" s="60"/>
      <c r="J15" s="61"/>
      <c r="K15" s="60"/>
      <c r="L15" s="60"/>
      <c r="M15" s="60"/>
      <c r="N15" s="60"/>
      <c r="O15" s="60"/>
      <c r="P15" s="61"/>
      <c r="Q15" s="61"/>
      <c r="R15" s="63"/>
      <c r="S15" s="61"/>
      <c r="T15" s="62" t="str">
        <f aca="true">IF(Q15&lt;&gt;"Yes","",IF(S15="Yes","Done",IF(R15="","Date missing",IF(R15&lt;TODAY(),"OVERDUE","Scheduled"))))</f>
        <v/>
      </c>
      <c r="U15" s="61"/>
      <c r="V15" s="61"/>
      <c r="W15" s="60"/>
      <c r="X15" s="88" t="str">
        <f aca="false">IF(AND(G15&lt;&gt;"",AND(B15&lt;&gt;"",B15&gt;='Weekly Report'!$F$4,B15&lt;='Weekly Report'!$F$5)),ROW(),"")</f>
        <v/>
      </c>
    </row>
    <row r="16" customFormat="false" ht="15" hidden="false" customHeight="false" outlineLevel="0" collapsed="false">
      <c r="A16" s="56" t="s">
        <v>835</v>
      </c>
      <c r="B16" s="63"/>
      <c r="C16" s="91"/>
      <c r="D16" s="92"/>
      <c r="E16" s="61"/>
      <c r="F16" s="61"/>
      <c r="G16" s="60"/>
      <c r="H16" s="61"/>
      <c r="I16" s="60"/>
      <c r="J16" s="61"/>
      <c r="K16" s="60"/>
      <c r="L16" s="60"/>
      <c r="M16" s="60"/>
      <c r="N16" s="60"/>
      <c r="O16" s="60"/>
      <c r="P16" s="61"/>
      <c r="Q16" s="61"/>
      <c r="R16" s="63"/>
      <c r="S16" s="61"/>
      <c r="T16" s="62" t="str">
        <f aca="true">IF(Q16&lt;&gt;"Yes","",IF(S16="Yes","Done",IF(R16="","Date missing",IF(R16&lt;TODAY(),"OVERDUE","Scheduled"))))</f>
        <v/>
      </c>
      <c r="U16" s="61"/>
      <c r="V16" s="61"/>
      <c r="W16" s="60"/>
      <c r="X16" s="88" t="str">
        <f aca="false">IF(AND(G16&lt;&gt;"",AND(B16&lt;&gt;"",B16&gt;='Weekly Report'!$F$4,B16&lt;='Weekly Report'!$F$5)),ROW(),"")</f>
        <v/>
      </c>
    </row>
    <row r="17" customFormat="false" ht="15" hidden="false" customHeight="false" outlineLevel="0" collapsed="false">
      <c r="A17" s="56" t="s">
        <v>836</v>
      </c>
      <c r="B17" s="63"/>
      <c r="C17" s="91"/>
      <c r="D17" s="92"/>
      <c r="E17" s="61"/>
      <c r="F17" s="61"/>
      <c r="G17" s="60"/>
      <c r="H17" s="61"/>
      <c r="I17" s="60"/>
      <c r="J17" s="61"/>
      <c r="K17" s="60"/>
      <c r="L17" s="60"/>
      <c r="M17" s="60"/>
      <c r="N17" s="60"/>
      <c r="O17" s="60"/>
      <c r="P17" s="61"/>
      <c r="Q17" s="61"/>
      <c r="R17" s="63"/>
      <c r="S17" s="61"/>
      <c r="T17" s="62" t="str">
        <f aca="true">IF(Q17&lt;&gt;"Yes","",IF(S17="Yes","Done",IF(R17="","Date missing",IF(R17&lt;TODAY(),"OVERDUE","Scheduled"))))</f>
        <v/>
      </c>
      <c r="U17" s="61"/>
      <c r="V17" s="61"/>
      <c r="W17" s="60"/>
      <c r="X17" s="88" t="str">
        <f aca="false">IF(AND(G17&lt;&gt;"",AND(B17&lt;&gt;"",B17&gt;='Weekly Report'!$F$4,B17&lt;='Weekly Report'!$F$5)),ROW(),"")</f>
        <v/>
      </c>
    </row>
    <row r="18" customFormat="false" ht="15" hidden="false" customHeight="false" outlineLevel="0" collapsed="false">
      <c r="A18" s="56" t="s">
        <v>837</v>
      </c>
      <c r="B18" s="63"/>
      <c r="C18" s="91"/>
      <c r="D18" s="92"/>
      <c r="E18" s="61"/>
      <c r="F18" s="61"/>
      <c r="G18" s="60"/>
      <c r="H18" s="61"/>
      <c r="I18" s="60"/>
      <c r="J18" s="61"/>
      <c r="K18" s="60"/>
      <c r="L18" s="60"/>
      <c r="M18" s="60"/>
      <c r="N18" s="60"/>
      <c r="O18" s="60"/>
      <c r="P18" s="61"/>
      <c r="Q18" s="61"/>
      <c r="R18" s="63"/>
      <c r="S18" s="61"/>
      <c r="T18" s="62" t="str">
        <f aca="true">IF(Q18&lt;&gt;"Yes","",IF(S18="Yes","Done",IF(R18="","Date missing",IF(R18&lt;TODAY(),"OVERDUE","Scheduled"))))</f>
        <v/>
      </c>
      <c r="U18" s="61"/>
      <c r="V18" s="61"/>
      <c r="W18" s="60"/>
      <c r="X18" s="88" t="str">
        <f aca="false">IF(AND(G18&lt;&gt;"",AND(B18&lt;&gt;"",B18&gt;='Weekly Report'!$F$4,B18&lt;='Weekly Report'!$F$5)),ROW(),"")</f>
        <v/>
      </c>
    </row>
    <row r="19" customFormat="false" ht="15" hidden="false" customHeight="false" outlineLevel="0" collapsed="false">
      <c r="A19" s="56" t="s">
        <v>838</v>
      </c>
      <c r="B19" s="63"/>
      <c r="C19" s="91"/>
      <c r="D19" s="92"/>
      <c r="E19" s="61"/>
      <c r="F19" s="61"/>
      <c r="G19" s="60"/>
      <c r="H19" s="61"/>
      <c r="I19" s="60"/>
      <c r="J19" s="61"/>
      <c r="K19" s="60"/>
      <c r="L19" s="60"/>
      <c r="M19" s="60"/>
      <c r="N19" s="60"/>
      <c r="O19" s="60"/>
      <c r="P19" s="61"/>
      <c r="Q19" s="61"/>
      <c r="R19" s="63"/>
      <c r="S19" s="61"/>
      <c r="T19" s="62" t="str">
        <f aca="true">IF(Q19&lt;&gt;"Yes","",IF(S19="Yes","Done",IF(R19="","Date missing",IF(R19&lt;TODAY(),"OVERDUE","Scheduled"))))</f>
        <v/>
      </c>
      <c r="U19" s="61"/>
      <c r="V19" s="61"/>
      <c r="W19" s="60"/>
      <c r="X19" s="88" t="str">
        <f aca="false">IF(AND(G19&lt;&gt;"",AND(B19&lt;&gt;"",B19&gt;='Weekly Report'!$F$4,B19&lt;='Weekly Report'!$F$5)),ROW(),"")</f>
        <v/>
      </c>
    </row>
    <row r="20" customFormat="false" ht="15" hidden="false" customHeight="false" outlineLevel="0" collapsed="false">
      <c r="A20" s="56" t="s">
        <v>839</v>
      </c>
      <c r="B20" s="63"/>
      <c r="C20" s="91"/>
      <c r="D20" s="92"/>
      <c r="E20" s="61"/>
      <c r="F20" s="61"/>
      <c r="G20" s="60"/>
      <c r="H20" s="61"/>
      <c r="I20" s="60"/>
      <c r="J20" s="61"/>
      <c r="K20" s="60"/>
      <c r="L20" s="60"/>
      <c r="M20" s="60"/>
      <c r="N20" s="60"/>
      <c r="O20" s="60"/>
      <c r="P20" s="61"/>
      <c r="Q20" s="61"/>
      <c r="R20" s="63"/>
      <c r="S20" s="61"/>
      <c r="T20" s="62" t="str">
        <f aca="true">IF(Q20&lt;&gt;"Yes","",IF(S20="Yes","Done",IF(R20="","Date missing",IF(R20&lt;TODAY(),"OVERDUE","Scheduled"))))</f>
        <v/>
      </c>
      <c r="U20" s="61"/>
      <c r="V20" s="61"/>
      <c r="W20" s="60"/>
      <c r="X20" s="88" t="str">
        <f aca="false">IF(AND(G20&lt;&gt;"",AND(B20&lt;&gt;"",B20&gt;='Weekly Report'!$F$4,B20&lt;='Weekly Report'!$F$5)),ROW(),"")</f>
        <v/>
      </c>
    </row>
    <row r="21" customFormat="false" ht="15" hidden="false" customHeight="false" outlineLevel="0" collapsed="false">
      <c r="A21" s="56" t="s">
        <v>840</v>
      </c>
      <c r="B21" s="63"/>
      <c r="C21" s="91"/>
      <c r="D21" s="92"/>
      <c r="E21" s="61"/>
      <c r="F21" s="61"/>
      <c r="G21" s="60"/>
      <c r="H21" s="61"/>
      <c r="I21" s="60"/>
      <c r="J21" s="61"/>
      <c r="K21" s="60"/>
      <c r="L21" s="60"/>
      <c r="M21" s="60"/>
      <c r="N21" s="60"/>
      <c r="O21" s="60"/>
      <c r="P21" s="61"/>
      <c r="Q21" s="61"/>
      <c r="R21" s="63"/>
      <c r="S21" s="61"/>
      <c r="T21" s="62" t="str">
        <f aca="true">IF(Q21&lt;&gt;"Yes","",IF(S21="Yes","Done",IF(R21="","Date missing",IF(R21&lt;TODAY(),"OVERDUE","Scheduled"))))</f>
        <v/>
      </c>
      <c r="U21" s="61"/>
      <c r="V21" s="61"/>
      <c r="W21" s="60"/>
      <c r="X21" s="88" t="str">
        <f aca="false">IF(AND(G21&lt;&gt;"",AND(B21&lt;&gt;"",B21&gt;='Weekly Report'!$F$4,B21&lt;='Weekly Report'!$F$5)),ROW(),"")</f>
        <v/>
      </c>
    </row>
    <row r="22" customFormat="false" ht="15" hidden="false" customHeight="false" outlineLevel="0" collapsed="false">
      <c r="A22" s="56" t="s">
        <v>841</v>
      </c>
      <c r="B22" s="63"/>
      <c r="C22" s="91"/>
      <c r="D22" s="92"/>
      <c r="E22" s="61"/>
      <c r="F22" s="61"/>
      <c r="G22" s="60"/>
      <c r="H22" s="61"/>
      <c r="I22" s="60"/>
      <c r="J22" s="61"/>
      <c r="K22" s="60"/>
      <c r="L22" s="60"/>
      <c r="M22" s="60"/>
      <c r="N22" s="60"/>
      <c r="O22" s="60"/>
      <c r="P22" s="61"/>
      <c r="Q22" s="61"/>
      <c r="R22" s="63"/>
      <c r="S22" s="61"/>
      <c r="T22" s="62" t="str">
        <f aca="true">IF(Q22&lt;&gt;"Yes","",IF(S22="Yes","Done",IF(R22="","Date missing",IF(R22&lt;TODAY(),"OVERDUE","Scheduled"))))</f>
        <v/>
      </c>
      <c r="U22" s="61"/>
      <c r="V22" s="61"/>
      <c r="W22" s="60"/>
      <c r="X22" s="88" t="str">
        <f aca="false">IF(AND(G22&lt;&gt;"",AND(B22&lt;&gt;"",B22&gt;='Weekly Report'!$F$4,B22&lt;='Weekly Report'!$F$5)),ROW(),"")</f>
        <v/>
      </c>
    </row>
    <row r="23" customFormat="false" ht="15" hidden="false" customHeight="false" outlineLevel="0" collapsed="false">
      <c r="A23" s="56" t="s">
        <v>842</v>
      </c>
      <c r="B23" s="63"/>
      <c r="C23" s="91"/>
      <c r="D23" s="92"/>
      <c r="E23" s="61"/>
      <c r="F23" s="61"/>
      <c r="G23" s="60"/>
      <c r="H23" s="61"/>
      <c r="I23" s="60"/>
      <c r="J23" s="61"/>
      <c r="K23" s="60"/>
      <c r="L23" s="60"/>
      <c r="M23" s="60"/>
      <c r="N23" s="60"/>
      <c r="O23" s="60"/>
      <c r="P23" s="61"/>
      <c r="Q23" s="61"/>
      <c r="R23" s="63"/>
      <c r="S23" s="61"/>
      <c r="T23" s="62" t="str">
        <f aca="true">IF(Q23&lt;&gt;"Yes","",IF(S23="Yes","Done",IF(R23="","Date missing",IF(R23&lt;TODAY(),"OVERDUE","Scheduled"))))</f>
        <v/>
      </c>
      <c r="U23" s="61"/>
      <c r="V23" s="61"/>
      <c r="W23" s="60"/>
      <c r="X23" s="88" t="str">
        <f aca="false">IF(AND(G23&lt;&gt;"",AND(B23&lt;&gt;"",B23&gt;='Weekly Report'!$F$4,B23&lt;='Weekly Report'!$F$5)),ROW(),"")</f>
        <v/>
      </c>
    </row>
    <row r="24" customFormat="false" ht="15" hidden="false" customHeight="false" outlineLevel="0" collapsed="false">
      <c r="A24" s="56" t="s">
        <v>843</v>
      </c>
      <c r="B24" s="63"/>
      <c r="C24" s="91"/>
      <c r="D24" s="92"/>
      <c r="E24" s="61"/>
      <c r="F24" s="61"/>
      <c r="G24" s="60"/>
      <c r="H24" s="61"/>
      <c r="I24" s="60"/>
      <c r="J24" s="61"/>
      <c r="K24" s="60"/>
      <c r="L24" s="60"/>
      <c r="M24" s="60"/>
      <c r="N24" s="60"/>
      <c r="O24" s="60"/>
      <c r="P24" s="61"/>
      <c r="Q24" s="61"/>
      <c r="R24" s="63"/>
      <c r="S24" s="61"/>
      <c r="T24" s="62" t="str">
        <f aca="true">IF(Q24&lt;&gt;"Yes","",IF(S24="Yes","Done",IF(R24="","Date missing",IF(R24&lt;TODAY(),"OVERDUE","Scheduled"))))</f>
        <v/>
      </c>
      <c r="U24" s="61"/>
      <c r="V24" s="61"/>
      <c r="W24" s="60"/>
      <c r="X24" s="88" t="str">
        <f aca="false">IF(AND(G24&lt;&gt;"",AND(B24&lt;&gt;"",B24&gt;='Weekly Report'!$F$4,B24&lt;='Weekly Report'!$F$5)),ROW(),"")</f>
        <v/>
      </c>
    </row>
    <row r="25" customFormat="false" ht="15" hidden="false" customHeight="false" outlineLevel="0" collapsed="false">
      <c r="A25" s="56" t="s">
        <v>844</v>
      </c>
      <c r="B25" s="63"/>
      <c r="C25" s="91"/>
      <c r="D25" s="92"/>
      <c r="E25" s="61"/>
      <c r="F25" s="61"/>
      <c r="G25" s="60"/>
      <c r="H25" s="61"/>
      <c r="I25" s="60"/>
      <c r="J25" s="61"/>
      <c r="K25" s="60"/>
      <c r="L25" s="60"/>
      <c r="M25" s="60"/>
      <c r="N25" s="60"/>
      <c r="O25" s="60"/>
      <c r="P25" s="61"/>
      <c r="Q25" s="61"/>
      <c r="R25" s="63"/>
      <c r="S25" s="61"/>
      <c r="T25" s="62" t="str">
        <f aca="true">IF(Q25&lt;&gt;"Yes","",IF(S25="Yes","Done",IF(R25="","Date missing",IF(R25&lt;TODAY(),"OVERDUE","Scheduled"))))</f>
        <v/>
      </c>
      <c r="U25" s="61"/>
      <c r="V25" s="61"/>
      <c r="W25" s="60"/>
      <c r="X25" s="88" t="str">
        <f aca="false">IF(AND(G25&lt;&gt;"",AND(B25&lt;&gt;"",B25&gt;='Weekly Report'!$F$4,B25&lt;='Weekly Report'!$F$5)),ROW(),"")</f>
        <v/>
      </c>
    </row>
    <row r="26" customFormat="false" ht="15" hidden="false" customHeight="false" outlineLevel="0" collapsed="false">
      <c r="A26" s="56" t="s">
        <v>845</v>
      </c>
      <c r="B26" s="63"/>
      <c r="C26" s="91"/>
      <c r="D26" s="92"/>
      <c r="E26" s="61"/>
      <c r="F26" s="61"/>
      <c r="G26" s="60"/>
      <c r="H26" s="61"/>
      <c r="I26" s="60"/>
      <c r="J26" s="61"/>
      <c r="K26" s="60"/>
      <c r="L26" s="60"/>
      <c r="M26" s="60"/>
      <c r="N26" s="60"/>
      <c r="O26" s="60"/>
      <c r="P26" s="61"/>
      <c r="Q26" s="61"/>
      <c r="R26" s="63"/>
      <c r="S26" s="61"/>
      <c r="T26" s="62" t="str">
        <f aca="true">IF(Q26&lt;&gt;"Yes","",IF(S26="Yes","Done",IF(R26="","Date missing",IF(R26&lt;TODAY(),"OVERDUE","Scheduled"))))</f>
        <v/>
      </c>
      <c r="U26" s="61"/>
      <c r="V26" s="61"/>
      <c r="W26" s="60"/>
      <c r="X26" s="88" t="str">
        <f aca="false">IF(AND(G26&lt;&gt;"",AND(B26&lt;&gt;"",B26&gt;='Weekly Report'!$F$4,B26&lt;='Weekly Report'!$F$5)),ROW(),"")</f>
        <v/>
      </c>
    </row>
    <row r="27" customFormat="false" ht="15" hidden="false" customHeight="false" outlineLevel="0" collapsed="false">
      <c r="A27" s="56" t="s">
        <v>846</v>
      </c>
      <c r="B27" s="63"/>
      <c r="C27" s="91"/>
      <c r="D27" s="92"/>
      <c r="E27" s="61"/>
      <c r="F27" s="61"/>
      <c r="G27" s="60"/>
      <c r="H27" s="61"/>
      <c r="I27" s="60"/>
      <c r="J27" s="61"/>
      <c r="K27" s="60"/>
      <c r="L27" s="60"/>
      <c r="M27" s="60"/>
      <c r="N27" s="60"/>
      <c r="O27" s="60"/>
      <c r="P27" s="61"/>
      <c r="Q27" s="61"/>
      <c r="R27" s="63"/>
      <c r="S27" s="61"/>
      <c r="T27" s="62" t="str">
        <f aca="true">IF(Q27&lt;&gt;"Yes","",IF(S27="Yes","Done",IF(R27="","Date missing",IF(R27&lt;TODAY(),"OVERDUE","Scheduled"))))</f>
        <v/>
      </c>
      <c r="U27" s="61"/>
      <c r="V27" s="61"/>
      <c r="W27" s="60"/>
      <c r="X27" s="88" t="str">
        <f aca="false">IF(AND(G27&lt;&gt;"",AND(B27&lt;&gt;"",B27&gt;='Weekly Report'!$F$4,B27&lt;='Weekly Report'!$F$5)),ROW(),"")</f>
        <v/>
      </c>
    </row>
    <row r="28" customFormat="false" ht="15" hidden="false" customHeight="false" outlineLevel="0" collapsed="false">
      <c r="A28" s="56" t="s">
        <v>847</v>
      </c>
      <c r="B28" s="63"/>
      <c r="C28" s="91"/>
      <c r="D28" s="92"/>
      <c r="E28" s="61"/>
      <c r="F28" s="61"/>
      <c r="G28" s="60"/>
      <c r="H28" s="61"/>
      <c r="I28" s="60"/>
      <c r="J28" s="61"/>
      <c r="K28" s="60"/>
      <c r="L28" s="60"/>
      <c r="M28" s="60"/>
      <c r="N28" s="60"/>
      <c r="O28" s="60"/>
      <c r="P28" s="61"/>
      <c r="Q28" s="61"/>
      <c r="R28" s="63"/>
      <c r="S28" s="61"/>
      <c r="T28" s="62" t="str">
        <f aca="true">IF(Q28&lt;&gt;"Yes","",IF(S28="Yes","Done",IF(R28="","Date missing",IF(R28&lt;TODAY(),"OVERDUE","Scheduled"))))</f>
        <v/>
      </c>
      <c r="U28" s="61"/>
      <c r="V28" s="61"/>
      <c r="W28" s="60"/>
      <c r="X28" s="88" t="str">
        <f aca="false">IF(AND(G28&lt;&gt;"",AND(B28&lt;&gt;"",B28&gt;='Weekly Report'!$F$4,B28&lt;='Weekly Report'!$F$5)),ROW(),"")</f>
        <v/>
      </c>
    </row>
    <row r="29" customFormat="false" ht="15" hidden="false" customHeight="false" outlineLevel="0" collapsed="false">
      <c r="A29" s="56" t="s">
        <v>848</v>
      </c>
      <c r="B29" s="63"/>
      <c r="C29" s="91"/>
      <c r="D29" s="92"/>
      <c r="E29" s="61"/>
      <c r="F29" s="61"/>
      <c r="G29" s="60"/>
      <c r="H29" s="61"/>
      <c r="I29" s="60"/>
      <c r="J29" s="61"/>
      <c r="K29" s="60"/>
      <c r="L29" s="60"/>
      <c r="M29" s="60"/>
      <c r="N29" s="60"/>
      <c r="O29" s="60"/>
      <c r="P29" s="61"/>
      <c r="Q29" s="61"/>
      <c r="R29" s="63"/>
      <c r="S29" s="61"/>
      <c r="T29" s="62" t="str">
        <f aca="true">IF(Q29&lt;&gt;"Yes","",IF(S29="Yes","Done",IF(R29="","Date missing",IF(R29&lt;TODAY(),"OVERDUE","Scheduled"))))</f>
        <v/>
      </c>
      <c r="U29" s="61"/>
      <c r="V29" s="61"/>
      <c r="W29" s="60"/>
      <c r="X29" s="88" t="str">
        <f aca="false">IF(AND(G29&lt;&gt;"",AND(B29&lt;&gt;"",B29&gt;='Weekly Report'!$F$4,B29&lt;='Weekly Report'!$F$5)),ROW(),"")</f>
        <v/>
      </c>
    </row>
    <row r="30" customFormat="false" ht="15" hidden="false" customHeight="false" outlineLevel="0" collapsed="false">
      <c r="A30" s="56" t="s">
        <v>849</v>
      </c>
      <c r="B30" s="63"/>
      <c r="C30" s="91"/>
      <c r="D30" s="92"/>
      <c r="E30" s="61"/>
      <c r="F30" s="61"/>
      <c r="G30" s="60"/>
      <c r="H30" s="61"/>
      <c r="I30" s="60"/>
      <c r="J30" s="61"/>
      <c r="K30" s="60"/>
      <c r="L30" s="60"/>
      <c r="M30" s="60"/>
      <c r="N30" s="60"/>
      <c r="O30" s="60"/>
      <c r="P30" s="61"/>
      <c r="Q30" s="61"/>
      <c r="R30" s="63"/>
      <c r="S30" s="61"/>
      <c r="T30" s="62" t="str">
        <f aca="true">IF(Q30&lt;&gt;"Yes","",IF(S30="Yes","Done",IF(R30="","Date missing",IF(R30&lt;TODAY(),"OVERDUE","Scheduled"))))</f>
        <v/>
      </c>
      <c r="U30" s="61"/>
      <c r="V30" s="61"/>
      <c r="W30" s="60"/>
      <c r="X30" s="88" t="str">
        <f aca="false">IF(AND(G30&lt;&gt;"",AND(B30&lt;&gt;"",B30&gt;='Weekly Report'!$F$4,B30&lt;='Weekly Report'!$F$5)),ROW(),"")</f>
        <v/>
      </c>
    </row>
    <row r="31" customFormat="false" ht="15" hidden="false" customHeight="false" outlineLevel="0" collapsed="false">
      <c r="A31" s="56" t="s">
        <v>850</v>
      </c>
      <c r="B31" s="63"/>
      <c r="C31" s="91"/>
      <c r="D31" s="92"/>
      <c r="E31" s="61"/>
      <c r="F31" s="61"/>
      <c r="G31" s="60"/>
      <c r="H31" s="61"/>
      <c r="I31" s="60"/>
      <c r="J31" s="61"/>
      <c r="K31" s="60"/>
      <c r="L31" s="60"/>
      <c r="M31" s="60"/>
      <c r="N31" s="60"/>
      <c r="O31" s="60"/>
      <c r="P31" s="61"/>
      <c r="Q31" s="61"/>
      <c r="R31" s="63"/>
      <c r="S31" s="61"/>
      <c r="T31" s="62" t="str">
        <f aca="true">IF(Q31&lt;&gt;"Yes","",IF(S31="Yes","Done",IF(R31="","Date missing",IF(R31&lt;TODAY(),"OVERDUE","Scheduled"))))</f>
        <v/>
      </c>
      <c r="U31" s="61"/>
      <c r="V31" s="61"/>
      <c r="W31" s="60"/>
      <c r="X31" s="88" t="str">
        <f aca="false">IF(AND(G31&lt;&gt;"",AND(B31&lt;&gt;"",B31&gt;='Weekly Report'!$F$4,B31&lt;='Weekly Report'!$F$5)),ROW(),"")</f>
        <v/>
      </c>
    </row>
    <row r="32" customFormat="false" ht="15" hidden="false" customHeight="false" outlineLevel="0" collapsed="false">
      <c r="A32" s="56" t="s">
        <v>851</v>
      </c>
      <c r="B32" s="63"/>
      <c r="C32" s="91"/>
      <c r="D32" s="92"/>
      <c r="E32" s="61"/>
      <c r="F32" s="61"/>
      <c r="G32" s="60"/>
      <c r="H32" s="61"/>
      <c r="I32" s="60"/>
      <c r="J32" s="61"/>
      <c r="K32" s="60"/>
      <c r="L32" s="60"/>
      <c r="M32" s="60"/>
      <c r="N32" s="60"/>
      <c r="O32" s="60"/>
      <c r="P32" s="61"/>
      <c r="Q32" s="61"/>
      <c r="R32" s="63"/>
      <c r="S32" s="61"/>
      <c r="T32" s="62" t="str">
        <f aca="true">IF(Q32&lt;&gt;"Yes","",IF(S32="Yes","Done",IF(R32="","Date missing",IF(R32&lt;TODAY(),"OVERDUE","Scheduled"))))</f>
        <v/>
      </c>
      <c r="U32" s="61"/>
      <c r="V32" s="61"/>
      <c r="W32" s="60"/>
      <c r="X32" s="88" t="str">
        <f aca="false">IF(AND(G32&lt;&gt;"",AND(B32&lt;&gt;"",B32&gt;='Weekly Report'!$F$4,B32&lt;='Weekly Report'!$F$5)),ROW(),"")</f>
        <v/>
      </c>
    </row>
    <row r="33" customFormat="false" ht="15" hidden="false" customHeight="false" outlineLevel="0" collapsed="false">
      <c r="A33" s="56" t="s">
        <v>852</v>
      </c>
      <c r="B33" s="63"/>
      <c r="C33" s="91"/>
      <c r="D33" s="92"/>
      <c r="E33" s="61"/>
      <c r="F33" s="61"/>
      <c r="G33" s="60"/>
      <c r="H33" s="61"/>
      <c r="I33" s="60"/>
      <c r="J33" s="61"/>
      <c r="K33" s="60"/>
      <c r="L33" s="60"/>
      <c r="M33" s="60"/>
      <c r="N33" s="60"/>
      <c r="O33" s="60"/>
      <c r="P33" s="61"/>
      <c r="Q33" s="61"/>
      <c r="R33" s="63"/>
      <c r="S33" s="61"/>
      <c r="T33" s="62" t="str">
        <f aca="true">IF(Q33&lt;&gt;"Yes","",IF(S33="Yes","Done",IF(R33="","Date missing",IF(R33&lt;TODAY(),"OVERDUE","Scheduled"))))</f>
        <v/>
      </c>
      <c r="U33" s="61"/>
      <c r="V33" s="61"/>
      <c r="W33" s="60"/>
      <c r="X33" s="88" t="str">
        <f aca="false">IF(AND(G33&lt;&gt;"",AND(B33&lt;&gt;"",B33&gt;='Weekly Report'!$F$4,B33&lt;='Weekly Report'!$F$5)),ROW(),"")</f>
        <v/>
      </c>
    </row>
    <row r="34" customFormat="false" ht="15" hidden="false" customHeight="false" outlineLevel="0" collapsed="false">
      <c r="A34" s="56" t="s">
        <v>853</v>
      </c>
      <c r="B34" s="63"/>
      <c r="C34" s="91"/>
      <c r="D34" s="92"/>
      <c r="E34" s="61"/>
      <c r="F34" s="61"/>
      <c r="G34" s="60"/>
      <c r="H34" s="61"/>
      <c r="I34" s="60"/>
      <c r="J34" s="61"/>
      <c r="K34" s="60"/>
      <c r="L34" s="60"/>
      <c r="M34" s="60"/>
      <c r="N34" s="60"/>
      <c r="O34" s="60"/>
      <c r="P34" s="61"/>
      <c r="Q34" s="61"/>
      <c r="R34" s="63"/>
      <c r="S34" s="61"/>
      <c r="T34" s="62" t="str">
        <f aca="true">IF(Q34&lt;&gt;"Yes","",IF(S34="Yes","Done",IF(R34="","Date missing",IF(R34&lt;TODAY(),"OVERDUE","Scheduled"))))</f>
        <v/>
      </c>
      <c r="U34" s="61"/>
      <c r="V34" s="61"/>
      <c r="W34" s="60"/>
      <c r="X34" s="88" t="str">
        <f aca="false">IF(AND(G34&lt;&gt;"",AND(B34&lt;&gt;"",B34&gt;='Weekly Report'!$F$4,B34&lt;='Weekly Report'!$F$5)),ROW(),"")</f>
        <v/>
      </c>
    </row>
    <row r="35" customFormat="false" ht="15" hidden="false" customHeight="false" outlineLevel="0" collapsed="false">
      <c r="A35" s="56" t="s">
        <v>854</v>
      </c>
      <c r="B35" s="63"/>
      <c r="C35" s="91"/>
      <c r="D35" s="92"/>
      <c r="E35" s="61"/>
      <c r="F35" s="61"/>
      <c r="G35" s="60"/>
      <c r="H35" s="61"/>
      <c r="I35" s="60"/>
      <c r="J35" s="61"/>
      <c r="K35" s="60"/>
      <c r="L35" s="60"/>
      <c r="M35" s="60"/>
      <c r="N35" s="60"/>
      <c r="O35" s="60"/>
      <c r="P35" s="61"/>
      <c r="Q35" s="61"/>
      <c r="R35" s="63"/>
      <c r="S35" s="61"/>
      <c r="T35" s="62" t="str">
        <f aca="true">IF(Q35&lt;&gt;"Yes","",IF(S35="Yes","Done",IF(R35="","Date missing",IF(R35&lt;TODAY(),"OVERDUE","Scheduled"))))</f>
        <v/>
      </c>
      <c r="U35" s="61"/>
      <c r="V35" s="61"/>
      <c r="W35" s="60"/>
      <c r="X35" s="88" t="str">
        <f aca="false">IF(AND(G35&lt;&gt;"",AND(B35&lt;&gt;"",B35&gt;='Weekly Report'!$F$4,B35&lt;='Weekly Report'!$F$5)),ROW(),"")</f>
        <v/>
      </c>
    </row>
    <row r="36" customFormat="false" ht="15" hidden="false" customHeight="false" outlineLevel="0" collapsed="false">
      <c r="A36" s="56" t="s">
        <v>855</v>
      </c>
      <c r="B36" s="63"/>
      <c r="C36" s="91"/>
      <c r="D36" s="92"/>
      <c r="E36" s="61"/>
      <c r="F36" s="61"/>
      <c r="G36" s="60"/>
      <c r="H36" s="61"/>
      <c r="I36" s="60"/>
      <c r="J36" s="61"/>
      <c r="K36" s="60"/>
      <c r="L36" s="60"/>
      <c r="M36" s="60"/>
      <c r="N36" s="60"/>
      <c r="O36" s="60"/>
      <c r="P36" s="61"/>
      <c r="Q36" s="61"/>
      <c r="R36" s="63"/>
      <c r="S36" s="61"/>
      <c r="T36" s="62" t="str">
        <f aca="true">IF(Q36&lt;&gt;"Yes","",IF(S36="Yes","Done",IF(R36="","Date missing",IF(R36&lt;TODAY(),"OVERDUE","Scheduled"))))</f>
        <v/>
      </c>
      <c r="U36" s="61"/>
      <c r="V36" s="61"/>
      <c r="W36" s="60"/>
      <c r="X36" s="88" t="str">
        <f aca="false">IF(AND(G36&lt;&gt;"",AND(B36&lt;&gt;"",B36&gt;='Weekly Report'!$F$4,B36&lt;='Weekly Report'!$F$5)),ROW(),"")</f>
        <v/>
      </c>
    </row>
    <row r="37" customFormat="false" ht="15" hidden="false" customHeight="false" outlineLevel="0" collapsed="false">
      <c r="A37" s="56" t="s">
        <v>856</v>
      </c>
      <c r="B37" s="63"/>
      <c r="C37" s="91"/>
      <c r="D37" s="92"/>
      <c r="E37" s="61"/>
      <c r="F37" s="61"/>
      <c r="G37" s="60"/>
      <c r="H37" s="61"/>
      <c r="I37" s="60"/>
      <c r="J37" s="61"/>
      <c r="K37" s="60"/>
      <c r="L37" s="60"/>
      <c r="M37" s="60"/>
      <c r="N37" s="60"/>
      <c r="O37" s="60"/>
      <c r="P37" s="61"/>
      <c r="Q37" s="61"/>
      <c r="R37" s="63"/>
      <c r="S37" s="61"/>
      <c r="T37" s="62" t="str">
        <f aca="true">IF(Q37&lt;&gt;"Yes","",IF(S37="Yes","Done",IF(R37="","Date missing",IF(R37&lt;TODAY(),"OVERDUE","Scheduled"))))</f>
        <v/>
      </c>
      <c r="U37" s="61"/>
      <c r="V37" s="61"/>
      <c r="W37" s="60"/>
      <c r="X37" s="88" t="str">
        <f aca="false">IF(AND(G37&lt;&gt;"",AND(B37&lt;&gt;"",B37&gt;='Weekly Report'!$F$4,B37&lt;='Weekly Report'!$F$5)),ROW(),"")</f>
        <v/>
      </c>
    </row>
    <row r="38" customFormat="false" ht="15" hidden="false" customHeight="false" outlineLevel="0" collapsed="false">
      <c r="A38" s="56" t="s">
        <v>857</v>
      </c>
      <c r="B38" s="63"/>
      <c r="C38" s="91"/>
      <c r="D38" s="92"/>
      <c r="E38" s="61"/>
      <c r="F38" s="61"/>
      <c r="G38" s="60"/>
      <c r="H38" s="61"/>
      <c r="I38" s="60"/>
      <c r="J38" s="61"/>
      <c r="K38" s="60"/>
      <c r="L38" s="60"/>
      <c r="M38" s="60"/>
      <c r="N38" s="60"/>
      <c r="O38" s="60"/>
      <c r="P38" s="61"/>
      <c r="Q38" s="61"/>
      <c r="R38" s="63"/>
      <c r="S38" s="61"/>
      <c r="T38" s="62" t="str">
        <f aca="true">IF(Q38&lt;&gt;"Yes","",IF(S38="Yes","Done",IF(R38="","Date missing",IF(R38&lt;TODAY(),"OVERDUE","Scheduled"))))</f>
        <v/>
      </c>
      <c r="U38" s="61"/>
      <c r="V38" s="61"/>
      <c r="W38" s="60"/>
      <c r="X38" s="88" t="str">
        <f aca="false">IF(AND(G38&lt;&gt;"",AND(B38&lt;&gt;"",B38&gt;='Weekly Report'!$F$4,B38&lt;='Weekly Report'!$F$5)),ROW(),"")</f>
        <v/>
      </c>
    </row>
    <row r="39" customFormat="false" ht="15" hidden="false" customHeight="false" outlineLevel="0" collapsed="false">
      <c r="A39" s="56" t="s">
        <v>858</v>
      </c>
      <c r="B39" s="63"/>
      <c r="C39" s="91"/>
      <c r="D39" s="92"/>
      <c r="E39" s="61"/>
      <c r="F39" s="61"/>
      <c r="G39" s="60"/>
      <c r="H39" s="61"/>
      <c r="I39" s="60"/>
      <c r="J39" s="61"/>
      <c r="K39" s="60"/>
      <c r="L39" s="60"/>
      <c r="M39" s="60"/>
      <c r="N39" s="60"/>
      <c r="O39" s="60"/>
      <c r="P39" s="61"/>
      <c r="Q39" s="61"/>
      <c r="R39" s="63"/>
      <c r="S39" s="61"/>
      <c r="T39" s="62" t="str">
        <f aca="true">IF(Q39&lt;&gt;"Yes","",IF(S39="Yes","Done",IF(R39="","Date missing",IF(R39&lt;TODAY(),"OVERDUE","Scheduled"))))</f>
        <v/>
      </c>
      <c r="U39" s="61"/>
      <c r="V39" s="61"/>
      <c r="W39" s="60"/>
      <c r="X39" s="88" t="str">
        <f aca="false">IF(AND(G39&lt;&gt;"",AND(B39&lt;&gt;"",B39&gt;='Weekly Report'!$F$4,B39&lt;='Weekly Report'!$F$5)),ROW(),"")</f>
        <v/>
      </c>
    </row>
    <row r="40" customFormat="false" ht="15" hidden="false" customHeight="false" outlineLevel="0" collapsed="false">
      <c r="A40" s="56" t="s">
        <v>859</v>
      </c>
      <c r="B40" s="63"/>
      <c r="C40" s="91"/>
      <c r="D40" s="92"/>
      <c r="E40" s="61"/>
      <c r="F40" s="61"/>
      <c r="G40" s="60"/>
      <c r="H40" s="61"/>
      <c r="I40" s="60"/>
      <c r="J40" s="61"/>
      <c r="K40" s="60"/>
      <c r="L40" s="60"/>
      <c r="M40" s="60"/>
      <c r="N40" s="60"/>
      <c r="O40" s="60"/>
      <c r="P40" s="61"/>
      <c r="Q40" s="61"/>
      <c r="R40" s="63"/>
      <c r="S40" s="61"/>
      <c r="T40" s="62" t="str">
        <f aca="true">IF(Q40&lt;&gt;"Yes","",IF(S40="Yes","Done",IF(R40="","Date missing",IF(R40&lt;TODAY(),"OVERDUE","Scheduled"))))</f>
        <v/>
      </c>
      <c r="U40" s="61"/>
      <c r="V40" s="61"/>
      <c r="W40" s="60"/>
      <c r="X40" s="88" t="str">
        <f aca="false">IF(AND(G40&lt;&gt;"",AND(B40&lt;&gt;"",B40&gt;='Weekly Report'!$F$4,B40&lt;='Weekly Report'!$F$5)),ROW(),"")</f>
        <v/>
      </c>
    </row>
    <row r="41" customFormat="false" ht="15" hidden="false" customHeight="false" outlineLevel="0" collapsed="false">
      <c r="A41" s="56" t="s">
        <v>860</v>
      </c>
      <c r="B41" s="63"/>
      <c r="C41" s="91"/>
      <c r="D41" s="92"/>
      <c r="E41" s="61"/>
      <c r="F41" s="61"/>
      <c r="G41" s="60"/>
      <c r="H41" s="61"/>
      <c r="I41" s="60"/>
      <c r="J41" s="61"/>
      <c r="K41" s="60"/>
      <c r="L41" s="60"/>
      <c r="M41" s="60"/>
      <c r="N41" s="60"/>
      <c r="O41" s="60"/>
      <c r="P41" s="61"/>
      <c r="Q41" s="61"/>
      <c r="R41" s="63"/>
      <c r="S41" s="61"/>
      <c r="T41" s="62" t="str">
        <f aca="true">IF(Q41&lt;&gt;"Yes","",IF(S41="Yes","Done",IF(R41="","Date missing",IF(R41&lt;TODAY(),"OVERDUE","Scheduled"))))</f>
        <v/>
      </c>
      <c r="U41" s="61"/>
      <c r="V41" s="61"/>
      <c r="W41" s="60"/>
      <c r="X41" s="88" t="str">
        <f aca="false">IF(AND(G41&lt;&gt;"",AND(B41&lt;&gt;"",B41&gt;='Weekly Report'!$F$4,B41&lt;='Weekly Report'!$F$5)),ROW(),"")</f>
        <v/>
      </c>
    </row>
    <row r="42" customFormat="false" ht="15" hidden="false" customHeight="false" outlineLevel="0" collapsed="false">
      <c r="A42" s="56" t="s">
        <v>861</v>
      </c>
      <c r="B42" s="63"/>
      <c r="C42" s="91"/>
      <c r="D42" s="92"/>
      <c r="E42" s="61"/>
      <c r="F42" s="61"/>
      <c r="G42" s="60"/>
      <c r="H42" s="61"/>
      <c r="I42" s="60"/>
      <c r="J42" s="61"/>
      <c r="K42" s="60"/>
      <c r="L42" s="60"/>
      <c r="M42" s="60"/>
      <c r="N42" s="60"/>
      <c r="O42" s="60"/>
      <c r="P42" s="61"/>
      <c r="Q42" s="61"/>
      <c r="R42" s="63"/>
      <c r="S42" s="61"/>
      <c r="T42" s="62" t="str">
        <f aca="true">IF(Q42&lt;&gt;"Yes","",IF(S42="Yes","Done",IF(R42="","Date missing",IF(R42&lt;TODAY(),"OVERDUE","Scheduled"))))</f>
        <v/>
      </c>
      <c r="U42" s="61"/>
      <c r="V42" s="61"/>
      <c r="W42" s="60"/>
      <c r="X42" s="88" t="str">
        <f aca="false">IF(AND(G42&lt;&gt;"",AND(B42&lt;&gt;"",B42&gt;='Weekly Report'!$F$4,B42&lt;='Weekly Report'!$F$5)),ROW(),"")</f>
        <v/>
      </c>
    </row>
    <row r="43" customFormat="false" ht="15" hidden="false" customHeight="false" outlineLevel="0" collapsed="false">
      <c r="A43" s="56" t="s">
        <v>862</v>
      </c>
      <c r="B43" s="63"/>
      <c r="C43" s="91"/>
      <c r="D43" s="92"/>
      <c r="E43" s="61"/>
      <c r="F43" s="61"/>
      <c r="G43" s="60"/>
      <c r="H43" s="61"/>
      <c r="I43" s="60"/>
      <c r="J43" s="61"/>
      <c r="K43" s="60"/>
      <c r="L43" s="60"/>
      <c r="M43" s="60"/>
      <c r="N43" s="60"/>
      <c r="O43" s="60"/>
      <c r="P43" s="61"/>
      <c r="Q43" s="61"/>
      <c r="R43" s="63"/>
      <c r="S43" s="61"/>
      <c r="T43" s="62" t="str">
        <f aca="true">IF(Q43&lt;&gt;"Yes","",IF(S43="Yes","Done",IF(R43="","Date missing",IF(R43&lt;TODAY(),"OVERDUE","Scheduled"))))</f>
        <v/>
      </c>
      <c r="U43" s="61"/>
      <c r="V43" s="61"/>
      <c r="W43" s="60"/>
      <c r="X43" s="88" t="str">
        <f aca="false">IF(AND(G43&lt;&gt;"",AND(B43&lt;&gt;"",B43&gt;='Weekly Report'!$F$4,B43&lt;='Weekly Report'!$F$5)),ROW(),"")</f>
        <v/>
      </c>
    </row>
    <row r="44" customFormat="false" ht="15" hidden="false" customHeight="false" outlineLevel="0" collapsed="false">
      <c r="A44" s="56" t="s">
        <v>863</v>
      </c>
      <c r="B44" s="63"/>
      <c r="C44" s="91"/>
      <c r="D44" s="92"/>
      <c r="E44" s="61"/>
      <c r="F44" s="61"/>
      <c r="G44" s="60"/>
      <c r="H44" s="61"/>
      <c r="I44" s="60"/>
      <c r="J44" s="61"/>
      <c r="K44" s="60"/>
      <c r="L44" s="60"/>
      <c r="M44" s="60"/>
      <c r="N44" s="60"/>
      <c r="O44" s="60"/>
      <c r="P44" s="61"/>
      <c r="Q44" s="61"/>
      <c r="R44" s="63"/>
      <c r="S44" s="61"/>
      <c r="T44" s="62" t="str">
        <f aca="true">IF(Q44&lt;&gt;"Yes","",IF(S44="Yes","Done",IF(R44="","Date missing",IF(R44&lt;TODAY(),"OVERDUE","Scheduled"))))</f>
        <v/>
      </c>
      <c r="U44" s="61"/>
      <c r="V44" s="61"/>
      <c r="W44" s="60"/>
      <c r="X44" s="88" t="str">
        <f aca="false">IF(AND(G44&lt;&gt;"",AND(B44&lt;&gt;"",B44&gt;='Weekly Report'!$F$4,B44&lt;='Weekly Report'!$F$5)),ROW(),"")</f>
        <v/>
      </c>
    </row>
    <row r="45" customFormat="false" ht="15" hidden="false" customHeight="false" outlineLevel="0" collapsed="false">
      <c r="A45" s="56" t="s">
        <v>864</v>
      </c>
      <c r="B45" s="63"/>
      <c r="C45" s="91"/>
      <c r="D45" s="92"/>
      <c r="E45" s="61"/>
      <c r="F45" s="61"/>
      <c r="G45" s="60"/>
      <c r="H45" s="61"/>
      <c r="I45" s="60"/>
      <c r="J45" s="61"/>
      <c r="K45" s="60"/>
      <c r="L45" s="60"/>
      <c r="M45" s="60"/>
      <c r="N45" s="60"/>
      <c r="O45" s="60"/>
      <c r="P45" s="61"/>
      <c r="Q45" s="61"/>
      <c r="R45" s="63"/>
      <c r="S45" s="61"/>
      <c r="T45" s="62" t="str">
        <f aca="true">IF(Q45&lt;&gt;"Yes","",IF(S45="Yes","Done",IF(R45="","Date missing",IF(R45&lt;TODAY(),"OVERDUE","Scheduled"))))</f>
        <v/>
      </c>
      <c r="U45" s="61"/>
      <c r="V45" s="61"/>
      <c r="W45" s="60"/>
      <c r="X45" s="88" t="str">
        <f aca="false">IF(AND(G45&lt;&gt;"",AND(B45&lt;&gt;"",B45&gt;='Weekly Report'!$F$4,B45&lt;='Weekly Report'!$F$5)),ROW(),"")</f>
        <v/>
      </c>
    </row>
    <row r="46" customFormat="false" ht="15" hidden="false" customHeight="false" outlineLevel="0" collapsed="false">
      <c r="A46" s="56" t="s">
        <v>865</v>
      </c>
      <c r="B46" s="63"/>
      <c r="C46" s="91"/>
      <c r="D46" s="92"/>
      <c r="E46" s="61"/>
      <c r="F46" s="61"/>
      <c r="G46" s="60"/>
      <c r="H46" s="61"/>
      <c r="I46" s="60"/>
      <c r="J46" s="61"/>
      <c r="K46" s="60"/>
      <c r="L46" s="60"/>
      <c r="M46" s="60"/>
      <c r="N46" s="60"/>
      <c r="O46" s="60"/>
      <c r="P46" s="61"/>
      <c r="Q46" s="61"/>
      <c r="R46" s="63"/>
      <c r="S46" s="61"/>
      <c r="T46" s="62" t="str">
        <f aca="true">IF(Q46&lt;&gt;"Yes","",IF(S46="Yes","Done",IF(R46="","Date missing",IF(R46&lt;TODAY(),"OVERDUE","Scheduled"))))</f>
        <v/>
      </c>
      <c r="U46" s="61"/>
      <c r="V46" s="61"/>
      <c r="W46" s="60"/>
      <c r="X46" s="88" t="str">
        <f aca="false">IF(AND(G46&lt;&gt;"",AND(B46&lt;&gt;"",B46&gt;='Weekly Report'!$F$4,B46&lt;='Weekly Report'!$F$5)),ROW(),"")</f>
        <v/>
      </c>
    </row>
    <row r="47" customFormat="false" ht="15" hidden="false" customHeight="false" outlineLevel="0" collapsed="false">
      <c r="A47" s="56" t="s">
        <v>866</v>
      </c>
      <c r="B47" s="63"/>
      <c r="C47" s="91"/>
      <c r="D47" s="92"/>
      <c r="E47" s="61"/>
      <c r="F47" s="61"/>
      <c r="G47" s="60"/>
      <c r="H47" s="61"/>
      <c r="I47" s="60"/>
      <c r="J47" s="61"/>
      <c r="K47" s="60"/>
      <c r="L47" s="60"/>
      <c r="M47" s="60"/>
      <c r="N47" s="60"/>
      <c r="O47" s="60"/>
      <c r="P47" s="61"/>
      <c r="Q47" s="61"/>
      <c r="R47" s="63"/>
      <c r="S47" s="61"/>
      <c r="T47" s="62" t="str">
        <f aca="true">IF(Q47&lt;&gt;"Yes","",IF(S47="Yes","Done",IF(R47="","Date missing",IF(R47&lt;TODAY(),"OVERDUE","Scheduled"))))</f>
        <v/>
      </c>
      <c r="U47" s="61"/>
      <c r="V47" s="61"/>
      <c r="W47" s="60"/>
      <c r="X47" s="88" t="str">
        <f aca="false">IF(AND(G47&lt;&gt;"",AND(B47&lt;&gt;"",B47&gt;='Weekly Report'!$F$4,B47&lt;='Weekly Report'!$F$5)),ROW(),"")</f>
        <v/>
      </c>
    </row>
    <row r="48" customFormat="false" ht="15" hidden="false" customHeight="false" outlineLevel="0" collapsed="false">
      <c r="A48" s="56" t="s">
        <v>867</v>
      </c>
      <c r="B48" s="63"/>
      <c r="C48" s="91"/>
      <c r="D48" s="92"/>
      <c r="E48" s="61"/>
      <c r="F48" s="61"/>
      <c r="G48" s="60"/>
      <c r="H48" s="61"/>
      <c r="I48" s="60"/>
      <c r="J48" s="61"/>
      <c r="K48" s="60"/>
      <c r="L48" s="60"/>
      <c r="M48" s="60"/>
      <c r="N48" s="60"/>
      <c r="O48" s="60"/>
      <c r="P48" s="61"/>
      <c r="Q48" s="61"/>
      <c r="R48" s="63"/>
      <c r="S48" s="61"/>
      <c r="T48" s="62" t="str">
        <f aca="true">IF(Q48&lt;&gt;"Yes","",IF(S48="Yes","Done",IF(R48="","Date missing",IF(R48&lt;TODAY(),"OVERDUE","Scheduled"))))</f>
        <v/>
      </c>
      <c r="U48" s="61"/>
      <c r="V48" s="61"/>
      <c r="W48" s="60"/>
      <c r="X48" s="88" t="str">
        <f aca="false">IF(AND(G48&lt;&gt;"",AND(B48&lt;&gt;"",B48&gt;='Weekly Report'!$F$4,B48&lt;='Weekly Report'!$F$5)),ROW(),"")</f>
        <v/>
      </c>
    </row>
    <row r="49" customFormat="false" ht="15" hidden="false" customHeight="false" outlineLevel="0" collapsed="false">
      <c r="A49" s="56" t="s">
        <v>868</v>
      </c>
      <c r="B49" s="63"/>
      <c r="C49" s="91"/>
      <c r="D49" s="92"/>
      <c r="E49" s="61"/>
      <c r="F49" s="61"/>
      <c r="G49" s="60"/>
      <c r="H49" s="61"/>
      <c r="I49" s="60"/>
      <c r="J49" s="61"/>
      <c r="K49" s="60"/>
      <c r="L49" s="60"/>
      <c r="M49" s="60"/>
      <c r="N49" s="60"/>
      <c r="O49" s="60"/>
      <c r="P49" s="61"/>
      <c r="Q49" s="61"/>
      <c r="R49" s="63"/>
      <c r="S49" s="61"/>
      <c r="T49" s="62" t="str">
        <f aca="true">IF(Q49&lt;&gt;"Yes","",IF(S49="Yes","Done",IF(R49="","Date missing",IF(R49&lt;TODAY(),"OVERDUE","Scheduled"))))</f>
        <v/>
      </c>
      <c r="U49" s="61"/>
      <c r="V49" s="61"/>
      <c r="W49" s="60"/>
      <c r="X49" s="88" t="str">
        <f aca="false">IF(AND(G49&lt;&gt;"",AND(B49&lt;&gt;"",B49&gt;='Weekly Report'!$F$4,B49&lt;='Weekly Report'!$F$5)),ROW(),"")</f>
        <v/>
      </c>
    </row>
    <row r="50" customFormat="false" ht="15" hidden="false" customHeight="false" outlineLevel="0" collapsed="false">
      <c r="A50" s="56" t="s">
        <v>869</v>
      </c>
      <c r="B50" s="63"/>
      <c r="C50" s="91"/>
      <c r="D50" s="92"/>
      <c r="E50" s="61"/>
      <c r="F50" s="61"/>
      <c r="G50" s="60"/>
      <c r="H50" s="61"/>
      <c r="I50" s="60"/>
      <c r="J50" s="61"/>
      <c r="K50" s="60"/>
      <c r="L50" s="60"/>
      <c r="M50" s="60"/>
      <c r="N50" s="60"/>
      <c r="O50" s="60"/>
      <c r="P50" s="61"/>
      <c r="Q50" s="61"/>
      <c r="R50" s="63"/>
      <c r="S50" s="61"/>
      <c r="T50" s="62" t="str">
        <f aca="true">IF(Q50&lt;&gt;"Yes","",IF(S50="Yes","Done",IF(R50="","Date missing",IF(R50&lt;TODAY(),"OVERDUE","Scheduled"))))</f>
        <v/>
      </c>
      <c r="U50" s="61"/>
      <c r="V50" s="61"/>
      <c r="W50" s="60"/>
      <c r="X50" s="88" t="str">
        <f aca="false">IF(AND(G50&lt;&gt;"",AND(B50&lt;&gt;"",B50&gt;='Weekly Report'!$F$4,B50&lt;='Weekly Report'!$F$5)),ROW(),"")</f>
        <v/>
      </c>
    </row>
    <row r="51" customFormat="false" ht="15" hidden="false" customHeight="false" outlineLevel="0" collapsed="false">
      <c r="A51" s="56" t="s">
        <v>870</v>
      </c>
      <c r="B51" s="63"/>
      <c r="C51" s="91"/>
      <c r="D51" s="92"/>
      <c r="E51" s="61"/>
      <c r="F51" s="61"/>
      <c r="G51" s="60"/>
      <c r="H51" s="61"/>
      <c r="I51" s="60"/>
      <c r="J51" s="61"/>
      <c r="K51" s="60"/>
      <c r="L51" s="60"/>
      <c r="M51" s="60"/>
      <c r="N51" s="60"/>
      <c r="O51" s="60"/>
      <c r="P51" s="61"/>
      <c r="Q51" s="61"/>
      <c r="R51" s="63"/>
      <c r="S51" s="61"/>
      <c r="T51" s="62" t="str">
        <f aca="true">IF(Q51&lt;&gt;"Yes","",IF(S51="Yes","Done",IF(R51="","Date missing",IF(R51&lt;TODAY(),"OVERDUE","Scheduled"))))</f>
        <v/>
      </c>
      <c r="U51" s="61"/>
      <c r="V51" s="61"/>
      <c r="W51" s="60"/>
      <c r="X51" s="88" t="str">
        <f aca="false">IF(AND(G51&lt;&gt;"",AND(B51&lt;&gt;"",B51&gt;='Weekly Report'!$F$4,B51&lt;='Weekly Report'!$F$5)),ROW(),"")</f>
        <v/>
      </c>
    </row>
    <row r="52" customFormat="false" ht="15" hidden="false" customHeight="false" outlineLevel="0" collapsed="false">
      <c r="A52" s="56" t="s">
        <v>871</v>
      </c>
      <c r="B52" s="63"/>
      <c r="C52" s="91"/>
      <c r="D52" s="92"/>
      <c r="E52" s="61"/>
      <c r="F52" s="61"/>
      <c r="G52" s="60"/>
      <c r="H52" s="61"/>
      <c r="I52" s="60"/>
      <c r="J52" s="61"/>
      <c r="K52" s="60"/>
      <c r="L52" s="60"/>
      <c r="M52" s="60"/>
      <c r="N52" s="60"/>
      <c r="O52" s="60"/>
      <c r="P52" s="61"/>
      <c r="Q52" s="61"/>
      <c r="R52" s="63"/>
      <c r="S52" s="61"/>
      <c r="T52" s="62" t="str">
        <f aca="true">IF(Q52&lt;&gt;"Yes","",IF(S52="Yes","Done",IF(R52="","Date missing",IF(R52&lt;TODAY(),"OVERDUE","Scheduled"))))</f>
        <v/>
      </c>
      <c r="U52" s="61"/>
      <c r="V52" s="61"/>
      <c r="W52" s="60"/>
      <c r="X52" s="88" t="str">
        <f aca="false">IF(AND(G52&lt;&gt;"",AND(B52&lt;&gt;"",B52&gt;='Weekly Report'!$F$4,B52&lt;='Weekly Report'!$F$5)),ROW(),"")</f>
        <v/>
      </c>
    </row>
    <row r="53" customFormat="false" ht="15" hidden="false" customHeight="false" outlineLevel="0" collapsed="false">
      <c r="A53" s="56" t="s">
        <v>872</v>
      </c>
      <c r="B53" s="63"/>
      <c r="C53" s="91"/>
      <c r="D53" s="92"/>
      <c r="E53" s="61"/>
      <c r="F53" s="61"/>
      <c r="G53" s="60"/>
      <c r="H53" s="61"/>
      <c r="I53" s="60"/>
      <c r="J53" s="61"/>
      <c r="K53" s="60"/>
      <c r="L53" s="60"/>
      <c r="M53" s="60"/>
      <c r="N53" s="60"/>
      <c r="O53" s="60"/>
      <c r="P53" s="61"/>
      <c r="Q53" s="61"/>
      <c r="R53" s="63"/>
      <c r="S53" s="61"/>
      <c r="T53" s="62" t="str">
        <f aca="true">IF(Q53&lt;&gt;"Yes","",IF(S53="Yes","Done",IF(R53="","Date missing",IF(R53&lt;TODAY(),"OVERDUE","Scheduled"))))</f>
        <v/>
      </c>
      <c r="U53" s="61"/>
      <c r="V53" s="61"/>
      <c r="W53" s="60"/>
      <c r="X53" s="88" t="str">
        <f aca="false">IF(AND(G53&lt;&gt;"",AND(B53&lt;&gt;"",B53&gt;='Weekly Report'!$F$4,B53&lt;='Weekly Report'!$F$5)),ROW(),"")</f>
        <v/>
      </c>
    </row>
    <row r="54" customFormat="false" ht="15" hidden="false" customHeight="false" outlineLevel="0" collapsed="false">
      <c r="A54" s="56" t="s">
        <v>873</v>
      </c>
      <c r="B54" s="63"/>
      <c r="C54" s="91"/>
      <c r="D54" s="92"/>
      <c r="E54" s="61"/>
      <c r="F54" s="61"/>
      <c r="G54" s="60"/>
      <c r="H54" s="61"/>
      <c r="I54" s="60"/>
      <c r="J54" s="61"/>
      <c r="K54" s="60"/>
      <c r="L54" s="60"/>
      <c r="M54" s="60"/>
      <c r="N54" s="60"/>
      <c r="O54" s="60"/>
      <c r="P54" s="61"/>
      <c r="Q54" s="61"/>
      <c r="R54" s="63"/>
      <c r="S54" s="61"/>
      <c r="T54" s="62" t="str">
        <f aca="true">IF(Q54&lt;&gt;"Yes","",IF(S54="Yes","Done",IF(R54="","Date missing",IF(R54&lt;TODAY(),"OVERDUE","Scheduled"))))</f>
        <v/>
      </c>
      <c r="U54" s="61"/>
      <c r="V54" s="61"/>
      <c r="W54" s="60"/>
      <c r="X54" s="88" t="str">
        <f aca="false">IF(AND(G54&lt;&gt;"",AND(B54&lt;&gt;"",B54&gt;='Weekly Report'!$F$4,B54&lt;='Weekly Report'!$F$5)),ROW(),"")</f>
        <v/>
      </c>
    </row>
    <row r="55" customFormat="false" ht="15" hidden="false" customHeight="false" outlineLevel="0" collapsed="false">
      <c r="A55" s="56" t="s">
        <v>874</v>
      </c>
      <c r="B55" s="63"/>
      <c r="C55" s="91"/>
      <c r="D55" s="92"/>
      <c r="E55" s="61"/>
      <c r="F55" s="61"/>
      <c r="G55" s="60"/>
      <c r="H55" s="61"/>
      <c r="I55" s="60"/>
      <c r="J55" s="61"/>
      <c r="K55" s="60"/>
      <c r="L55" s="60"/>
      <c r="M55" s="60"/>
      <c r="N55" s="60"/>
      <c r="O55" s="60"/>
      <c r="P55" s="61"/>
      <c r="Q55" s="61"/>
      <c r="R55" s="63"/>
      <c r="S55" s="61"/>
      <c r="T55" s="62" t="str">
        <f aca="true">IF(Q55&lt;&gt;"Yes","",IF(S55="Yes","Done",IF(R55="","Date missing",IF(R55&lt;TODAY(),"OVERDUE","Scheduled"))))</f>
        <v/>
      </c>
      <c r="U55" s="61"/>
      <c r="V55" s="61"/>
      <c r="W55" s="60"/>
      <c r="X55" s="88" t="str">
        <f aca="false">IF(AND(G55&lt;&gt;"",AND(B55&lt;&gt;"",B55&gt;='Weekly Report'!$F$4,B55&lt;='Weekly Report'!$F$5)),ROW(),"")</f>
        <v/>
      </c>
    </row>
    <row r="56" customFormat="false" ht="15" hidden="false" customHeight="false" outlineLevel="0" collapsed="false">
      <c r="A56" s="56" t="s">
        <v>875</v>
      </c>
      <c r="B56" s="63"/>
      <c r="C56" s="91"/>
      <c r="D56" s="92"/>
      <c r="E56" s="61"/>
      <c r="F56" s="61"/>
      <c r="G56" s="60"/>
      <c r="H56" s="61"/>
      <c r="I56" s="60"/>
      <c r="J56" s="61"/>
      <c r="K56" s="60"/>
      <c r="L56" s="60"/>
      <c r="M56" s="60"/>
      <c r="N56" s="60"/>
      <c r="O56" s="60"/>
      <c r="P56" s="61"/>
      <c r="Q56" s="61"/>
      <c r="R56" s="63"/>
      <c r="S56" s="61"/>
      <c r="T56" s="62" t="str">
        <f aca="true">IF(Q56&lt;&gt;"Yes","",IF(S56="Yes","Done",IF(R56="","Date missing",IF(R56&lt;TODAY(),"OVERDUE","Scheduled"))))</f>
        <v/>
      </c>
      <c r="U56" s="61"/>
      <c r="V56" s="61"/>
      <c r="W56" s="60"/>
      <c r="X56" s="88" t="str">
        <f aca="false">IF(AND(G56&lt;&gt;"",AND(B56&lt;&gt;"",B56&gt;='Weekly Report'!$F$4,B56&lt;='Weekly Report'!$F$5)),ROW(),"")</f>
        <v/>
      </c>
    </row>
    <row r="57" customFormat="false" ht="15" hidden="false" customHeight="false" outlineLevel="0" collapsed="false">
      <c r="A57" s="56" t="s">
        <v>876</v>
      </c>
      <c r="B57" s="63"/>
      <c r="C57" s="91"/>
      <c r="D57" s="92"/>
      <c r="E57" s="61"/>
      <c r="F57" s="61"/>
      <c r="G57" s="60"/>
      <c r="H57" s="61"/>
      <c r="I57" s="60"/>
      <c r="J57" s="61"/>
      <c r="K57" s="60"/>
      <c r="L57" s="60"/>
      <c r="M57" s="60"/>
      <c r="N57" s="60"/>
      <c r="O57" s="60"/>
      <c r="P57" s="61"/>
      <c r="Q57" s="61"/>
      <c r="R57" s="63"/>
      <c r="S57" s="61"/>
      <c r="T57" s="62" t="str">
        <f aca="true">IF(Q57&lt;&gt;"Yes","",IF(S57="Yes","Done",IF(R57="","Date missing",IF(R57&lt;TODAY(),"OVERDUE","Scheduled"))))</f>
        <v/>
      </c>
      <c r="U57" s="61"/>
      <c r="V57" s="61"/>
      <c r="W57" s="60"/>
      <c r="X57" s="88" t="str">
        <f aca="false">IF(AND(G57&lt;&gt;"",AND(B57&lt;&gt;"",B57&gt;='Weekly Report'!$F$4,B57&lt;='Weekly Report'!$F$5)),ROW(),"")</f>
        <v/>
      </c>
    </row>
    <row r="58" customFormat="false" ht="15" hidden="false" customHeight="false" outlineLevel="0" collapsed="false">
      <c r="A58" s="56" t="s">
        <v>877</v>
      </c>
      <c r="B58" s="63"/>
      <c r="C58" s="91"/>
      <c r="D58" s="92"/>
      <c r="E58" s="61"/>
      <c r="F58" s="61"/>
      <c r="G58" s="60"/>
      <c r="H58" s="61"/>
      <c r="I58" s="60"/>
      <c r="J58" s="61"/>
      <c r="K58" s="60"/>
      <c r="L58" s="60"/>
      <c r="M58" s="60"/>
      <c r="N58" s="60"/>
      <c r="O58" s="60"/>
      <c r="P58" s="61"/>
      <c r="Q58" s="61"/>
      <c r="R58" s="63"/>
      <c r="S58" s="61"/>
      <c r="T58" s="62" t="str">
        <f aca="true">IF(Q58&lt;&gt;"Yes","",IF(S58="Yes","Done",IF(R58="","Date missing",IF(R58&lt;TODAY(),"OVERDUE","Scheduled"))))</f>
        <v/>
      </c>
      <c r="U58" s="61"/>
      <c r="V58" s="61"/>
      <c r="W58" s="60"/>
      <c r="X58" s="88" t="str">
        <f aca="false">IF(AND(G58&lt;&gt;"",AND(B58&lt;&gt;"",B58&gt;='Weekly Report'!$F$4,B58&lt;='Weekly Report'!$F$5)),ROW(),"")</f>
        <v/>
      </c>
    </row>
    <row r="59" customFormat="false" ht="15" hidden="false" customHeight="false" outlineLevel="0" collapsed="false">
      <c r="A59" s="56" t="s">
        <v>878</v>
      </c>
      <c r="B59" s="63"/>
      <c r="C59" s="91"/>
      <c r="D59" s="92"/>
      <c r="E59" s="61"/>
      <c r="F59" s="61"/>
      <c r="G59" s="60"/>
      <c r="H59" s="61"/>
      <c r="I59" s="60"/>
      <c r="J59" s="61"/>
      <c r="K59" s="60"/>
      <c r="L59" s="60"/>
      <c r="M59" s="60"/>
      <c r="N59" s="60"/>
      <c r="O59" s="60"/>
      <c r="P59" s="61"/>
      <c r="Q59" s="61"/>
      <c r="R59" s="63"/>
      <c r="S59" s="61"/>
      <c r="T59" s="62" t="str">
        <f aca="true">IF(Q59&lt;&gt;"Yes","",IF(S59="Yes","Done",IF(R59="","Date missing",IF(R59&lt;TODAY(),"OVERDUE","Scheduled"))))</f>
        <v/>
      </c>
      <c r="U59" s="61"/>
      <c r="V59" s="61"/>
      <c r="W59" s="60"/>
      <c r="X59" s="88" t="str">
        <f aca="false">IF(AND(G59&lt;&gt;"",AND(B59&lt;&gt;"",B59&gt;='Weekly Report'!$F$4,B59&lt;='Weekly Report'!$F$5)),ROW(),"")</f>
        <v/>
      </c>
    </row>
    <row r="60" customFormat="false" ht="15" hidden="false" customHeight="false" outlineLevel="0" collapsed="false">
      <c r="A60" s="56" t="s">
        <v>879</v>
      </c>
      <c r="B60" s="63"/>
      <c r="C60" s="91"/>
      <c r="D60" s="92"/>
      <c r="E60" s="61"/>
      <c r="F60" s="61"/>
      <c r="G60" s="60"/>
      <c r="H60" s="61"/>
      <c r="I60" s="60"/>
      <c r="J60" s="61"/>
      <c r="K60" s="60"/>
      <c r="L60" s="60"/>
      <c r="M60" s="60"/>
      <c r="N60" s="60"/>
      <c r="O60" s="60"/>
      <c r="P60" s="61"/>
      <c r="Q60" s="61"/>
      <c r="R60" s="63"/>
      <c r="S60" s="61"/>
      <c r="T60" s="62" t="str">
        <f aca="true">IF(Q60&lt;&gt;"Yes","",IF(S60="Yes","Done",IF(R60="","Date missing",IF(R60&lt;TODAY(),"OVERDUE","Scheduled"))))</f>
        <v/>
      </c>
      <c r="U60" s="61"/>
      <c r="V60" s="61"/>
      <c r="W60" s="60"/>
      <c r="X60" s="88" t="str">
        <f aca="false">IF(AND(G60&lt;&gt;"",AND(B60&lt;&gt;"",B60&gt;='Weekly Report'!$F$4,B60&lt;='Weekly Report'!$F$5)),ROW(),"")</f>
        <v/>
      </c>
    </row>
    <row r="61" customFormat="false" ht="15" hidden="false" customHeight="false" outlineLevel="0" collapsed="false">
      <c r="A61" s="56" t="s">
        <v>880</v>
      </c>
      <c r="B61" s="63"/>
      <c r="C61" s="91"/>
      <c r="D61" s="92"/>
      <c r="E61" s="61"/>
      <c r="F61" s="61"/>
      <c r="G61" s="60"/>
      <c r="H61" s="61"/>
      <c r="I61" s="60"/>
      <c r="J61" s="61"/>
      <c r="K61" s="60"/>
      <c r="L61" s="60"/>
      <c r="M61" s="60"/>
      <c r="N61" s="60"/>
      <c r="O61" s="60"/>
      <c r="P61" s="61"/>
      <c r="Q61" s="61"/>
      <c r="R61" s="63"/>
      <c r="S61" s="61"/>
      <c r="T61" s="62" t="str">
        <f aca="true">IF(Q61&lt;&gt;"Yes","",IF(S61="Yes","Done",IF(R61="","Date missing",IF(R61&lt;TODAY(),"OVERDUE","Scheduled"))))</f>
        <v/>
      </c>
      <c r="U61" s="61"/>
      <c r="V61" s="61"/>
      <c r="W61" s="60"/>
      <c r="X61" s="88" t="str">
        <f aca="false">IF(AND(G61&lt;&gt;"",AND(B61&lt;&gt;"",B61&gt;='Weekly Report'!$F$4,B61&lt;='Weekly Report'!$F$5)),ROW(),"")</f>
        <v/>
      </c>
    </row>
    <row r="62" customFormat="false" ht="15" hidden="false" customHeight="false" outlineLevel="0" collapsed="false">
      <c r="A62" s="56" t="s">
        <v>881</v>
      </c>
      <c r="B62" s="63"/>
      <c r="C62" s="91"/>
      <c r="D62" s="92"/>
      <c r="E62" s="61"/>
      <c r="F62" s="61"/>
      <c r="G62" s="60"/>
      <c r="H62" s="61"/>
      <c r="I62" s="60"/>
      <c r="J62" s="61"/>
      <c r="K62" s="60"/>
      <c r="L62" s="60"/>
      <c r="M62" s="60"/>
      <c r="N62" s="60"/>
      <c r="O62" s="60"/>
      <c r="P62" s="61"/>
      <c r="Q62" s="61"/>
      <c r="R62" s="63"/>
      <c r="S62" s="61"/>
      <c r="T62" s="62" t="str">
        <f aca="true">IF(Q62&lt;&gt;"Yes","",IF(S62="Yes","Done",IF(R62="","Date missing",IF(R62&lt;TODAY(),"OVERDUE","Scheduled"))))</f>
        <v/>
      </c>
      <c r="U62" s="61"/>
      <c r="V62" s="61"/>
      <c r="W62" s="60"/>
      <c r="X62" s="88" t="str">
        <f aca="false">IF(AND(G62&lt;&gt;"",AND(B62&lt;&gt;"",B62&gt;='Weekly Report'!$F$4,B62&lt;='Weekly Report'!$F$5)),ROW(),"")</f>
        <v/>
      </c>
    </row>
    <row r="63" customFormat="false" ht="15" hidden="false" customHeight="false" outlineLevel="0" collapsed="false">
      <c r="A63" s="56" t="s">
        <v>882</v>
      </c>
      <c r="B63" s="63"/>
      <c r="C63" s="91"/>
      <c r="D63" s="92"/>
      <c r="E63" s="61"/>
      <c r="F63" s="61"/>
      <c r="G63" s="60"/>
      <c r="H63" s="61"/>
      <c r="I63" s="60"/>
      <c r="J63" s="61"/>
      <c r="K63" s="60"/>
      <c r="L63" s="60"/>
      <c r="M63" s="60"/>
      <c r="N63" s="60"/>
      <c r="O63" s="60"/>
      <c r="P63" s="61"/>
      <c r="Q63" s="61"/>
      <c r="R63" s="63"/>
      <c r="S63" s="61"/>
      <c r="T63" s="62" t="str">
        <f aca="true">IF(Q63&lt;&gt;"Yes","",IF(S63="Yes","Done",IF(R63="","Date missing",IF(R63&lt;TODAY(),"OVERDUE","Scheduled"))))</f>
        <v/>
      </c>
      <c r="U63" s="61"/>
      <c r="V63" s="61"/>
      <c r="W63" s="60"/>
      <c r="X63" s="88" t="str">
        <f aca="false">IF(AND(G63&lt;&gt;"",AND(B63&lt;&gt;"",B63&gt;='Weekly Report'!$F$4,B63&lt;='Weekly Report'!$F$5)),ROW(),"")</f>
        <v/>
      </c>
    </row>
    <row r="64" customFormat="false" ht="15" hidden="false" customHeight="false" outlineLevel="0" collapsed="false">
      <c r="A64" s="56" t="s">
        <v>883</v>
      </c>
      <c r="B64" s="63"/>
      <c r="C64" s="91"/>
      <c r="D64" s="92"/>
      <c r="E64" s="61"/>
      <c r="F64" s="61"/>
      <c r="G64" s="60"/>
      <c r="H64" s="61"/>
      <c r="I64" s="60"/>
      <c r="J64" s="61"/>
      <c r="K64" s="60"/>
      <c r="L64" s="60"/>
      <c r="M64" s="60"/>
      <c r="N64" s="60"/>
      <c r="O64" s="60"/>
      <c r="P64" s="61"/>
      <c r="Q64" s="61"/>
      <c r="R64" s="63"/>
      <c r="S64" s="61"/>
      <c r="T64" s="62" t="str">
        <f aca="true">IF(Q64&lt;&gt;"Yes","",IF(S64="Yes","Done",IF(R64="","Date missing",IF(R64&lt;TODAY(),"OVERDUE","Scheduled"))))</f>
        <v/>
      </c>
      <c r="U64" s="61"/>
      <c r="V64" s="61"/>
      <c r="W64" s="60"/>
      <c r="X64" s="88" t="str">
        <f aca="false">IF(AND(G64&lt;&gt;"",AND(B64&lt;&gt;"",B64&gt;='Weekly Report'!$F$4,B64&lt;='Weekly Report'!$F$5)),ROW(),"")</f>
        <v/>
      </c>
    </row>
    <row r="65" customFormat="false" ht="15" hidden="false" customHeight="false" outlineLevel="0" collapsed="false">
      <c r="A65" s="56" t="s">
        <v>884</v>
      </c>
      <c r="B65" s="63"/>
      <c r="C65" s="91"/>
      <c r="D65" s="92"/>
      <c r="E65" s="61"/>
      <c r="F65" s="61"/>
      <c r="G65" s="60"/>
      <c r="H65" s="61"/>
      <c r="I65" s="60"/>
      <c r="J65" s="61"/>
      <c r="K65" s="60"/>
      <c r="L65" s="60"/>
      <c r="M65" s="60"/>
      <c r="N65" s="60"/>
      <c r="O65" s="60"/>
      <c r="P65" s="61"/>
      <c r="Q65" s="61"/>
      <c r="R65" s="63"/>
      <c r="S65" s="61"/>
      <c r="T65" s="62" t="str">
        <f aca="true">IF(Q65&lt;&gt;"Yes","",IF(S65="Yes","Done",IF(R65="","Date missing",IF(R65&lt;TODAY(),"OVERDUE","Scheduled"))))</f>
        <v/>
      </c>
      <c r="U65" s="61"/>
      <c r="V65" s="61"/>
      <c r="W65" s="60"/>
      <c r="X65" s="88" t="str">
        <f aca="false">IF(AND(G65&lt;&gt;"",AND(B65&lt;&gt;"",B65&gt;='Weekly Report'!$F$4,B65&lt;='Weekly Report'!$F$5)),ROW(),"")</f>
        <v/>
      </c>
    </row>
    <row r="66" customFormat="false" ht="15" hidden="false" customHeight="false" outlineLevel="0" collapsed="false">
      <c r="A66" s="56" t="s">
        <v>885</v>
      </c>
      <c r="B66" s="63"/>
      <c r="C66" s="91"/>
      <c r="D66" s="92"/>
      <c r="E66" s="61"/>
      <c r="F66" s="61"/>
      <c r="G66" s="60"/>
      <c r="H66" s="61"/>
      <c r="I66" s="60"/>
      <c r="J66" s="61"/>
      <c r="K66" s="60"/>
      <c r="L66" s="60"/>
      <c r="M66" s="60"/>
      <c r="N66" s="60"/>
      <c r="O66" s="60"/>
      <c r="P66" s="61"/>
      <c r="Q66" s="61"/>
      <c r="R66" s="63"/>
      <c r="S66" s="61"/>
      <c r="T66" s="62" t="str">
        <f aca="true">IF(Q66&lt;&gt;"Yes","",IF(S66="Yes","Done",IF(R66="","Date missing",IF(R66&lt;TODAY(),"OVERDUE","Scheduled"))))</f>
        <v/>
      </c>
      <c r="U66" s="61"/>
      <c r="V66" s="61"/>
      <c r="W66" s="60"/>
      <c r="X66" s="88" t="str">
        <f aca="false">IF(AND(G66&lt;&gt;"",AND(B66&lt;&gt;"",B66&gt;='Weekly Report'!$F$4,B66&lt;='Weekly Report'!$F$5)),ROW(),"")</f>
        <v/>
      </c>
    </row>
    <row r="67" customFormat="false" ht="15" hidden="false" customHeight="false" outlineLevel="0" collapsed="false">
      <c r="A67" s="56" t="s">
        <v>886</v>
      </c>
      <c r="B67" s="63"/>
      <c r="C67" s="91"/>
      <c r="D67" s="92"/>
      <c r="E67" s="61"/>
      <c r="F67" s="61"/>
      <c r="G67" s="60"/>
      <c r="H67" s="61"/>
      <c r="I67" s="60"/>
      <c r="J67" s="61"/>
      <c r="K67" s="60"/>
      <c r="L67" s="60"/>
      <c r="M67" s="60"/>
      <c r="N67" s="60"/>
      <c r="O67" s="60"/>
      <c r="P67" s="61"/>
      <c r="Q67" s="61"/>
      <c r="R67" s="63"/>
      <c r="S67" s="61"/>
      <c r="T67" s="62" t="str">
        <f aca="true">IF(Q67&lt;&gt;"Yes","",IF(S67="Yes","Done",IF(R67="","Date missing",IF(R67&lt;TODAY(),"OVERDUE","Scheduled"))))</f>
        <v/>
      </c>
      <c r="U67" s="61"/>
      <c r="V67" s="61"/>
      <c r="W67" s="60"/>
      <c r="X67" s="88" t="str">
        <f aca="false">IF(AND(G67&lt;&gt;"",AND(B67&lt;&gt;"",B67&gt;='Weekly Report'!$F$4,B67&lt;='Weekly Report'!$F$5)),ROW(),"")</f>
        <v/>
      </c>
    </row>
    <row r="68" customFormat="false" ht="15" hidden="false" customHeight="false" outlineLevel="0" collapsed="false">
      <c r="A68" s="56" t="s">
        <v>887</v>
      </c>
      <c r="B68" s="63"/>
      <c r="C68" s="91"/>
      <c r="D68" s="92"/>
      <c r="E68" s="61"/>
      <c r="F68" s="61"/>
      <c r="G68" s="60"/>
      <c r="H68" s="61"/>
      <c r="I68" s="60"/>
      <c r="J68" s="61"/>
      <c r="K68" s="60"/>
      <c r="L68" s="60"/>
      <c r="M68" s="60"/>
      <c r="N68" s="60"/>
      <c r="O68" s="60"/>
      <c r="P68" s="61"/>
      <c r="Q68" s="61"/>
      <c r="R68" s="63"/>
      <c r="S68" s="61"/>
      <c r="T68" s="62" t="str">
        <f aca="true">IF(Q68&lt;&gt;"Yes","",IF(S68="Yes","Done",IF(R68="","Date missing",IF(R68&lt;TODAY(),"OVERDUE","Scheduled"))))</f>
        <v/>
      </c>
      <c r="U68" s="61"/>
      <c r="V68" s="61"/>
      <c r="W68" s="60"/>
      <c r="X68" s="88" t="str">
        <f aca="false">IF(AND(G68&lt;&gt;"",AND(B68&lt;&gt;"",B68&gt;='Weekly Report'!$F$4,B68&lt;='Weekly Report'!$F$5)),ROW(),"")</f>
        <v/>
      </c>
    </row>
    <row r="69" customFormat="false" ht="15" hidden="false" customHeight="false" outlineLevel="0" collapsed="false">
      <c r="A69" s="56" t="s">
        <v>888</v>
      </c>
      <c r="B69" s="63"/>
      <c r="C69" s="91"/>
      <c r="D69" s="92"/>
      <c r="E69" s="61"/>
      <c r="F69" s="61"/>
      <c r="G69" s="60"/>
      <c r="H69" s="61"/>
      <c r="I69" s="60"/>
      <c r="J69" s="61"/>
      <c r="K69" s="60"/>
      <c r="L69" s="60"/>
      <c r="M69" s="60"/>
      <c r="N69" s="60"/>
      <c r="O69" s="60"/>
      <c r="P69" s="61"/>
      <c r="Q69" s="61"/>
      <c r="R69" s="63"/>
      <c r="S69" s="61"/>
      <c r="T69" s="62" t="str">
        <f aca="true">IF(Q69&lt;&gt;"Yes","",IF(S69="Yes","Done",IF(R69="","Date missing",IF(R69&lt;TODAY(),"OVERDUE","Scheduled"))))</f>
        <v/>
      </c>
      <c r="U69" s="61"/>
      <c r="V69" s="61"/>
      <c r="W69" s="60"/>
      <c r="X69" s="88" t="str">
        <f aca="false">IF(AND(G69&lt;&gt;"",AND(B69&lt;&gt;"",B69&gt;='Weekly Report'!$F$4,B69&lt;='Weekly Report'!$F$5)),ROW(),"")</f>
        <v/>
      </c>
    </row>
    <row r="70" customFormat="false" ht="15" hidden="false" customHeight="false" outlineLevel="0" collapsed="false">
      <c r="A70" s="56" t="s">
        <v>889</v>
      </c>
      <c r="B70" s="63"/>
      <c r="C70" s="91"/>
      <c r="D70" s="92"/>
      <c r="E70" s="61"/>
      <c r="F70" s="61"/>
      <c r="G70" s="60"/>
      <c r="H70" s="61"/>
      <c r="I70" s="60"/>
      <c r="J70" s="61"/>
      <c r="K70" s="60"/>
      <c r="L70" s="60"/>
      <c r="M70" s="60"/>
      <c r="N70" s="60"/>
      <c r="O70" s="60"/>
      <c r="P70" s="61"/>
      <c r="Q70" s="61"/>
      <c r="R70" s="63"/>
      <c r="S70" s="61"/>
      <c r="T70" s="62" t="str">
        <f aca="true">IF(Q70&lt;&gt;"Yes","",IF(S70="Yes","Done",IF(R70="","Date missing",IF(R70&lt;TODAY(),"OVERDUE","Scheduled"))))</f>
        <v/>
      </c>
      <c r="U70" s="61"/>
      <c r="V70" s="61"/>
      <c r="W70" s="60"/>
      <c r="X70" s="88" t="str">
        <f aca="false">IF(AND(G70&lt;&gt;"",AND(B70&lt;&gt;"",B70&gt;='Weekly Report'!$F$4,B70&lt;='Weekly Report'!$F$5)),ROW(),"")</f>
        <v/>
      </c>
    </row>
    <row r="71" customFormat="false" ht="15" hidden="false" customHeight="false" outlineLevel="0" collapsed="false">
      <c r="A71" s="56" t="s">
        <v>890</v>
      </c>
      <c r="B71" s="63"/>
      <c r="C71" s="91"/>
      <c r="D71" s="92"/>
      <c r="E71" s="61"/>
      <c r="F71" s="61"/>
      <c r="G71" s="60"/>
      <c r="H71" s="61"/>
      <c r="I71" s="60"/>
      <c r="J71" s="61"/>
      <c r="K71" s="60"/>
      <c r="L71" s="60"/>
      <c r="M71" s="60"/>
      <c r="N71" s="60"/>
      <c r="O71" s="60"/>
      <c r="P71" s="61"/>
      <c r="Q71" s="61"/>
      <c r="R71" s="63"/>
      <c r="S71" s="61"/>
      <c r="T71" s="62" t="str">
        <f aca="true">IF(Q71&lt;&gt;"Yes","",IF(S71="Yes","Done",IF(R71="","Date missing",IF(R71&lt;TODAY(),"OVERDUE","Scheduled"))))</f>
        <v/>
      </c>
      <c r="U71" s="61"/>
      <c r="V71" s="61"/>
      <c r="W71" s="60"/>
      <c r="X71" s="88" t="str">
        <f aca="false">IF(AND(G71&lt;&gt;"",AND(B71&lt;&gt;"",B71&gt;='Weekly Report'!$F$4,B71&lt;='Weekly Report'!$F$5)),ROW(),"")</f>
        <v/>
      </c>
    </row>
    <row r="72" customFormat="false" ht="15" hidden="false" customHeight="false" outlineLevel="0" collapsed="false">
      <c r="A72" s="56" t="s">
        <v>891</v>
      </c>
      <c r="B72" s="63"/>
      <c r="C72" s="91"/>
      <c r="D72" s="92"/>
      <c r="E72" s="61"/>
      <c r="F72" s="61"/>
      <c r="G72" s="60"/>
      <c r="H72" s="61"/>
      <c r="I72" s="60"/>
      <c r="J72" s="61"/>
      <c r="K72" s="60"/>
      <c r="L72" s="60"/>
      <c r="M72" s="60"/>
      <c r="N72" s="60"/>
      <c r="O72" s="60"/>
      <c r="P72" s="61"/>
      <c r="Q72" s="61"/>
      <c r="R72" s="63"/>
      <c r="S72" s="61"/>
      <c r="T72" s="62" t="str">
        <f aca="true">IF(Q72&lt;&gt;"Yes","",IF(S72="Yes","Done",IF(R72="","Date missing",IF(R72&lt;TODAY(),"OVERDUE","Scheduled"))))</f>
        <v/>
      </c>
      <c r="U72" s="61"/>
      <c r="V72" s="61"/>
      <c r="W72" s="60"/>
      <c r="X72" s="88" t="str">
        <f aca="false">IF(AND(G72&lt;&gt;"",AND(B72&lt;&gt;"",B72&gt;='Weekly Report'!$F$4,B72&lt;='Weekly Report'!$F$5)),ROW(),"")</f>
        <v/>
      </c>
    </row>
    <row r="73" customFormat="false" ht="15" hidden="false" customHeight="false" outlineLevel="0" collapsed="false">
      <c r="A73" s="56" t="s">
        <v>892</v>
      </c>
      <c r="B73" s="63"/>
      <c r="C73" s="91"/>
      <c r="D73" s="92"/>
      <c r="E73" s="61"/>
      <c r="F73" s="61"/>
      <c r="G73" s="60"/>
      <c r="H73" s="61"/>
      <c r="I73" s="60"/>
      <c r="J73" s="61"/>
      <c r="K73" s="60"/>
      <c r="L73" s="60"/>
      <c r="M73" s="60"/>
      <c r="N73" s="60"/>
      <c r="O73" s="60"/>
      <c r="P73" s="61"/>
      <c r="Q73" s="61"/>
      <c r="R73" s="63"/>
      <c r="S73" s="61"/>
      <c r="T73" s="62" t="str">
        <f aca="true">IF(Q73&lt;&gt;"Yes","",IF(S73="Yes","Done",IF(R73="","Date missing",IF(R73&lt;TODAY(),"OVERDUE","Scheduled"))))</f>
        <v/>
      </c>
      <c r="U73" s="61"/>
      <c r="V73" s="61"/>
      <c r="W73" s="60"/>
      <c r="X73" s="88" t="str">
        <f aca="false">IF(AND(G73&lt;&gt;"",AND(B73&lt;&gt;"",B73&gt;='Weekly Report'!$F$4,B73&lt;='Weekly Report'!$F$5)),ROW(),"")</f>
        <v/>
      </c>
    </row>
    <row r="74" customFormat="false" ht="15" hidden="false" customHeight="false" outlineLevel="0" collapsed="false">
      <c r="A74" s="56" t="s">
        <v>893</v>
      </c>
      <c r="B74" s="63"/>
      <c r="C74" s="91"/>
      <c r="D74" s="92"/>
      <c r="E74" s="61"/>
      <c r="F74" s="61"/>
      <c r="G74" s="60"/>
      <c r="H74" s="61"/>
      <c r="I74" s="60"/>
      <c r="J74" s="61"/>
      <c r="K74" s="60"/>
      <c r="L74" s="60"/>
      <c r="M74" s="60"/>
      <c r="N74" s="60"/>
      <c r="O74" s="60"/>
      <c r="P74" s="61"/>
      <c r="Q74" s="61"/>
      <c r="R74" s="63"/>
      <c r="S74" s="61"/>
      <c r="T74" s="62" t="str">
        <f aca="true">IF(Q74&lt;&gt;"Yes","",IF(S74="Yes","Done",IF(R74="","Date missing",IF(R74&lt;TODAY(),"OVERDUE","Scheduled"))))</f>
        <v/>
      </c>
      <c r="U74" s="61"/>
      <c r="V74" s="61"/>
      <c r="W74" s="60"/>
      <c r="X74" s="88" t="str">
        <f aca="false">IF(AND(G74&lt;&gt;"",AND(B74&lt;&gt;"",B74&gt;='Weekly Report'!$F$4,B74&lt;='Weekly Report'!$F$5)),ROW(),"")</f>
        <v/>
      </c>
    </row>
    <row r="75" customFormat="false" ht="15" hidden="false" customHeight="false" outlineLevel="0" collapsed="false">
      <c r="A75" s="56" t="s">
        <v>894</v>
      </c>
      <c r="B75" s="63"/>
      <c r="C75" s="91"/>
      <c r="D75" s="92"/>
      <c r="E75" s="61"/>
      <c r="F75" s="61"/>
      <c r="G75" s="60"/>
      <c r="H75" s="61"/>
      <c r="I75" s="60"/>
      <c r="J75" s="61"/>
      <c r="K75" s="60"/>
      <c r="L75" s="60"/>
      <c r="M75" s="60"/>
      <c r="N75" s="60"/>
      <c r="O75" s="60"/>
      <c r="P75" s="61"/>
      <c r="Q75" s="61"/>
      <c r="R75" s="63"/>
      <c r="S75" s="61"/>
      <c r="T75" s="62" t="str">
        <f aca="true">IF(Q75&lt;&gt;"Yes","",IF(S75="Yes","Done",IF(R75="","Date missing",IF(R75&lt;TODAY(),"OVERDUE","Scheduled"))))</f>
        <v/>
      </c>
      <c r="U75" s="61"/>
      <c r="V75" s="61"/>
      <c r="W75" s="60"/>
      <c r="X75" s="88" t="str">
        <f aca="false">IF(AND(G75&lt;&gt;"",AND(B75&lt;&gt;"",B75&gt;='Weekly Report'!$F$4,B75&lt;='Weekly Report'!$F$5)),ROW(),"")</f>
        <v/>
      </c>
    </row>
    <row r="76" customFormat="false" ht="15" hidden="false" customHeight="false" outlineLevel="0" collapsed="false">
      <c r="A76" s="56" t="s">
        <v>895</v>
      </c>
      <c r="B76" s="63"/>
      <c r="C76" s="91"/>
      <c r="D76" s="92"/>
      <c r="E76" s="61"/>
      <c r="F76" s="61"/>
      <c r="G76" s="60"/>
      <c r="H76" s="61"/>
      <c r="I76" s="60"/>
      <c r="J76" s="61"/>
      <c r="K76" s="60"/>
      <c r="L76" s="60"/>
      <c r="M76" s="60"/>
      <c r="N76" s="60"/>
      <c r="O76" s="60"/>
      <c r="P76" s="61"/>
      <c r="Q76" s="61"/>
      <c r="R76" s="63"/>
      <c r="S76" s="61"/>
      <c r="T76" s="62" t="str">
        <f aca="true">IF(Q76&lt;&gt;"Yes","",IF(S76="Yes","Done",IF(R76="","Date missing",IF(R76&lt;TODAY(),"OVERDUE","Scheduled"))))</f>
        <v/>
      </c>
      <c r="U76" s="61"/>
      <c r="V76" s="61"/>
      <c r="W76" s="60"/>
      <c r="X76" s="88" t="str">
        <f aca="false">IF(AND(G76&lt;&gt;"",AND(B76&lt;&gt;"",B76&gt;='Weekly Report'!$F$4,B76&lt;='Weekly Report'!$F$5)),ROW(),"")</f>
        <v/>
      </c>
    </row>
    <row r="77" customFormat="false" ht="15" hidden="false" customHeight="false" outlineLevel="0" collapsed="false">
      <c r="A77" s="56" t="s">
        <v>896</v>
      </c>
      <c r="B77" s="63"/>
      <c r="C77" s="91"/>
      <c r="D77" s="92"/>
      <c r="E77" s="61"/>
      <c r="F77" s="61"/>
      <c r="G77" s="60"/>
      <c r="H77" s="61"/>
      <c r="I77" s="60"/>
      <c r="J77" s="61"/>
      <c r="K77" s="60"/>
      <c r="L77" s="60"/>
      <c r="M77" s="60"/>
      <c r="N77" s="60"/>
      <c r="O77" s="60"/>
      <c r="P77" s="61"/>
      <c r="Q77" s="61"/>
      <c r="R77" s="63"/>
      <c r="S77" s="61"/>
      <c r="T77" s="62" t="str">
        <f aca="true">IF(Q77&lt;&gt;"Yes","",IF(S77="Yes","Done",IF(R77="","Date missing",IF(R77&lt;TODAY(),"OVERDUE","Scheduled"))))</f>
        <v/>
      </c>
      <c r="U77" s="61"/>
      <c r="V77" s="61"/>
      <c r="W77" s="60"/>
      <c r="X77" s="88" t="str">
        <f aca="false">IF(AND(G77&lt;&gt;"",AND(B77&lt;&gt;"",B77&gt;='Weekly Report'!$F$4,B77&lt;='Weekly Report'!$F$5)),ROW(),"")</f>
        <v/>
      </c>
    </row>
    <row r="78" customFormat="false" ht="15" hidden="false" customHeight="false" outlineLevel="0" collapsed="false">
      <c r="A78" s="56" t="s">
        <v>897</v>
      </c>
      <c r="B78" s="63"/>
      <c r="C78" s="91"/>
      <c r="D78" s="92"/>
      <c r="E78" s="61"/>
      <c r="F78" s="61"/>
      <c r="G78" s="60"/>
      <c r="H78" s="61"/>
      <c r="I78" s="60"/>
      <c r="J78" s="61"/>
      <c r="K78" s="60"/>
      <c r="L78" s="60"/>
      <c r="M78" s="60"/>
      <c r="N78" s="60"/>
      <c r="O78" s="60"/>
      <c r="P78" s="61"/>
      <c r="Q78" s="61"/>
      <c r="R78" s="63"/>
      <c r="S78" s="61"/>
      <c r="T78" s="62" t="str">
        <f aca="true">IF(Q78&lt;&gt;"Yes","",IF(S78="Yes","Done",IF(R78="","Date missing",IF(R78&lt;TODAY(),"OVERDUE","Scheduled"))))</f>
        <v/>
      </c>
      <c r="U78" s="61"/>
      <c r="V78" s="61"/>
      <c r="W78" s="60"/>
      <c r="X78" s="88" t="str">
        <f aca="false">IF(AND(G78&lt;&gt;"",AND(B78&lt;&gt;"",B78&gt;='Weekly Report'!$F$4,B78&lt;='Weekly Report'!$F$5)),ROW(),"")</f>
        <v/>
      </c>
    </row>
    <row r="79" customFormat="false" ht="15" hidden="false" customHeight="false" outlineLevel="0" collapsed="false">
      <c r="A79" s="56" t="s">
        <v>898</v>
      </c>
      <c r="B79" s="63"/>
      <c r="C79" s="91"/>
      <c r="D79" s="92"/>
      <c r="E79" s="61"/>
      <c r="F79" s="61"/>
      <c r="G79" s="60"/>
      <c r="H79" s="61"/>
      <c r="I79" s="60"/>
      <c r="J79" s="61"/>
      <c r="K79" s="60"/>
      <c r="L79" s="60"/>
      <c r="M79" s="60"/>
      <c r="N79" s="60"/>
      <c r="O79" s="60"/>
      <c r="P79" s="61"/>
      <c r="Q79" s="61"/>
      <c r="R79" s="63"/>
      <c r="S79" s="61"/>
      <c r="T79" s="62" t="str">
        <f aca="true">IF(Q79&lt;&gt;"Yes","",IF(S79="Yes","Done",IF(R79="","Date missing",IF(R79&lt;TODAY(),"OVERDUE","Scheduled"))))</f>
        <v/>
      </c>
      <c r="U79" s="61"/>
      <c r="V79" s="61"/>
      <c r="W79" s="60"/>
      <c r="X79" s="88" t="str">
        <f aca="false">IF(AND(G79&lt;&gt;"",AND(B79&lt;&gt;"",B79&gt;='Weekly Report'!$F$4,B79&lt;='Weekly Report'!$F$5)),ROW(),"")</f>
        <v/>
      </c>
    </row>
    <row r="80" customFormat="false" ht="15" hidden="false" customHeight="false" outlineLevel="0" collapsed="false">
      <c r="A80" s="56" t="s">
        <v>899</v>
      </c>
      <c r="B80" s="63"/>
      <c r="C80" s="91"/>
      <c r="D80" s="92"/>
      <c r="E80" s="61"/>
      <c r="F80" s="61"/>
      <c r="G80" s="60"/>
      <c r="H80" s="61"/>
      <c r="I80" s="60"/>
      <c r="J80" s="61"/>
      <c r="K80" s="60"/>
      <c r="L80" s="60"/>
      <c r="M80" s="60"/>
      <c r="N80" s="60"/>
      <c r="O80" s="60"/>
      <c r="P80" s="61"/>
      <c r="Q80" s="61"/>
      <c r="R80" s="63"/>
      <c r="S80" s="61"/>
      <c r="T80" s="62" t="str">
        <f aca="true">IF(Q80&lt;&gt;"Yes","",IF(S80="Yes","Done",IF(R80="","Date missing",IF(R80&lt;TODAY(),"OVERDUE","Scheduled"))))</f>
        <v/>
      </c>
      <c r="U80" s="61"/>
      <c r="V80" s="61"/>
      <c r="W80" s="60"/>
      <c r="X80" s="88" t="str">
        <f aca="false">IF(AND(G80&lt;&gt;"",AND(B80&lt;&gt;"",B80&gt;='Weekly Report'!$F$4,B80&lt;='Weekly Report'!$F$5)),ROW(),"")</f>
        <v/>
      </c>
    </row>
    <row r="81" customFormat="false" ht="15" hidden="false" customHeight="false" outlineLevel="0" collapsed="false">
      <c r="A81" s="56" t="s">
        <v>900</v>
      </c>
      <c r="B81" s="63"/>
      <c r="C81" s="91"/>
      <c r="D81" s="92"/>
      <c r="E81" s="61"/>
      <c r="F81" s="61"/>
      <c r="G81" s="60"/>
      <c r="H81" s="61"/>
      <c r="I81" s="60"/>
      <c r="J81" s="61"/>
      <c r="K81" s="60"/>
      <c r="L81" s="60"/>
      <c r="M81" s="60"/>
      <c r="N81" s="60"/>
      <c r="O81" s="60"/>
      <c r="P81" s="61"/>
      <c r="Q81" s="61"/>
      <c r="R81" s="63"/>
      <c r="S81" s="61"/>
      <c r="T81" s="62" t="str">
        <f aca="true">IF(Q81&lt;&gt;"Yes","",IF(S81="Yes","Done",IF(R81="","Date missing",IF(R81&lt;TODAY(),"OVERDUE","Scheduled"))))</f>
        <v/>
      </c>
      <c r="U81" s="61"/>
      <c r="V81" s="61"/>
      <c r="W81" s="60"/>
      <c r="X81" s="88" t="str">
        <f aca="false">IF(AND(G81&lt;&gt;"",AND(B81&lt;&gt;"",B81&gt;='Weekly Report'!$F$4,B81&lt;='Weekly Report'!$F$5)),ROW(),"")</f>
        <v/>
      </c>
    </row>
    <row r="82" customFormat="false" ht="15" hidden="false" customHeight="false" outlineLevel="0" collapsed="false">
      <c r="A82" s="56" t="s">
        <v>901</v>
      </c>
      <c r="B82" s="63"/>
      <c r="C82" s="91"/>
      <c r="D82" s="92"/>
      <c r="E82" s="61"/>
      <c r="F82" s="61"/>
      <c r="G82" s="60"/>
      <c r="H82" s="61"/>
      <c r="I82" s="60"/>
      <c r="J82" s="61"/>
      <c r="K82" s="60"/>
      <c r="L82" s="60"/>
      <c r="M82" s="60"/>
      <c r="N82" s="60"/>
      <c r="O82" s="60"/>
      <c r="P82" s="61"/>
      <c r="Q82" s="61"/>
      <c r="R82" s="63"/>
      <c r="S82" s="61"/>
      <c r="T82" s="62" t="str">
        <f aca="true">IF(Q82&lt;&gt;"Yes","",IF(S82="Yes","Done",IF(R82="","Date missing",IF(R82&lt;TODAY(),"OVERDUE","Scheduled"))))</f>
        <v/>
      </c>
      <c r="U82" s="61"/>
      <c r="V82" s="61"/>
      <c r="W82" s="60"/>
      <c r="X82" s="88" t="str">
        <f aca="false">IF(AND(G82&lt;&gt;"",AND(B82&lt;&gt;"",B82&gt;='Weekly Report'!$F$4,B82&lt;='Weekly Report'!$F$5)),ROW(),"")</f>
        <v/>
      </c>
    </row>
    <row r="83" customFormat="false" ht="15" hidden="false" customHeight="false" outlineLevel="0" collapsed="false">
      <c r="A83" s="56" t="s">
        <v>902</v>
      </c>
      <c r="B83" s="63"/>
      <c r="C83" s="91"/>
      <c r="D83" s="92"/>
      <c r="E83" s="61"/>
      <c r="F83" s="61"/>
      <c r="G83" s="60"/>
      <c r="H83" s="61"/>
      <c r="I83" s="60"/>
      <c r="J83" s="61"/>
      <c r="K83" s="60"/>
      <c r="L83" s="60"/>
      <c r="M83" s="60"/>
      <c r="N83" s="60"/>
      <c r="O83" s="60"/>
      <c r="P83" s="61"/>
      <c r="Q83" s="61"/>
      <c r="R83" s="63"/>
      <c r="S83" s="61"/>
      <c r="T83" s="62" t="str">
        <f aca="true">IF(Q83&lt;&gt;"Yes","",IF(S83="Yes","Done",IF(R83="","Date missing",IF(R83&lt;TODAY(),"OVERDUE","Scheduled"))))</f>
        <v/>
      </c>
      <c r="U83" s="61"/>
      <c r="V83" s="61"/>
      <c r="W83" s="60"/>
      <c r="X83" s="88" t="str">
        <f aca="false">IF(AND(G83&lt;&gt;"",AND(B83&lt;&gt;"",B83&gt;='Weekly Report'!$F$4,B83&lt;='Weekly Report'!$F$5)),ROW(),"")</f>
        <v/>
      </c>
    </row>
    <row r="84" customFormat="false" ht="15" hidden="false" customHeight="false" outlineLevel="0" collapsed="false">
      <c r="A84" s="56" t="s">
        <v>903</v>
      </c>
      <c r="B84" s="63"/>
      <c r="C84" s="91"/>
      <c r="D84" s="92"/>
      <c r="E84" s="61"/>
      <c r="F84" s="61"/>
      <c r="G84" s="60"/>
      <c r="H84" s="61"/>
      <c r="I84" s="60"/>
      <c r="J84" s="61"/>
      <c r="K84" s="60"/>
      <c r="L84" s="60"/>
      <c r="M84" s="60"/>
      <c r="N84" s="60"/>
      <c r="O84" s="60"/>
      <c r="P84" s="61"/>
      <c r="Q84" s="61"/>
      <c r="R84" s="63"/>
      <c r="S84" s="61"/>
      <c r="T84" s="62" t="str">
        <f aca="true">IF(Q84&lt;&gt;"Yes","",IF(S84="Yes","Done",IF(R84="","Date missing",IF(R84&lt;TODAY(),"OVERDUE","Scheduled"))))</f>
        <v/>
      </c>
      <c r="U84" s="61"/>
      <c r="V84" s="61"/>
      <c r="W84" s="60"/>
      <c r="X84" s="88" t="str">
        <f aca="false">IF(AND(G84&lt;&gt;"",AND(B84&lt;&gt;"",B84&gt;='Weekly Report'!$F$4,B84&lt;='Weekly Report'!$F$5)),ROW(),"")</f>
        <v/>
      </c>
    </row>
    <row r="85" customFormat="false" ht="15" hidden="false" customHeight="false" outlineLevel="0" collapsed="false">
      <c r="A85" s="56" t="s">
        <v>904</v>
      </c>
      <c r="B85" s="63"/>
      <c r="C85" s="91"/>
      <c r="D85" s="92"/>
      <c r="E85" s="61"/>
      <c r="F85" s="61"/>
      <c r="G85" s="60"/>
      <c r="H85" s="61"/>
      <c r="I85" s="60"/>
      <c r="J85" s="61"/>
      <c r="K85" s="60"/>
      <c r="L85" s="60"/>
      <c r="M85" s="60"/>
      <c r="N85" s="60"/>
      <c r="O85" s="60"/>
      <c r="P85" s="61"/>
      <c r="Q85" s="61"/>
      <c r="R85" s="63"/>
      <c r="S85" s="61"/>
      <c r="T85" s="62" t="str">
        <f aca="true">IF(Q85&lt;&gt;"Yes","",IF(S85="Yes","Done",IF(R85="","Date missing",IF(R85&lt;TODAY(),"OVERDUE","Scheduled"))))</f>
        <v/>
      </c>
      <c r="U85" s="61"/>
      <c r="V85" s="61"/>
      <c r="W85" s="60"/>
      <c r="X85" s="88" t="str">
        <f aca="false">IF(AND(G85&lt;&gt;"",AND(B85&lt;&gt;"",B85&gt;='Weekly Report'!$F$4,B85&lt;='Weekly Report'!$F$5)),ROW(),"")</f>
        <v/>
      </c>
    </row>
    <row r="86" customFormat="false" ht="15" hidden="false" customHeight="false" outlineLevel="0" collapsed="false">
      <c r="A86" s="56" t="s">
        <v>905</v>
      </c>
      <c r="B86" s="63"/>
      <c r="C86" s="91"/>
      <c r="D86" s="92"/>
      <c r="E86" s="61"/>
      <c r="F86" s="61"/>
      <c r="G86" s="60"/>
      <c r="H86" s="61"/>
      <c r="I86" s="60"/>
      <c r="J86" s="61"/>
      <c r="K86" s="60"/>
      <c r="L86" s="60"/>
      <c r="M86" s="60"/>
      <c r="N86" s="60"/>
      <c r="O86" s="60"/>
      <c r="P86" s="61"/>
      <c r="Q86" s="61"/>
      <c r="R86" s="63"/>
      <c r="S86" s="61"/>
      <c r="T86" s="62" t="str">
        <f aca="true">IF(Q86&lt;&gt;"Yes","",IF(S86="Yes","Done",IF(R86="","Date missing",IF(R86&lt;TODAY(),"OVERDUE","Scheduled"))))</f>
        <v/>
      </c>
      <c r="U86" s="61"/>
      <c r="V86" s="61"/>
      <c r="W86" s="60"/>
      <c r="X86" s="88" t="str">
        <f aca="false">IF(AND(G86&lt;&gt;"",AND(B86&lt;&gt;"",B86&gt;='Weekly Report'!$F$4,B86&lt;='Weekly Report'!$F$5)),ROW(),"")</f>
        <v/>
      </c>
    </row>
    <row r="87" customFormat="false" ht="15" hidden="false" customHeight="false" outlineLevel="0" collapsed="false">
      <c r="A87" s="56" t="s">
        <v>906</v>
      </c>
      <c r="B87" s="63"/>
      <c r="C87" s="91"/>
      <c r="D87" s="92"/>
      <c r="E87" s="61"/>
      <c r="F87" s="61"/>
      <c r="G87" s="60"/>
      <c r="H87" s="61"/>
      <c r="I87" s="60"/>
      <c r="J87" s="61"/>
      <c r="K87" s="60"/>
      <c r="L87" s="60"/>
      <c r="M87" s="60"/>
      <c r="N87" s="60"/>
      <c r="O87" s="60"/>
      <c r="P87" s="61"/>
      <c r="Q87" s="61"/>
      <c r="R87" s="63"/>
      <c r="S87" s="61"/>
      <c r="T87" s="62" t="str">
        <f aca="true">IF(Q87&lt;&gt;"Yes","",IF(S87="Yes","Done",IF(R87="","Date missing",IF(R87&lt;TODAY(),"OVERDUE","Scheduled"))))</f>
        <v/>
      </c>
      <c r="U87" s="61"/>
      <c r="V87" s="61"/>
      <c r="W87" s="60"/>
      <c r="X87" s="88" t="str">
        <f aca="false">IF(AND(G87&lt;&gt;"",AND(B87&lt;&gt;"",B87&gt;='Weekly Report'!$F$4,B87&lt;='Weekly Report'!$F$5)),ROW(),"")</f>
        <v/>
      </c>
    </row>
    <row r="88" customFormat="false" ht="15" hidden="false" customHeight="false" outlineLevel="0" collapsed="false">
      <c r="A88" s="56" t="s">
        <v>907</v>
      </c>
      <c r="B88" s="63"/>
      <c r="C88" s="91"/>
      <c r="D88" s="92"/>
      <c r="E88" s="61"/>
      <c r="F88" s="61"/>
      <c r="G88" s="60"/>
      <c r="H88" s="61"/>
      <c r="I88" s="60"/>
      <c r="J88" s="61"/>
      <c r="K88" s="60"/>
      <c r="L88" s="60"/>
      <c r="M88" s="60"/>
      <c r="N88" s="60"/>
      <c r="O88" s="60"/>
      <c r="P88" s="61"/>
      <c r="Q88" s="61"/>
      <c r="R88" s="63"/>
      <c r="S88" s="61"/>
      <c r="T88" s="62" t="str">
        <f aca="true">IF(Q88&lt;&gt;"Yes","",IF(S88="Yes","Done",IF(R88="","Date missing",IF(R88&lt;TODAY(),"OVERDUE","Scheduled"))))</f>
        <v/>
      </c>
      <c r="U88" s="61"/>
      <c r="V88" s="61"/>
      <c r="W88" s="60"/>
      <c r="X88" s="88" t="str">
        <f aca="false">IF(AND(G88&lt;&gt;"",AND(B88&lt;&gt;"",B88&gt;='Weekly Report'!$F$4,B88&lt;='Weekly Report'!$F$5)),ROW(),"")</f>
        <v/>
      </c>
    </row>
    <row r="89" customFormat="false" ht="15" hidden="false" customHeight="false" outlineLevel="0" collapsed="false">
      <c r="A89" s="56" t="s">
        <v>908</v>
      </c>
      <c r="B89" s="63"/>
      <c r="C89" s="91"/>
      <c r="D89" s="92"/>
      <c r="E89" s="61"/>
      <c r="F89" s="61"/>
      <c r="G89" s="60"/>
      <c r="H89" s="61"/>
      <c r="I89" s="60"/>
      <c r="J89" s="61"/>
      <c r="K89" s="60"/>
      <c r="L89" s="60"/>
      <c r="M89" s="60"/>
      <c r="N89" s="60"/>
      <c r="O89" s="60"/>
      <c r="P89" s="61"/>
      <c r="Q89" s="61"/>
      <c r="R89" s="63"/>
      <c r="S89" s="61"/>
      <c r="T89" s="62" t="str">
        <f aca="true">IF(Q89&lt;&gt;"Yes","",IF(S89="Yes","Done",IF(R89="","Date missing",IF(R89&lt;TODAY(),"OVERDUE","Scheduled"))))</f>
        <v/>
      </c>
      <c r="U89" s="61"/>
      <c r="V89" s="61"/>
      <c r="W89" s="60"/>
      <c r="X89" s="88" t="str">
        <f aca="false">IF(AND(G89&lt;&gt;"",AND(B89&lt;&gt;"",B89&gt;='Weekly Report'!$F$4,B89&lt;='Weekly Report'!$F$5)),ROW(),"")</f>
        <v/>
      </c>
    </row>
    <row r="90" customFormat="false" ht="15" hidden="false" customHeight="false" outlineLevel="0" collapsed="false">
      <c r="A90" s="56" t="s">
        <v>909</v>
      </c>
      <c r="B90" s="63"/>
      <c r="C90" s="91"/>
      <c r="D90" s="92"/>
      <c r="E90" s="61"/>
      <c r="F90" s="61"/>
      <c r="G90" s="60"/>
      <c r="H90" s="61"/>
      <c r="I90" s="60"/>
      <c r="J90" s="61"/>
      <c r="K90" s="60"/>
      <c r="L90" s="60"/>
      <c r="M90" s="60"/>
      <c r="N90" s="60"/>
      <c r="O90" s="60"/>
      <c r="P90" s="61"/>
      <c r="Q90" s="61"/>
      <c r="R90" s="63"/>
      <c r="S90" s="61"/>
      <c r="T90" s="62" t="str">
        <f aca="true">IF(Q90&lt;&gt;"Yes","",IF(S90="Yes","Done",IF(R90="","Date missing",IF(R90&lt;TODAY(),"OVERDUE","Scheduled"))))</f>
        <v/>
      </c>
      <c r="U90" s="61"/>
      <c r="V90" s="61"/>
      <c r="W90" s="60"/>
      <c r="X90" s="88" t="str">
        <f aca="false">IF(AND(G90&lt;&gt;"",AND(B90&lt;&gt;"",B90&gt;='Weekly Report'!$F$4,B90&lt;='Weekly Report'!$F$5)),ROW(),"")</f>
        <v/>
      </c>
    </row>
    <row r="91" customFormat="false" ht="15" hidden="false" customHeight="false" outlineLevel="0" collapsed="false">
      <c r="A91" s="56" t="s">
        <v>910</v>
      </c>
      <c r="B91" s="63"/>
      <c r="C91" s="91"/>
      <c r="D91" s="92"/>
      <c r="E91" s="61"/>
      <c r="F91" s="61"/>
      <c r="G91" s="60"/>
      <c r="H91" s="61"/>
      <c r="I91" s="60"/>
      <c r="J91" s="61"/>
      <c r="K91" s="60"/>
      <c r="L91" s="60"/>
      <c r="M91" s="60"/>
      <c r="N91" s="60"/>
      <c r="O91" s="60"/>
      <c r="P91" s="61"/>
      <c r="Q91" s="61"/>
      <c r="R91" s="63"/>
      <c r="S91" s="61"/>
      <c r="T91" s="62" t="str">
        <f aca="true">IF(Q91&lt;&gt;"Yes","",IF(S91="Yes","Done",IF(R91="","Date missing",IF(R91&lt;TODAY(),"OVERDUE","Scheduled"))))</f>
        <v/>
      </c>
      <c r="U91" s="61"/>
      <c r="V91" s="61"/>
      <c r="W91" s="60"/>
      <c r="X91" s="88" t="str">
        <f aca="false">IF(AND(G91&lt;&gt;"",AND(B91&lt;&gt;"",B91&gt;='Weekly Report'!$F$4,B91&lt;='Weekly Report'!$F$5)),ROW(),"")</f>
        <v/>
      </c>
    </row>
    <row r="92" customFormat="false" ht="15" hidden="false" customHeight="false" outlineLevel="0" collapsed="false">
      <c r="A92" s="56" t="s">
        <v>911</v>
      </c>
      <c r="B92" s="63"/>
      <c r="C92" s="91"/>
      <c r="D92" s="92"/>
      <c r="E92" s="61"/>
      <c r="F92" s="61"/>
      <c r="G92" s="60"/>
      <c r="H92" s="61"/>
      <c r="I92" s="60"/>
      <c r="J92" s="61"/>
      <c r="K92" s="60"/>
      <c r="L92" s="60"/>
      <c r="M92" s="60"/>
      <c r="N92" s="60"/>
      <c r="O92" s="60"/>
      <c r="P92" s="61"/>
      <c r="Q92" s="61"/>
      <c r="R92" s="63"/>
      <c r="S92" s="61"/>
      <c r="T92" s="62" t="str">
        <f aca="true">IF(Q92&lt;&gt;"Yes","",IF(S92="Yes","Done",IF(R92="","Date missing",IF(R92&lt;TODAY(),"OVERDUE","Scheduled"))))</f>
        <v/>
      </c>
      <c r="U92" s="61"/>
      <c r="V92" s="61"/>
      <c r="W92" s="60"/>
      <c r="X92" s="88" t="str">
        <f aca="false">IF(AND(G92&lt;&gt;"",AND(B92&lt;&gt;"",B92&gt;='Weekly Report'!$F$4,B92&lt;='Weekly Report'!$F$5)),ROW(),"")</f>
        <v/>
      </c>
    </row>
    <row r="93" customFormat="false" ht="15" hidden="false" customHeight="false" outlineLevel="0" collapsed="false">
      <c r="A93" s="56" t="s">
        <v>912</v>
      </c>
      <c r="B93" s="63"/>
      <c r="C93" s="91"/>
      <c r="D93" s="92"/>
      <c r="E93" s="61"/>
      <c r="F93" s="61"/>
      <c r="G93" s="60"/>
      <c r="H93" s="61"/>
      <c r="I93" s="60"/>
      <c r="J93" s="61"/>
      <c r="K93" s="60"/>
      <c r="L93" s="60"/>
      <c r="M93" s="60"/>
      <c r="N93" s="60"/>
      <c r="O93" s="60"/>
      <c r="P93" s="61"/>
      <c r="Q93" s="61"/>
      <c r="R93" s="63"/>
      <c r="S93" s="61"/>
      <c r="T93" s="62" t="str">
        <f aca="true">IF(Q93&lt;&gt;"Yes","",IF(S93="Yes","Done",IF(R93="","Date missing",IF(R93&lt;TODAY(),"OVERDUE","Scheduled"))))</f>
        <v/>
      </c>
      <c r="U93" s="61"/>
      <c r="V93" s="61"/>
      <c r="W93" s="60"/>
      <c r="X93" s="88" t="str">
        <f aca="false">IF(AND(G93&lt;&gt;"",AND(B93&lt;&gt;"",B93&gt;='Weekly Report'!$F$4,B93&lt;='Weekly Report'!$F$5)),ROW(),"")</f>
        <v/>
      </c>
    </row>
    <row r="94" customFormat="false" ht="15" hidden="false" customHeight="false" outlineLevel="0" collapsed="false">
      <c r="A94" s="56" t="s">
        <v>913</v>
      </c>
      <c r="B94" s="63"/>
      <c r="C94" s="91"/>
      <c r="D94" s="92"/>
      <c r="E94" s="61"/>
      <c r="F94" s="61"/>
      <c r="G94" s="60"/>
      <c r="H94" s="61"/>
      <c r="I94" s="60"/>
      <c r="J94" s="61"/>
      <c r="K94" s="60"/>
      <c r="L94" s="60"/>
      <c r="M94" s="60"/>
      <c r="N94" s="60"/>
      <c r="O94" s="60"/>
      <c r="P94" s="61"/>
      <c r="Q94" s="61"/>
      <c r="R94" s="63"/>
      <c r="S94" s="61"/>
      <c r="T94" s="62" t="str">
        <f aca="true">IF(Q94&lt;&gt;"Yes","",IF(S94="Yes","Done",IF(R94="","Date missing",IF(R94&lt;TODAY(),"OVERDUE","Scheduled"))))</f>
        <v/>
      </c>
      <c r="U94" s="61"/>
      <c r="V94" s="61"/>
      <c r="W94" s="60"/>
      <c r="X94" s="88" t="str">
        <f aca="false">IF(AND(G94&lt;&gt;"",AND(B94&lt;&gt;"",B94&gt;='Weekly Report'!$F$4,B94&lt;='Weekly Report'!$F$5)),ROW(),"")</f>
        <v/>
      </c>
    </row>
    <row r="95" customFormat="false" ht="15" hidden="false" customHeight="false" outlineLevel="0" collapsed="false">
      <c r="A95" s="56" t="s">
        <v>914</v>
      </c>
      <c r="B95" s="63"/>
      <c r="C95" s="91"/>
      <c r="D95" s="92"/>
      <c r="E95" s="61"/>
      <c r="F95" s="61"/>
      <c r="G95" s="60"/>
      <c r="H95" s="61"/>
      <c r="I95" s="60"/>
      <c r="J95" s="61"/>
      <c r="K95" s="60"/>
      <c r="L95" s="60"/>
      <c r="M95" s="60"/>
      <c r="N95" s="60"/>
      <c r="O95" s="60"/>
      <c r="P95" s="61"/>
      <c r="Q95" s="61"/>
      <c r="R95" s="63"/>
      <c r="S95" s="61"/>
      <c r="T95" s="62" t="str">
        <f aca="true">IF(Q95&lt;&gt;"Yes","",IF(S95="Yes","Done",IF(R95="","Date missing",IF(R95&lt;TODAY(),"OVERDUE","Scheduled"))))</f>
        <v/>
      </c>
      <c r="U95" s="61"/>
      <c r="V95" s="61"/>
      <c r="W95" s="60"/>
      <c r="X95" s="88" t="str">
        <f aca="false">IF(AND(G95&lt;&gt;"",AND(B95&lt;&gt;"",B95&gt;='Weekly Report'!$F$4,B95&lt;='Weekly Report'!$F$5)),ROW(),"")</f>
        <v/>
      </c>
    </row>
    <row r="96" customFormat="false" ht="15" hidden="false" customHeight="false" outlineLevel="0" collapsed="false">
      <c r="A96" s="56" t="s">
        <v>915</v>
      </c>
      <c r="B96" s="63"/>
      <c r="C96" s="91"/>
      <c r="D96" s="92"/>
      <c r="E96" s="61"/>
      <c r="F96" s="61"/>
      <c r="G96" s="60"/>
      <c r="H96" s="61"/>
      <c r="I96" s="60"/>
      <c r="J96" s="61"/>
      <c r="K96" s="60"/>
      <c r="L96" s="60"/>
      <c r="M96" s="60"/>
      <c r="N96" s="60"/>
      <c r="O96" s="60"/>
      <c r="P96" s="61"/>
      <c r="Q96" s="61"/>
      <c r="R96" s="63"/>
      <c r="S96" s="61"/>
      <c r="T96" s="62" t="str">
        <f aca="true">IF(Q96&lt;&gt;"Yes","",IF(S96="Yes","Done",IF(R96="","Date missing",IF(R96&lt;TODAY(),"OVERDUE","Scheduled"))))</f>
        <v/>
      </c>
      <c r="U96" s="61"/>
      <c r="V96" s="61"/>
      <c r="W96" s="60"/>
      <c r="X96" s="88" t="str">
        <f aca="false">IF(AND(G96&lt;&gt;"",AND(B96&lt;&gt;"",B96&gt;='Weekly Report'!$F$4,B96&lt;='Weekly Report'!$F$5)),ROW(),"")</f>
        <v/>
      </c>
    </row>
    <row r="97" customFormat="false" ht="15" hidden="false" customHeight="false" outlineLevel="0" collapsed="false">
      <c r="A97" s="56" t="s">
        <v>916</v>
      </c>
      <c r="B97" s="63"/>
      <c r="C97" s="91"/>
      <c r="D97" s="92"/>
      <c r="E97" s="61"/>
      <c r="F97" s="61"/>
      <c r="G97" s="60"/>
      <c r="H97" s="61"/>
      <c r="I97" s="60"/>
      <c r="J97" s="61"/>
      <c r="K97" s="60"/>
      <c r="L97" s="60"/>
      <c r="M97" s="60"/>
      <c r="N97" s="60"/>
      <c r="O97" s="60"/>
      <c r="P97" s="61"/>
      <c r="Q97" s="61"/>
      <c r="R97" s="63"/>
      <c r="S97" s="61"/>
      <c r="T97" s="62" t="str">
        <f aca="true">IF(Q97&lt;&gt;"Yes","",IF(S97="Yes","Done",IF(R97="","Date missing",IF(R97&lt;TODAY(),"OVERDUE","Scheduled"))))</f>
        <v/>
      </c>
      <c r="U97" s="61"/>
      <c r="V97" s="61"/>
      <c r="W97" s="60"/>
      <c r="X97" s="88" t="str">
        <f aca="false">IF(AND(G97&lt;&gt;"",AND(B97&lt;&gt;"",B97&gt;='Weekly Report'!$F$4,B97&lt;='Weekly Report'!$F$5)),ROW(),"")</f>
        <v/>
      </c>
    </row>
    <row r="98" customFormat="false" ht="15" hidden="false" customHeight="false" outlineLevel="0" collapsed="false">
      <c r="A98" s="56" t="s">
        <v>917</v>
      </c>
      <c r="B98" s="63"/>
      <c r="C98" s="91"/>
      <c r="D98" s="92"/>
      <c r="E98" s="61"/>
      <c r="F98" s="61"/>
      <c r="G98" s="60"/>
      <c r="H98" s="61"/>
      <c r="I98" s="60"/>
      <c r="J98" s="61"/>
      <c r="K98" s="60"/>
      <c r="L98" s="60"/>
      <c r="M98" s="60"/>
      <c r="N98" s="60"/>
      <c r="O98" s="60"/>
      <c r="P98" s="61"/>
      <c r="Q98" s="61"/>
      <c r="R98" s="63"/>
      <c r="S98" s="61"/>
      <c r="T98" s="62" t="str">
        <f aca="true">IF(Q98&lt;&gt;"Yes","",IF(S98="Yes","Done",IF(R98="","Date missing",IF(R98&lt;TODAY(),"OVERDUE","Scheduled"))))</f>
        <v/>
      </c>
      <c r="U98" s="61"/>
      <c r="V98" s="61"/>
      <c r="W98" s="60"/>
      <c r="X98" s="88" t="str">
        <f aca="false">IF(AND(G98&lt;&gt;"",AND(B98&lt;&gt;"",B98&gt;='Weekly Report'!$F$4,B98&lt;='Weekly Report'!$F$5)),ROW(),"")</f>
        <v/>
      </c>
    </row>
    <row r="99" customFormat="false" ht="15" hidden="false" customHeight="false" outlineLevel="0" collapsed="false">
      <c r="A99" s="56" t="s">
        <v>918</v>
      </c>
      <c r="B99" s="63"/>
      <c r="C99" s="91"/>
      <c r="D99" s="92"/>
      <c r="E99" s="61"/>
      <c r="F99" s="61"/>
      <c r="G99" s="60"/>
      <c r="H99" s="61"/>
      <c r="I99" s="60"/>
      <c r="J99" s="61"/>
      <c r="K99" s="60"/>
      <c r="L99" s="60"/>
      <c r="M99" s="60"/>
      <c r="N99" s="60"/>
      <c r="O99" s="60"/>
      <c r="P99" s="61"/>
      <c r="Q99" s="61"/>
      <c r="R99" s="63"/>
      <c r="S99" s="61"/>
      <c r="T99" s="62" t="str">
        <f aca="true">IF(Q99&lt;&gt;"Yes","",IF(S99="Yes","Done",IF(R99="","Date missing",IF(R99&lt;TODAY(),"OVERDUE","Scheduled"))))</f>
        <v/>
      </c>
      <c r="U99" s="61"/>
      <c r="V99" s="61"/>
      <c r="W99" s="60"/>
      <c r="X99" s="88" t="str">
        <f aca="false">IF(AND(G99&lt;&gt;"",AND(B99&lt;&gt;"",B99&gt;='Weekly Report'!$F$4,B99&lt;='Weekly Report'!$F$5)),ROW(),"")</f>
        <v/>
      </c>
    </row>
    <row r="100" customFormat="false" ht="15" hidden="false" customHeight="false" outlineLevel="0" collapsed="false">
      <c r="A100" s="56" t="s">
        <v>919</v>
      </c>
      <c r="B100" s="63"/>
      <c r="C100" s="91"/>
      <c r="D100" s="92"/>
      <c r="E100" s="61"/>
      <c r="F100" s="61"/>
      <c r="G100" s="60"/>
      <c r="H100" s="61"/>
      <c r="I100" s="60"/>
      <c r="J100" s="61"/>
      <c r="K100" s="60"/>
      <c r="L100" s="60"/>
      <c r="M100" s="60"/>
      <c r="N100" s="60"/>
      <c r="O100" s="60"/>
      <c r="P100" s="61"/>
      <c r="Q100" s="61"/>
      <c r="R100" s="63"/>
      <c r="S100" s="61"/>
      <c r="T100" s="62" t="str">
        <f aca="true">IF(Q100&lt;&gt;"Yes","",IF(S100="Yes","Done",IF(R100="","Date missing",IF(R100&lt;TODAY(),"OVERDUE","Scheduled"))))</f>
        <v/>
      </c>
      <c r="U100" s="61"/>
      <c r="V100" s="61"/>
      <c r="W100" s="60"/>
      <c r="X100" s="88" t="str">
        <f aca="false">IF(AND(G100&lt;&gt;"",AND(B100&lt;&gt;"",B100&gt;='Weekly Report'!$F$4,B100&lt;='Weekly Report'!$F$5)),ROW(),"")</f>
        <v/>
      </c>
    </row>
    <row r="101" customFormat="false" ht="15" hidden="false" customHeight="false" outlineLevel="0" collapsed="false">
      <c r="A101" s="56" t="s">
        <v>920</v>
      </c>
      <c r="B101" s="63"/>
      <c r="C101" s="91"/>
      <c r="D101" s="92"/>
      <c r="E101" s="61"/>
      <c r="F101" s="61"/>
      <c r="G101" s="60"/>
      <c r="H101" s="61"/>
      <c r="I101" s="60"/>
      <c r="J101" s="61"/>
      <c r="K101" s="60"/>
      <c r="L101" s="60"/>
      <c r="M101" s="60"/>
      <c r="N101" s="60"/>
      <c r="O101" s="60"/>
      <c r="P101" s="61"/>
      <c r="Q101" s="61"/>
      <c r="R101" s="63"/>
      <c r="S101" s="61"/>
      <c r="T101" s="62" t="str">
        <f aca="true">IF(Q101&lt;&gt;"Yes","",IF(S101="Yes","Done",IF(R101="","Date missing",IF(R101&lt;TODAY(),"OVERDUE","Scheduled"))))</f>
        <v/>
      </c>
      <c r="U101" s="61"/>
      <c r="V101" s="61"/>
      <c r="W101" s="60"/>
      <c r="X101" s="88" t="str">
        <f aca="false">IF(AND(G101&lt;&gt;"",AND(B101&lt;&gt;"",B101&gt;='Weekly Report'!$F$4,B101&lt;='Weekly Report'!$F$5)),ROW(),"")</f>
        <v/>
      </c>
    </row>
    <row r="102" customFormat="false" ht="15" hidden="false" customHeight="false" outlineLevel="0" collapsed="false">
      <c r="A102" s="56" t="s">
        <v>921</v>
      </c>
      <c r="B102" s="63"/>
      <c r="C102" s="91"/>
      <c r="D102" s="92"/>
      <c r="E102" s="61"/>
      <c r="F102" s="61"/>
      <c r="G102" s="60"/>
      <c r="H102" s="61"/>
      <c r="I102" s="60"/>
      <c r="J102" s="61"/>
      <c r="K102" s="60"/>
      <c r="L102" s="60"/>
      <c r="M102" s="60"/>
      <c r="N102" s="60"/>
      <c r="O102" s="60"/>
      <c r="P102" s="61"/>
      <c r="Q102" s="61"/>
      <c r="R102" s="63"/>
      <c r="S102" s="61"/>
      <c r="T102" s="62" t="str">
        <f aca="true">IF(Q102&lt;&gt;"Yes","",IF(S102="Yes","Done",IF(R102="","Date missing",IF(R102&lt;TODAY(),"OVERDUE","Scheduled"))))</f>
        <v/>
      </c>
      <c r="U102" s="61"/>
      <c r="V102" s="61"/>
      <c r="W102" s="60"/>
      <c r="X102" s="88" t="str">
        <f aca="false">IF(AND(G102&lt;&gt;"",AND(B102&lt;&gt;"",B102&gt;='Weekly Report'!$F$4,B102&lt;='Weekly Report'!$F$5)),ROW(),"")</f>
        <v/>
      </c>
    </row>
    <row r="103" customFormat="false" ht="15" hidden="false" customHeight="false" outlineLevel="0" collapsed="false">
      <c r="A103" s="56" t="s">
        <v>922</v>
      </c>
      <c r="B103" s="63"/>
      <c r="C103" s="91"/>
      <c r="D103" s="92"/>
      <c r="E103" s="61"/>
      <c r="F103" s="61"/>
      <c r="G103" s="60"/>
      <c r="H103" s="61"/>
      <c r="I103" s="60"/>
      <c r="J103" s="61"/>
      <c r="K103" s="60"/>
      <c r="L103" s="60"/>
      <c r="M103" s="60"/>
      <c r="N103" s="60"/>
      <c r="O103" s="60"/>
      <c r="P103" s="61"/>
      <c r="Q103" s="61"/>
      <c r="R103" s="63"/>
      <c r="S103" s="61"/>
      <c r="T103" s="62" t="str">
        <f aca="true">IF(Q103&lt;&gt;"Yes","",IF(S103="Yes","Done",IF(R103="","Date missing",IF(R103&lt;TODAY(),"OVERDUE","Scheduled"))))</f>
        <v/>
      </c>
      <c r="U103" s="61"/>
      <c r="V103" s="61"/>
      <c r="W103" s="60"/>
      <c r="X103" s="88" t="str">
        <f aca="false">IF(AND(G103&lt;&gt;"",AND(B103&lt;&gt;"",B103&gt;='Weekly Report'!$F$4,B103&lt;='Weekly Report'!$F$5)),ROW(),"")</f>
        <v/>
      </c>
    </row>
    <row r="104" customFormat="false" ht="15" hidden="false" customHeight="false" outlineLevel="0" collapsed="false">
      <c r="A104" s="56" t="s">
        <v>923</v>
      </c>
      <c r="B104" s="63"/>
      <c r="C104" s="91"/>
      <c r="D104" s="92"/>
      <c r="E104" s="61"/>
      <c r="F104" s="61"/>
      <c r="G104" s="60"/>
      <c r="H104" s="61"/>
      <c r="I104" s="60"/>
      <c r="J104" s="61"/>
      <c r="K104" s="60"/>
      <c r="L104" s="60"/>
      <c r="M104" s="60"/>
      <c r="N104" s="60"/>
      <c r="O104" s="60"/>
      <c r="P104" s="61"/>
      <c r="Q104" s="61"/>
      <c r="R104" s="63"/>
      <c r="S104" s="61"/>
      <c r="T104" s="62" t="str">
        <f aca="true">IF(Q104&lt;&gt;"Yes","",IF(S104="Yes","Done",IF(R104="","Date missing",IF(R104&lt;TODAY(),"OVERDUE","Scheduled"))))</f>
        <v/>
      </c>
      <c r="U104" s="61"/>
      <c r="V104" s="61"/>
      <c r="W104" s="60"/>
      <c r="X104" s="88" t="str">
        <f aca="false">IF(AND(G104&lt;&gt;"",AND(B104&lt;&gt;"",B104&gt;='Weekly Report'!$F$4,B104&lt;='Weekly Report'!$F$5)),ROW(),"")</f>
        <v/>
      </c>
    </row>
    <row r="105" customFormat="false" ht="15" hidden="false" customHeight="false" outlineLevel="0" collapsed="false">
      <c r="A105" s="56" t="s">
        <v>924</v>
      </c>
      <c r="B105" s="63"/>
      <c r="C105" s="91"/>
      <c r="D105" s="92"/>
      <c r="E105" s="61"/>
      <c r="F105" s="61"/>
      <c r="G105" s="60"/>
      <c r="H105" s="61"/>
      <c r="I105" s="60"/>
      <c r="J105" s="61"/>
      <c r="K105" s="60"/>
      <c r="L105" s="60"/>
      <c r="M105" s="60"/>
      <c r="N105" s="60"/>
      <c r="O105" s="60"/>
      <c r="P105" s="61"/>
      <c r="Q105" s="61"/>
      <c r="R105" s="63"/>
      <c r="S105" s="61"/>
      <c r="T105" s="62" t="str">
        <f aca="true">IF(Q105&lt;&gt;"Yes","",IF(S105="Yes","Done",IF(R105="","Date missing",IF(R105&lt;TODAY(),"OVERDUE","Scheduled"))))</f>
        <v/>
      </c>
      <c r="U105" s="61"/>
      <c r="V105" s="61"/>
      <c r="W105" s="60"/>
      <c r="X105" s="88" t="str">
        <f aca="false">IF(AND(G105&lt;&gt;"",AND(B105&lt;&gt;"",B105&gt;='Weekly Report'!$F$4,B105&lt;='Weekly Report'!$F$5)),ROW(),"")</f>
        <v/>
      </c>
    </row>
    <row r="106" customFormat="false" ht="15" hidden="false" customHeight="false" outlineLevel="0" collapsed="false">
      <c r="A106" s="56" t="s">
        <v>925</v>
      </c>
      <c r="B106" s="63"/>
      <c r="C106" s="91"/>
      <c r="D106" s="92"/>
      <c r="E106" s="61"/>
      <c r="F106" s="61"/>
      <c r="G106" s="60"/>
      <c r="H106" s="61"/>
      <c r="I106" s="60"/>
      <c r="J106" s="61"/>
      <c r="K106" s="60"/>
      <c r="L106" s="60"/>
      <c r="M106" s="60"/>
      <c r="N106" s="60"/>
      <c r="O106" s="60"/>
      <c r="P106" s="61"/>
      <c r="Q106" s="61"/>
      <c r="R106" s="63"/>
      <c r="S106" s="61"/>
      <c r="T106" s="62" t="str">
        <f aca="true">IF(Q106&lt;&gt;"Yes","",IF(S106="Yes","Done",IF(R106="","Date missing",IF(R106&lt;TODAY(),"OVERDUE","Scheduled"))))</f>
        <v/>
      </c>
      <c r="U106" s="61"/>
      <c r="V106" s="61"/>
      <c r="W106" s="60"/>
      <c r="X106" s="88" t="str">
        <f aca="false">IF(AND(G106&lt;&gt;"",AND(B106&lt;&gt;"",B106&gt;='Weekly Report'!$F$4,B106&lt;='Weekly Report'!$F$5)),ROW(),"")</f>
        <v/>
      </c>
    </row>
    <row r="107" customFormat="false" ht="15" hidden="false" customHeight="false" outlineLevel="0" collapsed="false">
      <c r="A107" s="56" t="s">
        <v>926</v>
      </c>
      <c r="B107" s="63"/>
      <c r="C107" s="91"/>
      <c r="D107" s="92"/>
      <c r="E107" s="61"/>
      <c r="F107" s="61"/>
      <c r="G107" s="60"/>
      <c r="H107" s="61"/>
      <c r="I107" s="60"/>
      <c r="J107" s="61"/>
      <c r="K107" s="60"/>
      <c r="L107" s="60"/>
      <c r="M107" s="60"/>
      <c r="N107" s="60"/>
      <c r="O107" s="60"/>
      <c r="P107" s="61"/>
      <c r="Q107" s="61"/>
      <c r="R107" s="63"/>
      <c r="S107" s="61"/>
      <c r="T107" s="62" t="str">
        <f aca="true">IF(Q107&lt;&gt;"Yes","",IF(S107="Yes","Done",IF(R107="","Date missing",IF(R107&lt;TODAY(),"OVERDUE","Scheduled"))))</f>
        <v/>
      </c>
      <c r="U107" s="61"/>
      <c r="V107" s="61"/>
      <c r="W107" s="60"/>
      <c r="X107" s="88" t="str">
        <f aca="false">IF(AND(G107&lt;&gt;"",AND(B107&lt;&gt;"",B107&gt;='Weekly Report'!$F$4,B107&lt;='Weekly Report'!$F$5)),ROW(),"")</f>
        <v/>
      </c>
    </row>
    <row r="108" customFormat="false" ht="15" hidden="false" customHeight="false" outlineLevel="0" collapsed="false">
      <c r="A108" s="56" t="s">
        <v>927</v>
      </c>
      <c r="B108" s="63"/>
      <c r="C108" s="91"/>
      <c r="D108" s="92"/>
      <c r="E108" s="61"/>
      <c r="F108" s="61"/>
      <c r="G108" s="60"/>
      <c r="H108" s="61"/>
      <c r="I108" s="60"/>
      <c r="J108" s="61"/>
      <c r="K108" s="60"/>
      <c r="L108" s="60"/>
      <c r="M108" s="60"/>
      <c r="N108" s="60"/>
      <c r="O108" s="60"/>
      <c r="P108" s="61"/>
      <c r="Q108" s="61"/>
      <c r="R108" s="63"/>
      <c r="S108" s="61"/>
      <c r="T108" s="62" t="str">
        <f aca="true">IF(Q108&lt;&gt;"Yes","",IF(S108="Yes","Done",IF(R108="","Date missing",IF(R108&lt;TODAY(),"OVERDUE","Scheduled"))))</f>
        <v/>
      </c>
      <c r="U108" s="61"/>
      <c r="V108" s="61"/>
      <c r="W108" s="60"/>
      <c r="X108" s="88" t="str">
        <f aca="false">IF(AND(G108&lt;&gt;"",AND(B108&lt;&gt;"",B108&gt;='Weekly Report'!$F$4,B108&lt;='Weekly Report'!$F$5)),ROW(),"")</f>
        <v/>
      </c>
    </row>
    <row r="109" customFormat="false" ht="15" hidden="false" customHeight="false" outlineLevel="0" collapsed="false">
      <c r="A109" s="56" t="s">
        <v>928</v>
      </c>
      <c r="B109" s="63"/>
      <c r="C109" s="91"/>
      <c r="D109" s="92"/>
      <c r="E109" s="61"/>
      <c r="F109" s="61"/>
      <c r="G109" s="60"/>
      <c r="H109" s="61"/>
      <c r="I109" s="60"/>
      <c r="J109" s="61"/>
      <c r="K109" s="60"/>
      <c r="L109" s="60"/>
      <c r="M109" s="60"/>
      <c r="N109" s="60"/>
      <c r="O109" s="60"/>
      <c r="P109" s="61"/>
      <c r="Q109" s="61"/>
      <c r="R109" s="63"/>
      <c r="S109" s="61"/>
      <c r="T109" s="62" t="str">
        <f aca="true">IF(Q109&lt;&gt;"Yes","",IF(S109="Yes","Done",IF(R109="","Date missing",IF(R109&lt;TODAY(),"OVERDUE","Scheduled"))))</f>
        <v/>
      </c>
      <c r="U109" s="61"/>
      <c r="V109" s="61"/>
      <c r="W109" s="60"/>
      <c r="X109" s="88" t="str">
        <f aca="false">IF(AND(G109&lt;&gt;"",AND(B109&lt;&gt;"",B109&gt;='Weekly Report'!$F$4,B109&lt;='Weekly Report'!$F$5)),ROW(),"")</f>
        <v/>
      </c>
    </row>
    <row r="110" customFormat="false" ht="15" hidden="false" customHeight="false" outlineLevel="0" collapsed="false">
      <c r="A110" s="56" t="s">
        <v>929</v>
      </c>
      <c r="B110" s="63"/>
      <c r="C110" s="91"/>
      <c r="D110" s="92"/>
      <c r="E110" s="61"/>
      <c r="F110" s="61"/>
      <c r="G110" s="60"/>
      <c r="H110" s="61"/>
      <c r="I110" s="60"/>
      <c r="J110" s="61"/>
      <c r="K110" s="60"/>
      <c r="L110" s="60"/>
      <c r="M110" s="60"/>
      <c r="N110" s="60"/>
      <c r="O110" s="60"/>
      <c r="P110" s="61"/>
      <c r="Q110" s="61"/>
      <c r="R110" s="63"/>
      <c r="S110" s="61"/>
      <c r="T110" s="62" t="str">
        <f aca="true">IF(Q110&lt;&gt;"Yes","",IF(S110="Yes","Done",IF(R110="","Date missing",IF(R110&lt;TODAY(),"OVERDUE","Scheduled"))))</f>
        <v/>
      </c>
      <c r="U110" s="61"/>
      <c r="V110" s="61"/>
      <c r="W110" s="60"/>
      <c r="X110" s="88" t="str">
        <f aca="false">IF(AND(G110&lt;&gt;"",AND(B110&lt;&gt;"",B110&gt;='Weekly Report'!$F$4,B110&lt;='Weekly Report'!$F$5)),ROW(),"")</f>
        <v/>
      </c>
    </row>
    <row r="111" customFormat="false" ht="15" hidden="false" customHeight="false" outlineLevel="0" collapsed="false">
      <c r="A111" s="56" t="s">
        <v>930</v>
      </c>
      <c r="B111" s="63"/>
      <c r="C111" s="91"/>
      <c r="D111" s="92"/>
      <c r="E111" s="61"/>
      <c r="F111" s="61"/>
      <c r="G111" s="60"/>
      <c r="H111" s="61"/>
      <c r="I111" s="60"/>
      <c r="J111" s="61"/>
      <c r="K111" s="60"/>
      <c r="L111" s="60"/>
      <c r="M111" s="60"/>
      <c r="N111" s="60"/>
      <c r="O111" s="60"/>
      <c r="P111" s="61"/>
      <c r="Q111" s="61"/>
      <c r="R111" s="63"/>
      <c r="S111" s="61"/>
      <c r="T111" s="62" t="str">
        <f aca="true">IF(Q111&lt;&gt;"Yes","",IF(S111="Yes","Done",IF(R111="","Date missing",IF(R111&lt;TODAY(),"OVERDUE","Scheduled"))))</f>
        <v/>
      </c>
      <c r="U111" s="61"/>
      <c r="V111" s="61"/>
      <c r="W111" s="60"/>
      <c r="X111" s="88" t="str">
        <f aca="false">IF(AND(G111&lt;&gt;"",AND(B111&lt;&gt;"",B111&gt;='Weekly Report'!$F$4,B111&lt;='Weekly Report'!$F$5)),ROW(),"")</f>
        <v/>
      </c>
    </row>
    <row r="112" customFormat="false" ht="15" hidden="false" customHeight="false" outlineLevel="0" collapsed="false">
      <c r="A112" s="56" t="s">
        <v>931</v>
      </c>
      <c r="B112" s="63"/>
      <c r="C112" s="91"/>
      <c r="D112" s="92"/>
      <c r="E112" s="61"/>
      <c r="F112" s="61"/>
      <c r="G112" s="60"/>
      <c r="H112" s="61"/>
      <c r="I112" s="60"/>
      <c r="J112" s="61"/>
      <c r="K112" s="60"/>
      <c r="L112" s="60"/>
      <c r="M112" s="60"/>
      <c r="N112" s="60"/>
      <c r="O112" s="60"/>
      <c r="P112" s="61"/>
      <c r="Q112" s="61"/>
      <c r="R112" s="63"/>
      <c r="S112" s="61"/>
      <c r="T112" s="62" t="str">
        <f aca="true">IF(Q112&lt;&gt;"Yes","",IF(S112="Yes","Done",IF(R112="","Date missing",IF(R112&lt;TODAY(),"OVERDUE","Scheduled"))))</f>
        <v/>
      </c>
      <c r="U112" s="61"/>
      <c r="V112" s="61"/>
      <c r="W112" s="60"/>
      <c r="X112" s="88" t="str">
        <f aca="false">IF(AND(G112&lt;&gt;"",AND(B112&lt;&gt;"",B112&gt;='Weekly Report'!$F$4,B112&lt;='Weekly Report'!$F$5)),ROW(),"")</f>
        <v/>
      </c>
    </row>
    <row r="113" customFormat="false" ht="15" hidden="false" customHeight="false" outlineLevel="0" collapsed="false">
      <c r="A113" s="56" t="s">
        <v>932</v>
      </c>
      <c r="B113" s="63"/>
      <c r="C113" s="91"/>
      <c r="D113" s="92"/>
      <c r="E113" s="61"/>
      <c r="F113" s="61"/>
      <c r="G113" s="60"/>
      <c r="H113" s="61"/>
      <c r="I113" s="60"/>
      <c r="J113" s="61"/>
      <c r="K113" s="60"/>
      <c r="L113" s="60"/>
      <c r="M113" s="60"/>
      <c r="N113" s="60"/>
      <c r="O113" s="60"/>
      <c r="P113" s="61"/>
      <c r="Q113" s="61"/>
      <c r="R113" s="63"/>
      <c r="S113" s="61"/>
      <c r="T113" s="62" t="str">
        <f aca="true">IF(Q113&lt;&gt;"Yes","",IF(S113="Yes","Done",IF(R113="","Date missing",IF(R113&lt;TODAY(),"OVERDUE","Scheduled"))))</f>
        <v/>
      </c>
      <c r="U113" s="61"/>
      <c r="V113" s="61"/>
      <c r="W113" s="60"/>
      <c r="X113" s="88" t="str">
        <f aca="false">IF(AND(G113&lt;&gt;"",AND(B113&lt;&gt;"",B113&gt;='Weekly Report'!$F$4,B113&lt;='Weekly Report'!$F$5)),ROW(),"")</f>
        <v/>
      </c>
    </row>
    <row r="114" customFormat="false" ht="15" hidden="false" customHeight="false" outlineLevel="0" collapsed="false">
      <c r="A114" s="56" t="s">
        <v>933</v>
      </c>
      <c r="B114" s="63"/>
      <c r="C114" s="91"/>
      <c r="D114" s="92"/>
      <c r="E114" s="61"/>
      <c r="F114" s="61"/>
      <c r="G114" s="60"/>
      <c r="H114" s="61"/>
      <c r="I114" s="60"/>
      <c r="J114" s="61"/>
      <c r="K114" s="60"/>
      <c r="L114" s="60"/>
      <c r="M114" s="60"/>
      <c r="N114" s="60"/>
      <c r="O114" s="60"/>
      <c r="P114" s="61"/>
      <c r="Q114" s="61"/>
      <c r="R114" s="63"/>
      <c r="S114" s="61"/>
      <c r="T114" s="62" t="str">
        <f aca="true">IF(Q114&lt;&gt;"Yes","",IF(S114="Yes","Done",IF(R114="","Date missing",IF(R114&lt;TODAY(),"OVERDUE","Scheduled"))))</f>
        <v/>
      </c>
      <c r="U114" s="61"/>
      <c r="V114" s="61"/>
      <c r="W114" s="60"/>
      <c r="X114" s="88" t="str">
        <f aca="false">IF(AND(G114&lt;&gt;"",AND(B114&lt;&gt;"",B114&gt;='Weekly Report'!$F$4,B114&lt;='Weekly Report'!$F$5)),ROW(),"")</f>
        <v/>
      </c>
    </row>
    <row r="115" customFormat="false" ht="15" hidden="false" customHeight="false" outlineLevel="0" collapsed="false">
      <c r="A115" s="56" t="s">
        <v>934</v>
      </c>
      <c r="B115" s="63"/>
      <c r="C115" s="91"/>
      <c r="D115" s="92"/>
      <c r="E115" s="61"/>
      <c r="F115" s="61"/>
      <c r="G115" s="60"/>
      <c r="H115" s="61"/>
      <c r="I115" s="60"/>
      <c r="J115" s="61"/>
      <c r="K115" s="60"/>
      <c r="L115" s="60"/>
      <c r="M115" s="60"/>
      <c r="N115" s="60"/>
      <c r="O115" s="60"/>
      <c r="P115" s="61"/>
      <c r="Q115" s="61"/>
      <c r="R115" s="63"/>
      <c r="S115" s="61"/>
      <c r="T115" s="62" t="str">
        <f aca="true">IF(Q115&lt;&gt;"Yes","",IF(S115="Yes","Done",IF(R115="","Date missing",IF(R115&lt;TODAY(),"OVERDUE","Scheduled"))))</f>
        <v/>
      </c>
      <c r="U115" s="61"/>
      <c r="V115" s="61"/>
      <c r="W115" s="60"/>
      <c r="X115" s="88" t="str">
        <f aca="false">IF(AND(G115&lt;&gt;"",AND(B115&lt;&gt;"",B115&gt;='Weekly Report'!$F$4,B115&lt;='Weekly Report'!$F$5)),ROW(),"")</f>
        <v/>
      </c>
    </row>
    <row r="116" customFormat="false" ht="15" hidden="false" customHeight="false" outlineLevel="0" collapsed="false">
      <c r="A116" s="56" t="s">
        <v>935</v>
      </c>
      <c r="B116" s="63"/>
      <c r="C116" s="91"/>
      <c r="D116" s="92"/>
      <c r="E116" s="61"/>
      <c r="F116" s="61"/>
      <c r="G116" s="60"/>
      <c r="H116" s="61"/>
      <c r="I116" s="60"/>
      <c r="J116" s="61"/>
      <c r="K116" s="60"/>
      <c r="L116" s="60"/>
      <c r="M116" s="60"/>
      <c r="N116" s="60"/>
      <c r="O116" s="60"/>
      <c r="P116" s="61"/>
      <c r="Q116" s="61"/>
      <c r="R116" s="63"/>
      <c r="S116" s="61"/>
      <c r="T116" s="62" t="str">
        <f aca="true">IF(Q116&lt;&gt;"Yes","",IF(S116="Yes","Done",IF(R116="","Date missing",IF(R116&lt;TODAY(),"OVERDUE","Scheduled"))))</f>
        <v/>
      </c>
      <c r="U116" s="61"/>
      <c r="V116" s="61"/>
      <c r="W116" s="60"/>
      <c r="X116" s="88" t="str">
        <f aca="false">IF(AND(G116&lt;&gt;"",AND(B116&lt;&gt;"",B116&gt;='Weekly Report'!$F$4,B116&lt;='Weekly Report'!$F$5)),ROW(),"")</f>
        <v/>
      </c>
    </row>
    <row r="117" customFormat="false" ht="15" hidden="false" customHeight="false" outlineLevel="0" collapsed="false">
      <c r="A117" s="56" t="s">
        <v>936</v>
      </c>
      <c r="B117" s="63"/>
      <c r="C117" s="91"/>
      <c r="D117" s="92"/>
      <c r="E117" s="61"/>
      <c r="F117" s="61"/>
      <c r="G117" s="60"/>
      <c r="H117" s="61"/>
      <c r="I117" s="60"/>
      <c r="J117" s="61"/>
      <c r="K117" s="60"/>
      <c r="L117" s="60"/>
      <c r="M117" s="60"/>
      <c r="N117" s="60"/>
      <c r="O117" s="60"/>
      <c r="P117" s="61"/>
      <c r="Q117" s="61"/>
      <c r="R117" s="63"/>
      <c r="S117" s="61"/>
      <c r="T117" s="62" t="str">
        <f aca="true">IF(Q117&lt;&gt;"Yes","",IF(S117="Yes","Done",IF(R117="","Date missing",IF(R117&lt;TODAY(),"OVERDUE","Scheduled"))))</f>
        <v/>
      </c>
      <c r="U117" s="61"/>
      <c r="V117" s="61"/>
      <c r="W117" s="60"/>
      <c r="X117" s="88" t="str">
        <f aca="false">IF(AND(G117&lt;&gt;"",AND(B117&lt;&gt;"",B117&gt;='Weekly Report'!$F$4,B117&lt;='Weekly Report'!$F$5)),ROW(),"")</f>
        <v/>
      </c>
    </row>
    <row r="118" customFormat="false" ht="15" hidden="false" customHeight="false" outlineLevel="0" collapsed="false">
      <c r="A118" s="56" t="s">
        <v>937</v>
      </c>
      <c r="B118" s="63"/>
      <c r="C118" s="91"/>
      <c r="D118" s="92"/>
      <c r="E118" s="61"/>
      <c r="F118" s="61"/>
      <c r="G118" s="60"/>
      <c r="H118" s="61"/>
      <c r="I118" s="60"/>
      <c r="J118" s="61"/>
      <c r="K118" s="60"/>
      <c r="L118" s="60"/>
      <c r="M118" s="60"/>
      <c r="N118" s="60"/>
      <c r="O118" s="60"/>
      <c r="P118" s="61"/>
      <c r="Q118" s="61"/>
      <c r="R118" s="63"/>
      <c r="S118" s="61"/>
      <c r="T118" s="62" t="str">
        <f aca="true">IF(Q118&lt;&gt;"Yes","",IF(S118="Yes","Done",IF(R118="","Date missing",IF(R118&lt;TODAY(),"OVERDUE","Scheduled"))))</f>
        <v/>
      </c>
      <c r="U118" s="61"/>
      <c r="V118" s="61"/>
      <c r="W118" s="60"/>
      <c r="X118" s="88" t="str">
        <f aca="false">IF(AND(G118&lt;&gt;"",AND(B118&lt;&gt;"",B118&gt;='Weekly Report'!$F$4,B118&lt;='Weekly Report'!$F$5)),ROW(),"")</f>
        <v/>
      </c>
    </row>
    <row r="119" customFormat="false" ht="15" hidden="false" customHeight="false" outlineLevel="0" collapsed="false">
      <c r="A119" s="56" t="s">
        <v>938</v>
      </c>
      <c r="B119" s="63"/>
      <c r="C119" s="91"/>
      <c r="D119" s="92"/>
      <c r="E119" s="61"/>
      <c r="F119" s="61"/>
      <c r="G119" s="60"/>
      <c r="H119" s="61"/>
      <c r="I119" s="60"/>
      <c r="J119" s="61"/>
      <c r="K119" s="60"/>
      <c r="L119" s="60"/>
      <c r="M119" s="60"/>
      <c r="N119" s="60"/>
      <c r="O119" s="60"/>
      <c r="P119" s="61"/>
      <c r="Q119" s="61"/>
      <c r="R119" s="63"/>
      <c r="S119" s="61"/>
      <c r="T119" s="62" t="str">
        <f aca="true">IF(Q119&lt;&gt;"Yes","",IF(S119="Yes","Done",IF(R119="","Date missing",IF(R119&lt;TODAY(),"OVERDUE","Scheduled"))))</f>
        <v/>
      </c>
      <c r="U119" s="61"/>
      <c r="V119" s="61"/>
      <c r="W119" s="60"/>
      <c r="X119" s="88" t="str">
        <f aca="false">IF(AND(G119&lt;&gt;"",AND(B119&lt;&gt;"",B119&gt;='Weekly Report'!$F$4,B119&lt;='Weekly Report'!$F$5)),ROW(),"")</f>
        <v/>
      </c>
    </row>
    <row r="120" customFormat="false" ht="15" hidden="false" customHeight="false" outlineLevel="0" collapsed="false">
      <c r="A120" s="56" t="s">
        <v>939</v>
      </c>
      <c r="B120" s="63"/>
      <c r="C120" s="91"/>
      <c r="D120" s="92"/>
      <c r="E120" s="61"/>
      <c r="F120" s="61"/>
      <c r="G120" s="60"/>
      <c r="H120" s="61"/>
      <c r="I120" s="60"/>
      <c r="J120" s="61"/>
      <c r="K120" s="60"/>
      <c r="L120" s="60"/>
      <c r="M120" s="60"/>
      <c r="N120" s="60"/>
      <c r="O120" s="60"/>
      <c r="P120" s="61"/>
      <c r="Q120" s="61"/>
      <c r="R120" s="63"/>
      <c r="S120" s="61"/>
      <c r="T120" s="62" t="str">
        <f aca="true">IF(Q120&lt;&gt;"Yes","",IF(S120="Yes","Done",IF(R120="","Date missing",IF(R120&lt;TODAY(),"OVERDUE","Scheduled"))))</f>
        <v/>
      </c>
      <c r="U120" s="61"/>
      <c r="V120" s="61"/>
      <c r="W120" s="60"/>
      <c r="X120" s="88" t="str">
        <f aca="false">IF(AND(G120&lt;&gt;"",AND(B120&lt;&gt;"",B120&gt;='Weekly Report'!$F$4,B120&lt;='Weekly Report'!$F$5)),ROW(),"")</f>
        <v/>
      </c>
    </row>
    <row r="121" customFormat="false" ht="15" hidden="false" customHeight="false" outlineLevel="0" collapsed="false">
      <c r="A121" s="56" t="s">
        <v>940</v>
      </c>
      <c r="B121" s="63"/>
      <c r="C121" s="91"/>
      <c r="D121" s="92"/>
      <c r="E121" s="61"/>
      <c r="F121" s="61"/>
      <c r="G121" s="60"/>
      <c r="H121" s="61"/>
      <c r="I121" s="60"/>
      <c r="J121" s="61"/>
      <c r="K121" s="60"/>
      <c r="L121" s="60"/>
      <c r="M121" s="60"/>
      <c r="N121" s="60"/>
      <c r="O121" s="60"/>
      <c r="P121" s="61"/>
      <c r="Q121" s="61"/>
      <c r="R121" s="63"/>
      <c r="S121" s="61"/>
      <c r="T121" s="62" t="str">
        <f aca="true">IF(Q121&lt;&gt;"Yes","",IF(S121="Yes","Done",IF(R121="","Date missing",IF(R121&lt;TODAY(),"OVERDUE","Scheduled"))))</f>
        <v/>
      </c>
      <c r="U121" s="61"/>
      <c r="V121" s="61"/>
      <c r="W121" s="60"/>
      <c r="X121" s="88" t="str">
        <f aca="false">IF(AND(G121&lt;&gt;"",AND(B121&lt;&gt;"",B121&gt;='Weekly Report'!$F$4,B121&lt;='Weekly Report'!$F$5)),ROW(),"")</f>
        <v/>
      </c>
    </row>
    <row r="122" customFormat="false" ht="15" hidden="false" customHeight="false" outlineLevel="0" collapsed="false">
      <c r="A122" s="56" t="s">
        <v>941</v>
      </c>
      <c r="B122" s="63"/>
      <c r="C122" s="91"/>
      <c r="D122" s="92"/>
      <c r="E122" s="61"/>
      <c r="F122" s="61"/>
      <c r="G122" s="60"/>
      <c r="H122" s="61"/>
      <c r="I122" s="60"/>
      <c r="J122" s="61"/>
      <c r="K122" s="60"/>
      <c r="L122" s="60"/>
      <c r="M122" s="60"/>
      <c r="N122" s="60"/>
      <c r="O122" s="60"/>
      <c r="P122" s="61"/>
      <c r="Q122" s="61"/>
      <c r="R122" s="63"/>
      <c r="S122" s="61"/>
      <c r="T122" s="62" t="str">
        <f aca="true">IF(Q122&lt;&gt;"Yes","",IF(S122="Yes","Done",IF(R122="","Date missing",IF(R122&lt;TODAY(),"OVERDUE","Scheduled"))))</f>
        <v/>
      </c>
      <c r="U122" s="61"/>
      <c r="V122" s="61"/>
      <c r="W122" s="60"/>
      <c r="X122" s="88" t="str">
        <f aca="false">IF(AND(G122&lt;&gt;"",AND(B122&lt;&gt;"",B122&gt;='Weekly Report'!$F$4,B122&lt;='Weekly Report'!$F$5)),ROW(),"")</f>
        <v/>
      </c>
    </row>
    <row r="123" customFormat="false" ht="15" hidden="false" customHeight="false" outlineLevel="0" collapsed="false">
      <c r="A123" s="56" t="s">
        <v>942</v>
      </c>
      <c r="B123" s="63"/>
      <c r="C123" s="91"/>
      <c r="D123" s="92"/>
      <c r="E123" s="61"/>
      <c r="F123" s="61"/>
      <c r="G123" s="60"/>
      <c r="H123" s="61"/>
      <c r="I123" s="60"/>
      <c r="J123" s="61"/>
      <c r="K123" s="60"/>
      <c r="L123" s="60"/>
      <c r="M123" s="60"/>
      <c r="N123" s="60"/>
      <c r="O123" s="60"/>
      <c r="P123" s="61"/>
      <c r="Q123" s="61"/>
      <c r="R123" s="63"/>
      <c r="S123" s="61"/>
      <c r="T123" s="62" t="str">
        <f aca="true">IF(Q123&lt;&gt;"Yes","",IF(S123="Yes","Done",IF(R123="","Date missing",IF(R123&lt;TODAY(),"OVERDUE","Scheduled"))))</f>
        <v/>
      </c>
      <c r="U123" s="61"/>
      <c r="V123" s="61"/>
      <c r="W123" s="60"/>
      <c r="X123" s="88" t="str">
        <f aca="false">IF(AND(G123&lt;&gt;"",AND(B123&lt;&gt;"",B123&gt;='Weekly Report'!$F$4,B123&lt;='Weekly Report'!$F$5)),ROW(),"")</f>
        <v/>
      </c>
    </row>
    <row r="124" customFormat="false" ht="15" hidden="false" customHeight="false" outlineLevel="0" collapsed="false">
      <c r="A124" s="56" t="s">
        <v>943</v>
      </c>
      <c r="B124" s="63"/>
      <c r="C124" s="91"/>
      <c r="D124" s="92"/>
      <c r="E124" s="61"/>
      <c r="F124" s="61"/>
      <c r="G124" s="60"/>
      <c r="H124" s="61"/>
      <c r="I124" s="60"/>
      <c r="J124" s="61"/>
      <c r="K124" s="60"/>
      <c r="L124" s="60"/>
      <c r="M124" s="60"/>
      <c r="N124" s="60"/>
      <c r="O124" s="60"/>
      <c r="P124" s="61"/>
      <c r="Q124" s="61"/>
      <c r="R124" s="63"/>
      <c r="S124" s="61"/>
      <c r="T124" s="62" t="str">
        <f aca="true">IF(Q124&lt;&gt;"Yes","",IF(S124="Yes","Done",IF(R124="","Date missing",IF(R124&lt;TODAY(),"OVERDUE","Scheduled"))))</f>
        <v/>
      </c>
      <c r="U124" s="61"/>
      <c r="V124" s="61"/>
      <c r="W124" s="60"/>
      <c r="X124" s="88" t="str">
        <f aca="false">IF(AND(G124&lt;&gt;"",AND(B124&lt;&gt;"",B124&gt;='Weekly Report'!$F$4,B124&lt;='Weekly Report'!$F$5)),ROW(),"")</f>
        <v/>
      </c>
    </row>
    <row r="125" customFormat="false" ht="15" hidden="false" customHeight="false" outlineLevel="0" collapsed="false">
      <c r="A125" s="56" t="s">
        <v>944</v>
      </c>
      <c r="B125" s="63"/>
      <c r="C125" s="91"/>
      <c r="D125" s="92"/>
      <c r="E125" s="61"/>
      <c r="F125" s="61"/>
      <c r="G125" s="60"/>
      <c r="H125" s="61"/>
      <c r="I125" s="60"/>
      <c r="J125" s="61"/>
      <c r="K125" s="60"/>
      <c r="L125" s="60"/>
      <c r="M125" s="60"/>
      <c r="N125" s="60"/>
      <c r="O125" s="60"/>
      <c r="P125" s="61"/>
      <c r="Q125" s="61"/>
      <c r="R125" s="63"/>
      <c r="S125" s="61"/>
      <c r="T125" s="62" t="str">
        <f aca="true">IF(Q125&lt;&gt;"Yes","",IF(S125="Yes","Done",IF(R125="","Date missing",IF(R125&lt;TODAY(),"OVERDUE","Scheduled"))))</f>
        <v/>
      </c>
      <c r="U125" s="61"/>
      <c r="V125" s="61"/>
      <c r="W125" s="60"/>
      <c r="X125" s="88" t="str">
        <f aca="false">IF(AND(G125&lt;&gt;"",AND(B125&lt;&gt;"",B125&gt;='Weekly Report'!$F$4,B125&lt;='Weekly Report'!$F$5)),ROW(),"")</f>
        <v/>
      </c>
    </row>
    <row r="126" customFormat="false" ht="15" hidden="false" customHeight="false" outlineLevel="0" collapsed="false">
      <c r="A126" s="56" t="s">
        <v>945</v>
      </c>
      <c r="B126" s="63"/>
      <c r="C126" s="91"/>
      <c r="D126" s="92"/>
      <c r="E126" s="61"/>
      <c r="F126" s="61"/>
      <c r="G126" s="60"/>
      <c r="H126" s="61"/>
      <c r="I126" s="60"/>
      <c r="J126" s="61"/>
      <c r="K126" s="60"/>
      <c r="L126" s="60"/>
      <c r="M126" s="60"/>
      <c r="N126" s="60"/>
      <c r="O126" s="60"/>
      <c r="P126" s="61"/>
      <c r="Q126" s="61"/>
      <c r="R126" s="63"/>
      <c r="S126" s="61"/>
      <c r="T126" s="62" t="str">
        <f aca="true">IF(Q126&lt;&gt;"Yes","",IF(S126="Yes","Done",IF(R126="","Date missing",IF(R126&lt;TODAY(),"OVERDUE","Scheduled"))))</f>
        <v/>
      </c>
      <c r="U126" s="61"/>
      <c r="V126" s="61"/>
      <c r="W126" s="60"/>
      <c r="X126" s="88" t="str">
        <f aca="false">IF(AND(G126&lt;&gt;"",AND(B126&lt;&gt;"",B126&gt;='Weekly Report'!$F$4,B126&lt;='Weekly Report'!$F$5)),ROW(),"")</f>
        <v/>
      </c>
    </row>
    <row r="127" customFormat="false" ht="15" hidden="false" customHeight="false" outlineLevel="0" collapsed="false">
      <c r="A127" s="56" t="s">
        <v>946</v>
      </c>
      <c r="B127" s="63"/>
      <c r="C127" s="91"/>
      <c r="D127" s="92"/>
      <c r="E127" s="61"/>
      <c r="F127" s="61"/>
      <c r="G127" s="60"/>
      <c r="H127" s="61"/>
      <c r="I127" s="60"/>
      <c r="J127" s="61"/>
      <c r="K127" s="60"/>
      <c r="L127" s="60"/>
      <c r="M127" s="60"/>
      <c r="N127" s="60"/>
      <c r="O127" s="60"/>
      <c r="P127" s="61"/>
      <c r="Q127" s="61"/>
      <c r="R127" s="63"/>
      <c r="S127" s="61"/>
      <c r="T127" s="62" t="str">
        <f aca="true">IF(Q127&lt;&gt;"Yes","",IF(S127="Yes","Done",IF(R127="","Date missing",IF(R127&lt;TODAY(),"OVERDUE","Scheduled"))))</f>
        <v/>
      </c>
      <c r="U127" s="61"/>
      <c r="V127" s="61"/>
      <c r="W127" s="60"/>
      <c r="X127" s="88" t="str">
        <f aca="false">IF(AND(G127&lt;&gt;"",AND(B127&lt;&gt;"",B127&gt;='Weekly Report'!$F$4,B127&lt;='Weekly Report'!$F$5)),ROW(),"")</f>
        <v/>
      </c>
    </row>
    <row r="128" customFormat="false" ht="15" hidden="false" customHeight="false" outlineLevel="0" collapsed="false">
      <c r="A128" s="56" t="s">
        <v>947</v>
      </c>
      <c r="B128" s="63"/>
      <c r="C128" s="91"/>
      <c r="D128" s="92"/>
      <c r="E128" s="61"/>
      <c r="F128" s="61"/>
      <c r="G128" s="60"/>
      <c r="H128" s="61"/>
      <c r="I128" s="60"/>
      <c r="J128" s="61"/>
      <c r="K128" s="60"/>
      <c r="L128" s="60"/>
      <c r="M128" s="60"/>
      <c r="N128" s="60"/>
      <c r="O128" s="60"/>
      <c r="P128" s="61"/>
      <c r="Q128" s="61"/>
      <c r="R128" s="63"/>
      <c r="S128" s="61"/>
      <c r="T128" s="62" t="str">
        <f aca="true">IF(Q128&lt;&gt;"Yes","",IF(S128="Yes","Done",IF(R128="","Date missing",IF(R128&lt;TODAY(),"OVERDUE","Scheduled"))))</f>
        <v/>
      </c>
      <c r="U128" s="61"/>
      <c r="V128" s="61"/>
      <c r="W128" s="60"/>
      <c r="X128" s="88" t="str">
        <f aca="false">IF(AND(G128&lt;&gt;"",AND(B128&lt;&gt;"",B128&gt;='Weekly Report'!$F$4,B128&lt;='Weekly Report'!$F$5)),ROW(),"")</f>
        <v/>
      </c>
    </row>
    <row r="129" customFormat="false" ht="15" hidden="false" customHeight="false" outlineLevel="0" collapsed="false">
      <c r="A129" s="56" t="s">
        <v>948</v>
      </c>
      <c r="B129" s="63"/>
      <c r="C129" s="91"/>
      <c r="D129" s="92"/>
      <c r="E129" s="61"/>
      <c r="F129" s="61"/>
      <c r="G129" s="60"/>
      <c r="H129" s="61"/>
      <c r="I129" s="60"/>
      <c r="J129" s="61"/>
      <c r="K129" s="60"/>
      <c r="L129" s="60"/>
      <c r="M129" s="60"/>
      <c r="N129" s="60"/>
      <c r="O129" s="60"/>
      <c r="P129" s="61"/>
      <c r="Q129" s="61"/>
      <c r="R129" s="63"/>
      <c r="S129" s="61"/>
      <c r="T129" s="62" t="str">
        <f aca="true">IF(Q129&lt;&gt;"Yes","",IF(S129="Yes","Done",IF(R129="","Date missing",IF(R129&lt;TODAY(),"OVERDUE","Scheduled"))))</f>
        <v/>
      </c>
      <c r="U129" s="61"/>
      <c r="V129" s="61"/>
      <c r="W129" s="60"/>
      <c r="X129" s="88" t="str">
        <f aca="false">IF(AND(G129&lt;&gt;"",AND(B129&lt;&gt;"",B129&gt;='Weekly Report'!$F$4,B129&lt;='Weekly Report'!$F$5)),ROW(),"")</f>
        <v/>
      </c>
    </row>
    <row r="130" customFormat="false" ht="15" hidden="false" customHeight="false" outlineLevel="0" collapsed="false">
      <c r="A130" s="56" t="s">
        <v>949</v>
      </c>
      <c r="B130" s="63"/>
      <c r="C130" s="91"/>
      <c r="D130" s="92"/>
      <c r="E130" s="61"/>
      <c r="F130" s="61"/>
      <c r="G130" s="60"/>
      <c r="H130" s="61"/>
      <c r="I130" s="60"/>
      <c r="J130" s="61"/>
      <c r="K130" s="60"/>
      <c r="L130" s="60"/>
      <c r="M130" s="60"/>
      <c r="N130" s="60"/>
      <c r="O130" s="60"/>
      <c r="P130" s="61"/>
      <c r="Q130" s="61"/>
      <c r="R130" s="63"/>
      <c r="S130" s="61"/>
      <c r="T130" s="62" t="str">
        <f aca="true">IF(Q130&lt;&gt;"Yes","",IF(S130="Yes","Done",IF(R130="","Date missing",IF(R130&lt;TODAY(),"OVERDUE","Scheduled"))))</f>
        <v/>
      </c>
      <c r="U130" s="61"/>
      <c r="V130" s="61"/>
      <c r="W130" s="60"/>
      <c r="X130" s="88" t="str">
        <f aca="false">IF(AND(G130&lt;&gt;"",AND(B130&lt;&gt;"",B130&gt;='Weekly Report'!$F$4,B130&lt;='Weekly Report'!$F$5)),ROW(),"")</f>
        <v/>
      </c>
    </row>
    <row r="131" customFormat="false" ht="15" hidden="false" customHeight="false" outlineLevel="0" collapsed="false">
      <c r="A131" s="56" t="s">
        <v>950</v>
      </c>
      <c r="B131" s="63"/>
      <c r="C131" s="91"/>
      <c r="D131" s="92"/>
      <c r="E131" s="61"/>
      <c r="F131" s="61"/>
      <c r="G131" s="60"/>
      <c r="H131" s="61"/>
      <c r="I131" s="60"/>
      <c r="J131" s="61"/>
      <c r="K131" s="60"/>
      <c r="L131" s="60"/>
      <c r="M131" s="60"/>
      <c r="N131" s="60"/>
      <c r="O131" s="60"/>
      <c r="P131" s="61"/>
      <c r="Q131" s="61"/>
      <c r="R131" s="63"/>
      <c r="S131" s="61"/>
      <c r="T131" s="62" t="str">
        <f aca="true">IF(Q131&lt;&gt;"Yes","",IF(S131="Yes","Done",IF(R131="","Date missing",IF(R131&lt;TODAY(),"OVERDUE","Scheduled"))))</f>
        <v/>
      </c>
      <c r="U131" s="61"/>
      <c r="V131" s="61"/>
      <c r="W131" s="60"/>
      <c r="X131" s="88" t="str">
        <f aca="false">IF(AND(G131&lt;&gt;"",AND(B131&lt;&gt;"",B131&gt;='Weekly Report'!$F$4,B131&lt;='Weekly Report'!$F$5)),ROW(),"")</f>
        <v/>
      </c>
    </row>
    <row r="132" customFormat="false" ht="15" hidden="false" customHeight="false" outlineLevel="0" collapsed="false">
      <c r="A132" s="56" t="s">
        <v>951</v>
      </c>
      <c r="B132" s="63"/>
      <c r="C132" s="91"/>
      <c r="D132" s="92"/>
      <c r="E132" s="61"/>
      <c r="F132" s="61"/>
      <c r="G132" s="60"/>
      <c r="H132" s="61"/>
      <c r="I132" s="60"/>
      <c r="J132" s="61"/>
      <c r="K132" s="60"/>
      <c r="L132" s="60"/>
      <c r="M132" s="60"/>
      <c r="N132" s="60"/>
      <c r="O132" s="60"/>
      <c r="P132" s="61"/>
      <c r="Q132" s="61"/>
      <c r="R132" s="63"/>
      <c r="S132" s="61"/>
      <c r="T132" s="62" t="str">
        <f aca="true">IF(Q132&lt;&gt;"Yes","",IF(S132="Yes","Done",IF(R132="","Date missing",IF(R132&lt;TODAY(),"OVERDUE","Scheduled"))))</f>
        <v/>
      </c>
      <c r="U132" s="61"/>
      <c r="V132" s="61"/>
      <c r="W132" s="60"/>
      <c r="X132" s="88" t="str">
        <f aca="false">IF(AND(G132&lt;&gt;"",AND(B132&lt;&gt;"",B132&gt;='Weekly Report'!$F$4,B132&lt;='Weekly Report'!$F$5)),ROW(),"")</f>
        <v/>
      </c>
    </row>
    <row r="133" customFormat="false" ht="15" hidden="false" customHeight="false" outlineLevel="0" collapsed="false">
      <c r="A133" s="56" t="s">
        <v>952</v>
      </c>
      <c r="B133" s="63"/>
      <c r="C133" s="91"/>
      <c r="D133" s="92"/>
      <c r="E133" s="61"/>
      <c r="F133" s="61"/>
      <c r="G133" s="60"/>
      <c r="H133" s="61"/>
      <c r="I133" s="60"/>
      <c r="J133" s="61"/>
      <c r="K133" s="60"/>
      <c r="L133" s="60"/>
      <c r="M133" s="60"/>
      <c r="N133" s="60"/>
      <c r="O133" s="60"/>
      <c r="P133" s="61"/>
      <c r="Q133" s="61"/>
      <c r="R133" s="63"/>
      <c r="S133" s="61"/>
      <c r="T133" s="62" t="str">
        <f aca="true">IF(Q133&lt;&gt;"Yes","",IF(S133="Yes","Done",IF(R133="","Date missing",IF(R133&lt;TODAY(),"OVERDUE","Scheduled"))))</f>
        <v/>
      </c>
      <c r="U133" s="61"/>
      <c r="V133" s="61"/>
      <c r="W133" s="60"/>
      <c r="X133" s="88" t="str">
        <f aca="false">IF(AND(G133&lt;&gt;"",AND(B133&lt;&gt;"",B133&gt;='Weekly Report'!$F$4,B133&lt;='Weekly Report'!$F$5)),ROW(),"")</f>
        <v/>
      </c>
    </row>
    <row r="134" customFormat="false" ht="15" hidden="false" customHeight="false" outlineLevel="0" collapsed="false">
      <c r="A134" s="56" t="s">
        <v>953</v>
      </c>
      <c r="B134" s="63"/>
      <c r="C134" s="91"/>
      <c r="D134" s="92"/>
      <c r="E134" s="61"/>
      <c r="F134" s="61"/>
      <c r="G134" s="60"/>
      <c r="H134" s="61"/>
      <c r="I134" s="60"/>
      <c r="J134" s="61"/>
      <c r="K134" s="60"/>
      <c r="L134" s="60"/>
      <c r="M134" s="60"/>
      <c r="N134" s="60"/>
      <c r="O134" s="60"/>
      <c r="P134" s="61"/>
      <c r="Q134" s="61"/>
      <c r="R134" s="63"/>
      <c r="S134" s="61"/>
      <c r="T134" s="62" t="str">
        <f aca="true">IF(Q134&lt;&gt;"Yes","",IF(S134="Yes","Done",IF(R134="","Date missing",IF(R134&lt;TODAY(),"OVERDUE","Scheduled"))))</f>
        <v/>
      </c>
      <c r="U134" s="61"/>
      <c r="V134" s="61"/>
      <c r="W134" s="60"/>
      <c r="X134" s="88" t="str">
        <f aca="false">IF(AND(G134&lt;&gt;"",AND(B134&lt;&gt;"",B134&gt;='Weekly Report'!$F$4,B134&lt;='Weekly Report'!$F$5)),ROW(),"")</f>
        <v/>
      </c>
    </row>
    <row r="135" customFormat="false" ht="15" hidden="false" customHeight="false" outlineLevel="0" collapsed="false">
      <c r="A135" s="56" t="s">
        <v>954</v>
      </c>
      <c r="B135" s="63"/>
      <c r="C135" s="91"/>
      <c r="D135" s="92"/>
      <c r="E135" s="61"/>
      <c r="F135" s="61"/>
      <c r="G135" s="60"/>
      <c r="H135" s="61"/>
      <c r="I135" s="60"/>
      <c r="J135" s="61"/>
      <c r="K135" s="60"/>
      <c r="L135" s="60"/>
      <c r="M135" s="60"/>
      <c r="N135" s="60"/>
      <c r="O135" s="60"/>
      <c r="P135" s="61"/>
      <c r="Q135" s="61"/>
      <c r="R135" s="63"/>
      <c r="S135" s="61"/>
      <c r="T135" s="62" t="str">
        <f aca="true">IF(Q135&lt;&gt;"Yes","",IF(S135="Yes","Done",IF(R135="","Date missing",IF(R135&lt;TODAY(),"OVERDUE","Scheduled"))))</f>
        <v/>
      </c>
      <c r="U135" s="61"/>
      <c r="V135" s="61"/>
      <c r="W135" s="60"/>
      <c r="X135" s="88" t="str">
        <f aca="false">IF(AND(G135&lt;&gt;"",AND(B135&lt;&gt;"",B135&gt;='Weekly Report'!$F$4,B135&lt;='Weekly Report'!$F$5)),ROW(),"")</f>
        <v/>
      </c>
    </row>
    <row r="136" customFormat="false" ht="15" hidden="false" customHeight="false" outlineLevel="0" collapsed="false">
      <c r="A136" s="56" t="s">
        <v>955</v>
      </c>
      <c r="B136" s="63"/>
      <c r="C136" s="91"/>
      <c r="D136" s="92"/>
      <c r="E136" s="61"/>
      <c r="F136" s="61"/>
      <c r="G136" s="60"/>
      <c r="H136" s="61"/>
      <c r="I136" s="60"/>
      <c r="J136" s="61"/>
      <c r="K136" s="60"/>
      <c r="L136" s="60"/>
      <c r="M136" s="60"/>
      <c r="N136" s="60"/>
      <c r="O136" s="60"/>
      <c r="P136" s="61"/>
      <c r="Q136" s="61"/>
      <c r="R136" s="63"/>
      <c r="S136" s="61"/>
      <c r="T136" s="62" t="str">
        <f aca="true">IF(Q136&lt;&gt;"Yes","",IF(S136="Yes","Done",IF(R136="","Date missing",IF(R136&lt;TODAY(),"OVERDUE","Scheduled"))))</f>
        <v/>
      </c>
      <c r="U136" s="61"/>
      <c r="V136" s="61"/>
      <c r="W136" s="60"/>
      <c r="X136" s="88" t="str">
        <f aca="false">IF(AND(G136&lt;&gt;"",AND(B136&lt;&gt;"",B136&gt;='Weekly Report'!$F$4,B136&lt;='Weekly Report'!$F$5)),ROW(),"")</f>
        <v/>
      </c>
    </row>
    <row r="137" customFormat="false" ht="15" hidden="false" customHeight="false" outlineLevel="0" collapsed="false">
      <c r="A137" s="56" t="s">
        <v>956</v>
      </c>
      <c r="B137" s="63"/>
      <c r="C137" s="91"/>
      <c r="D137" s="92"/>
      <c r="E137" s="61"/>
      <c r="F137" s="61"/>
      <c r="G137" s="60"/>
      <c r="H137" s="61"/>
      <c r="I137" s="60"/>
      <c r="J137" s="61"/>
      <c r="K137" s="60"/>
      <c r="L137" s="60"/>
      <c r="M137" s="60"/>
      <c r="N137" s="60"/>
      <c r="O137" s="60"/>
      <c r="P137" s="61"/>
      <c r="Q137" s="61"/>
      <c r="R137" s="63"/>
      <c r="S137" s="61"/>
      <c r="T137" s="62" t="str">
        <f aca="true">IF(Q137&lt;&gt;"Yes","",IF(S137="Yes","Done",IF(R137="","Date missing",IF(R137&lt;TODAY(),"OVERDUE","Scheduled"))))</f>
        <v/>
      </c>
      <c r="U137" s="61"/>
      <c r="V137" s="61"/>
      <c r="W137" s="60"/>
      <c r="X137" s="88" t="str">
        <f aca="false">IF(AND(G137&lt;&gt;"",AND(B137&lt;&gt;"",B137&gt;='Weekly Report'!$F$4,B137&lt;='Weekly Report'!$F$5)),ROW(),"")</f>
        <v/>
      </c>
    </row>
    <row r="138" customFormat="false" ht="15" hidden="false" customHeight="false" outlineLevel="0" collapsed="false">
      <c r="A138" s="56" t="s">
        <v>957</v>
      </c>
      <c r="B138" s="63"/>
      <c r="C138" s="91"/>
      <c r="D138" s="92"/>
      <c r="E138" s="61"/>
      <c r="F138" s="61"/>
      <c r="G138" s="60"/>
      <c r="H138" s="61"/>
      <c r="I138" s="60"/>
      <c r="J138" s="61"/>
      <c r="K138" s="60"/>
      <c r="L138" s="60"/>
      <c r="M138" s="60"/>
      <c r="N138" s="60"/>
      <c r="O138" s="60"/>
      <c r="P138" s="61"/>
      <c r="Q138" s="61"/>
      <c r="R138" s="63"/>
      <c r="S138" s="61"/>
      <c r="T138" s="62" t="str">
        <f aca="true">IF(Q138&lt;&gt;"Yes","",IF(S138="Yes","Done",IF(R138="","Date missing",IF(R138&lt;TODAY(),"OVERDUE","Scheduled"))))</f>
        <v/>
      </c>
      <c r="U138" s="61"/>
      <c r="V138" s="61"/>
      <c r="W138" s="60"/>
      <c r="X138" s="88" t="str">
        <f aca="false">IF(AND(G138&lt;&gt;"",AND(B138&lt;&gt;"",B138&gt;='Weekly Report'!$F$4,B138&lt;='Weekly Report'!$F$5)),ROW(),"")</f>
        <v/>
      </c>
    </row>
    <row r="139" customFormat="false" ht="15" hidden="false" customHeight="false" outlineLevel="0" collapsed="false">
      <c r="A139" s="56" t="s">
        <v>958</v>
      </c>
      <c r="B139" s="63"/>
      <c r="C139" s="91"/>
      <c r="D139" s="92"/>
      <c r="E139" s="61"/>
      <c r="F139" s="61"/>
      <c r="G139" s="60"/>
      <c r="H139" s="61"/>
      <c r="I139" s="60"/>
      <c r="J139" s="61"/>
      <c r="K139" s="60"/>
      <c r="L139" s="60"/>
      <c r="M139" s="60"/>
      <c r="N139" s="60"/>
      <c r="O139" s="60"/>
      <c r="P139" s="61"/>
      <c r="Q139" s="61"/>
      <c r="R139" s="63"/>
      <c r="S139" s="61"/>
      <c r="T139" s="62" t="str">
        <f aca="true">IF(Q139&lt;&gt;"Yes","",IF(S139="Yes","Done",IF(R139="","Date missing",IF(R139&lt;TODAY(),"OVERDUE","Scheduled"))))</f>
        <v/>
      </c>
      <c r="U139" s="61"/>
      <c r="V139" s="61"/>
      <c r="W139" s="60"/>
      <c r="X139" s="88" t="str">
        <f aca="false">IF(AND(G139&lt;&gt;"",AND(B139&lt;&gt;"",B139&gt;='Weekly Report'!$F$4,B139&lt;='Weekly Report'!$F$5)),ROW(),"")</f>
        <v/>
      </c>
    </row>
    <row r="140" customFormat="false" ht="15" hidden="false" customHeight="false" outlineLevel="0" collapsed="false">
      <c r="A140" s="56" t="s">
        <v>959</v>
      </c>
      <c r="B140" s="63"/>
      <c r="C140" s="91"/>
      <c r="D140" s="92"/>
      <c r="E140" s="61"/>
      <c r="F140" s="61"/>
      <c r="G140" s="60"/>
      <c r="H140" s="61"/>
      <c r="I140" s="60"/>
      <c r="J140" s="61"/>
      <c r="K140" s="60"/>
      <c r="L140" s="60"/>
      <c r="M140" s="60"/>
      <c r="N140" s="60"/>
      <c r="O140" s="60"/>
      <c r="P140" s="61"/>
      <c r="Q140" s="61"/>
      <c r="R140" s="63"/>
      <c r="S140" s="61"/>
      <c r="T140" s="62" t="str">
        <f aca="true">IF(Q140&lt;&gt;"Yes","",IF(S140="Yes","Done",IF(R140="","Date missing",IF(R140&lt;TODAY(),"OVERDUE","Scheduled"))))</f>
        <v/>
      </c>
      <c r="U140" s="61"/>
      <c r="V140" s="61"/>
      <c r="W140" s="60"/>
      <c r="X140" s="88" t="str">
        <f aca="false">IF(AND(G140&lt;&gt;"",AND(B140&lt;&gt;"",B140&gt;='Weekly Report'!$F$4,B140&lt;='Weekly Report'!$F$5)),ROW(),"")</f>
        <v/>
      </c>
    </row>
    <row r="141" customFormat="false" ht="15" hidden="false" customHeight="false" outlineLevel="0" collapsed="false">
      <c r="A141" s="56" t="s">
        <v>960</v>
      </c>
      <c r="B141" s="63"/>
      <c r="C141" s="91"/>
      <c r="D141" s="92"/>
      <c r="E141" s="61"/>
      <c r="F141" s="61"/>
      <c r="G141" s="60"/>
      <c r="H141" s="61"/>
      <c r="I141" s="60"/>
      <c r="J141" s="61"/>
      <c r="K141" s="60"/>
      <c r="L141" s="60"/>
      <c r="M141" s="60"/>
      <c r="N141" s="60"/>
      <c r="O141" s="60"/>
      <c r="P141" s="61"/>
      <c r="Q141" s="61"/>
      <c r="R141" s="63"/>
      <c r="S141" s="61"/>
      <c r="T141" s="62" t="str">
        <f aca="true">IF(Q141&lt;&gt;"Yes","",IF(S141="Yes","Done",IF(R141="","Date missing",IF(R141&lt;TODAY(),"OVERDUE","Scheduled"))))</f>
        <v/>
      </c>
      <c r="U141" s="61"/>
      <c r="V141" s="61"/>
      <c r="W141" s="60"/>
      <c r="X141" s="88" t="str">
        <f aca="false">IF(AND(G141&lt;&gt;"",AND(B141&lt;&gt;"",B141&gt;='Weekly Report'!$F$4,B141&lt;='Weekly Report'!$F$5)),ROW(),"")</f>
        <v/>
      </c>
    </row>
    <row r="142" customFormat="false" ht="15" hidden="false" customHeight="false" outlineLevel="0" collapsed="false">
      <c r="A142" s="56" t="s">
        <v>961</v>
      </c>
      <c r="B142" s="63"/>
      <c r="C142" s="91"/>
      <c r="D142" s="92"/>
      <c r="E142" s="61"/>
      <c r="F142" s="61"/>
      <c r="G142" s="60"/>
      <c r="H142" s="61"/>
      <c r="I142" s="60"/>
      <c r="J142" s="61"/>
      <c r="K142" s="60"/>
      <c r="L142" s="60"/>
      <c r="M142" s="60"/>
      <c r="N142" s="60"/>
      <c r="O142" s="60"/>
      <c r="P142" s="61"/>
      <c r="Q142" s="61"/>
      <c r="R142" s="63"/>
      <c r="S142" s="61"/>
      <c r="T142" s="62" t="str">
        <f aca="true">IF(Q142&lt;&gt;"Yes","",IF(S142="Yes","Done",IF(R142="","Date missing",IF(R142&lt;TODAY(),"OVERDUE","Scheduled"))))</f>
        <v/>
      </c>
      <c r="U142" s="61"/>
      <c r="V142" s="61"/>
      <c r="W142" s="60"/>
      <c r="X142" s="88" t="str">
        <f aca="false">IF(AND(G142&lt;&gt;"",AND(B142&lt;&gt;"",B142&gt;='Weekly Report'!$F$4,B142&lt;='Weekly Report'!$F$5)),ROW(),"")</f>
        <v/>
      </c>
    </row>
    <row r="143" customFormat="false" ht="15" hidden="false" customHeight="false" outlineLevel="0" collapsed="false">
      <c r="A143" s="56" t="s">
        <v>962</v>
      </c>
      <c r="B143" s="63"/>
      <c r="C143" s="91"/>
      <c r="D143" s="92"/>
      <c r="E143" s="61"/>
      <c r="F143" s="61"/>
      <c r="G143" s="60"/>
      <c r="H143" s="61"/>
      <c r="I143" s="60"/>
      <c r="J143" s="61"/>
      <c r="K143" s="60"/>
      <c r="L143" s="60"/>
      <c r="M143" s="60"/>
      <c r="N143" s="60"/>
      <c r="O143" s="60"/>
      <c r="P143" s="61"/>
      <c r="Q143" s="61"/>
      <c r="R143" s="63"/>
      <c r="S143" s="61"/>
      <c r="T143" s="62" t="str">
        <f aca="true">IF(Q143&lt;&gt;"Yes","",IF(S143="Yes","Done",IF(R143="","Date missing",IF(R143&lt;TODAY(),"OVERDUE","Scheduled"))))</f>
        <v/>
      </c>
      <c r="U143" s="61"/>
      <c r="V143" s="61"/>
      <c r="W143" s="60"/>
      <c r="X143" s="88" t="str">
        <f aca="false">IF(AND(G143&lt;&gt;"",AND(B143&lt;&gt;"",B143&gt;='Weekly Report'!$F$4,B143&lt;='Weekly Report'!$F$5)),ROW(),"")</f>
        <v/>
      </c>
    </row>
    <row r="144" customFormat="false" ht="15" hidden="false" customHeight="false" outlineLevel="0" collapsed="false">
      <c r="A144" s="56" t="s">
        <v>963</v>
      </c>
      <c r="B144" s="63"/>
      <c r="C144" s="91"/>
      <c r="D144" s="92"/>
      <c r="E144" s="61"/>
      <c r="F144" s="61"/>
      <c r="G144" s="60"/>
      <c r="H144" s="61"/>
      <c r="I144" s="60"/>
      <c r="J144" s="61"/>
      <c r="K144" s="60"/>
      <c r="L144" s="60"/>
      <c r="M144" s="60"/>
      <c r="N144" s="60"/>
      <c r="O144" s="60"/>
      <c r="P144" s="61"/>
      <c r="Q144" s="61"/>
      <c r="R144" s="63"/>
      <c r="S144" s="61"/>
      <c r="T144" s="62" t="str">
        <f aca="true">IF(Q144&lt;&gt;"Yes","",IF(S144="Yes","Done",IF(R144="","Date missing",IF(R144&lt;TODAY(),"OVERDUE","Scheduled"))))</f>
        <v/>
      </c>
      <c r="U144" s="61"/>
      <c r="V144" s="61"/>
      <c r="W144" s="60"/>
      <c r="X144" s="88" t="str">
        <f aca="false">IF(AND(G144&lt;&gt;"",AND(B144&lt;&gt;"",B144&gt;='Weekly Report'!$F$4,B144&lt;='Weekly Report'!$F$5)),ROW(),"")</f>
        <v/>
      </c>
    </row>
    <row r="145" customFormat="false" ht="15" hidden="false" customHeight="false" outlineLevel="0" collapsed="false">
      <c r="A145" s="56" t="s">
        <v>964</v>
      </c>
      <c r="B145" s="63"/>
      <c r="C145" s="91"/>
      <c r="D145" s="92"/>
      <c r="E145" s="61"/>
      <c r="F145" s="61"/>
      <c r="G145" s="60"/>
      <c r="H145" s="61"/>
      <c r="I145" s="60"/>
      <c r="J145" s="61"/>
      <c r="K145" s="60"/>
      <c r="L145" s="60"/>
      <c r="M145" s="60"/>
      <c r="N145" s="60"/>
      <c r="O145" s="60"/>
      <c r="P145" s="61"/>
      <c r="Q145" s="61"/>
      <c r="R145" s="63"/>
      <c r="S145" s="61"/>
      <c r="T145" s="62" t="str">
        <f aca="true">IF(Q145&lt;&gt;"Yes","",IF(S145="Yes","Done",IF(R145="","Date missing",IF(R145&lt;TODAY(),"OVERDUE","Scheduled"))))</f>
        <v/>
      </c>
      <c r="U145" s="61"/>
      <c r="V145" s="61"/>
      <c r="W145" s="60"/>
      <c r="X145" s="88" t="str">
        <f aca="false">IF(AND(G145&lt;&gt;"",AND(B145&lt;&gt;"",B145&gt;='Weekly Report'!$F$4,B145&lt;='Weekly Report'!$F$5)),ROW(),"")</f>
        <v/>
      </c>
    </row>
    <row r="146" customFormat="false" ht="15" hidden="false" customHeight="false" outlineLevel="0" collapsed="false">
      <c r="A146" s="56" t="s">
        <v>965</v>
      </c>
      <c r="B146" s="63"/>
      <c r="C146" s="91"/>
      <c r="D146" s="92"/>
      <c r="E146" s="61"/>
      <c r="F146" s="61"/>
      <c r="G146" s="60"/>
      <c r="H146" s="61"/>
      <c r="I146" s="60"/>
      <c r="J146" s="61"/>
      <c r="K146" s="60"/>
      <c r="L146" s="60"/>
      <c r="M146" s="60"/>
      <c r="N146" s="60"/>
      <c r="O146" s="60"/>
      <c r="P146" s="61"/>
      <c r="Q146" s="61"/>
      <c r="R146" s="63"/>
      <c r="S146" s="61"/>
      <c r="T146" s="62" t="str">
        <f aca="true">IF(Q146&lt;&gt;"Yes","",IF(S146="Yes","Done",IF(R146="","Date missing",IF(R146&lt;TODAY(),"OVERDUE","Scheduled"))))</f>
        <v/>
      </c>
      <c r="U146" s="61"/>
      <c r="V146" s="61"/>
      <c r="W146" s="60"/>
      <c r="X146" s="88" t="str">
        <f aca="false">IF(AND(G146&lt;&gt;"",AND(B146&lt;&gt;"",B146&gt;='Weekly Report'!$F$4,B146&lt;='Weekly Report'!$F$5)),ROW(),"")</f>
        <v/>
      </c>
    </row>
    <row r="147" customFormat="false" ht="15" hidden="false" customHeight="false" outlineLevel="0" collapsed="false">
      <c r="A147" s="56" t="s">
        <v>966</v>
      </c>
      <c r="B147" s="63"/>
      <c r="C147" s="91"/>
      <c r="D147" s="92"/>
      <c r="E147" s="61"/>
      <c r="F147" s="61"/>
      <c r="G147" s="60"/>
      <c r="H147" s="61"/>
      <c r="I147" s="60"/>
      <c r="J147" s="61"/>
      <c r="K147" s="60"/>
      <c r="L147" s="60"/>
      <c r="M147" s="60"/>
      <c r="N147" s="60"/>
      <c r="O147" s="60"/>
      <c r="P147" s="61"/>
      <c r="Q147" s="61"/>
      <c r="R147" s="63"/>
      <c r="S147" s="61"/>
      <c r="T147" s="62" t="str">
        <f aca="true">IF(Q147&lt;&gt;"Yes","",IF(S147="Yes","Done",IF(R147="","Date missing",IF(R147&lt;TODAY(),"OVERDUE","Scheduled"))))</f>
        <v/>
      </c>
      <c r="U147" s="61"/>
      <c r="V147" s="61"/>
      <c r="W147" s="60"/>
      <c r="X147" s="88" t="str">
        <f aca="false">IF(AND(G147&lt;&gt;"",AND(B147&lt;&gt;"",B147&gt;='Weekly Report'!$F$4,B147&lt;='Weekly Report'!$F$5)),ROW(),"")</f>
        <v/>
      </c>
    </row>
    <row r="148" customFormat="false" ht="15" hidden="false" customHeight="false" outlineLevel="0" collapsed="false">
      <c r="A148" s="56" t="s">
        <v>967</v>
      </c>
      <c r="B148" s="63"/>
      <c r="C148" s="91"/>
      <c r="D148" s="92"/>
      <c r="E148" s="61"/>
      <c r="F148" s="61"/>
      <c r="G148" s="60"/>
      <c r="H148" s="61"/>
      <c r="I148" s="60"/>
      <c r="J148" s="61"/>
      <c r="K148" s="60"/>
      <c r="L148" s="60"/>
      <c r="M148" s="60"/>
      <c r="N148" s="60"/>
      <c r="O148" s="60"/>
      <c r="P148" s="61"/>
      <c r="Q148" s="61"/>
      <c r="R148" s="63"/>
      <c r="S148" s="61"/>
      <c r="T148" s="62" t="str">
        <f aca="true">IF(Q148&lt;&gt;"Yes","",IF(S148="Yes","Done",IF(R148="","Date missing",IF(R148&lt;TODAY(),"OVERDUE","Scheduled"))))</f>
        <v/>
      </c>
      <c r="U148" s="61"/>
      <c r="V148" s="61"/>
      <c r="W148" s="60"/>
      <c r="X148" s="88" t="str">
        <f aca="false">IF(AND(G148&lt;&gt;"",AND(B148&lt;&gt;"",B148&gt;='Weekly Report'!$F$4,B148&lt;='Weekly Report'!$F$5)),ROW(),"")</f>
        <v/>
      </c>
    </row>
    <row r="149" customFormat="false" ht="15" hidden="false" customHeight="false" outlineLevel="0" collapsed="false">
      <c r="A149" s="56" t="s">
        <v>968</v>
      </c>
      <c r="B149" s="63"/>
      <c r="C149" s="91"/>
      <c r="D149" s="92"/>
      <c r="E149" s="61"/>
      <c r="F149" s="61"/>
      <c r="G149" s="60"/>
      <c r="H149" s="61"/>
      <c r="I149" s="60"/>
      <c r="J149" s="61"/>
      <c r="K149" s="60"/>
      <c r="L149" s="60"/>
      <c r="M149" s="60"/>
      <c r="N149" s="60"/>
      <c r="O149" s="60"/>
      <c r="P149" s="61"/>
      <c r="Q149" s="61"/>
      <c r="R149" s="63"/>
      <c r="S149" s="61"/>
      <c r="T149" s="62" t="str">
        <f aca="true">IF(Q149&lt;&gt;"Yes","",IF(S149="Yes","Done",IF(R149="","Date missing",IF(R149&lt;TODAY(),"OVERDUE","Scheduled"))))</f>
        <v/>
      </c>
      <c r="U149" s="61"/>
      <c r="V149" s="61"/>
      <c r="W149" s="60"/>
      <c r="X149" s="88" t="str">
        <f aca="false">IF(AND(G149&lt;&gt;"",AND(B149&lt;&gt;"",B149&gt;='Weekly Report'!$F$4,B149&lt;='Weekly Report'!$F$5)),ROW(),"")</f>
        <v/>
      </c>
    </row>
    <row r="150" customFormat="false" ht="15" hidden="false" customHeight="false" outlineLevel="0" collapsed="false">
      <c r="A150" s="56" t="s">
        <v>969</v>
      </c>
      <c r="B150" s="63"/>
      <c r="C150" s="91"/>
      <c r="D150" s="92"/>
      <c r="E150" s="61"/>
      <c r="F150" s="61"/>
      <c r="G150" s="60"/>
      <c r="H150" s="61"/>
      <c r="I150" s="60"/>
      <c r="J150" s="61"/>
      <c r="K150" s="60"/>
      <c r="L150" s="60"/>
      <c r="M150" s="60"/>
      <c r="N150" s="60"/>
      <c r="O150" s="60"/>
      <c r="P150" s="61"/>
      <c r="Q150" s="61"/>
      <c r="R150" s="63"/>
      <c r="S150" s="61"/>
      <c r="T150" s="62" t="str">
        <f aca="true">IF(Q150&lt;&gt;"Yes","",IF(S150="Yes","Done",IF(R150="","Date missing",IF(R150&lt;TODAY(),"OVERDUE","Scheduled"))))</f>
        <v/>
      </c>
      <c r="U150" s="61"/>
      <c r="V150" s="61"/>
      <c r="W150" s="60"/>
      <c r="X150" s="88" t="str">
        <f aca="false">IF(AND(G150&lt;&gt;"",AND(B150&lt;&gt;"",B150&gt;='Weekly Report'!$F$4,B150&lt;='Weekly Report'!$F$5)),ROW(),"")</f>
        <v/>
      </c>
    </row>
    <row r="151" customFormat="false" ht="15" hidden="false" customHeight="false" outlineLevel="0" collapsed="false">
      <c r="A151" s="56" t="s">
        <v>970</v>
      </c>
      <c r="B151" s="63"/>
      <c r="C151" s="91"/>
      <c r="D151" s="92"/>
      <c r="E151" s="61"/>
      <c r="F151" s="61"/>
      <c r="G151" s="60"/>
      <c r="H151" s="61"/>
      <c r="I151" s="60"/>
      <c r="J151" s="61"/>
      <c r="K151" s="60"/>
      <c r="L151" s="60"/>
      <c r="M151" s="60"/>
      <c r="N151" s="60"/>
      <c r="O151" s="60"/>
      <c r="P151" s="61"/>
      <c r="Q151" s="61"/>
      <c r="R151" s="63"/>
      <c r="S151" s="61"/>
      <c r="T151" s="62" t="str">
        <f aca="true">IF(Q151&lt;&gt;"Yes","",IF(S151="Yes","Done",IF(R151="","Date missing",IF(R151&lt;TODAY(),"OVERDUE","Scheduled"))))</f>
        <v/>
      </c>
      <c r="U151" s="61"/>
      <c r="V151" s="61"/>
      <c r="W151" s="60"/>
      <c r="X151" s="88" t="str">
        <f aca="false">IF(AND(G151&lt;&gt;"",AND(B151&lt;&gt;"",B151&gt;='Weekly Report'!$F$4,B151&lt;='Weekly Report'!$F$5)),ROW(),"")</f>
        <v/>
      </c>
    </row>
    <row r="152" customFormat="false" ht="15" hidden="false" customHeight="false" outlineLevel="0" collapsed="false">
      <c r="A152" s="56" t="s">
        <v>971</v>
      </c>
      <c r="B152" s="63"/>
      <c r="C152" s="91"/>
      <c r="D152" s="92"/>
      <c r="E152" s="61"/>
      <c r="F152" s="61"/>
      <c r="G152" s="60"/>
      <c r="H152" s="61"/>
      <c r="I152" s="60"/>
      <c r="J152" s="61"/>
      <c r="K152" s="60"/>
      <c r="L152" s="60"/>
      <c r="M152" s="60"/>
      <c r="N152" s="60"/>
      <c r="O152" s="60"/>
      <c r="P152" s="61"/>
      <c r="Q152" s="61"/>
      <c r="R152" s="63"/>
      <c r="S152" s="61"/>
      <c r="T152" s="62" t="str">
        <f aca="true">IF(Q152&lt;&gt;"Yes","",IF(S152="Yes","Done",IF(R152="","Date missing",IF(R152&lt;TODAY(),"OVERDUE","Scheduled"))))</f>
        <v/>
      </c>
      <c r="U152" s="61"/>
      <c r="V152" s="61"/>
      <c r="W152" s="60"/>
      <c r="X152" s="88" t="str">
        <f aca="false">IF(AND(G152&lt;&gt;"",AND(B152&lt;&gt;"",B152&gt;='Weekly Report'!$F$4,B152&lt;='Weekly Report'!$F$5)),ROW(),"")</f>
        <v/>
      </c>
    </row>
    <row r="153" customFormat="false" ht="15" hidden="false" customHeight="false" outlineLevel="0" collapsed="false">
      <c r="A153" s="56" t="s">
        <v>972</v>
      </c>
      <c r="B153" s="63"/>
      <c r="C153" s="91"/>
      <c r="D153" s="92"/>
      <c r="E153" s="61"/>
      <c r="F153" s="61"/>
      <c r="G153" s="60"/>
      <c r="H153" s="61"/>
      <c r="I153" s="60"/>
      <c r="J153" s="61"/>
      <c r="K153" s="60"/>
      <c r="L153" s="60"/>
      <c r="M153" s="60"/>
      <c r="N153" s="60"/>
      <c r="O153" s="60"/>
      <c r="P153" s="61"/>
      <c r="Q153" s="61"/>
      <c r="R153" s="63"/>
      <c r="S153" s="61"/>
      <c r="T153" s="62" t="str">
        <f aca="true">IF(Q153&lt;&gt;"Yes","",IF(S153="Yes","Done",IF(R153="","Date missing",IF(R153&lt;TODAY(),"OVERDUE","Scheduled"))))</f>
        <v/>
      </c>
      <c r="U153" s="61"/>
      <c r="V153" s="61"/>
      <c r="W153" s="60"/>
      <c r="X153" s="88" t="str">
        <f aca="false">IF(AND(G153&lt;&gt;"",AND(B153&lt;&gt;"",B153&gt;='Weekly Report'!$F$4,B153&lt;='Weekly Report'!$F$5)),ROW(),"")</f>
        <v/>
      </c>
    </row>
    <row r="154" customFormat="false" ht="15" hidden="false" customHeight="false" outlineLevel="0" collapsed="false">
      <c r="A154" s="56" t="s">
        <v>973</v>
      </c>
      <c r="B154" s="63"/>
      <c r="C154" s="91"/>
      <c r="D154" s="92"/>
      <c r="E154" s="61"/>
      <c r="F154" s="61"/>
      <c r="G154" s="60"/>
      <c r="H154" s="61"/>
      <c r="I154" s="60"/>
      <c r="J154" s="61"/>
      <c r="K154" s="60"/>
      <c r="L154" s="60"/>
      <c r="M154" s="60"/>
      <c r="N154" s="60"/>
      <c r="O154" s="60"/>
      <c r="P154" s="61"/>
      <c r="Q154" s="61"/>
      <c r="R154" s="63"/>
      <c r="S154" s="61"/>
      <c r="T154" s="62" t="str">
        <f aca="true">IF(Q154&lt;&gt;"Yes","",IF(S154="Yes","Done",IF(R154="","Date missing",IF(R154&lt;TODAY(),"OVERDUE","Scheduled"))))</f>
        <v/>
      </c>
      <c r="U154" s="61"/>
      <c r="V154" s="61"/>
      <c r="W154" s="60"/>
      <c r="X154" s="88" t="str">
        <f aca="false">IF(AND(G154&lt;&gt;"",AND(B154&lt;&gt;"",B154&gt;='Weekly Report'!$F$4,B154&lt;='Weekly Report'!$F$5)),ROW(),"")</f>
        <v/>
      </c>
    </row>
    <row r="155" customFormat="false" ht="15" hidden="false" customHeight="false" outlineLevel="0" collapsed="false">
      <c r="A155" s="56" t="s">
        <v>974</v>
      </c>
      <c r="B155" s="63"/>
      <c r="C155" s="91"/>
      <c r="D155" s="92"/>
      <c r="E155" s="61"/>
      <c r="F155" s="61"/>
      <c r="G155" s="60"/>
      <c r="H155" s="61"/>
      <c r="I155" s="60"/>
      <c r="J155" s="61"/>
      <c r="K155" s="60"/>
      <c r="L155" s="60"/>
      <c r="M155" s="60"/>
      <c r="N155" s="60"/>
      <c r="O155" s="60"/>
      <c r="P155" s="61"/>
      <c r="Q155" s="61"/>
      <c r="R155" s="63"/>
      <c r="S155" s="61"/>
      <c r="T155" s="62" t="str">
        <f aca="true">IF(Q155&lt;&gt;"Yes","",IF(S155="Yes","Done",IF(R155="","Date missing",IF(R155&lt;TODAY(),"OVERDUE","Scheduled"))))</f>
        <v/>
      </c>
      <c r="U155" s="61"/>
      <c r="V155" s="61"/>
      <c r="W155" s="60"/>
      <c r="X155" s="88" t="str">
        <f aca="false">IF(AND(G155&lt;&gt;"",AND(B155&lt;&gt;"",B155&gt;='Weekly Report'!$F$4,B155&lt;='Weekly Report'!$F$5)),ROW(),"")</f>
        <v/>
      </c>
    </row>
    <row r="156" customFormat="false" ht="15" hidden="false" customHeight="false" outlineLevel="0" collapsed="false">
      <c r="A156" s="56" t="s">
        <v>975</v>
      </c>
      <c r="B156" s="63"/>
      <c r="C156" s="91"/>
      <c r="D156" s="92"/>
      <c r="E156" s="61"/>
      <c r="F156" s="61"/>
      <c r="G156" s="60"/>
      <c r="H156" s="61"/>
      <c r="I156" s="60"/>
      <c r="J156" s="61"/>
      <c r="K156" s="60"/>
      <c r="L156" s="60"/>
      <c r="M156" s="60"/>
      <c r="N156" s="60"/>
      <c r="O156" s="60"/>
      <c r="P156" s="61"/>
      <c r="Q156" s="61"/>
      <c r="R156" s="63"/>
      <c r="S156" s="61"/>
      <c r="T156" s="62" t="str">
        <f aca="true">IF(Q156&lt;&gt;"Yes","",IF(S156="Yes","Done",IF(R156="","Date missing",IF(R156&lt;TODAY(),"OVERDUE","Scheduled"))))</f>
        <v/>
      </c>
      <c r="U156" s="61"/>
      <c r="V156" s="61"/>
      <c r="W156" s="60"/>
      <c r="X156" s="88" t="str">
        <f aca="false">IF(AND(G156&lt;&gt;"",AND(B156&lt;&gt;"",B156&gt;='Weekly Report'!$F$4,B156&lt;='Weekly Report'!$F$5)),ROW(),"")</f>
        <v/>
      </c>
    </row>
    <row r="157" customFormat="false" ht="15" hidden="false" customHeight="false" outlineLevel="0" collapsed="false">
      <c r="A157" s="56" t="s">
        <v>976</v>
      </c>
      <c r="B157" s="63"/>
      <c r="C157" s="91"/>
      <c r="D157" s="92"/>
      <c r="E157" s="61"/>
      <c r="F157" s="61"/>
      <c r="G157" s="60"/>
      <c r="H157" s="61"/>
      <c r="I157" s="60"/>
      <c r="J157" s="61"/>
      <c r="K157" s="60"/>
      <c r="L157" s="60"/>
      <c r="M157" s="60"/>
      <c r="N157" s="60"/>
      <c r="O157" s="60"/>
      <c r="P157" s="61"/>
      <c r="Q157" s="61"/>
      <c r="R157" s="63"/>
      <c r="S157" s="61"/>
      <c r="T157" s="62" t="str">
        <f aca="true">IF(Q157&lt;&gt;"Yes","",IF(S157="Yes","Done",IF(R157="","Date missing",IF(R157&lt;TODAY(),"OVERDUE","Scheduled"))))</f>
        <v/>
      </c>
      <c r="U157" s="61"/>
      <c r="V157" s="61"/>
      <c r="W157" s="60"/>
      <c r="X157" s="88" t="str">
        <f aca="false">IF(AND(G157&lt;&gt;"",AND(B157&lt;&gt;"",B157&gt;='Weekly Report'!$F$4,B157&lt;='Weekly Report'!$F$5)),ROW(),"")</f>
        <v/>
      </c>
    </row>
    <row r="158" customFormat="false" ht="15" hidden="false" customHeight="false" outlineLevel="0" collapsed="false">
      <c r="A158" s="56" t="s">
        <v>977</v>
      </c>
      <c r="B158" s="63"/>
      <c r="C158" s="91"/>
      <c r="D158" s="92"/>
      <c r="E158" s="61"/>
      <c r="F158" s="61"/>
      <c r="G158" s="60"/>
      <c r="H158" s="61"/>
      <c r="I158" s="60"/>
      <c r="J158" s="61"/>
      <c r="K158" s="60"/>
      <c r="L158" s="60"/>
      <c r="M158" s="60"/>
      <c r="N158" s="60"/>
      <c r="O158" s="60"/>
      <c r="P158" s="61"/>
      <c r="Q158" s="61"/>
      <c r="R158" s="63"/>
      <c r="S158" s="61"/>
      <c r="T158" s="62" t="str">
        <f aca="true">IF(Q158&lt;&gt;"Yes","",IF(S158="Yes","Done",IF(R158="","Date missing",IF(R158&lt;TODAY(),"OVERDUE","Scheduled"))))</f>
        <v/>
      </c>
      <c r="U158" s="61"/>
      <c r="V158" s="61"/>
      <c r="W158" s="60"/>
      <c r="X158" s="88" t="str">
        <f aca="false">IF(AND(G158&lt;&gt;"",AND(B158&lt;&gt;"",B158&gt;='Weekly Report'!$F$4,B158&lt;='Weekly Report'!$F$5)),ROW(),"")</f>
        <v/>
      </c>
    </row>
    <row r="159" customFormat="false" ht="15" hidden="false" customHeight="false" outlineLevel="0" collapsed="false">
      <c r="A159" s="56" t="s">
        <v>978</v>
      </c>
      <c r="B159" s="63"/>
      <c r="C159" s="91"/>
      <c r="D159" s="92"/>
      <c r="E159" s="61"/>
      <c r="F159" s="61"/>
      <c r="G159" s="60"/>
      <c r="H159" s="61"/>
      <c r="I159" s="60"/>
      <c r="J159" s="61"/>
      <c r="K159" s="60"/>
      <c r="L159" s="60"/>
      <c r="M159" s="60"/>
      <c r="N159" s="60"/>
      <c r="O159" s="60"/>
      <c r="P159" s="61"/>
      <c r="Q159" s="61"/>
      <c r="R159" s="63"/>
      <c r="S159" s="61"/>
      <c r="T159" s="62" t="str">
        <f aca="true">IF(Q159&lt;&gt;"Yes","",IF(S159="Yes","Done",IF(R159="","Date missing",IF(R159&lt;TODAY(),"OVERDUE","Scheduled"))))</f>
        <v/>
      </c>
      <c r="U159" s="61"/>
      <c r="V159" s="61"/>
      <c r="W159" s="60"/>
      <c r="X159" s="88" t="str">
        <f aca="false">IF(AND(G159&lt;&gt;"",AND(B159&lt;&gt;"",B159&gt;='Weekly Report'!$F$4,B159&lt;='Weekly Report'!$F$5)),ROW(),"")</f>
        <v/>
      </c>
    </row>
    <row r="160" customFormat="false" ht="15" hidden="false" customHeight="false" outlineLevel="0" collapsed="false">
      <c r="A160" s="56" t="s">
        <v>979</v>
      </c>
      <c r="B160" s="63"/>
      <c r="C160" s="91"/>
      <c r="D160" s="92"/>
      <c r="E160" s="61"/>
      <c r="F160" s="61"/>
      <c r="G160" s="60"/>
      <c r="H160" s="61"/>
      <c r="I160" s="60"/>
      <c r="J160" s="61"/>
      <c r="K160" s="60"/>
      <c r="L160" s="60"/>
      <c r="M160" s="60"/>
      <c r="N160" s="60"/>
      <c r="O160" s="60"/>
      <c r="P160" s="61"/>
      <c r="Q160" s="61"/>
      <c r="R160" s="63"/>
      <c r="S160" s="61"/>
      <c r="T160" s="62" t="str">
        <f aca="true">IF(Q160&lt;&gt;"Yes","",IF(S160="Yes","Done",IF(R160="","Date missing",IF(R160&lt;TODAY(),"OVERDUE","Scheduled"))))</f>
        <v/>
      </c>
      <c r="U160" s="61"/>
      <c r="V160" s="61"/>
      <c r="W160" s="60"/>
      <c r="X160" s="88" t="str">
        <f aca="false">IF(AND(G160&lt;&gt;"",AND(B160&lt;&gt;"",B160&gt;='Weekly Report'!$F$4,B160&lt;='Weekly Report'!$F$5)),ROW(),"")</f>
        <v/>
      </c>
    </row>
    <row r="161" customFormat="false" ht="15" hidden="false" customHeight="false" outlineLevel="0" collapsed="false">
      <c r="A161" s="56" t="s">
        <v>980</v>
      </c>
      <c r="B161" s="63"/>
      <c r="C161" s="91"/>
      <c r="D161" s="92"/>
      <c r="E161" s="61"/>
      <c r="F161" s="61"/>
      <c r="G161" s="60"/>
      <c r="H161" s="61"/>
      <c r="I161" s="60"/>
      <c r="J161" s="61"/>
      <c r="K161" s="60"/>
      <c r="L161" s="60"/>
      <c r="M161" s="60"/>
      <c r="N161" s="60"/>
      <c r="O161" s="60"/>
      <c r="P161" s="61"/>
      <c r="Q161" s="61"/>
      <c r="R161" s="63"/>
      <c r="S161" s="61"/>
      <c r="T161" s="62" t="str">
        <f aca="true">IF(Q161&lt;&gt;"Yes","",IF(S161="Yes","Done",IF(R161="","Date missing",IF(R161&lt;TODAY(),"OVERDUE","Scheduled"))))</f>
        <v/>
      </c>
      <c r="U161" s="61"/>
      <c r="V161" s="61"/>
      <c r="W161" s="60"/>
      <c r="X161" s="88" t="str">
        <f aca="false">IF(AND(G161&lt;&gt;"",AND(B161&lt;&gt;"",B161&gt;='Weekly Report'!$F$4,B161&lt;='Weekly Report'!$F$5)),ROW(),"")</f>
        <v/>
      </c>
    </row>
    <row r="162" customFormat="false" ht="15" hidden="false" customHeight="false" outlineLevel="0" collapsed="false">
      <c r="A162" s="56" t="s">
        <v>981</v>
      </c>
      <c r="B162" s="63"/>
      <c r="C162" s="91"/>
      <c r="D162" s="92"/>
      <c r="E162" s="61"/>
      <c r="F162" s="61"/>
      <c r="G162" s="60"/>
      <c r="H162" s="61"/>
      <c r="I162" s="60"/>
      <c r="J162" s="61"/>
      <c r="K162" s="60"/>
      <c r="L162" s="60"/>
      <c r="M162" s="60"/>
      <c r="N162" s="60"/>
      <c r="O162" s="60"/>
      <c r="P162" s="61"/>
      <c r="Q162" s="61"/>
      <c r="R162" s="63"/>
      <c r="S162" s="61"/>
      <c r="T162" s="62" t="str">
        <f aca="true">IF(Q162&lt;&gt;"Yes","",IF(S162="Yes","Done",IF(R162="","Date missing",IF(R162&lt;TODAY(),"OVERDUE","Scheduled"))))</f>
        <v/>
      </c>
      <c r="U162" s="61"/>
      <c r="V162" s="61"/>
      <c r="W162" s="60"/>
      <c r="X162" s="88" t="str">
        <f aca="false">IF(AND(G162&lt;&gt;"",AND(B162&lt;&gt;"",B162&gt;='Weekly Report'!$F$4,B162&lt;='Weekly Report'!$F$5)),ROW(),"")</f>
        <v/>
      </c>
    </row>
    <row r="163" customFormat="false" ht="15" hidden="false" customHeight="false" outlineLevel="0" collapsed="false">
      <c r="A163" s="56" t="s">
        <v>982</v>
      </c>
      <c r="B163" s="63"/>
      <c r="C163" s="91"/>
      <c r="D163" s="92"/>
      <c r="E163" s="61"/>
      <c r="F163" s="61"/>
      <c r="G163" s="60"/>
      <c r="H163" s="61"/>
      <c r="I163" s="60"/>
      <c r="J163" s="61"/>
      <c r="K163" s="60"/>
      <c r="L163" s="60"/>
      <c r="M163" s="60"/>
      <c r="N163" s="60"/>
      <c r="O163" s="60"/>
      <c r="P163" s="61"/>
      <c r="Q163" s="61"/>
      <c r="R163" s="63"/>
      <c r="S163" s="61"/>
      <c r="T163" s="62" t="str">
        <f aca="true">IF(Q163&lt;&gt;"Yes","",IF(S163="Yes","Done",IF(R163="","Date missing",IF(R163&lt;TODAY(),"OVERDUE","Scheduled"))))</f>
        <v/>
      </c>
      <c r="U163" s="61"/>
      <c r="V163" s="61"/>
      <c r="W163" s="60"/>
      <c r="X163" s="88" t="str">
        <f aca="false">IF(AND(G163&lt;&gt;"",AND(B163&lt;&gt;"",B163&gt;='Weekly Report'!$F$4,B163&lt;='Weekly Report'!$F$5)),ROW(),"")</f>
        <v/>
      </c>
    </row>
    <row r="164" customFormat="false" ht="15" hidden="false" customHeight="false" outlineLevel="0" collapsed="false">
      <c r="A164" s="56" t="s">
        <v>983</v>
      </c>
      <c r="B164" s="63"/>
      <c r="C164" s="91"/>
      <c r="D164" s="92"/>
      <c r="E164" s="61"/>
      <c r="F164" s="61"/>
      <c r="G164" s="60"/>
      <c r="H164" s="61"/>
      <c r="I164" s="60"/>
      <c r="J164" s="61"/>
      <c r="K164" s="60"/>
      <c r="L164" s="60"/>
      <c r="M164" s="60"/>
      <c r="N164" s="60"/>
      <c r="O164" s="60"/>
      <c r="P164" s="61"/>
      <c r="Q164" s="61"/>
      <c r="R164" s="63"/>
      <c r="S164" s="61"/>
      <c r="T164" s="62" t="str">
        <f aca="true">IF(Q164&lt;&gt;"Yes","",IF(S164="Yes","Done",IF(R164="","Date missing",IF(R164&lt;TODAY(),"OVERDUE","Scheduled"))))</f>
        <v/>
      </c>
      <c r="U164" s="61"/>
      <c r="V164" s="61"/>
      <c r="W164" s="60"/>
      <c r="X164" s="88" t="str">
        <f aca="false">IF(AND(G164&lt;&gt;"",AND(B164&lt;&gt;"",B164&gt;='Weekly Report'!$F$4,B164&lt;='Weekly Report'!$F$5)),ROW(),"")</f>
        <v/>
      </c>
    </row>
    <row r="165" customFormat="false" ht="15" hidden="false" customHeight="false" outlineLevel="0" collapsed="false">
      <c r="A165" s="56" t="s">
        <v>984</v>
      </c>
      <c r="B165" s="63"/>
      <c r="C165" s="91"/>
      <c r="D165" s="92"/>
      <c r="E165" s="61"/>
      <c r="F165" s="61"/>
      <c r="G165" s="60"/>
      <c r="H165" s="61"/>
      <c r="I165" s="60"/>
      <c r="J165" s="61"/>
      <c r="K165" s="60"/>
      <c r="L165" s="60"/>
      <c r="M165" s="60"/>
      <c r="N165" s="60"/>
      <c r="O165" s="60"/>
      <c r="P165" s="61"/>
      <c r="Q165" s="61"/>
      <c r="R165" s="63"/>
      <c r="S165" s="61"/>
      <c r="T165" s="62" t="str">
        <f aca="true">IF(Q165&lt;&gt;"Yes","",IF(S165="Yes","Done",IF(R165="","Date missing",IF(R165&lt;TODAY(),"OVERDUE","Scheduled"))))</f>
        <v/>
      </c>
      <c r="U165" s="61"/>
      <c r="V165" s="61"/>
      <c r="W165" s="60"/>
      <c r="X165" s="88" t="str">
        <f aca="false">IF(AND(G165&lt;&gt;"",AND(B165&lt;&gt;"",B165&gt;='Weekly Report'!$F$4,B165&lt;='Weekly Report'!$F$5)),ROW(),"")</f>
        <v/>
      </c>
    </row>
    <row r="166" customFormat="false" ht="15" hidden="false" customHeight="false" outlineLevel="0" collapsed="false">
      <c r="A166" s="56" t="s">
        <v>985</v>
      </c>
      <c r="B166" s="63"/>
      <c r="C166" s="91"/>
      <c r="D166" s="92"/>
      <c r="E166" s="61"/>
      <c r="F166" s="61"/>
      <c r="G166" s="60"/>
      <c r="H166" s="61"/>
      <c r="I166" s="60"/>
      <c r="J166" s="61"/>
      <c r="K166" s="60"/>
      <c r="L166" s="60"/>
      <c r="M166" s="60"/>
      <c r="N166" s="60"/>
      <c r="O166" s="60"/>
      <c r="P166" s="61"/>
      <c r="Q166" s="61"/>
      <c r="R166" s="63"/>
      <c r="S166" s="61"/>
      <c r="T166" s="62" t="str">
        <f aca="true">IF(Q166&lt;&gt;"Yes","",IF(S166="Yes","Done",IF(R166="","Date missing",IF(R166&lt;TODAY(),"OVERDUE","Scheduled"))))</f>
        <v/>
      </c>
      <c r="U166" s="61"/>
      <c r="V166" s="61"/>
      <c r="W166" s="60"/>
      <c r="X166" s="88" t="str">
        <f aca="false">IF(AND(G166&lt;&gt;"",AND(B166&lt;&gt;"",B166&gt;='Weekly Report'!$F$4,B166&lt;='Weekly Report'!$F$5)),ROW(),"")</f>
        <v/>
      </c>
    </row>
    <row r="167" customFormat="false" ht="15" hidden="false" customHeight="false" outlineLevel="0" collapsed="false">
      <c r="A167" s="56" t="s">
        <v>986</v>
      </c>
      <c r="B167" s="63"/>
      <c r="C167" s="91"/>
      <c r="D167" s="92"/>
      <c r="E167" s="61"/>
      <c r="F167" s="61"/>
      <c r="G167" s="60"/>
      <c r="H167" s="61"/>
      <c r="I167" s="60"/>
      <c r="J167" s="61"/>
      <c r="K167" s="60"/>
      <c r="L167" s="60"/>
      <c r="M167" s="60"/>
      <c r="N167" s="60"/>
      <c r="O167" s="60"/>
      <c r="P167" s="61"/>
      <c r="Q167" s="61"/>
      <c r="R167" s="63"/>
      <c r="S167" s="61"/>
      <c r="T167" s="62" t="str">
        <f aca="true">IF(Q167&lt;&gt;"Yes","",IF(S167="Yes","Done",IF(R167="","Date missing",IF(R167&lt;TODAY(),"OVERDUE","Scheduled"))))</f>
        <v/>
      </c>
      <c r="U167" s="61"/>
      <c r="V167" s="61"/>
      <c r="W167" s="60"/>
      <c r="X167" s="88" t="str">
        <f aca="false">IF(AND(G167&lt;&gt;"",AND(B167&lt;&gt;"",B167&gt;='Weekly Report'!$F$4,B167&lt;='Weekly Report'!$F$5)),ROW(),"")</f>
        <v/>
      </c>
    </row>
    <row r="168" customFormat="false" ht="15" hidden="false" customHeight="false" outlineLevel="0" collapsed="false">
      <c r="A168" s="56" t="s">
        <v>987</v>
      </c>
      <c r="B168" s="63"/>
      <c r="C168" s="91"/>
      <c r="D168" s="92"/>
      <c r="E168" s="61"/>
      <c r="F168" s="61"/>
      <c r="G168" s="60"/>
      <c r="H168" s="61"/>
      <c r="I168" s="60"/>
      <c r="J168" s="61"/>
      <c r="K168" s="60"/>
      <c r="L168" s="60"/>
      <c r="M168" s="60"/>
      <c r="N168" s="60"/>
      <c r="O168" s="60"/>
      <c r="P168" s="61"/>
      <c r="Q168" s="61"/>
      <c r="R168" s="63"/>
      <c r="S168" s="61"/>
      <c r="T168" s="62" t="str">
        <f aca="true">IF(Q168&lt;&gt;"Yes","",IF(S168="Yes","Done",IF(R168="","Date missing",IF(R168&lt;TODAY(),"OVERDUE","Scheduled"))))</f>
        <v/>
      </c>
      <c r="U168" s="61"/>
      <c r="V168" s="61"/>
      <c r="W168" s="60"/>
      <c r="X168" s="88" t="str">
        <f aca="false">IF(AND(G168&lt;&gt;"",AND(B168&lt;&gt;"",B168&gt;='Weekly Report'!$F$4,B168&lt;='Weekly Report'!$F$5)),ROW(),"")</f>
        <v/>
      </c>
    </row>
    <row r="169" customFormat="false" ht="15" hidden="false" customHeight="false" outlineLevel="0" collapsed="false">
      <c r="A169" s="56" t="s">
        <v>988</v>
      </c>
      <c r="B169" s="63"/>
      <c r="C169" s="91"/>
      <c r="D169" s="92"/>
      <c r="E169" s="61"/>
      <c r="F169" s="61"/>
      <c r="G169" s="60"/>
      <c r="H169" s="61"/>
      <c r="I169" s="60"/>
      <c r="J169" s="61"/>
      <c r="K169" s="60"/>
      <c r="L169" s="60"/>
      <c r="M169" s="60"/>
      <c r="N169" s="60"/>
      <c r="O169" s="60"/>
      <c r="P169" s="61"/>
      <c r="Q169" s="61"/>
      <c r="R169" s="63"/>
      <c r="S169" s="61"/>
      <c r="T169" s="62" t="str">
        <f aca="true">IF(Q169&lt;&gt;"Yes","",IF(S169="Yes","Done",IF(R169="","Date missing",IF(R169&lt;TODAY(),"OVERDUE","Scheduled"))))</f>
        <v/>
      </c>
      <c r="U169" s="61"/>
      <c r="V169" s="61"/>
      <c r="W169" s="60"/>
      <c r="X169" s="88" t="str">
        <f aca="false">IF(AND(G169&lt;&gt;"",AND(B169&lt;&gt;"",B169&gt;='Weekly Report'!$F$4,B169&lt;='Weekly Report'!$F$5)),ROW(),"")</f>
        <v/>
      </c>
    </row>
    <row r="170" customFormat="false" ht="15" hidden="false" customHeight="false" outlineLevel="0" collapsed="false">
      <c r="A170" s="56" t="s">
        <v>989</v>
      </c>
      <c r="B170" s="63"/>
      <c r="C170" s="91"/>
      <c r="D170" s="92"/>
      <c r="E170" s="61"/>
      <c r="F170" s="61"/>
      <c r="G170" s="60"/>
      <c r="H170" s="61"/>
      <c r="I170" s="60"/>
      <c r="J170" s="61"/>
      <c r="K170" s="60"/>
      <c r="L170" s="60"/>
      <c r="M170" s="60"/>
      <c r="N170" s="60"/>
      <c r="O170" s="60"/>
      <c r="P170" s="61"/>
      <c r="Q170" s="61"/>
      <c r="R170" s="63"/>
      <c r="S170" s="61"/>
      <c r="T170" s="62" t="str">
        <f aca="true">IF(Q170&lt;&gt;"Yes","",IF(S170="Yes","Done",IF(R170="","Date missing",IF(R170&lt;TODAY(),"OVERDUE","Scheduled"))))</f>
        <v/>
      </c>
      <c r="U170" s="61"/>
      <c r="V170" s="61"/>
      <c r="W170" s="60"/>
      <c r="X170" s="88" t="str">
        <f aca="false">IF(AND(G170&lt;&gt;"",AND(B170&lt;&gt;"",B170&gt;='Weekly Report'!$F$4,B170&lt;='Weekly Report'!$F$5)),ROW(),"")</f>
        <v/>
      </c>
    </row>
    <row r="171" customFormat="false" ht="15" hidden="false" customHeight="false" outlineLevel="0" collapsed="false">
      <c r="A171" s="56" t="s">
        <v>990</v>
      </c>
      <c r="B171" s="63"/>
      <c r="C171" s="91"/>
      <c r="D171" s="92"/>
      <c r="E171" s="61"/>
      <c r="F171" s="61"/>
      <c r="G171" s="60"/>
      <c r="H171" s="61"/>
      <c r="I171" s="60"/>
      <c r="J171" s="61"/>
      <c r="K171" s="60"/>
      <c r="L171" s="60"/>
      <c r="M171" s="60"/>
      <c r="N171" s="60"/>
      <c r="O171" s="60"/>
      <c r="P171" s="61"/>
      <c r="Q171" s="61"/>
      <c r="R171" s="63"/>
      <c r="S171" s="61"/>
      <c r="T171" s="62" t="str">
        <f aca="true">IF(Q171&lt;&gt;"Yes","",IF(S171="Yes","Done",IF(R171="","Date missing",IF(R171&lt;TODAY(),"OVERDUE","Scheduled"))))</f>
        <v/>
      </c>
      <c r="U171" s="61"/>
      <c r="V171" s="61"/>
      <c r="W171" s="60"/>
      <c r="X171" s="88" t="str">
        <f aca="false">IF(AND(G171&lt;&gt;"",AND(B171&lt;&gt;"",B171&gt;='Weekly Report'!$F$4,B171&lt;='Weekly Report'!$F$5)),ROW(),"")</f>
        <v/>
      </c>
    </row>
    <row r="172" customFormat="false" ht="15" hidden="false" customHeight="false" outlineLevel="0" collapsed="false">
      <c r="A172" s="56" t="s">
        <v>991</v>
      </c>
      <c r="B172" s="63"/>
      <c r="C172" s="91"/>
      <c r="D172" s="92"/>
      <c r="E172" s="61"/>
      <c r="F172" s="61"/>
      <c r="G172" s="60"/>
      <c r="H172" s="61"/>
      <c r="I172" s="60"/>
      <c r="J172" s="61"/>
      <c r="K172" s="60"/>
      <c r="L172" s="60"/>
      <c r="M172" s="60"/>
      <c r="N172" s="60"/>
      <c r="O172" s="60"/>
      <c r="P172" s="61"/>
      <c r="Q172" s="61"/>
      <c r="R172" s="63"/>
      <c r="S172" s="61"/>
      <c r="T172" s="62" t="str">
        <f aca="true">IF(Q172&lt;&gt;"Yes","",IF(S172="Yes","Done",IF(R172="","Date missing",IF(R172&lt;TODAY(),"OVERDUE","Scheduled"))))</f>
        <v/>
      </c>
      <c r="U172" s="61"/>
      <c r="V172" s="61"/>
      <c r="W172" s="60"/>
      <c r="X172" s="88" t="str">
        <f aca="false">IF(AND(G172&lt;&gt;"",AND(B172&lt;&gt;"",B172&gt;='Weekly Report'!$F$4,B172&lt;='Weekly Report'!$F$5)),ROW(),"")</f>
        <v/>
      </c>
    </row>
    <row r="173" customFormat="false" ht="15" hidden="false" customHeight="false" outlineLevel="0" collapsed="false">
      <c r="A173" s="56" t="s">
        <v>992</v>
      </c>
      <c r="B173" s="63"/>
      <c r="C173" s="91"/>
      <c r="D173" s="92"/>
      <c r="E173" s="61"/>
      <c r="F173" s="61"/>
      <c r="G173" s="60"/>
      <c r="H173" s="61"/>
      <c r="I173" s="60"/>
      <c r="J173" s="61"/>
      <c r="K173" s="60"/>
      <c r="L173" s="60"/>
      <c r="M173" s="60"/>
      <c r="N173" s="60"/>
      <c r="O173" s="60"/>
      <c r="P173" s="61"/>
      <c r="Q173" s="61"/>
      <c r="R173" s="63"/>
      <c r="S173" s="61"/>
      <c r="T173" s="62" t="str">
        <f aca="true">IF(Q173&lt;&gt;"Yes","",IF(S173="Yes","Done",IF(R173="","Date missing",IF(R173&lt;TODAY(),"OVERDUE","Scheduled"))))</f>
        <v/>
      </c>
      <c r="U173" s="61"/>
      <c r="V173" s="61"/>
      <c r="W173" s="60"/>
      <c r="X173" s="88" t="str">
        <f aca="false">IF(AND(G173&lt;&gt;"",AND(B173&lt;&gt;"",B173&gt;='Weekly Report'!$F$4,B173&lt;='Weekly Report'!$F$5)),ROW(),"")</f>
        <v/>
      </c>
    </row>
    <row r="174" customFormat="false" ht="15" hidden="false" customHeight="false" outlineLevel="0" collapsed="false">
      <c r="A174" s="56" t="s">
        <v>993</v>
      </c>
      <c r="B174" s="63"/>
      <c r="C174" s="91"/>
      <c r="D174" s="92"/>
      <c r="E174" s="61"/>
      <c r="F174" s="61"/>
      <c r="G174" s="60"/>
      <c r="H174" s="61"/>
      <c r="I174" s="60"/>
      <c r="J174" s="61"/>
      <c r="K174" s="60"/>
      <c r="L174" s="60"/>
      <c r="M174" s="60"/>
      <c r="N174" s="60"/>
      <c r="O174" s="60"/>
      <c r="P174" s="61"/>
      <c r="Q174" s="61"/>
      <c r="R174" s="63"/>
      <c r="S174" s="61"/>
      <c r="T174" s="62" t="str">
        <f aca="true">IF(Q174&lt;&gt;"Yes","",IF(S174="Yes","Done",IF(R174="","Date missing",IF(R174&lt;TODAY(),"OVERDUE","Scheduled"))))</f>
        <v/>
      </c>
      <c r="U174" s="61"/>
      <c r="V174" s="61"/>
      <c r="W174" s="60"/>
      <c r="X174" s="88" t="str">
        <f aca="false">IF(AND(G174&lt;&gt;"",AND(B174&lt;&gt;"",B174&gt;='Weekly Report'!$F$4,B174&lt;='Weekly Report'!$F$5)),ROW(),"")</f>
        <v/>
      </c>
    </row>
    <row r="175" customFormat="false" ht="15" hidden="false" customHeight="false" outlineLevel="0" collapsed="false">
      <c r="A175" s="56" t="s">
        <v>994</v>
      </c>
      <c r="B175" s="63"/>
      <c r="C175" s="91"/>
      <c r="D175" s="92"/>
      <c r="E175" s="61"/>
      <c r="F175" s="61"/>
      <c r="G175" s="60"/>
      <c r="H175" s="61"/>
      <c r="I175" s="60"/>
      <c r="J175" s="61"/>
      <c r="K175" s="60"/>
      <c r="L175" s="60"/>
      <c r="M175" s="60"/>
      <c r="N175" s="60"/>
      <c r="O175" s="60"/>
      <c r="P175" s="61"/>
      <c r="Q175" s="61"/>
      <c r="R175" s="63"/>
      <c r="S175" s="61"/>
      <c r="T175" s="62" t="str">
        <f aca="true">IF(Q175&lt;&gt;"Yes","",IF(S175="Yes","Done",IF(R175="","Date missing",IF(R175&lt;TODAY(),"OVERDUE","Scheduled"))))</f>
        <v/>
      </c>
      <c r="U175" s="61"/>
      <c r="V175" s="61"/>
      <c r="W175" s="60"/>
      <c r="X175" s="88" t="str">
        <f aca="false">IF(AND(G175&lt;&gt;"",AND(B175&lt;&gt;"",B175&gt;='Weekly Report'!$F$4,B175&lt;='Weekly Report'!$F$5)),ROW(),"")</f>
        <v/>
      </c>
    </row>
    <row r="176" customFormat="false" ht="15" hidden="false" customHeight="false" outlineLevel="0" collapsed="false">
      <c r="A176" s="56" t="s">
        <v>995</v>
      </c>
      <c r="B176" s="63"/>
      <c r="C176" s="91"/>
      <c r="D176" s="92"/>
      <c r="E176" s="61"/>
      <c r="F176" s="61"/>
      <c r="G176" s="60"/>
      <c r="H176" s="61"/>
      <c r="I176" s="60"/>
      <c r="J176" s="61"/>
      <c r="K176" s="60"/>
      <c r="L176" s="60"/>
      <c r="M176" s="60"/>
      <c r="N176" s="60"/>
      <c r="O176" s="60"/>
      <c r="P176" s="61"/>
      <c r="Q176" s="61"/>
      <c r="R176" s="63"/>
      <c r="S176" s="61"/>
      <c r="T176" s="62" t="str">
        <f aca="true">IF(Q176&lt;&gt;"Yes","",IF(S176="Yes","Done",IF(R176="","Date missing",IF(R176&lt;TODAY(),"OVERDUE","Scheduled"))))</f>
        <v/>
      </c>
      <c r="U176" s="61"/>
      <c r="V176" s="61"/>
      <c r="W176" s="60"/>
      <c r="X176" s="88" t="str">
        <f aca="false">IF(AND(G176&lt;&gt;"",AND(B176&lt;&gt;"",B176&gt;='Weekly Report'!$F$4,B176&lt;='Weekly Report'!$F$5)),ROW(),"")</f>
        <v/>
      </c>
    </row>
    <row r="177" customFormat="false" ht="15" hidden="false" customHeight="false" outlineLevel="0" collapsed="false">
      <c r="A177" s="56" t="s">
        <v>996</v>
      </c>
      <c r="B177" s="63"/>
      <c r="C177" s="91"/>
      <c r="D177" s="92"/>
      <c r="E177" s="61"/>
      <c r="F177" s="61"/>
      <c r="G177" s="60"/>
      <c r="H177" s="61"/>
      <c r="I177" s="60"/>
      <c r="J177" s="61"/>
      <c r="K177" s="60"/>
      <c r="L177" s="60"/>
      <c r="M177" s="60"/>
      <c r="N177" s="60"/>
      <c r="O177" s="60"/>
      <c r="P177" s="61"/>
      <c r="Q177" s="61"/>
      <c r="R177" s="63"/>
      <c r="S177" s="61"/>
      <c r="T177" s="62" t="str">
        <f aca="true">IF(Q177&lt;&gt;"Yes","",IF(S177="Yes","Done",IF(R177="","Date missing",IF(R177&lt;TODAY(),"OVERDUE","Scheduled"))))</f>
        <v/>
      </c>
      <c r="U177" s="61"/>
      <c r="V177" s="61"/>
      <c r="W177" s="60"/>
      <c r="X177" s="88" t="str">
        <f aca="false">IF(AND(G177&lt;&gt;"",AND(B177&lt;&gt;"",B177&gt;='Weekly Report'!$F$4,B177&lt;='Weekly Report'!$F$5)),ROW(),"")</f>
        <v/>
      </c>
    </row>
    <row r="178" customFormat="false" ht="15" hidden="false" customHeight="false" outlineLevel="0" collapsed="false">
      <c r="A178" s="56" t="s">
        <v>997</v>
      </c>
      <c r="B178" s="63"/>
      <c r="C178" s="91"/>
      <c r="D178" s="92"/>
      <c r="E178" s="61"/>
      <c r="F178" s="61"/>
      <c r="G178" s="60"/>
      <c r="H178" s="61"/>
      <c r="I178" s="60"/>
      <c r="J178" s="61"/>
      <c r="K178" s="60"/>
      <c r="L178" s="60"/>
      <c r="M178" s="60"/>
      <c r="N178" s="60"/>
      <c r="O178" s="60"/>
      <c r="P178" s="61"/>
      <c r="Q178" s="61"/>
      <c r="R178" s="63"/>
      <c r="S178" s="61"/>
      <c r="T178" s="62" t="str">
        <f aca="true">IF(Q178&lt;&gt;"Yes","",IF(S178="Yes","Done",IF(R178="","Date missing",IF(R178&lt;TODAY(),"OVERDUE","Scheduled"))))</f>
        <v/>
      </c>
      <c r="U178" s="61"/>
      <c r="V178" s="61"/>
      <c r="W178" s="60"/>
      <c r="X178" s="88" t="str">
        <f aca="false">IF(AND(G178&lt;&gt;"",AND(B178&lt;&gt;"",B178&gt;='Weekly Report'!$F$4,B178&lt;='Weekly Report'!$F$5)),ROW(),"")</f>
        <v/>
      </c>
    </row>
    <row r="179" customFormat="false" ht="15" hidden="false" customHeight="false" outlineLevel="0" collapsed="false">
      <c r="A179" s="56" t="s">
        <v>998</v>
      </c>
      <c r="B179" s="63"/>
      <c r="C179" s="91"/>
      <c r="D179" s="92"/>
      <c r="E179" s="61"/>
      <c r="F179" s="61"/>
      <c r="G179" s="60"/>
      <c r="H179" s="61"/>
      <c r="I179" s="60"/>
      <c r="J179" s="61"/>
      <c r="K179" s="60"/>
      <c r="L179" s="60"/>
      <c r="M179" s="60"/>
      <c r="N179" s="60"/>
      <c r="O179" s="60"/>
      <c r="P179" s="61"/>
      <c r="Q179" s="61"/>
      <c r="R179" s="63"/>
      <c r="S179" s="61"/>
      <c r="T179" s="62" t="str">
        <f aca="true">IF(Q179&lt;&gt;"Yes","",IF(S179="Yes","Done",IF(R179="","Date missing",IF(R179&lt;TODAY(),"OVERDUE","Scheduled"))))</f>
        <v/>
      </c>
      <c r="U179" s="61"/>
      <c r="V179" s="61"/>
      <c r="W179" s="60"/>
      <c r="X179" s="88" t="str">
        <f aca="false">IF(AND(G179&lt;&gt;"",AND(B179&lt;&gt;"",B179&gt;='Weekly Report'!$F$4,B179&lt;='Weekly Report'!$F$5)),ROW(),"")</f>
        <v/>
      </c>
    </row>
    <row r="180" customFormat="false" ht="15" hidden="false" customHeight="false" outlineLevel="0" collapsed="false">
      <c r="A180" s="56" t="s">
        <v>999</v>
      </c>
      <c r="B180" s="63"/>
      <c r="C180" s="91"/>
      <c r="D180" s="92"/>
      <c r="E180" s="61"/>
      <c r="F180" s="61"/>
      <c r="G180" s="60"/>
      <c r="H180" s="61"/>
      <c r="I180" s="60"/>
      <c r="J180" s="61"/>
      <c r="K180" s="60"/>
      <c r="L180" s="60"/>
      <c r="M180" s="60"/>
      <c r="N180" s="60"/>
      <c r="O180" s="60"/>
      <c r="P180" s="61"/>
      <c r="Q180" s="61"/>
      <c r="R180" s="63"/>
      <c r="S180" s="61"/>
      <c r="T180" s="62" t="str">
        <f aca="true">IF(Q180&lt;&gt;"Yes","",IF(S180="Yes","Done",IF(R180="","Date missing",IF(R180&lt;TODAY(),"OVERDUE","Scheduled"))))</f>
        <v/>
      </c>
      <c r="U180" s="61"/>
      <c r="V180" s="61"/>
      <c r="W180" s="60"/>
      <c r="X180" s="88" t="str">
        <f aca="false">IF(AND(G180&lt;&gt;"",AND(B180&lt;&gt;"",B180&gt;='Weekly Report'!$F$4,B180&lt;='Weekly Report'!$F$5)),ROW(),"")</f>
        <v/>
      </c>
    </row>
    <row r="181" customFormat="false" ht="15" hidden="false" customHeight="false" outlineLevel="0" collapsed="false">
      <c r="A181" s="56" t="s">
        <v>1000</v>
      </c>
      <c r="B181" s="63"/>
      <c r="C181" s="91"/>
      <c r="D181" s="92"/>
      <c r="E181" s="61"/>
      <c r="F181" s="61"/>
      <c r="G181" s="60"/>
      <c r="H181" s="61"/>
      <c r="I181" s="60"/>
      <c r="J181" s="61"/>
      <c r="K181" s="60"/>
      <c r="L181" s="60"/>
      <c r="M181" s="60"/>
      <c r="N181" s="60"/>
      <c r="O181" s="60"/>
      <c r="P181" s="61"/>
      <c r="Q181" s="61"/>
      <c r="R181" s="63"/>
      <c r="S181" s="61"/>
      <c r="T181" s="62" t="str">
        <f aca="true">IF(Q181&lt;&gt;"Yes","",IF(S181="Yes","Done",IF(R181="","Date missing",IF(R181&lt;TODAY(),"OVERDUE","Scheduled"))))</f>
        <v/>
      </c>
      <c r="U181" s="61"/>
      <c r="V181" s="61"/>
      <c r="W181" s="60"/>
      <c r="X181" s="88" t="str">
        <f aca="false">IF(AND(G181&lt;&gt;"",AND(B181&lt;&gt;"",B181&gt;='Weekly Report'!$F$4,B181&lt;='Weekly Report'!$F$5)),ROW(),"")</f>
        <v/>
      </c>
    </row>
    <row r="182" customFormat="false" ht="15" hidden="false" customHeight="false" outlineLevel="0" collapsed="false">
      <c r="A182" s="56" t="s">
        <v>1001</v>
      </c>
      <c r="B182" s="63"/>
      <c r="C182" s="91"/>
      <c r="D182" s="92"/>
      <c r="E182" s="61"/>
      <c r="F182" s="61"/>
      <c r="G182" s="60"/>
      <c r="H182" s="61"/>
      <c r="I182" s="60"/>
      <c r="J182" s="61"/>
      <c r="K182" s="60"/>
      <c r="L182" s="60"/>
      <c r="M182" s="60"/>
      <c r="N182" s="60"/>
      <c r="O182" s="60"/>
      <c r="P182" s="61"/>
      <c r="Q182" s="61"/>
      <c r="R182" s="63"/>
      <c r="S182" s="61"/>
      <c r="T182" s="62" t="str">
        <f aca="true">IF(Q182&lt;&gt;"Yes","",IF(S182="Yes","Done",IF(R182="","Date missing",IF(R182&lt;TODAY(),"OVERDUE","Scheduled"))))</f>
        <v/>
      </c>
      <c r="U182" s="61"/>
      <c r="V182" s="61"/>
      <c r="W182" s="60"/>
      <c r="X182" s="88" t="str">
        <f aca="false">IF(AND(G182&lt;&gt;"",AND(B182&lt;&gt;"",B182&gt;='Weekly Report'!$F$4,B182&lt;='Weekly Report'!$F$5)),ROW(),"")</f>
        <v/>
      </c>
    </row>
    <row r="183" customFormat="false" ht="15" hidden="false" customHeight="false" outlineLevel="0" collapsed="false">
      <c r="A183" s="56" t="s">
        <v>1002</v>
      </c>
      <c r="B183" s="63"/>
      <c r="C183" s="91"/>
      <c r="D183" s="92"/>
      <c r="E183" s="61"/>
      <c r="F183" s="61"/>
      <c r="G183" s="60"/>
      <c r="H183" s="61"/>
      <c r="I183" s="60"/>
      <c r="J183" s="61"/>
      <c r="K183" s="60"/>
      <c r="L183" s="60"/>
      <c r="M183" s="60"/>
      <c r="N183" s="60"/>
      <c r="O183" s="60"/>
      <c r="P183" s="61"/>
      <c r="Q183" s="61"/>
      <c r="R183" s="63"/>
      <c r="S183" s="61"/>
      <c r="T183" s="62" t="str">
        <f aca="true">IF(Q183&lt;&gt;"Yes","",IF(S183="Yes","Done",IF(R183="","Date missing",IF(R183&lt;TODAY(),"OVERDUE","Scheduled"))))</f>
        <v/>
      </c>
      <c r="U183" s="61"/>
      <c r="V183" s="61"/>
      <c r="W183" s="60"/>
      <c r="X183" s="88" t="str">
        <f aca="false">IF(AND(G183&lt;&gt;"",AND(B183&lt;&gt;"",B183&gt;='Weekly Report'!$F$4,B183&lt;='Weekly Report'!$F$5)),ROW(),"")</f>
        <v/>
      </c>
    </row>
    <row r="184" customFormat="false" ht="15" hidden="false" customHeight="false" outlineLevel="0" collapsed="false">
      <c r="A184" s="56" t="s">
        <v>1003</v>
      </c>
      <c r="B184" s="63"/>
      <c r="C184" s="91"/>
      <c r="D184" s="92"/>
      <c r="E184" s="61"/>
      <c r="F184" s="61"/>
      <c r="G184" s="60"/>
      <c r="H184" s="61"/>
      <c r="I184" s="60"/>
      <c r="J184" s="61"/>
      <c r="K184" s="60"/>
      <c r="L184" s="60"/>
      <c r="M184" s="60"/>
      <c r="N184" s="60"/>
      <c r="O184" s="60"/>
      <c r="P184" s="61"/>
      <c r="Q184" s="61"/>
      <c r="R184" s="63"/>
      <c r="S184" s="61"/>
      <c r="T184" s="62" t="str">
        <f aca="true">IF(Q184&lt;&gt;"Yes","",IF(S184="Yes","Done",IF(R184="","Date missing",IF(R184&lt;TODAY(),"OVERDUE","Scheduled"))))</f>
        <v/>
      </c>
      <c r="U184" s="61"/>
      <c r="V184" s="61"/>
      <c r="W184" s="60"/>
      <c r="X184" s="88" t="str">
        <f aca="false">IF(AND(G184&lt;&gt;"",AND(B184&lt;&gt;"",B184&gt;='Weekly Report'!$F$4,B184&lt;='Weekly Report'!$F$5)),ROW(),"")</f>
        <v/>
      </c>
    </row>
    <row r="185" customFormat="false" ht="15" hidden="false" customHeight="false" outlineLevel="0" collapsed="false">
      <c r="A185" s="56" t="s">
        <v>1004</v>
      </c>
      <c r="B185" s="63"/>
      <c r="C185" s="91"/>
      <c r="D185" s="92"/>
      <c r="E185" s="61"/>
      <c r="F185" s="61"/>
      <c r="G185" s="60"/>
      <c r="H185" s="61"/>
      <c r="I185" s="60"/>
      <c r="J185" s="61"/>
      <c r="K185" s="60"/>
      <c r="L185" s="60"/>
      <c r="M185" s="60"/>
      <c r="N185" s="60"/>
      <c r="O185" s="60"/>
      <c r="P185" s="61"/>
      <c r="Q185" s="61"/>
      <c r="R185" s="63"/>
      <c r="S185" s="61"/>
      <c r="T185" s="62" t="str">
        <f aca="true">IF(Q185&lt;&gt;"Yes","",IF(S185="Yes","Done",IF(R185="","Date missing",IF(R185&lt;TODAY(),"OVERDUE","Scheduled"))))</f>
        <v/>
      </c>
      <c r="U185" s="61"/>
      <c r="V185" s="61"/>
      <c r="W185" s="60"/>
      <c r="X185" s="88" t="str">
        <f aca="false">IF(AND(G185&lt;&gt;"",AND(B185&lt;&gt;"",B185&gt;='Weekly Report'!$F$4,B185&lt;='Weekly Report'!$F$5)),ROW(),"")</f>
        <v/>
      </c>
    </row>
    <row r="186" customFormat="false" ht="15" hidden="false" customHeight="false" outlineLevel="0" collapsed="false">
      <c r="A186" s="56" t="s">
        <v>1005</v>
      </c>
      <c r="B186" s="63"/>
      <c r="C186" s="91"/>
      <c r="D186" s="92"/>
      <c r="E186" s="61"/>
      <c r="F186" s="61"/>
      <c r="G186" s="60"/>
      <c r="H186" s="61"/>
      <c r="I186" s="60"/>
      <c r="J186" s="61"/>
      <c r="K186" s="60"/>
      <c r="L186" s="60"/>
      <c r="M186" s="60"/>
      <c r="N186" s="60"/>
      <c r="O186" s="60"/>
      <c r="P186" s="61"/>
      <c r="Q186" s="61"/>
      <c r="R186" s="63"/>
      <c r="S186" s="61"/>
      <c r="T186" s="62" t="str">
        <f aca="true">IF(Q186&lt;&gt;"Yes","",IF(S186="Yes","Done",IF(R186="","Date missing",IF(R186&lt;TODAY(),"OVERDUE","Scheduled"))))</f>
        <v/>
      </c>
      <c r="U186" s="61"/>
      <c r="V186" s="61"/>
      <c r="W186" s="60"/>
      <c r="X186" s="88" t="str">
        <f aca="false">IF(AND(G186&lt;&gt;"",AND(B186&lt;&gt;"",B186&gt;='Weekly Report'!$F$4,B186&lt;='Weekly Report'!$F$5)),ROW(),"")</f>
        <v/>
      </c>
    </row>
    <row r="187" customFormat="false" ht="15" hidden="false" customHeight="false" outlineLevel="0" collapsed="false">
      <c r="A187" s="56" t="s">
        <v>1006</v>
      </c>
      <c r="B187" s="63"/>
      <c r="C187" s="91"/>
      <c r="D187" s="92"/>
      <c r="E187" s="61"/>
      <c r="F187" s="61"/>
      <c r="G187" s="60"/>
      <c r="H187" s="61"/>
      <c r="I187" s="60"/>
      <c r="J187" s="61"/>
      <c r="K187" s="60"/>
      <c r="L187" s="60"/>
      <c r="M187" s="60"/>
      <c r="N187" s="60"/>
      <c r="O187" s="60"/>
      <c r="P187" s="61"/>
      <c r="Q187" s="61"/>
      <c r="R187" s="63"/>
      <c r="S187" s="61"/>
      <c r="T187" s="62" t="str">
        <f aca="true">IF(Q187&lt;&gt;"Yes","",IF(S187="Yes","Done",IF(R187="","Date missing",IF(R187&lt;TODAY(),"OVERDUE","Scheduled"))))</f>
        <v/>
      </c>
      <c r="U187" s="61"/>
      <c r="V187" s="61"/>
      <c r="W187" s="60"/>
      <c r="X187" s="88" t="str">
        <f aca="false">IF(AND(G187&lt;&gt;"",AND(B187&lt;&gt;"",B187&gt;='Weekly Report'!$F$4,B187&lt;='Weekly Report'!$F$5)),ROW(),"")</f>
        <v/>
      </c>
    </row>
    <row r="188" customFormat="false" ht="15" hidden="false" customHeight="false" outlineLevel="0" collapsed="false">
      <c r="A188" s="56" t="s">
        <v>1007</v>
      </c>
      <c r="B188" s="63"/>
      <c r="C188" s="91"/>
      <c r="D188" s="92"/>
      <c r="E188" s="61"/>
      <c r="F188" s="61"/>
      <c r="G188" s="60"/>
      <c r="H188" s="61"/>
      <c r="I188" s="60"/>
      <c r="J188" s="61"/>
      <c r="K188" s="60"/>
      <c r="L188" s="60"/>
      <c r="M188" s="60"/>
      <c r="N188" s="60"/>
      <c r="O188" s="60"/>
      <c r="P188" s="61"/>
      <c r="Q188" s="61"/>
      <c r="R188" s="63"/>
      <c r="S188" s="61"/>
      <c r="T188" s="62" t="str">
        <f aca="true">IF(Q188&lt;&gt;"Yes","",IF(S188="Yes","Done",IF(R188="","Date missing",IF(R188&lt;TODAY(),"OVERDUE","Scheduled"))))</f>
        <v/>
      </c>
      <c r="U188" s="61"/>
      <c r="V188" s="61"/>
      <c r="W188" s="60"/>
      <c r="X188" s="88" t="str">
        <f aca="false">IF(AND(G188&lt;&gt;"",AND(B188&lt;&gt;"",B188&gt;='Weekly Report'!$F$4,B188&lt;='Weekly Report'!$F$5)),ROW(),"")</f>
        <v/>
      </c>
    </row>
    <row r="189" customFormat="false" ht="15" hidden="false" customHeight="false" outlineLevel="0" collapsed="false">
      <c r="A189" s="56" t="s">
        <v>1008</v>
      </c>
      <c r="B189" s="63"/>
      <c r="C189" s="91"/>
      <c r="D189" s="92"/>
      <c r="E189" s="61"/>
      <c r="F189" s="61"/>
      <c r="G189" s="60"/>
      <c r="H189" s="61"/>
      <c r="I189" s="60"/>
      <c r="J189" s="61"/>
      <c r="K189" s="60"/>
      <c r="L189" s="60"/>
      <c r="M189" s="60"/>
      <c r="N189" s="60"/>
      <c r="O189" s="60"/>
      <c r="P189" s="61"/>
      <c r="Q189" s="61"/>
      <c r="R189" s="63"/>
      <c r="S189" s="61"/>
      <c r="T189" s="62" t="str">
        <f aca="true">IF(Q189&lt;&gt;"Yes","",IF(S189="Yes","Done",IF(R189="","Date missing",IF(R189&lt;TODAY(),"OVERDUE","Scheduled"))))</f>
        <v/>
      </c>
      <c r="U189" s="61"/>
      <c r="V189" s="61"/>
      <c r="W189" s="60"/>
      <c r="X189" s="88" t="str">
        <f aca="false">IF(AND(G189&lt;&gt;"",AND(B189&lt;&gt;"",B189&gt;='Weekly Report'!$F$4,B189&lt;='Weekly Report'!$F$5)),ROW(),"")</f>
        <v/>
      </c>
    </row>
    <row r="190" customFormat="false" ht="15" hidden="false" customHeight="false" outlineLevel="0" collapsed="false">
      <c r="A190" s="56" t="s">
        <v>1009</v>
      </c>
      <c r="B190" s="63"/>
      <c r="C190" s="91"/>
      <c r="D190" s="92"/>
      <c r="E190" s="61"/>
      <c r="F190" s="61"/>
      <c r="G190" s="60"/>
      <c r="H190" s="61"/>
      <c r="I190" s="60"/>
      <c r="J190" s="61"/>
      <c r="K190" s="60"/>
      <c r="L190" s="60"/>
      <c r="M190" s="60"/>
      <c r="N190" s="60"/>
      <c r="O190" s="60"/>
      <c r="P190" s="61"/>
      <c r="Q190" s="61"/>
      <c r="R190" s="63"/>
      <c r="S190" s="61"/>
      <c r="T190" s="62" t="str">
        <f aca="true">IF(Q190&lt;&gt;"Yes","",IF(S190="Yes","Done",IF(R190="","Date missing",IF(R190&lt;TODAY(),"OVERDUE","Scheduled"))))</f>
        <v/>
      </c>
      <c r="U190" s="61"/>
      <c r="V190" s="61"/>
      <c r="W190" s="60"/>
      <c r="X190" s="88" t="str">
        <f aca="false">IF(AND(G190&lt;&gt;"",AND(B190&lt;&gt;"",B190&gt;='Weekly Report'!$F$4,B190&lt;='Weekly Report'!$F$5)),ROW(),"")</f>
        <v/>
      </c>
    </row>
    <row r="191" customFormat="false" ht="15" hidden="false" customHeight="false" outlineLevel="0" collapsed="false">
      <c r="A191" s="56" t="s">
        <v>1010</v>
      </c>
      <c r="B191" s="63"/>
      <c r="C191" s="91"/>
      <c r="D191" s="92"/>
      <c r="E191" s="61"/>
      <c r="F191" s="61"/>
      <c r="G191" s="60"/>
      <c r="H191" s="61"/>
      <c r="I191" s="60"/>
      <c r="J191" s="61"/>
      <c r="K191" s="60"/>
      <c r="L191" s="60"/>
      <c r="M191" s="60"/>
      <c r="N191" s="60"/>
      <c r="O191" s="60"/>
      <c r="P191" s="61"/>
      <c r="Q191" s="61"/>
      <c r="R191" s="63"/>
      <c r="S191" s="61"/>
      <c r="T191" s="62" t="str">
        <f aca="true">IF(Q191&lt;&gt;"Yes","",IF(S191="Yes","Done",IF(R191="","Date missing",IF(R191&lt;TODAY(),"OVERDUE","Scheduled"))))</f>
        <v/>
      </c>
      <c r="U191" s="61"/>
      <c r="V191" s="61"/>
      <c r="W191" s="60"/>
      <c r="X191" s="88" t="str">
        <f aca="false">IF(AND(G191&lt;&gt;"",AND(B191&lt;&gt;"",B191&gt;='Weekly Report'!$F$4,B191&lt;='Weekly Report'!$F$5)),ROW(),"")</f>
        <v/>
      </c>
    </row>
    <row r="192" customFormat="false" ht="15" hidden="false" customHeight="false" outlineLevel="0" collapsed="false">
      <c r="A192" s="56" t="s">
        <v>1011</v>
      </c>
      <c r="B192" s="63"/>
      <c r="C192" s="91"/>
      <c r="D192" s="92"/>
      <c r="E192" s="61"/>
      <c r="F192" s="61"/>
      <c r="G192" s="60"/>
      <c r="H192" s="61"/>
      <c r="I192" s="60"/>
      <c r="J192" s="61"/>
      <c r="K192" s="60"/>
      <c r="L192" s="60"/>
      <c r="M192" s="60"/>
      <c r="N192" s="60"/>
      <c r="O192" s="60"/>
      <c r="P192" s="61"/>
      <c r="Q192" s="61"/>
      <c r="R192" s="63"/>
      <c r="S192" s="61"/>
      <c r="T192" s="62" t="str">
        <f aca="true">IF(Q192&lt;&gt;"Yes","",IF(S192="Yes","Done",IF(R192="","Date missing",IF(R192&lt;TODAY(),"OVERDUE","Scheduled"))))</f>
        <v/>
      </c>
      <c r="U192" s="61"/>
      <c r="V192" s="61"/>
      <c r="W192" s="60"/>
      <c r="X192" s="88" t="str">
        <f aca="false">IF(AND(G192&lt;&gt;"",AND(B192&lt;&gt;"",B192&gt;='Weekly Report'!$F$4,B192&lt;='Weekly Report'!$F$5)),ROW(),"")</f>
        <v/>
      </c>
    </row>
    <row r="193" customFormat="false" ht="15" hidden="false" customHeight="false" outlineLevel="0" collapsed="false">
      <c r="A193" s="56" t="s">
        <v>1012</v>
      </c>
      <c r="B193" s="63"/>
      <c r="C193" s="91"/>
      <c r="D193" s="92"/>
      <c r="E193" s="61"/>
      <c r="F193" s="61"/>
      <c r="G193" s="60"/>
      <c r="H193" s="61"/>
      <c r="I193" s="60"/>
      <c r="J193" s="61"/>
      <c r="K193" s="60"/>
      <c r="L193" s="60"/>
      <c r="M193" s="60"/>
      <c r="N193" s="60"/>
      <c r="O193" s="60"/>
      <c r="P193" s="61"/>
      <c r="Q193" s="61"/>
      <c r="R193" s="63"/>
      <c r="S193" s="61"/>
      <c r="T193" s="62" t="str">
        <f aca="true">IF(Q193&lt;&gt;"Yes","",IF(S193="Yes","Done",IF(R193="","Date missing",IF(R193&lt;TODAY(),"OVERDUE","Scheduled"))))</f>
        <v/>
      </c>
      <c r="U193" s="61"/>
      <c r="V193" s="61"/>
      <c r="W193" s="60"/>
      <c r="X193" s="88" t="str">
        <f aca="false">IF(AND(G193&lt;&gt;"",AND(B193&lt;&gt;"",B193&gt;='Weekly Report'!$F$4,B193&lt;='Weekly Report'!$F$5)),ROW(),"")</f>
        <v/>
      </c>
    </row>
    <row r="194" customFormat="false" ht="15" hidden="false" customHeight="false" outlineLevel="0" collapsed="false">
      <c r="A194" s="56" t="s">
        <v>1013</v>
      </c>
      <c r="B194" s="63"/>
      <c r="C194" s="91"/>
      <c r="D194" s="92"/>
      <c r="E194" s="61"/>
      <c r="F194" s="61"/>
      <c r="G194" s="60"/>
      <c r="H194" s="61"/>
      <c r="I194" s="60"/>
      <c r="J194" s="61"/>
      <c r="K194" s="60"/>
      <c r="L194" s="60"/>
      <c r="M194" s="60"/>
      <c r="N194" s="60"/>
      <c r="O194" s="60"/>
      <c r="P194" s="61"/>
      <c r="Q194" s="61"/>
      <c r="R194" s="63"/>
      <c r="S194" s="61"/>
      <c r="T194" s="62" t="str">
        <f aca="true">IF(Q194&lt;&gt;"Yes","",IF(S194="Yes","Done",IF(R194="","Date missing",IF(R194&lt;TODAY(),"OVERDUE","Scheduled"))))</f>
        <v/>
      </c>
      <c r="U194" s="61"/>
      <c r="V194" s="61"/>
      <c r="W194" s="60"/>
      <c r="X194" s="88" t="str">
        <f aca="false">IF(AND(G194&lt;&gt;"",AND(B194&lt;&gt;"",B194&gt;='Weekly Report'!$F$4,B194&lt;='Weekly Report'!$F$5)),ROW(),"")</f>
        <v/>
      </c>
    </row>
    <row r="195" customFormat="false" ht="15" hidden="false" customHeight="false" outlineLevel="0" collapsed="false">
      <c r="A195" s="56" t="s">
        <v>1014</v>
      </c>
      <c r="B195" s="63"/>
      <c r="C195" s="91"/>
      <c r="D195" s="92"/>
      <c r="E195" s="61"/>
      <c r="F195" s="61"/>
      <c r="G195" s="60"/>
      <c r="H195" s="61"/>
      <c r="I195" s="60"/>
      <c r="J195" s="61"/>
      <c r="K195" s="60"/>
      <c r="L195" s="60"/>
      <c r="M195" s="60"/>
      <c r="N195" s="60"/>
      <c r="O195" s="60"/>
      <c r="P195" s="61"/>
      <c r="Q195" s="61"/>
      <c r="R195" s="63"/>
      <c r="S195" s="61"/>
      <c r="T195" s="62" t="str">
        <f aca="true">IF(Q195&lt;&gt;"Yes","",IF(S195="Yes","Done",IF(R195="","Date missing",IF(R195&lt;TODAY(),"OVERDUE","Scheduled"))))</f>
        <v/>
      </c>
      <c r="U195" s="61"/>
      <c r="V195" s="61"/>
      <c r="W195" s="60"/>
      <c r="X195" s="88" t="str">
        <f aca="false">IF(AND(G195&lt;&gt;"",AND(B195&lt;&gt;"",B195&gt;='Weekly Report'!$F$4,B195&lt;='Weekly Report'!$F$5)),ROW(),"")</f>
        <v/>
      </c>
    </row>
    <row r="196" customFormat="false" ht="15" hidden="false" customHeight="false" outlineLevel="0" collapsed="false">
      <c r="A196" s="56" t="s">
        <v>1015</v>
      </c>
      <c r="B196" s="63"/>
      <c r="C196" s="91"/>
      <c r="D196" s="92"/>
      <c r="E196" s="61"/>
      <c r="F196" s="61"/>
      <c r="G196" s="60"/>
      <c r="H196" s="61"/>
      <c r="I196" s="60"/>
      <c r="J196" s="61"/>
      <c r="K196" s="60"/>
      <c r="L196" s="60"/>
      <c r="M196" s="60"/>
      <c r="N196" s="60"/>
      <c r="O196" s="60"/>
      <c r="P196" s="61"/>
      <c r="Q196" s="61"/>
      <c r="R196" s="63"/>
      <c r="S196" s="61"/>
      <c r="T196" s="62" t="str">
        <f aca="true">IF(Q196&lt;&gt;"Yes","",IF(S196="Yes","Done",IF(R196="","Date missing",IF(R196&lt;TODAY(),"OVERDUE","Scheduled"))))</f>
        <v/>
      </c>
      <c r="U196" s="61"/>
      <c r="V196" s="61"/>
      <c r="W196" s="60"/>
      <c r="X196" s="88" t="str">
        <f aca="false">IF(AND(G196&lt;&gt;"",AND(B196&lt;&gt;"",B196&gt;='Weekly Report'!$F$4,B196&lt;='Weekly Report'!$F$5)),ROW(),"")</f>
        <v/>
      </c>
    </row>
    <row r="197" customFormat="false" ht="15" hidden="false" customHeight="false" outlineLevel="0" collapsed="false">
      <c r="A197" s="56" t="s">
        <v>1016</v>
      </c>
      <c r="B197" s="63"/>
      <c r="C197" s="91"/>
      <c r="D197" s="92"/>
      <c r="E197" s="61"/>
      <c r="F197" s="61"/>
      <c r="G197" s="60"/>
      <c r="H197" s="61"/>
      <c r="I197" s="60"/>
      <c r="J197" s="61"/>
      <c r="K197" s="60"/>
      <c r="L197" s="60"/>
      <c r="M197" s="60"/>
      <c r="N197" s="60"/>
      <c r="O197" s="60"/>
      <c r="P197" s="61"/>
      <c r="Q197" s="61"/>
      <c r="R197" s="63"/>
      <c r="S197" s="61"/>
      <c r="T197" s="62" t="str">
        <f aca="true">IF(Q197&lt;&gt;"Yes","",IF(S197="Yes","Done",IF(R197="","Date missing",IF(R197&lt;TODAY(),"OVERDUE","Scheduled"))))</f>
        <v/>
      </c>
      <c r="U197" s="61"/>
      <c r="V197" s="61"/>
      <c r="W197" s="60"/>
      <c r="X197" s="88" t="str">
        <f aca="false">IF(AND(G197&lt;&gt;"",AND(B197&lt;&gt;"",B197&gt;='Weekly Report'!$F$4,B197&lt;='Weekly Report'!$F$5)),ROW(),"")</f>
        <v/>
      </c>
    </row>
    <row r="198" customFormat="false" ht="15" hidden="false" customHeight="false" outlineLevel="0" collapsed="false">
      <c r="A198" s="56" t="s">
        <v>1017</v>
      </c>
      <c r="B198" s="63"/>
      <c r="C198" s="91"/>
      <c r="D198" s="92"/>
      <c r="E198" s="61"/>
      <c r="F198" s="61"/>
      <c r="G198" s="60"/>
      <c r="H198" s="61"/>
      <c r="I198" s="60"/>
      <c r="J198" s="61"/>
      <c r="K198" s="60"/>
      <c r="L198" s="60"/>
      <c r="M198" s="60"/>
      <c r="N198" s="60"/>
      <c r="O198" s="60"/>
      <c r="P198" s="61"/>
      <c r="Q198" s="61"/>
      <c r="R198" s="63"/>
      <c r="S198" s="61"/>
      <c r="T198" s="62" t="str">
        <f aca="true">IF(Q198&lt;&gt;"Yes","",IF(S198="Yes","Done",IF(R198="","Date missing",IF(R198&lt;TODAY(),"OVERDUE","Scheduled"))))</f>
        <v/>
      </c>
      <c r="U198" s="61"/>
      <c r="V198" s="61"/>
      <c r="W198" s="60"/>
      <c r="X198" s="88" t="str">
        <f aca="false">IF(AND(G198&lt;&gt;"",AND(B198&lt;&gt;"",B198&gt;='Weekly Report'!$F$4,B198&lt;='Weekly Report'!$F$5)),ROW(),"")</f>
        <v/>
      </c>
    </row>
    <row r="199" customFormat="false" ht="15" hidden="false" customHeight="false" outlineLevel="0" collapsed="false">
      <c r="A199" s="56" t="s">
        <v>1018</v>
      </c>
      <c r="B199" s="63"/>
      <c r="C199" s="91"/>
      <c r="D199" s="92"/>
      <c r="E199" s="61"/>
      <c r="F199" s="61"/>
      <c r="G199" s="60"/>
      <c r="H199" s="61"/>
      <c r="I199" s="60"/>
      <c r="J199" s="61"/>
      <c r="K199" s="60"/>
      <c r="L199" s="60"/>
      <c r="M199" s="60"/>
      <c r="N199" s="60"/>
      <c r="O199" s="60"/>
      <c r="P199" s="61"/>
      <c r="Q199" s="61"/>
      <c r="R199" s="63"/>
      <c r="S199" s="61"/>
      <c r="T199" s="62" t="str">
        <f aca="true">IF(Q199&lt;&gt;"Yes","",IF(S199="Yes","Done",IF(R199="","Date missing",IF(R199&lt;TODAY(),"OVERDUE","Scheduled"))))</f>
        <v/>
      </c>
      <c r="U199" s="61"/>
      <c r="V199" s="61"/>
      <c r="W199" s="60"/>
      <c r="X199" s="88" t="str">
        <f aca="false">IF(AND(G199&lt;&gt;"",AND(B199&lt;&gt;"",B199&gt;='Weekly Report'!$F$4,B199&lt;='Weekly Report'!$F$5)),ROW(),"")</f>
        <v/>
      </c>
    </row>
    <row r="200" customFormat="false" ht="15" hidden="false" customHeight="false" outlineLevel="0" collapsed="false">
      <c r="A200" s="56" t="s">
        <v>1019</v>
      </c>
      <c r="B200" s="63"/>
      <c r="C200" s="91"/>
      <c r="D200" s="92"/>
      <c r="E200" s="61"/>
      <c r="F200" s="61"/>
      <c r="G200" s="60"/>
      <c r="H200" s="61"/>
      <c r="I200" s="60"/>
      <c r="J200" s="61"/>
      <c r="K200" s="60"/>
      <c r="L200" s="60"/>
      <c r="M200" s="60"/>
      <c r="N200" s="60"/>
      <c r="O200" s="60"/>
      <c r="P200" s="61"/>
      <c r="Q200" s="61"/>
      <c r="R200" s="63"/>
      <c r="S200" s="61"/>
      <c r="T200" s="62" t="str">
        <f aca="true">IF(Q200&lt;&gt;"Yes","",IF(S200="Yes","Done",IF(R200="","Date missing",IF(R200&lt;TODAY(),"OVERDUE","Scheduled"))))</f>
        <v/>
      </c>
      <c r="U200" s="61"/>
      <c r="V200" s="61"/>
      <c r="W200" s="60"/>
      <c r="X200" s="88" t="str">
        <f aca="false">IF(AND(G200&lt;&gt;"",AND(B200&lt;&gt;"",B200&gt;='Weekly Report'!$F$4,B200&lt;='Weekly Report'!$F$5)),ROW(),"")</f>
        <v/>
      </c>
    </row>
    <row r="201" customFormat="false" ht="15" hidden="false" customHeight="false" outlineLevel="0" collapsed="false">
      <c r="A201" s="56" t="s">
        <v>1020</v>
      </c>
      <c r="B201" s="63"/>
      <c r="C201" s="91"/>
      <c r="D201" s="92"/>
      <c r="E201" s="61"/>
      <c r="F201" s="61"/>
      <c r="G201" s="60"/>
      <c r="H201" s="61"/>
      <c r="I201" s="60"/>
      <c r="J201" s="61"/>
      <c r="K201" s="60"/>
      <c r="L201" s="60"/>
      <c r="M201" s="60"/>
      <c r="N201" s="60"/>
      <c r="O201" s="60"/>
      <c r="P201" s="61"/>
      <c r="Q201" s="61"/>
      <c r="R201" s="63"/>
      <c r="S201" s="61"/>
      <c r="T201" s="62" t="str">
        <f aca="true">IF(Q201&lt;&gt;"Yes","",IF(S201="Yes","Done",IF(R201="","Date missing",IF(R201&lt;TODAY(),"OVERDUE","Scheduled"))))</f>
        <v/>
      </c>
      <c r="U201" s="61"/>
      <c r="V201" s="61"/>
      <c r="W201" s="60"/>
      <c r="X201" s="88" t="str">
        <f aca="false">IF(AND(G201&lt;&gt;"",AND(B201&lt;&gt;"",B201&gt;='Weekly Report'!$F$4,B201&lt;='Weekly Report'!$F$5)),ROW(),"")</f>
        <v/>
      </c>
    </row>
    <row r="202" customFormat="false" ht="15" hidden="false" customHeight="false" outlineLevel="0" collapsed="false">
      <c r="A202" s="56" t="s">
        <v>1021</v>
      </c>
      <c r="B202" s="63"/>
      <c r="C202" s="91"/>
      <c r="D202" s="92"/>
      <c r="E202" s="61"/>
      <c r="F202" s="61"/>
      <c r="G202" s="60"/>
      <c r="H202" s="61"/>
      <c r="I202" s="60"/>
      <c r="J202" s="61"/>
      <c r="K202" s="60"/>
      <c r="L202" s="60"/>
      <c r="M202" s="60"/>
      <c r="N202" s="60"/>
      <c r="O202" s="60"/>
      <c r="P202" s="61"/>
      <c r="Q202" s="61"/>
      <c r="R202" s="63"/>
      <c r="S202" s="61"/>
      <c r="T202" s="62" t="str">
        <f aca="true">IF(Q202&lt;&gt;"Yes","",IF(S202="Yes","Done",IF(R202="","Date missing",IF(R202&lt;TODAY(),"OVERDUE","Scheduled"))))</f>
        <v/>
      </c>
      <c r="U202" s="61"/>
      <c r="V202" s="61"/>
      <c r="W202" s="60"/>
      <c r="X202" s="88" t="str">
        <f aca="false">IF(AND(G202&lt;&gt;"",AND(B202&lt;&gt;"",B202&gt;='Weekly Report'!$F$4,B202&lt;='Weekly Report'!$F$5)),ROW(),"")</f>
        <v/>
      </c>
    </row>
    <row r="203" customFormat="false" ht="15" hidden="false" customHeight="false" outlineLevel="0" collapsed="false">
      <c r="A203" s="56" t="s">
        <v>1022</v>
      </c>
      <c r="B203" s="63"/>
      <c r="C203" s="91"/>
      <c r="D203" s="92"/>
      <c r="E203" s="61"/>
      <c r="F203" s="61"/>
      <c r="G203" s="60"/>
      <c r="H203" s="61"/>
      <c r="I203" s="60"/>
      <c r="J203" s="61"/>
      <c r="K203" s="60"/>
      <c r="L203" s="60"/>
      <c r="M203" s="60"/>
      <c r="N203" s="60"/>
      <c r="O203" s="60"/>
      <c r="P203" s="61"/>
      <c r="Q203" s="61"/>
      <c r="R203" s="63"/>
      <c r="S203" s="61"/>
      <c r="T203" s="62" t="str">
        <f aca="true">IF(Q203&lt;&gt;"Yes","",IF(S203="Yes","Done",IF(R203="","Date missing",IF(R203&lt;TODAY(),"OVERDUE","Scheduled"))))</f>
        <v/>
      </c>
      <c r="U203" s="61"/>
      <c r="V203" s="61"/>
      <c r="W203" s="60"/>
      <c r="X203" s="88" t="str">
        <f aca="false">IF(AND(G203&lt;&gt;"",AND(B203&lt;&gt;"",B203&gt;='Weekly Report'!$F$4,B203&lt;='Weekly Report'!$F$5)),ROW(),"")</f>
        <v/>
      </c>
    </row>
    <row r="204" customFormat="false" ht="15" hidden="false" customHeight="false" outlineLevel="0" collapsed="false">
      <c r="A204" s="56" t="s">
        <v>1023</v>
      </c>
      <c r="B204" s="63"/>
      <c r="C204" s="91"/>
      <c r="D204" s="92"/>
      <c r="E204" s="61"/>
      <c r="F204" s="61"/>
      <c r="G204" s="60"/>
      <c r="H204" s="61"/>
      <c r="I204" s="60"/>
      <c r="J204" s="61"/>
      <c r="K204" s="60"/>
      <c r="L204" s="60"/>
      <c r="M204" s="60"/>
      <c r="N204" s="60"/>
      <c r="O204" s="60"/>
      <c r="P204" s="61"/>
      <c r="Q204" s="61"/>
      <c r="R204" s="63"/>
      <c r="S204" s="61"/>
      <c r="T204" s="62" t="str">
        <f aca="true">IF(Q204&lt;&gt;"Yes","",IF(S204="Yes","Done",IF(R204="","Date missing",IF(R204&lt;TODAY(),"OVERDUE","Scheduled"))))</f>
        <v/>
      </c>
      <c r="U204" s="61"/>
      <c r="V204" s="61"/>
      <c r="W204" s="60"/>
      <c r="X204" s="88" t="str">
        <f aca="false">IF(AND(G204&lt;&gt;"",AND(B204&lt;&gt;"",B204&gt;='Weekly Report'!$F$4,B204&lt;='Weekly Report'!$F$5)),ROW(),"")</f>
        <v/>
      </c>
    </row>
    <row r="205" customFormat="false" ht="15" hidden="false" customHeight="false" outlineLevel="0" collapsed="false">
      <c r="A205" s="56" t="s">
        <v>1024</v>
      </c>
      <c r="B205" s="63"/>
      <c r="C205" s="91"/>
      <c r="D205" s="92"/>
      <c r="E205" s="61"/>
      <c r="F205" s="61"/>
      <c r="G205" s="60"/>
      <c r="H205" s="61"/>
      <c r="I205" s="60"/>
      <c r="J205" s="61"/>
      <c r="K205" s="60"/>
      <c r="L205" s="60"/>
      <c r="M205" s="60"/>
      <c r="N205" s="60"/>
      <c r="O205" s="60"/>
      <c r="P205" s="61"/>
      <c r="Q205" s="61"/>
      <c r="R205" s="63"/>
      <c r="S205" s="61"/>
      <c r="T205" s="62" t="str">
        <f aca="true">IF(Q205&lt;&gt;"Yes","",IF(S205="Yes","Done",IF(R205="","Date missing",IF(R205&lt;TODAY(),"OVERDUE","Scheduled"))))</f>
        <v/>
      </c>
      <c r="U205" s="61"/>
      <c r="V205" s="61"/>
      <c r="W205" s="60"/>
      <c r="X205" s="88" t="str">
        <f aca="false">IF(AND(G205&lt;&gt;"",AND(B205&lt;&gt;"",B205&gt;='Weekly Report'!$F$4,B205&lt;='Weekly Report'!$F$5)),ROW(),"")</f>
        <v/>
      </c>
    </row>
    <row r="206" customFormat="false" ht="15" hidden="false" customHeight="false" outlineLevel="0" collapsed="false">
      <c r="A206" s="56" t="s">
        <v>1025</v>
      </c>
      <c r="B206" s="63"/>
      <c r="C206" s="91"/>
      <c r="D206" s="92"/>
      <c r="E206" s="61"/>
      <c r="F206" s="61"/>
      <c r="G206" s="60"/>
      <c r="H206" s="61"/>
      <c r="I206" s="60"/>
      <c r="J206" s="61"/>
      <c r="K206" s="60"/>
      <c r="L206" s="60"/>
      <c r="M206" s="60"/>
      <c r="N206" s="60"/>
      <c r="O206" s="60"/>
      <c r="P206" s="61"/>
      <c r="Q206" s="61"/>
      <c r="R206" s="63"/>
      <c r="S206" s="61"/>
      <c r="T206" s="62" t="str">
        <f aca="true">IF(Q206&lt;&gt;"Yes","",IF(S206="Yes","Done",IF(R206="","Date missing",IF(R206&lt;TODAY(),"OVERDUE","Scheduled"))))</f>
        <v/>
      </c>
      <c r="U206" s="61"/>
      <c r="V206" s="61"/>
      <c r="W206" s="60"/>
      <c r="X206" s="88" t="str">
        <f aca="false">IF(AND(G206&lt;&gt;"",AND(B206&lt;&gt;"",B206&gt;='Weekly Report'!$F$4,B206&lt;='Weekly Report'!$F$5)),ROW(),"")</f>
        <v/>
      </c>
    </row>
    <row r="207" customFormat="false" ht="15" hidden="false" customHeight="false" outlineLevel="0" collapsed="false">
      <c r="A207" s="56" t="s">
        <v>1026</v>
      </c>
      <c r="B207" s="63"/>
      <c r="C207" s="91"/>
      <c r="D207" s="92"/>
      <c r="E207" s="61"/>
      <c r="F207" s="61"/>
      <c r="G207" s="60"/>
      <c r="H207" s="61"/>
      <c r="I207" s="60"/>
      <c r="J207" s="61"/>
      <c r="K207" s="60"/>
      <c r="L207" s="60"/>
      <c r="M207" s="60"/>
      <c r="N207" s="60"/>
      <c r="O207" s="60"/>
      <c r="P207" s="61"/>
      <c r="Q207" s="61"/>
      <c r="R207" s="63"/>
      <c r="S207" s="61"/>
      <c r="T207" s="62" t="str">
        <f aca="true">IF(Q207&lt;&gt;"Yes","",IF(S207="Yes","Done",IF(R207="","Date missing",IF(R207&lt;TODAY(),"OVERDUE","Scheduled"))))</f>
        <v/>
      </c>
      <c r="U207" s="61"/>
      <c r="V207" s="61"/>
      <c r="W207" s="60"/>
      <c r="X207" s="88" t="str">
        <f aca="false">IF(AND(G207&lt;&gt;"",AND(B207&lt;&gt;"",B207&gt;='Weekly Report'!$F$4,B207&lt;='Weekly Report'!$F$5)),ROW(),"")</f>
        <v/>
      </c>
    </row>
    <row r="208" customFormat="false" ht="15" hidden="false" customHeight="false" outlineLevel="0" collapsed="false">
      <c r="A208" s="56" t="s">
        <v>1027</v>
      </c>
      <c r="B208" s="63"/>
      <c r="C208" s="91"/>
      <c r="D208" s="92"/>
      <c r="E208" s="61"/>
      <c r="F208" s="61"/>
      <c r="G208" s="60"/>
      <c r="H208" s="61"/>
      <c r="I208" s="60"/>
      <c r="J208" s="61"/>
      <c r="K208" s="60"/>
      <c r="L208" s="60"/>
      <c r="M208" s="60"/>
      <c r="N208" s="60"/>
      <c r="O208" s="60"/>
      <c r="P208" s="61"/>
      <c r="Q208" s="61"/>
      <c r="R208" s="63"/>
      <c r="S208" s="61"/>
      <c r="T208" s="62" t="str">
        <f aca="true">IF(Q208&lt;&gt;"Yes","",IF(S208="Yes","Done",IF(R208="","Date missing",IF(R208&lt;TODAY(),"OVERDUE","Scheduled"))))</f>
        <v/>
      </c>
      <c r="U208" s="61"/>
      <c r="V208" s="61"/>
      <c r="W208" s="60"/>
      <c r="X208" s="88" t="str">
        <f aca="false">IF(AND(G208&lt;&gt;"",AND(B208&lt;&gt;"",B208&gt;='Weekly Report'!$F$4,B208&lt;='Weekly Report'!$F$5)),ROW(),"")</f>
        <v/>
      </c>
    </row>
    <row r="209" customFormat="false" ht="15" hidden="false" customHeight="false" outlineLevel="0" collapsed="false">
      <c r="A209" s="56" t="s">
        <v>1028</v>
      </c>
      <c r="B209" s="63"/>
      <c r="C209" s="91"/>
      <c r="D209" s="92"/>
      <c r="E209" s="61"/>
      <c r="F209" s="61"/>
      <c r="G209" s="60"/>
      <c r="H209" s="61"/>
      <c r="I209" s="60"/>
      <c r="J209" s="61"/>
      <c r="K209" s="60"/>
      <c r="L209" s="60"/>
      <c r="M209" s="60"/>
      <c r="N209" s="60"/>
      <c r="O209" s="60"/>
      <c r="P209" s="61"/>
      <c r="Q209" s="61"/>
      <c r="R209" s="63"/>
      <c r="S209" s="61"/>
      <c r="T209" s="62" t="str">
        <f aca="true">IF(Q209&lt;&gt;"Yes","",IF(S209="Yes","Done",IF(R209="","Date missing",IF(R209&lt;TODAY(),"OVERDUE","Scheduled"))))</f>
        <v/>
      </c>
      <c r="U209" s="61"/>
      <c r="V209" s="61"/>
      <c r="W209" s="60"/>
      <c r="X209" s="88" t="str">
        <f aca="false">IF(AND(G209&lt;&gt;"",AND(B209&lt;&gt;"",B209&gt;='Weekly Report'!$F$4,B209&lt;='Weekly Report'!$F$5)),ROW(),"")</f>
        <v/>
      </c>
    </row>
    <row r="210" customFormat="false" ht="15" hidden="false" customHeight="false" outlineLevel="0" collapsed="false">
      <c r="A210" s="56" t="s">
        <v>1029</v>
      </c>
      <c r="B210" s="63"/>
      <c r="C210" s="91"/>
      <c r="D210" s="92"/>
      <c r="E210" s="61"/>
      <c r="F210" s="61"/>
      <c r="G210" s="60"/>
      <c r="H210" s="61"/>
      <c r="I210" s="60"/>
      <c r="J210" s="61"/>
      <c r="K210" s="60"/>
      <c r="L210" s="60"/>
      <c r="M210" s="60"/>
      <c r="N210" s="60"/>
      <c r="O210" s="60"/>
      <c r="P210" s="61"/>
      <c r="Q210" s="61"/>
      <c r="R210" s="63"/>
      <c r="S210" s="61"/>
      <c r="T210" s="62" t="str">
        <f aca="true">IF(Q210&lt;&gt;"Yes","",IF(S210="Yes","Done",IF(R210="","Date missing",IF(R210&lt;TODAY(),"OVERDUE","Scheduled"))))</f>
        <v/>
      </c>
      <c r="U210" s="61"/>
      <c r="V210" s="61"/>
      <c r="W210" s="60"/>
      <c r="X210" s="88" t="str">
        <f aca="false">IF(AND(G210&lt;&gt;"",AND(B210&lt;&gt;"",B210&gt;='Weekly Report'!$F$4,B210&lt;='Weekly Report'!$F$5)),ROW(),"")</f>
        <v/>
      </c>
    </row>
    <row r="211" customFormat="false" ht="15" hidden="false" customHeight="false" outlineLevel="0" collapsed="false">
      <c r="A211" s="56" t="s">
        <v>1030</v>
      </c>
      <c r="B211" s="63"/>
      <c r="C211" s="91"/>
      <c r="D211" s="92"/>
      <c r="E211" s="61"/>
      <c r="F211" s="61"/>
      <c r="G211" s="60"/>
      <c r="H211" s="61"/>
      <c r="I211" s="60"/>
      <c r="J211" s="61"/>
      <c r="K211" s="60"/>
      <c r="L211" s="60"/>
      <c r="M211" s="60"/>
      <c r="N211" s="60"/>
      <c r="O211" s="60"/>
      <c r="P211" s="61"/>
      <c r="Q211" s="61"/>
      <c r="R211" s="63"/>
      <c r="S211" s="61"/>
      <c r="T211" s="62" t="str">
        <f aca="true">IF(Q211&lt;&gt;"Yes","",IF(S211="Yes","Done",IF(R211="","Date missing",IF(R211&lt;TODAY(),"OVERDUE","Scheduled"))))</f>
        <v/>
      </c>
      <c r="U211" s="61"/>
      <c r="V211" s="61"/>
      <c r="W211" s="60"/>
      <c r="X211" s="88" t="str">
        <f aca="false">IF(AND(G211&lt;&gt;"",AND(B211&lt;&gt;"",B211&gt;='Weekly Report'!$F$4,B211&lt;='Weekly Report'!$F$5)),ROW(),"")</f>
        <v/>
      </c>
    </row>
    <row r="212" customFormat="false" ht="15" hidden="false" customHeight="false" outlineLevel="0" collapsed="false">
      <c r="A212" s="56" t="s">
        <v>1031</v>
      </c>
      <c r="B212" s="63"/>
      <c r="C212" s="91"/>
      <c r="D212" s="92"/>
      <c r="E212" s="61"/>
      <c r="F212" s="61"/>
      <c r="G212" s="60"/>
      <c r="H212" s="61"/>
      <c r="I212" s="60"/>
      <c r="J212" s="61"/>
      <c r="K212" s="60"/>
      <c r="L212" s="60"/>
      <c r="M212" s="60"/>
      <c r="N212" s="60"/>
      <c r="O212" s="60"/>
      <c r="P212" s="61"/>
      <c r="Q212" s="61"/>
      <c r="R212" s="63"/>
      <c r="S212" s="61"/>
      <c r="T212" s="62" t="str">
        <f aca="true">IF(Q212&lt;&gt;"Yes","",IF(S212="Yes","Done",IF(R212="","Date missing",IF(R212&lt;TODAY(),"OVERDUE","Scheduled"))))</f>
        <v/>
      </c>
      <c r="U212" s="61"/>
      <c r="V212" s="61"/>
      <c r="W212" s="60"/>
      <c r="X212" s="88" t="str">
        <f aca="false">IF(AND(G212&lt;&gt;"",AND(B212&lt;&gt;"",B212&gt;='Weekly Report'!$F$4,B212&lt;='Weekly Report'!$F$5)),ROW(),"")</f>
        <v/>
      </c>
    </row>
    <row r="213" customFormat="false" ht="15" hidden="false" customHeight="false" outlineLevel="0" collapsed="false">
      <c r="A213" s="56" t="s">
        <v>1032</v>
      </c>
      <c r="B213" s="63"/>
      <c r="C213" s="91"/>
      <c r="D213" s="92"/>
      <c r="E213" s="61"/>
      <c r="F213" s="61"/>
      <c r="G213" s="60"/>
      <c r="H213" s="61"/>
      <c r="I213" s="60"/>
      <c r="J213" s="61"/>
      <c r="K213" s="60"/>
      <c r="L213" s="60"/>
      <c r="M213" s="60"/>
      <c r="N213" s="60"/>
      <c r="O213" s="60"/>
      <c r="P213" s="61"/>
      <c r="Q213" s="61"/>
      <c r="R213" s="63"/>
      <c r="S213" s="61"/>
      <c r="T213" s="62" t="str">
        <f aca="true">IF(Q213&lt;&gt;"Yes","",IF(S213="Yes","Done",IF(R213="","Date missing",IF(R213&lt;TODAY(),"OVERDUE","Scheduled"))))</f>
        <v/>
      </c>
      <c r="U213" s="61"/>
      <c r="V213" s="61"/>
      <c r="W213" s="60"/>
      <c r="X213" s="88" t="str">
        <f aca="false">IF(AND(G213&lt;&gt;"",AND(B213&lt;&gt;"",B213&gt;='Weekly Report'!$F$4,B213&lt;='Weekly Report'!$F$5)),ROW(),"")</f>
        <v/>
      </c>
    </row>
    <row r="214" customFormat="false" ht="15" hidden="false" customHeight="false" outlineLevel="0" collapsed="false">
      <c r="A214" s="56" t="s">
        <v>1033</v>
      </c>
      <c r="B214" s="63"/>
      <c r="C214" s="91"/>
      <c r="D214" s="92"/>
      <c r="E214" s="61"/>
      <c r="F214" s="61"/>
      <c r="G214" s="60"/>
      <c r="H214" s="61"/>
      <c r="I214" s="60"/>
      <c r="J214" s="61"/>
      <c r="K214" s="60"/>
      <c r="L214" s="60"/>
      <c r="M214" s="60"/>
      <c r="N214" s="60"/>
      <c r="O214" s="60"/>
      <c r="P214" s="61"/>
      <c r="Q214" s="61"/>
      <c r="R214" s="63"/>
      <c r="S214" s="61"/>
      <c r="T214" s="62" t="str">
        <f aca="true">IF(Q214&lt;&gt;"Yes","",IF(S214="Yes","Done",IF(R214="","Date missing",IF(R214&lt;TODAY(),"OVERDUE","Scheduled"))))</f>
        <v/>
      </c>
      <c r="U214" s="61"/>
      <c r="V214" s="61"/>
      <c r="W214" s="60"/>
      <c r="X214" s="88" t="str">
        <f aca="false">IF(AND(G214&lt;&gt;"",AND(B214&lt;&gt;"",B214&gt;='Weekly Report'!$F$4,B214&lt;='Weekly Report'!$F$5)),ROW(),"")</f>
        <v/>
      </c>
    </row>
    <row r="215" customFormat="false" ht="15" hidden="false" customHeight="false" outlineLevel="0" collapsed="false">
      <c r="A215" s="56" t="s">
        <v>1034</v>
      </c>
      <c r="B215" s="63"/>
      <c r="C215" s="91"/>
      <c r="D215" s="92"/>
      <c r="E215" s="61"/>
      <c r="F215" s="61"/>
      <c r="G215" s="60"/>
      <c r="H215" s="61"/>
      <c r="I215" s="60"/>
      <c r="J215" s="61"/>
      <c r="K215" s="60"/>
      <c r="L215" s="60"/>
      <c r="M215" s="60"/>
      <c r="N215" s="60"/>
      <c r="O215" s="60"/>
      <c r="P215" s="61"/>
      <c r="Q215" s="61"/>
      <c r="R215" s="63"/>
      <c r="S215" s="61"/>
      <c r="T215" s="62" t="str">
        <f aca="true">IF(Q215&lt;&gt;"Yes","",IF(S215="Yes","Done",IF(R215="","Date missing",IF(R215&lt;TODAY(),"OVERDUE","Scheduled"))))</f>
        <v/>
      </c>
      <c r="U215" s="61"/>
      <c r="V215" s="61"/>
      <c r="W215" s="60"/>
      <c r="X215" s="88" t="str">
        <f aca="false">IF(AND(G215&lt;&gt;"",AND(B215&lt;&gt;"",B215&gt;='Weekly Report'!$F$4,B215&lt;='Weekly Report'!$F$5)),ROW(),"")</f>
        <v/>
      </c>
    </row>
    <row r="216" customFormat="false" ht="15" hidden="false" customHeight="false" outlineLevel="0" collapsed="false">
      <c r="A216" s="56" t="s">
        <v>1035</v>
      </c>
      <c r="B216" s="63"/>
      <c r="C216" s="91"/>
      <c r="D216" s="92"/>
      <c r="E216" s="61"/>
      <c r="F216" s="61"/>
      <c r="G216" s="60"/>
      <c r="H216" s="61"/>
      <c r="I216" s="60"/>
      <c r="J216" s="61"/>
      <c r="K216" s="60"/>
      <c r="L216" s="60"/>
      <c r="M216" s="60"/>
      <c r="N216" s="60"/>
      <c r="O216" s="60"/>
      <c r="P216" s="61"/>
      <c r="Q216" s="61"/>
      <c r="R216" s="63"/>
      <c r="S216" s="61"/>
      <c r="T216" s="62" t="str">
        <f aca="true">IF(Q216&lt;&gt;"Yes","",IF(S216="Yes","Done",IF(R216="","Date missing",IF(R216&lt;TODAY(),"OVERDUE","Scheduled"))))</f>
        <v/>
      </c>
      <c r="U216" s="61"/>
      <c r="V216" s="61"/>
      <c r="W216" s="60"/>
      <c r="X216" s="88" t="str">
        <f aca="false">IF(AND(G216&lt;&gt;"",AND(B216&lt;&gt;"",B216&gt;='Weekly Report'!$F$4,B216&lt;='Weekly Report'!$F$5)),ROW(),"")</f>
        <v/>
      </c>
    </row>
    <row r="217" customFormat="false" ht="15" hidden="false" customHeight="false" outlineLevel="0" collapsed="false">
      <c r="A217" s="56" t="s">
        <v>1036</v>
      </c>
      <c r="B217" s="63"/>
      <c r="C217" s="91"/>
      <c r="D217" s="92"/>
      <c r="E217" s="61"/>
      <c r="F217" s="61"/>
      <c r="G217" s="60"/>
      <c r="H217" s="61"/>
      <c r="I217" s="60"/>
      <c r="J217" s="61"/>
      <c r="K217" s="60"/>
      <c r="L217" s="60"/>
      <c r="M217" s="60"/>
      <c r="N217" s="60"/>
      <c r="O217" s="60"/>
      <c r="P217" s="61"/>
      <c r="Q217" s="61"/>
      <c r="R217" s="63"/>
      <c r="S217" s="61"/>
      <c r="T217" s="62" t="str">
        <f aca="true">IF(Q217&lt;&gt;"Yes","",IF(S217="Yes","Done",IF(R217="","Date missing",IF(R217&lt;TODAY(),"OVERDUE","Scheduled"))))</f>
        <v/>
      </c>
      <c r="U217" s="61"/>
      <c r="V217" s="61"/>
      <c r="W217" s="60"/>
      <c r="X217" s="88" t="str">
        <f aca="false">IF(AND(G217&lt;&gt;"",AND(B217&lt;&gt;"",B217&gt;='Weekly Report'!$F$4,B217&lt;='Weekly Report'!$F$5)),ROW(),"")</f>
        <v/>
      </c>
    </row>
    <row r="218" customFormat="false" ht="15" hidden="false" customHeight="false" outlineLevel="0" collapsed="false">
      <c r="A218" s="56" t="s">
        <v>1037</v>
      </c>
      <c r="B218" s="63"/>
      <c r="C218" s="91"/>
      <c r="D218" s="92"/>
      <c r="E218" s="61"/>
      <c r="F218" s="61"/>
      <c r="G218" s="60"/>
      <c r="H218" s="61"/>
      <c r="I218" s="60"/>
      <c r="J218" s="61"/>
      <c r="K218" s="60"/>
      <c r="L218" s="60"/>
      <c r="M218" s="60"/>
      <c r="N218" s="60"/>
      <c r="O218" s="60"/>
      <c r="P218" s="61"/>
      <c r="Q218" s="61"/>
      <c r="R218" s="63"/>
      <c r="S218" s="61"/>
      <c r="T218" s="62" t="str">
        <f aca="true">IF(Q218&lt;&gt;"Yes","",IF(S218="Yes","Done",IF(R218="","Date missing",IF(R218&lt;TODAY(),"OVERDUE","Scheduled"))))</f>
        <v/>
      </c>
      <c r="U218" s="61"/>
      <c r="V218" s="61"/>
      <c r="W218" s="60"/>
      <c r="X218" s="88" t="str">
        <f aca="false">IF(AND(G218&lt;&gt;"",AND(B218&lt;&gt;"",B218&gt;='Weekly Report'!$F$4,B218&lt;='Weekly Report'!$F$5)),ROW(),"")</f>
        <v/>
      </c>
    </row>
    <row r="219" customFormat="false" ht="15" hidden="false" customHeight="false" outlineLevel="0" collapsed="false">
      <c r="A219" s="56" t="s">
        <v>1038</v>
      </c>
      <c r="B219" s="63"/>
      <c r="C219" s="91"/>
      <c r="D219" s="92"/>
      <c r="E219" s="61"/>
      <c r="F219" s="61"/>
      <c r="G219" s="60"/>
      <c r="H219" s="61"/>
      <c r="I219" s="60"/>
      <c r="J219" s="61"/>
      <c r="K219" s="60"/>
      <c r="L219" s="60"/>
      <c r="M219" s="60"/>
      <c r="N219" s="60"/>
      <c r="O219" s="60"/>
      <c r="P219" s="61"/>
      <c r="Q219" s="61"/>
      <c r="R219" s="63"/>
      <c r="S219" s="61"/>
      <c r="T219" s="62" t="str">
        <f aca="true">IF(Q219&lt;&gt;"Yes","",IF(S219="Yes","Done",IF(R219="","Date missing",IF(R219&lt;TODAY(),"OVERDUE","Scheduled"))))</f>
        <v/>
      </c>
      <c r="U219" s="61"/>
      <c r="V219" s="61"/>
      <c r="W219" s="60"/>
      <c r="X219" s="88" t="str">
        <f aca="false">IF(AND(G219&lt;&gt;"",AND(B219&lt;&gt;"",B219&gt;='Weekly Report'!$F$4,B219&lt;='Weekly Report'!$F$5)),ROW(),"")</f>
        <v/>
      </c>
    </row>
    <row r="220" customFormat="false" ht="15" hidden="false" customHeight="false" outlineLevel="0" collapsed="false">
      <c r="A220" s="56" t="s">
        <v>1039</v>
      </c>
      <c r="B220" s="63"/>
      <c r="C220" s="91"/>
      <c r="D220" s="92"/>
      <c r="E220" s="61"/>
      <c r="F220" s="61"/>
      <c r="G220" s="60"/>
      <c r="H220" s="61"/>
      <c r="I220" s="60"/>
      <c r="J220" s="61"/>
      <c r="K220" s="60"/>
      <c r="L220" s="60"/>
      <c r="M220" s="60"/>
      <c r="N220" s="60"/>
      <c r="O220" s="60"/>
      <c r="P220" s="61"/>
      <c r="Q220" s="61"/>
      <c r="R220" s="63"/>
      <c r="S220" s="61"/>
      <c r="T220" s="62" t="str">
        <f aca="true">IF(Q220&lt;&gt;"Yes","",IF(S220="Yes","Done",IF(R220="","Date missing",IF(R220&lt;TODAY(),"OVERDUE","Scheduled"))))</f>
        <v/>
      </c>
      <c r="U220" s="61"/>
      <c r="V220" s="61"/>
      <c r="W220" s="60"/>
      <c r="X220" s="88" t="str">
        <f aca="false">IF(AND(G220&lt;&gt;"",AND(B220&lt;&gt;"",B220&gt;='Weekly Report'!$F$4,B220&lt;='Weekly Report'!$F$5)),ROW(),"")</f>
        <v/>
      </c>
    </row>
    <row r="221" customFormat="false" ht="15" hidden="false" customHeight="false" outlineLevel="0" collapsed="false">
      <c r="A221" s="56" t="s">
        <v>1040</v>
      </c>
      <c r="B221" s="63"/>
      <c r="C221" s="91"/>
      <c r="D221" s="92"/>
      <c r="E221" s="61"/>
      <c r="F221" s="61"/>
      <c r="G221" s="60"/>
      <c r="H221" s="61"/>
      <c r="I221" s="60"/>
      <c r="J221" s="61"/>
      <c r="K221" s="60"/>
      <c r="L221" s="60"/>
      <c r="M221" s="60"/>
      <c r="N221" s="60"/>
      <c r="O221" s="60"/>
      <c r="P221" s="61"/>
      <c r="Q221" s="61"/>
      <c r="R221" s="63"/>
      <c r="S221" s="61"/>
      <c r="T221" s="62" t="str">
        <f aca="true">IF(Q221&lt;&gt;"Yes","",IF(S221="Yes","Done",IF(R221="","Date missing",IF(R221&lt;TODAY(),"OVERDUE","Scheduled"))))</f>
        <v/>
      </c>
      <c r="U221" s="61"/>
      <c r="V221" s="61"/>
      <c r="W221" s="60"/>
      <c r="X221" s="88" t="str">
        <f aca="false">IF(AND(G221&lt;&gt;"",AND(B221&lt;&gt;"",B221&gt;='Weekly Report'!$F$4,B221&lt;='Weekly Report'!$F$5)),ROW(),"")</f>
        <v/>
      </c>
    </row>
    <row r="222" customFormat="false" ht="15" hidden="false" customHeight="false" outlineLevel="0" collapsed="false">
      <c r="A222" s="56" t="s">
        <v>1041</v>
      </c>
      <c r="B222" s="63"/>
      <c r="C222" s="91"/>
      <c r="D222" s="92"/>
      <c r="E222" s="61"/>
      <c r="F222" s="61"/>
      <c r="G222" s="60"/>
      <c r="H222" s="61"/>
      <c r="I222" s="60"/>
      <c r="J222" s="61"/>
      <c r="K222" s="60"/>
      <c r="L222" s="60"/>
      <c r="M222" s="60"/>
      <c r="N222" s="60"/>
      <c r="O222" s="60"/>
      <c r="P222" s="61"/>
      <c r="Q222" s="61"/>
      <c r="R222" s="63"/>
      <c r="S222" s="61"/>
      <c r="T222" s="62" t="str">
        <f aca="true">IF(Q222&lt;&gt;"Yes","",IF(S222="Yes","Done",IF(R222="","Date missing",IF(R222&lt;TODAY(),"OVERDUE","Scheduled"))))</f>
        <v/>
      </c>
      <c r="U222" s="61"/>
      <c r="V222" s="61"/>
      <c r="W222" s="60"/>
      <c r="X222" s="88" t="str">
        <f aca="false">IF(AND(G222&lt;&gt;"",AND(B222&lt;&gt;"",B222&gt;='Weekly Report'!$F$4,B222&lt;='Weekly Report'!$F$5)),ROW(),"")</f>
        <v/>
      </c>
    </row>
    <row r="223" customFormat="false" ht="15" hidden="false" customHeight="false" outlineLevel="0" collapsed="false">
      <c r="A223" s="56" t="s">
        <v>1042</v>
      </c>
      <c r="B223" s="63"/>
      <c r="C223" s="91"/>
      <c r="D223" s="92"/>
      <c r="E223" s="61"/>
      <c r="F223" s="61"/>
      <c r="G223" s="60"/>
      <c r="H223" s="61"/>
      <c r="I223" s="60"/>
      <c r="J223" s="61"/>
      <c r="K223" s="60"/>
      <c r="L223" s="60"/>
      <c r="M223" s="60"/>
      <c r="N223" s="60"/>
      <c r="O223" s="60"/>
      <c r="P223" s="61"/>
      <c r="Q223" s="61"/>
      <c r="R223" s="63"/>
      <c r="S223" s="61"/>
      <c r="T223" s="62" t="str">
        <f aca="true">IF(Q223&lt;&gt;"Yes","",IF(S223="Yes","Done",IF(R223="","Date missing",IF(R223&lt;TODAY(),"OVERDUE","Scheduled"))))</f>
        <v/>
      </c>
      <c r="U223" s="61"/>
      <c r="V223" s="61"/>
      <c r="W223" s="60"/>
      <c r="X223" s="88" t="str">
        <f aca="false">IF(AND(G223&lt;&gt;"",AND(B223&lt;&gt;"",B223&gt;='Weekly Report'!$F$4,B223&lt;='Weekly Report'!$F$5)),ROW(),"")</f>
        <v/>
      </c>
    </row>
    <row r="224" customFormat="false" ht="15" hidden="false" customHeight="false" outlineLevel="0" collapsed="false">
      <c r="A224" s="56" t="s">
        <v>1043</v>
      </c>
      <c r="B224" s="63"/>
      <c r="C224" s="91"/>
      <c r="D224" s="92"/>
      <c r="E224" s="61"/>
      <c r="F224" s="61"/>
      <c r="G224" s="60"/>
      <c r="H224" s="61"/>
      <c r="I224" s="60"/>
      <c r="J224" s="61"/>
      <c r="K224" s="60"/>
      <c r="L224" s="60"/>
      <c r="M224" s="60"/>
      <c r="N224" s="60"/>
      <c r="O224" s="60"/>
      <c r="P224" s="61"/>
      <c r="Q224" s="61"/>
      <c r="R224" s="63"/>
      <c r="S224" s="61"/>
      <c r="T224" s="62" t="str">
        <f aca="true">IF(Q224&lt;&gt;"Yes","",IF(S224="Yes","Done",IF(R224="","Date missing",IF(R224&lt;TODAY(),"OVERDUE","Scheduled"))))</f>
        <v/>
      </c>
      <c r="U224" s="61"/>
      <c r="V224" s="61"/>
      <c r="W224" s="60"/>
      <c r="X224" s="88" t="str">
        <f aca="false">IF(AND(G224&lt;&gt;"",AND(B224&lt;&gt;"",B224&gt;='Weekly Report'!$F$4,B224&lt;='Weekly Report'!$F$5)),ROW(),"")</f>
        <v/>
      </c>
    </row>
    <row r="225" customFormat="false" ht="15" hidden="false" customHeight="false" outlineLevel="0" collapsed="false">
      <c r="A225" s="56" t="s">
        <v>1044</v>
      </c>
      <c r="B225" s="63"/>
      <c r="C225" s="91"/>
      <c r="D225" s="92"/>
      <c r="E225" s="61"/>
      <c r="F225" s="61"/>
      <c r="G225" s="60"/>
      <c r="H225" s="61"/>
      <c r="I225" s="60"/>
      <c r="J225" s="61"/>
      <c r="K225" s="60"/>
      <c r="L225" s="60"/>
      <c r="M225" s="60"/>
      <c r="N225" s="60"/>
      <c r="O225" s="60"/>
      <c r="P225" s="61"/>
      <c r="Q225" s="61"/>
      <c r="R225" s="63"/>
      <c r="S225" s="61"/>
      <c r="T225" s="62" t="str">
        <f aca="true">IF(Q225&lt;&gt;"Yes","",IF(S225="Yes","Done",IF(R225="","Date missing",IF(R225&lt;TODAY(),"OVERDUE","Scheduled"))))</f>
        <v/>
      </c>
      <c r="U225" s="61"/>
      <c r="V225" s="61"/>
      <c r="W225" s="60"/>
      <c r="X225" s="88" t="str">
        <f aca="false">IF(AND(G225&lt;&gt;"",AND(B225&lt;&gt;"",B225&gt;='Weekly Report'!$F$4,B225&lt;='Weekly Report'!$F$5)),ROW(),"")</f>
        <v/>
      </c>
    </row>
    <row r="226" customFormat="false" ht="15" hidden="false" customHeight="false" outlineLevel="0" collapsed="false">
      <c r="A226" s="56" t="s">
        <v>1045</v>
      </c>
      <c r="B226" s="63"/>
      <c r="C226" s="91"/>
      <c r="D226" s="92"/>
      <c r="E226" s="61"/>
      <c r="F226" s="61"/>
      <c r="G226" s="60"/>
      <c r="H226" s="61"/>
      <c r="I226" s="60"/>
      <c r="J226" s="61"/>
      <c r="K226" s="60"/>
      <c r="L226" s="60"/>
      <c r="M226" s="60"/>
      <c r="N226" s="60"/>
      <c r="O226" s="60"/>
      <c r="P226" s="61"/>
      <c r="Q226" s="61"/>
      <c r="R226" s="63"/>
      <c r="S226" s="61"/>
      <c r="T226" s="62" t="str">
        <f aca="true">IF(Q226&lt;&gt;"Yes","",IF(S226="Yes","Done",IF(R226="","Date missing",IF(R226&lt;TODAY(),"OVERDUE","Scheduled"))))</f>
        <v/>
      </c>
      <c r="U226" s="61"/>
      <c r="V226" s="61"/>
      <c r="W226" s="60"/>
      <c r="X226" s="88" t="str">
        <f aca="false">IF(AND(G226&lt;&gt;"",AND(B226&lt;&gt;"",B226&gt;='Weekly Report'!$F$4,B226&lt;='Weekly Report'!$F$5)),ROW(),"")</f>
        <v/>
      </c>
    </row>
    <row r="227" customFormat="false" ht="15" hidden="false" customHeight="false" outlineLevel="0" collapsed="false">
      <c r="A227" s="56" t="s">
        <v>1046</v>
      </c>
      <c r="B227" s="63"/>
      <c r="C227" s="91"/>
      <c r="D227" s="92"/>
      <c r="E227" s="61"/>
      <c r="F227" s="61"/>
      <c r="G227" s="60"/>
      <c r="H227" s="61"/>
      <c r="I227" s="60"/>
      <c r="J227" s="61"/>
      <c r="K227" s="60"/>
      <c r="L227" s="60"/>
      <c r="M227" s="60"/>
      <c r="N227" s="60"/>
      <c r="O227" s="60"/>
      <c r="P227" s="61"/>
      <c r="Q227" s="61"/>
      <c r="R227" s="63"/>
      <c r="S227" s="61"/>
      <c r="T227" s="62" t="str">
        <f aca="true">IF(Q227&lt;&gt;"Yes","",IF(S227="Yes","Done",IF(R227="","Date missing",IF(R227&lt;TODAY(),"OVERDUE","Scheduled"))))</f>
        <v/>
      </c>
      <c r="U227" s="61"/>
      <c r="V227" s="61"/>
      <c r="W227" s="60"/>
      <c r="X227" s="88" t="str">
        <f aca="false">IF(AND(G227&lt;&gt;"",AND(B227&lt;&gt;"",B227&gt;='Weekly Report'!$F$4,B227&lt;='Weekly Report'!$F$5)),ROW(),"")</f>
        <v/>
      </c>
    </row>
    <row r="228" customFormat="false" ht="15" hidden="false" customHeight="false" outlineLevel="0" collapsed="false">
      <c r="A228" s="56" t="s">
        <v>1047</v>
      </c>
      <c r="B228" s="63"/>
      <c r="C228" s="91"/>
      <c r="D228" s="92"/>
      <c r="E228" s="61"/>
      <c r="F228" s="61"/>
      <c r="G228" s="60"/>
      <c r="H228" s="61"/>
      <c r="I228" s="60"/>
      <c r="J228" s="61"/>
      <c r="K228" s="60"/>
      <c r="L228" s="60"/>
      <c r="M228" s="60"/>
      <c r="N228" s="60"/>
      <c r="O228" s="60"/>
      <c r="P228" s="61"/>
      <c r="Q228" s="61"/>
      <c r="R228" s="63"/>
      <c r="S228" s="61"/>
      <c r="T228" s="62" t="str">
        <f aca="true">IF(Q228&lt;&gt;"Yes","",IF(S228="Yes","Done",IF(R228="","Date missing",IF(R228&lt;TODAY(),"OVERDUE","Scheduled"))))</f>
        <v/>
      </c>
      <c r="U228" s="61"/>
      <c r="V228" s="61"/>
      <c r="W228" s="60"/>
      <c r="X228" s="88" t="str">
        <f aca="false">IF(AND(G228&lt;&gt;"",AND(B228&lt;&gt;"",B228&gt;='Weekly Report'!$F$4,B228&lt;='Weekly Report'!$F$5)),ROW(),"")</f>
        <v/>
      </c>
    </row>
    <row r="229" customFormat="false" ht="15" hidden="false" customHeight="false" outlineLevel="0" collapsed="false">
      <c r="A229" s="56" t="s">
        <v>1048</v>
      </c>
      <c r="B229" s="63"/>
      <c r="C229" s="91"/>
      <c r="D229" s="92"/>
      <c r="E229" s="61"/>
      <c r="F229" s="61"/>
      <c r="G229" s="60"/>
      <c r="H229" s="61"/>
      <c r="I229" s="60"/>
      <c r="J229" s="61"/>
      <c r="K229" s="60"/>
      <c r="L229" s="60"/>
      <c r="M229" s="60"/>
      <c r="N229" s="60"/>
      <c r="O229" s="60"/>
      <c r="P229" s="61"/>
      <c r="Q229" s="61"/>
      <c r="R229" s="63"/>
      <c r="S229" s="61"/>
      <c r="T229" s="62" t="str">
        <f aca="true">IF(Q229&lt;&gt;"Yes","",IF(S229="Yes","Done",IF(R229="","Date missing",IF(R229&lt;TODAY(),"OVERDUE","Scheduled"))))</f>
        <v/>
      </c>
      <c r="U229" s="61"/>
      <c r="V229" s="61"/>
      <c r="W229" s="60"/>
      <c r="X229" s="88" t="str">
        <f aca="false">IF(AND(G229&lt;&gt;"",AND(B229&lt;&gt;"",B229&gt;='Weekly Report'!$F$4,B229&lt;='Weekly Report'!$F$5)),ROW(),"")</f>
        <v/>
      </c>
    </row>
    <row r="230" customFormat="false" ht="15" hidden="false" customHeight="false" outlineLevel="0" collapsed="false">
      <c r="A230" s="56" t="s">
        <v>1049</v>
      </c>
      <c r="B230" s="63"/>
      <c r="C230" s="91"/>
      <c r="D230" s="92"/>
      <c r="E230" s="61"/>
      <c r="F230" s="61"/>
      <c r="G230" s="60"/>
      <c r="H230" s="61"/>
      <c r="I230" s="60"/>
      <c r="J230" s="61"/>
      <c r="K230" s="60"/>
      <c r="L230" s="60"/>
      <c r="M230" s="60"/>
      <c r="N230" s="60"/>
      <c r="O230" s="60"/>
      <c r="P230" s="61"/>
      <c r="Q230" s="61"/>
      <c r="R230" s="63"/>
      <c r="S230" s="61"/>
      <c r="T230" s="62" t="str">
        <f aca="true">IF(Q230&lt;&gt;"Yes","",IF(S230="Yes","Done",IF(R230="","Date missing",IF(R230&lt;TODAY(),"OVERDUE","Scheduled"))))</f>
        <v/>
      </c>
      <c r="U230" s="61"/>
      <c r="V230" s="61"/>
      <c r="W230" s="60"/>
      <c r="X230" s="88" t="str">
        <f aca="false">IF(AND(G230&lt;&gt;"",AND(B230&lt;&gt;"",B230&gt;='Weekly Report'!$F$4,B230&lt;='Weekly Report'!$F$5)),ROW(),"")</f>
        <v/>
      </c>
    </row>
    <row r="231" customFormat="false" ht="15" hidden="false" customHeight="false" outlineLevel="0" collapsed="false">
      <c r="A231" s="56" t="s">
        <v>1050</v>
      </c>
      <c r="B231" s="63"/>
      <c r="C231" s="91"/>
      <c r="D231" s="92"/>
      <c r="E231" s="61"/>
      <c r="F231" s="61"/>
      <c r="G231" s="60"/>
      <c r="H231" s="61"/>
      <c r="I231" s="60"/>
      <c r="J231" s="61"/>
      <c r="K231" s="60"/>
      <c r="L231" s="60"/>
      <c r="M231" s="60"/>
      <c r="N231" s="60"/>
      <c r="O231" s="60"/>
      <c r="P231" s="61"/>
      <c r="Q231" s="61"/>
      <c r="R231" s="63"/>
      <c r="S231" s="61"/>
      <c r="T231" s="62" t="str">
        <f aca="true">IF(Q231&lt;&gt;"Yes","",IF(S231="Yes","Done",IF(R231="","Date missing",IF(R231&lt;TODAY(),"OVERDUE","Scheduled"))))</f>
        <v/>
      </c>
      <c r="U231" s="61"/>
      <c r="V231" s="61"/>
      <c r="W231" s="60"/>
      <c r="X231" s="88" t="str">
        <f aca="false">IF(AND(G231&lt;&gt;"",AND(B231&lt;&gt;"",B231&gt;='Weekly Report'!$F$4,B231&lt;='Weekly Report'!$F$5)),ROW(),"")</f>
        <v/>
      </c>
    </row>
    <row r="232" customFormat="false" ht="15" hidden="false" customHeight="false" outlineLevel="0" collapsed="false">
      <c r="A232" s="56" t="s">
        <v>1051</v>
      </c>
      <c r="B232" s="63"/>
      <c r="C232" s="91"/>
      <c r="D232" s="92"/>
      <c r="E232" s="61"/>
      <c r="F232" s="61"/>
      <c r="G232" s="60"/>
      <c r="H232" s="61"/>
      <c r="I232" s="60"/>
      <c r="J232" s="61"/>
      <c r="K232" s="60"/>
      <c r="L232" s="60"/>
      <c r="M232" s="60"/>
      <c r="N232" s="60"/>
      <c r="O232" s="60"/>
      <c r="P232" s="61"/>
      <c r="Q232" s="61"/>
      <c r="R232" s="63"/>
      <c r="S232" s="61"/>
      <c r="T232" s="62" t="str">
        <f aca="true">IF(Q232&lt;&gt;"Yes","",IF(S232="Yes","Done",IF(R232="","Date missing",IF(R232&lt;TODAY(),"OVERDUE","Scheduled"))))</f>
        <v/>
      </c>
      <c r="U232" s="61"/>
      <c r="V232" s="61"/>
      <c r="W232" s="60"/>
      <c r="X232" s="88" t="str">
        <f aca="false">IF(AND(G232&lt;&gt;"",AND(B232&lt;&gt;"",B232&gt;='Weekly Report'!$F$4,B232&lt;='Weekly Report'!$F$5)),ROW(),"")</f>
        <v/>
      </c>
    </row>
    <row r="233" customFormat="false" ht="15" hidden="false" customHeight="false" outlineLevel="0" collapsed="false">
      <c r="A233" s="56" t="s">
        <v>1052</v>
      </c>
      <c r="B233" s="63"/>
      <c r="C233" s="91"/>
      <c r="D233" s="92"/>
      <c r="E233" s="61"/>
      <c r="F233" s="61"/>
      <c r="G233" s="60"/>
      <c r="H233" s="61"/>
      <c r="I233" s="60"/>
      <c r="J233" s="61"/>
      <c r="K233" s="60"/>
      <c r="L233" s="60"/>
      <c r="M233" s="60"/>
      <c r="N233" s="60"/>
      <c r="O233" s="60"/>
      <c r="P233" s="61"/>
      <c r="Q233" s="61"/>
      <c r="R233" s="63"/>
      <c r="S233" s="61"/>
      <c r="T233" s="62" t="str">
        <f aca="true">IF(Q233&lt;&gt;"Yes","",IF(S233="Yes","Done",IF(R233="","Date missing",IF(R233&lt;TODAY(),"OVERDUE","Scheduled"))))</f>
        <v/>
      </c>
      <c r="U233" s="61"/>
      <c r="V233" s="61"/>
      <c r="W233" s="60"/>
      <c r="X233" s="88" t="str">
        <f aca="false">IF(AND(G233&lt;&gt;"",AND(B233&lt;&gt;"",B233&gt;='Weekly Report'!$F$4,B233&lt;='Weekly Report'!$F$5)),ROW(),"")</f>
        <v/>
      </c>
    </row>
    <row r="234" customFormat="false" ht="15" hidden="false" customHeight="false" outlineLevel="0" collapsed="false">
      <c r="A234" s="56" t="s">
        <v>1053</v>
      </c>
      <c r="B234" s="63"/>
      <c r="C234" s="91"/>
      <c r="D234" s="92"/>
      <c r="E234" s="61"/>
      <c r="F234" s="61"/>
      <c r="G234" s="60"/>
      <c r="H234" s="61"/>
      <c r="I234" s="60"/>
      <c r="J234" s="61"/>
      <c r="K234" s="60"/>
      <c r="L234" s="60"/>
      <c r="M234" s="60"/>
      <c r="N234" s="60"/>
      <c r="O234" s="60"/>
      <c r="P234" s="61"/>
      <c r="Q234" s="61"/>
      <c r="R234" s="63"/>
      <c r="S234" s="61"/>
      <c r="T234" s="62" t="str">
        <f aca="true">IF(Q234&lt;&gt;"Yes","",IF(S234="Yes","Done",IF(R234="","Date missing",IF(R234&lt;TODAY(),"OVERDUE","Scheduled"))))</f>
        <v/>
      </c>
      <c r="U234" s="61"/>
      <c r="V234" s="61"/>
      <c r="W234" s="60"/>
      <c r="X234" s="88" t="str">
        <f aca="false">IF(AND(G234&lt;&gt;"",AND(B234&lt;&gt;"",B234&gt;='Weekly Report'!$F$4,B234&lt;='Weekly Report'!$F$5)),ROW(),"")</f>
        <v/>
      </c>
    </row>
    <row r="235" customFormat="false" ht="15" hidden="false" customHeight="false" outlineLevel="0" collapsed="false">
      <c r="A235" s="56" t="s">
        <v>1054</v>
      </c>
      <c r="B235" s="63"/>
      <c r="C235" s="91"/>
      <c r="D235" s="92"/>
      <c r="E235" s="61"/>
      <c r="F235" s="61"/>
      <c r="G235" s="60"/>
      <c r="H235" s="61"/>
      <c r="I235" s="60"/>
      <c r="J235" s="61"/>
      <c r="K235" s="60"/>
      <c r="L235" s="60"/>
      <c r="M235" s="60"/>
      <c r="N235" s="60"/>
      <c r="O235" s="60"/>
      <c r="P235" s="61"/>
      <c r="Q235" s="61"/>
      <c r="R235" s="63"/>
      <c r="S235" s="61"/>
      <c r="T235" s="62" t="str">
        <f aca="true">IF(Q235&lt;&gt;"Yes","",IF(S235="Yes","Done",IF(R235="","Date missing",IF(R235&lt;TODAY(),"OVERDUE","Scheduled"))))</f>
        <v/>
      </c>
      <c r="U235" s="61"/>
      <c r="V235" s="61"/>
      <c r="W235" s="60"/>
      <c r="X235" s="88" t="str">
        <f aca="false">IF(AND(G235&lt;&gt;"",AND(B235&lt;&gt;"",B235&gt;='Weekly Report'!$F$4,B235&lt;='Weekly Report'!$F$5)),ROW(),"")</f>
        <v/>
      </c>
    </row>
    <row r="236" customFormat="false" ht="15" hidden="false" customHeight="false" outlineLevel="0" collapsed="false">
      <c r="A236" s="56" t="s">
        <v>1055</v>
      </c>
      <c r="B236" s="63"/>
      <c r="C236" s="91"/>
      <c r="D236" s="92"/>
      <c r="E236" s="61"/>
      <c r="F236" s="61"/>
      <c r="G236" s="60"/>
      <c r="H236" s="61"/>
      <c r="I236" s="60"/>
      <c r="J236" s="61"/>
      <c r="K236" s="60"/>
      <c r="L236" s="60"/>
      <c r="M236" s="60"/>
      <c r="N236" s="60"/>
      <c r="O236" s="60"/>
      <c r="P236" s="61"/>
      <c r="Q236" s="61"/>
      <c r="R236" s="63"/>
      <c r="S236" s="61"/>
      <c r="T236" s="62" t="str">
        <f aca="true">IF(Q236&lt;&gt;"Yes","",IF(S236="Yes","Done",IF(R236="","Date missing",IF(R236&lt;TODAY(),"OVERDUE","Scheduled"))))</f>
        <v/>
      </c>
      <c r="U236" s="61"/>
      <c r="V236" s="61"/>
      <c r="W236" s="60"/>
      <c r="X236" s="88" t="str">
        <f aca="false">IF(AND(G236&lt;&gt;"",AND(B236&lt;&gt;"",B236&gt;='Weekly Report'!$F$4,B236&lt;='Weekly Report'!$F$5)),ROW(),"")</f>
        <v/>
      </c>
    </row>
    <row r="237" customFormat="false" ht="15" hidden="false" customHeight="false" outlineLevel="0" collapsed="false">
      <c r="A237" s="56" t="s">
        <v>1056</v>
      </c>
      <c r="B237" s="63"/>
      <c r="C237" s="91"/>
      <c r="D237" s="92"/>
      <c r="E237" s="61"/>
      <c r="F237" s="61"/>
      <c r="G237" s="60"/>
      <c r="H237" s="61"/>
      <c r="I237" s="60"/>
      <c r="J237" s="61"/>
      <c r="K237" s="60"/>
      <c r="L237" s="60"/>
      <c r="M237" s="60"/>
      <c r="N237" s="60"/>
      <c r="O237" s="60"/>
      <c r="P237" s="61"/>
      <c r="Q237" s="61"/>
      <c r="R237" s="63"/>
      <c r="S237" s="61"/>
      <c r="T237" s="62" t="str">
        <f aca="true">IF(Q237&lt;&gt;"Yes","",IF(S237="Yes","Done",IF(R237="","Date missing",IF(R237&lt;TODAY(),"OVERDUE","Scheduled"))))</f>
        <v/>
      </c>
      <c r="U237" s="61"/>
      <c r="V237" s="61"/>
      <c r="W237" s="60"/>
      <c r="X237" s="88" t="str">
        <f aca="false">IF(AND(G237&lt;&gt;"",AND(B237&lt;&gt;"",B237&gt;='Weekly Report'!$F$4,B237&lt;='Weekly Report'!$F$5)),ROW(),"")</f>
        <v/>
      </c>
    </row>
    <row r="238" customFormat="false" ht="15" hidden="false" customHeight="false" outlineLevel="0" collapsed="false">
      <c r="A238" s="56" t="s">
        <v>1057</v>
      </c>
      <c r="B238" s="63"/>
      <c r="C238" s="91"/>
      <c r="D238" s="92"/>
      <c r="E238" s="61"/>
      <c r="F238" s="61"/>
      <c r="G238" s="60"/>
      <c r="H238" s="61"/>
      <c r="I238" s="60"/>
      <c r="J238" s="61"/>
      <c r="K238" s="60"/>
      <c r="L238" s="60"/>
      <c r="M238" s="60"/>
      <c r="N238" s="60"/>
      <c r="O238" s="60"/>
      <c r="P238" s="61"/>
      <c r="Q238" s="61"/>
      <c r="R238" s="63"/>
      <c r="S238" s="61"/>
      <c r="T238" s="62" t="str">
        <f aca="true">IF(Q238&lt;&gt;"Yes","",IF(S238="Yes","Done",IF(R238="","Date missing",IF(R238&lt;TODAY(),"OVERDUE","Scheduled"))))</f>
        <v/>
      </c>
      <c r="U238" s="61"/>
      <c r="V238" s="61"/>
      <c r="W238" s="60"/>
      <c r="X238" s="88" t="str">
        <f aca="false">IF(AND(G238&lt;&gt;"",AND(B238&lt;&gt;"",B238&gt;='Weekly Report'!$F$4,B238&lt;='Weekly Report'!$F$5)),ROW(),"")</f>
        <v/>
      </c>
    </row>
    <row r="239" customFormat="false" ht="15" hidden="false" customHeight="false" outlineLevel="0" collapsed="false">
      <c r="A239" s="56" t="s">
        <v>1058</v>
      </c>
      <c r="B239" s="63"/>
      <c r="C239" s="91"/>
      <c r="D239" s="92"/>
      <c r="E239" s="61"/>
      <c r="F239" s="61"/>
      <c r="G239" s="60"/>
      <c r="H239" s="61"/>
      <c r="I239" s="60"/>
      <c r="J239" s="61"/>
      <c r="K239" s="60"/>
      <c r="L239" s="60"/>
      <c r="M239" s="60"/>
      <c r="N239" s="60"/>
      <c r="O239" s="60"/>
      <c r="P239" s="61"/>
      <c r="Q239" s="61"/>
      <c r="R239" s="63"/>
      <c r="S239" s="61"/>
      <c r="T239" s="62" t="str">
        <f aca="true">IF(Q239&lt;&gt;"Yes","",IF(S239="Yes","Done",IF(R239="","Date missing",IF(R239&lt;TODAY(),"OVERDUE","Scheduled"))))</f>
        <v/>
      </c>
      <c r="U239" s="61"/>
      <c r="V239" s="61"/>
      <c r="W239" s="60"/>
      <c r="X239" s="88" t="str">
        <f aca="false">IF(AND(G239&lt;&gt;"",AND(B239&lt;&gt;"",B239&gt;='Weekly Report'!$F$4,B239&lt;='Weekly Report'!$F$5)),ROW(),"")</f>
        <v/>
      </c>
    </row>
    <row r="240" customFormat="false" ht="15" hidden="false" customHeight="false" outlineLevel="0" collapsed="false">
      <c r="A240" s="56" t="s">
        <v>1059</v>
      </c>
      <c r="B240" s="63"/>
      <c r="C240" s="91"/>
      <c r="D240" s="92"/>
      <c r="E240" s="61"/>
      <c r="F240" s="61"/>
      <c r="G240" s="60"/>
      <c r="H240" s="61"/>
      <c r="I240" s="60"/>
      <c r="J240" s="61"/>
      <c r="K240" s="60"/>
      <c r="L240" s="60"/>
      <c r="M240" s="60"/>
      <c r="N240" s="60"/>
      <c r="O240" s="60"/>
      <c r="P240" s="61"/>
      <c r="Q240" s="61"/>
      <c r="R240" s="63"/>
      <c r="S240" s="61"/>
      <c r="T240" s="62" t="str">
        <f aca="true">IF(Q240&lt;&gt;"Yes","",IF(S240="Yes","Done",IF(R240="","Date missing",IF(R240&lt;TODAY(),"OVERDUE","Scheduled"))))</f>
        <v/>
      </c>
      <c r="U240" s="61"/>
      <c r="V240" s="61"/>
      <c r="W240" s="60"/>
      <c r="X240" s="88" t="str">
        <f aca="false">IF(AND(G240&lt;&gt;"",AND(B240&lt;&gt;"",B240&gt;='Weekly Report'!$F$4,B240&lt;='Weekly Report'!$F$5)),ROW(),"")</f>
        <v/>
      </c>
    </row>
    <row r="241" customFormat="false" ht="15" hidden="false" customHeight="false" outlineLevel="0" collapsed="false">
      <c r="A241" s="56" t="s">
        <v>1060</v>
      </c>
      <c r="B241" s="63"/>
      <c r="C241" s="91"/>
      <c r="D241" s="92"/>
      <c r="E241" s="61"/>
      <c r="F241" s="61"/>
      <c r="G241" s="60"/>
      <c r="H241" s="61"/>
      <c r="I241" s="60"/>
      <c r="J241" s="61"/>
      <c r="K241" s="60"/>
      <c r="L241" s="60"/>
      <c r="M241" s="60"/>
      <c r="N241" s="60"/>
      <c r="O241" s="60"/>
      <c r="P241" s="61"/>
      <c r="Q241" s="61"/>
      <c r="R241" s="63"/>
      <c r="S241" s="61"/>
      <c r="T241" s="62" t="str">
        <f aca="true">IF(Q241&lt;&gt;"Yes","",IF(S241="Yes","Done",IF(R241="","Date missing",IF(R241&lt;TODAY(),"OVERDUE","Scheduled"))))</f>
        <v/>
      </c>
      <c r="U241" s="61"/>
      <c r="V241" s="61"/>
      <c r="W241" s="60"/>
      <c r="X241" s="88" t="str">
        <f aca="false">IF(AND(G241&lt;&gt;"",AND(B241&lt;&gt;"",B241&gt;='Weekly Report'!$F$4,B241&lt;='Weekly Report'!$F$5)),ROW(),"")</f>
        <v/>
      </c>
    </row>
    <row r="242" customFormat="false" ht="15" hidden="false" customHeight="false" outlineLevel="0" collapsed="false">
      <c r="A242" s="56" t="s">
        <v>1061</v>
      </c>
      <c r="B242" s="63"/>
      <c r="C242" s="91"/>
      <c r="D242" s="92"/>
      <c r="E242" s="61"/>
      <c r="F242" s="61"/>
      <c r="G242" s="60"/>
      <c r="H242" s="61"/>
      <c r="I242" s="60"/>
      <c r="J242" s="61"/>
      <c r="K242" s="60"/>
      <c r="L242" s="60"/>
      <c r="M242" s="60"/>
      <c r="N242" s="60"/>
      <c r="O242" s="60"/>
      <c r="P242" s="61"/>
      <c r="Q242" s="61"/>
      <c r="R242" s="63"/>
      <c r="S242" s="61"/>
      <c r="T242" s="62" t="str">
        <f aca="true">IF(Q242&lt;&gt;"Yes","",IF(S242="Yes","Done",IF(R242="","Date missing",IF(R242&lt;TODAY(),"OVERDUE","Scheduled"))))</f>
        <v/>
      </c>
      <c r="U242" s="61"/>
      <c r="V242" s="61"/>
      <c r="W242" s="60"/>
      <c r="X242" s="88" t="str">
        <f aca="false">IF(AND(G242&lt;&gt;"",AND(B242&lt;&gt;"",B242&gt;='Weekly Report'!$F$4,B242&lt;='Weekly Report'!$F$5)),ROW(),"")</f>
        <v/>
      </c>
    </row>
    <row r="243" customFormat="false" ht="15" hidden="false" customHeight="false" outlineLevel="0" collapsed="false">
      <c r="A243" s="56" t="s">
        <v>1062</v>
      </c>
      <c r="B243" s="63"/>
      <c r="C243" s="91"/>
      <c r="D243" s="92"/>
      <c r="E243" s="61"/>
      <c r="F243" s="61"/>
      <c r="G243" s="60"/>
      <c r="H243" s="61"/>
      <c r="I243" s="60"/>
      <c r="J243" s="61"/>
      <c r="K243" s="60"/>
      <c r="L243" s="60"/>
      <c r="M243" s="60"/>
      <c r="N243" s="60"/>
      <c r="O243" s="60"/>
      <c r="P243" s="61"/>
      <c r="Q243" s="61"/>
      <c r="R243" s="63"/>
      <c r="S243" s="61"/>
      <c r="T243" s="62" t="str">
        <f aca="true">IF(Q243&lt;&gt;"Yes","",IF(S243="Yes","Done",IF(R243="","Date missing",IF(R243&lt;TODAY(),"OVERDUE","Scheduled"))))</f>
        <v/>
      </c>
      <c r="U243" s="61"/>
      <c r="V243" s="61"/>
      <c r="W243" s="60"/>
      <c r="X243" s="88" t="str">
        <f aca="false">IF(AND(G243&lt;&gt;"",AND(B243&lt;&gt;"",B243&gt;='Weekly Report'!$F$4,B243&lt;='Weekly Report'!$F$5)),ROW(),"")</f>
        <v/>
      </c>
    </row>
    <row r="244" customFormat="false" ht="15" hidden="false" customHeight="false" outlineLevel="0" collapsed="false">
      <c r="A244" s="56" t="s">
        <v>1063</v>
      </c>
      <c r="B244" s="63"/>
      <c r="C244" s="91"/>
      <c r="D244" s="92"/>
      <c r="E244" s="61"/>
      <c r="F244" s="61"/>
      <c r="G244" s="60"/>
      <c r="H244" s="61"/>
      <c r="I244" s="60"/>
      <c r="J244" s="61"/>
      <c r="K244" s="60"/>
      <c r="L244" s="60"/>
      <c r="M244" s="60"/>
      <c r="N244" s="60"/>
      <c r="O244" s="60"/>
      <c r="P244" s="61"/>
      <c r="Q244" s="61"/>
      <c r="R244" s="63"/>
      <c r="S244" s="61"/>
      <c r="T244" s="62" t="str">
        <f aca="true">IF(Q244&lt;&gt;"Yes","",IF(S244="Yes","Done",IF(R244="","Date missing",IF(R244&lt;TODAY(),"OVERDUE","Scheduled"))))</f>
        <v/>
      </c>
      <c r="U244" s="61"/>
      <c r="V244" s="61"/>
      <c r="W244" s="60"/>
      <c r="X244" s="88" t="str">
        <f aca="false">IF(AND(G244&lt;&gt;"",AND(B244&lt;&gt;"",B244&gt;='Weekly Report'!$F$4,B244&lt;='Weekly Report'!$F$5)),ROW(),"")</f>
        <v/>
      </c>
    </row>
    <row r="245" customFormat="false" ht="15" hidden="false" customHeight="false" outlineLevel="0" collapsed="false">
      <c r="A245" s="56" t="s">
        <v>1064</v>
      </c>
      <c r="B245" s="63"/>
      <c r="C245" s="91"/>
      <c r="D245" s="92"/>
      <c r="E245" s="61"/>
      <c r="F245" s="61"/>
      <c r="G245" s="60"/>
      <c r="H245" s="61"/>
      <c r="I245" s="60"/>
      <c r="J245" s="61"/>
      <c r="K245" s="60"/>
      <c r="L245" s="60"/>
      <c r="M245" s="60"/>
      <c r="N245" s="60"/>
      <c r="O245" s="60"/>
      <c r="P245" s="61"/>
      <c r="Q245" s="61"/>
      <c r="R245" s="63"/>
      <c r="S245" s="61"/>
      <c r="T245" s="62" t="str">
        <f aca="true">IF(Q245&lt;&gt;"Yes","",IF(S245="Yes","Done",IF(R245="","Date missing",IF(R245&lt;TODAY(),"OVERDUE","Scheduled"))))</f>
        <v/>
      </c>
      <c r="U245" s="61"/>
      <c r="V245" s="61"/>
      <c r="W245" s="60"/>
      <c r="X245" s="88" t="str">
        <f aca="false">IF(AND(G245&lt;&gt;"",AND(B245&lt;&gt;"",B245&gt;='Weekly Report'!$F$4,B245&lt;='Weekly Report'!$F$5)),ROW(),"")</f>
        <v/>
      </c>
    </row>
    <row r="246" customFormat="false" ht="15" hidden="false" customHeight="false" outlineLevel="0" collapsed="false">
      <c r="A246" s="56" t="s">
        <v>1065</v>
      </c>
      <c r="B246" s="63"/>
      <c r="C246" s="91"/>
      <c r="D246" s="92"/>
      <c r="E246" s="61"/>
      <c r="F246" s="61"/>
      <c r="G246" s="60"/>
      <c r="H246" s="61"/>
      <c r="I246" s="60"/>
      <c r="J246" s="61"/>
      <c r="K246" s="60"/>
      <c r="L246" s="60"/>
      <c r="M246" s="60"/>
      <c r="N246" s="60"/>
      <c r="O246" s="60"/>
      <c r="P246" s="61"/>
      <c r="Q246" s="61"/>
      <c r="R246" s="63"/>
      <c r="S246" s="61"/>
      <c r="T246" s="62" t="str">
        <f aca="true">IF(Q246&lt;&gt;"Yes","",IF(S246="Yes","Done",IF(R246="","Date missing",IF(R246&lt;TODAY(),"OVERDUE","Scheduled"))))</f>
        <v/>
      </c>
      <c r="U246" s="61"/>
      <c r="V246" s="61"/>
      <c r="W246" s="60"/>
      <c r="X246" s="88" t="str">
        <f aca="false">IF(AND(G246&lt;&gt;"",AND(B246&lt;&gt;"",B246&gt;='Weekly Report'!$F$4,B246&lt;='Weekly Report'!$F$5)),ROW(),"")</f>
        <v/>
      </c>
    </row>
    <row r="247" customFormat="false" ht="15" hidden="false" customHeight="false" outlineLevel="0" collapsed="false">
      <c r="A247" s="56" t="s">
        <v>1066</v>
      </c>
      <c r="B247" s="63"/>
      <c r="C247" s="91"/>
      <c r="D247" s="92"/>
      <c r="E247" s="61"/>
      <c r="F247" s="61"/>
      <c r="G247" s="60"/>
      <c r="H247" s="61"/>
      <c r="I247" s="60"/>
      <c r="J247" s="61"/>
      <c r="K247" s="60"/>
      <c r="L247" s="60"/>
      <c r="M247" s="60"/>
      <c r="N247" s="60"/>
      <c r="O247" s="60"/>
      <c r="P247" s="61"/>
      <c r="Q247" s="61"/>
      <c r="R247" s="63"/>
      <c r="S247" s="61"/>
      <c r="T247" s="62" t="str">
        <f aca="true">IF(Q247&lt;&gt;"Yes","",IF(S247="Yes","Done",IF(R247="","Date missing",IF(R247&lt;TODAY(),"OVERDUE","Scheduled"))))</f>
        <v/>
      </c>
      <c r="U247" s="61"/>
      <c r="V247" s="61"/>
      <c r="W247" s="60"/>
      <c r="X247" s="88" t="str">
        <f aca="false">IF(AND(G247&lt;&gt;"",AND(B247&lt;&gt;"",B247&gt;='Weekly Report'!$F$4,B247&lt;='Weekly Report'!$F$5)),ROW(),"")</f>
        <v/>
      </c>
    </row>
    <row r="248" customFormat="false" ht="15" hidden="false" customHeight="false" outlineLevel="0" collapsed="false">
      <c r="A248" s="56" t="s">
        <v>1067</v>
      </c>
      <c r="B248" s="63"/>
      <c r="C248" s="91"/>
      <c r="D248" s="92"/>
      <c r="E248" s="61"/>
      <c r="F248" s="61"/>
      <c r="G248" s="60"/>
      <c r="H248" s="61"/>
      <c r="I248" s="60"/>
      <c r="J248" s="61"/>
      <c r="K248" s="60"/>
      <c r="L248" s="60"/>
      <c r="M248" s="60"/>
      <c r="N248" s="60"/>
      <c r="O248" s="60"/>
      <c r="P248" s="61"/>
      <c r="Q248" s="61"/>
      <c r="R248" s="63"/>
      <c r="S248" s="61"/>
      <c r="T248" s="62" t="str">
        <f aca="true">IF(Q248&lt;&gt;"Yes","",IF(S248="Yes","Done",IF(R248="","Date missing",IF(R248&lt;TODAY(),"OVERDUE","Scheduled"))))</f>
        <v/>
      </c>
      <c r="U248" s="61"/>
      <c r="V248" s="61"/>
      <c r="W248" s="60"/>
      <c r="X248" s="88" t="str">
        <f aca="false">IF(AND(G248&lt;&gt;"",AND(B248&lt;&gt;"",B248&gt;='Weekly Report'!$F$4,B248&lt;='Weekly Report'!$F$5)),ROW(),"")</f>
        <v/>
      </c>
    </row>
    <row r="249" customFormat="false" ht="15" hidden="false" customHeight="false" outlineLevel="0" collapsed="false">
      <c r="A249" s="56" t="s">
        <v>1068</v>
      </c>
      <c r="B249" s="63"/>
      <c r="C249" s="91"/>
      <c r="D249" s="92"/>
      <c r="E249" s="61"/>
      <c r="F249" s="61"/>
      <c r="G249" s="60"/>
      <c r="H249" s="61"/>
      <c r="I249" s="60"/>
      <c r="J249" s="61"/>
      <c r="K249" s="60"/>
      <c r="L249" s="60"/>
      <c r="M249" s="60"/>
      <c r="N249" s="60"/>
      <c r="O249" s="60"/>
      <c r="P249" s="61"/>
      <c r="Q249" s="61"/>
      <c r="R249" s="63"/>
      <c r="S249" s="61"/>
      <c r="T249" s="62" t="str">
        <f aca="true">IF(Q249&lt;&gt;"Yes","",IF(S249="Yes","Done",IF(R249="","Date missing",IF(R249&lt;TODAY(),"OVERDUE","Scheduled"))))</f>
        <v/>
      </c>
      <c r="U249" s="61"/>
      <c r="V249" s="61"/>
      <c r="W249" s="60"/>
      <c r="X249" s="88" t="str">
        <f aca="false">IF(AND(G249&lt;&gt;"",AND(B249&lt;&gt;"",B249&gt;='Weekly Report'!$F$4,B249&lt;='Weekly Report'!$F$5)),ROW(),"")</f>
        <v/>
      </c>
    </row>
    <row r="250" customFormat="false" ht="15" hidden="false" customHeight="false" outlineLevel="0" collapsed="false">
      <c r="A250" s="56" t="s">
        <v>1069</v>
      </c>
      <c r="B250" s="63"/>
      <c r="C250" s="91"/>
      <c r="D250" s="92"/>
      <c r="E250" s="61"/>
      <c r="F250" s="61"/>
      <c r="G250" s="60"/>
      <c r="H250" s="61"/>
      <c r="I250" s="60"/>
      <c r="J250" s="61"/>
      <c r="K250" s="60"/>
      <c r="L250" s="60"/>
      <c r="M250" s="60"/>
      <c r="N250" s="60"/>
      <c r="O250" s="60"/>
      <c r="P250" s="61"/>
      <c r="Q250" s="61"/>
      <c r="R250" s="63"/>
      <c r="S250" s="61"/>
      <c r="T250" s="62" t="str">
        <f aca="true">IF(Q250&lt;&gt;"Yes","",IF(S250="Yes","Done",IF(R250="","Date missing",IF(R250&lt;TODAY(),"OVERDUE","Scheduled"))))</f>
        <v/>
      </c>
      <c r="U250" s="61"/>
      <c r="V250" s="61"/>
      <c r="W250" s="60"/>
      <c r="X250" s="88" t="str">
        <f aca="false">IF(AND(G250&lt;&gt;"",AND(B250&lt;&gt;"",B250&gt;='Weekly Report'!$F$4,B250&lt;='Weekly Report'!$F$5)),ROW(),"")</f>
        <v/>
      </c>
    </row>
    <row r="251" customFormat="false" ht="15" hidden="false" customHeight="false" outlineLevel="0" collapsed="false">
      <c r="A251" s="56" t="s">
        <v>1070</v>
      </c>
      <c r="B251" s="63"/>
      <c r="C251" s="91"/>
      <c r="D251" s="92"/>
      <c r="E251" s="61"/>
      <c r="F251" s="61"/>
      <c r="G251" s="60"/>
      <c r="H251" s="61"/>
      <c r="I251" s="60"/>
      <c r="J251" s="61"/>
      <c r="K251" s="60"/>
      <c r="L251" s="60"/>
      <c r="M251" s="60"/>
      <c r="N251" s="60"/>
      <c r="O251" s="60"/>
      <c r="P251" s="61"/>
      <c r="Q251" s="61"/>
      <c r="R251" s="63"/>
      <c r="S251" s="61"/>
      <c r="T251" s="62" t="str">
        <f aca="true">IF(Q251&lt;&gt;"Yes","",IF(S251="Yes","Done",IF(R251="","Date missing",IF(R251&lt;TODAY(),"OVERDUE","Scheduled"))))</f>
        <v/>
      </c>
      <c r="U251" s="61"/>
      <c r="V251" s="61"/>
      <c r="W251" s="60"/>
      <c r="X251" s="88" t="str">
        <f aca="false">IF(AND(G251&lt;&gt;"",AND(B251&lt;&gt;"",B251&gt;='Weekly Report'!$F$4,B251&lt;='Weekly Report'!$F$5)),ROW(),"")</f>
        <v/>
      </c>
    </row>
    <row r="252" customFormat="false" ht="15" hidden="false" customHeight="false" outlineLevel="0" collapsed="false">
      <c r="A252" s="56" t="s">
        <v>1071</v>
      </c>
      <c r="B252" s="63"/>
      <c r="C252" s="91"/>
      <c r="D252" s="92"/>
      <c r="E252" s="61"/>
      <c r="F252" s="61"/>
      <c r="G252" s="60"/>
      <c r="H252" s="61"/>
      <c r="I252" s="60"/>
      <c r="J252" s="61"/>
      <c r="K252" s="60"/>
      <c r="L252" s="60"/>
      <c r="M252" s="60"/>
      <c r="N252" s="60"/>
      <c r="O252" s="60"/>
      <c r="P252" s="61"/>
      <c r="Q252" s="61"/>
      <c r="R252" s="63"/>
      <c r="S252" s="61"/>
      <c r="T252" s="62" t="str">
        <f aca="true">IF(Q252&lt;&gt;"Yes","",IF(S252="Yes","Done",IF(R252="","Date missing",IF(R252&lt;TODAY(),"OVERDUE","Scheduled"))))</f>
        <v/>
      </c>
      <c r="U252" s="61"/>
      <c r="V252" s="61"/>
      <c r="W252" s="60"/>
      <c r="X252" s="88" t="str">
        <f aca="false">IF(AND(G252&lt;&gt;"",AND(B252&lt;&gt;"",B252&gt;='Weekly Report'!$F$4,B252&lt;='Weekly Report'!$F$5)),ROW(),"")</f>
        <v/>
      </c>
    </row>
    <row r="253" customFormat="false" ht="15" hidden="false" customHeight="false" outlineLevel="0" collapsed="false">
      <c r="A253" s="56" t="s">
        <v>1072</v>
      </c>
      <c r="B253" s="63"/>
      <c r="C253" s="91"/>
      <c r="D253" s="92"/>
      <c r="E253" s="61"/>
      <c r="F253" s="61"/>
      <c r="G253" s="60"/>
      <c r="H253" s="61"/>
      <c r="I253" s="60"/>
      <c r="J253" s="61"/>
      <c r="K253" s="60"/>
      <c r="L253" s="60"/>
      <c r="M253" s="60"/>
      <c r="N253" s="60"/>
      <c r="O253" s="60"/>
      <c r="P253" s="61"/>
      <c r="Q253" s="61"/>
      <c r="R253" s="63"/>
      <c r="S253" s="61"/>
      <c r="T253" s="62" t="str">
        <f aca="true">IF(Q253&lt;&gt;"Yes","",IF(S253="Yes","Done",IF(R253="","Date missing",IF(R253&lt;TODAY(),"OVERDUE","Scheduled"))))</f>
        <v/>
      </c>
      <c r="U253" s="61"/>
      <c r="V253" s="61"/>
      <c r="W253" s="60"/>
      <c r="X253" s="88" t="str">
        <f aca="false">IF(AND(G253&lt;&gt;"",AND(B253&lt;&gt;"",B253&gt;='Weekly Report'!$F$4,B253&lt;='Weekly Report'!$F$5)),ROW(),"")</f>
        <v/>
      </c>
    </row>
    <row r="254" customFormat="false" ht="15" hidden="false" customHeight="false" outlineLevel="0" collapsed="false">
      <c r="A254" s="56" t="s">
        <v>1073</v>
      </c>
      <c r="B254" s="63"/>
      <c r="C254" s="91"/>
      <c r="D254" s="92"/>
      <c r="E254" s="61"/>
      <c r="F254" s="61"/>
      <c r="G254" s="60"/>
      <c r="H254" s="61"/>
      <c r="I254" s="60"/>
      <c r="J254" s="61"/>
      <c r="K254" s="60"/>
      <c r="L254" s="60"/>
      <c r="M254" s="60"/>
      <c r="N254" s="60"/>
      <c r="O254" s="60"/>
      <c r="P254" s="61"/>
      <c r="Q254" s="61"/>
      <c r="R254" s="63"/>
      <c r="S254" s="61"/>
      <c r="T254" s="62" t="str">
        <f aca="true">IF(Q254&lt;&gt;"Yes","",IF(S254="Yes","Done",IF(R254="","Date missing",IF(R254&lt;TODAY(),"OVERDUE","Scheduled"))))</f>
        <v/>
      </c>
      <c r="U254" s="61"/>
      <c r="V254" s="61"/>
      <c r="W254" s="60"/>
      <c r="X254" s="88" t="str">
        <f aca="false">IF(AND(G254&lt;&gt;"",AND(B254&lt;&gt;"",B254&gt;='Weekly Report'!$F$4,B254&lt;='Weekly Report'!$F$5)),ROW(),"")</f>
        <v/>
      </c>
    </row>
    <row r="255" customFormat="false" ht="15" hidden="false" customHeight="false" outlineLevel="0" collapsed="false">
      <c r="A255" s="56" t="s">
        <v>1074</v>
      </c>
      <c r="B255" s="63"/>
      <c r="C255" s="91"/>
      <c r="D255" s="92"/>
      <c r="E255" s="61"/>
      <c r="F255" s="61"/>
      <c r="G255" s="60"/>
      <c r="H255" s="61"/>
      <c r="I255" s="60"/>
      <c r="J255" s="61"/>
      <c r="K255" s="60"/>
      <c r="L255" s="60"/>
      <c r="M255" s="60"/>
      <c r="N255" s="60"/>
      <c r="O255" s="60"/>
      <c r="P255" s="61"/>
      <c r="Q255" s="61"/>
      <c r="R255" s="63"/>
      <c r="S255" s="61"/>
      <c r="T255" s="62" t="str">
        <f aca="true">IF(Q255&lt;&gt;"Yes","",IF(S255="Yes","Done",IF(R255="","Date missing",IF(R255&lt;TODAY(),"OVERDUE","Scheduled"))))</f>
        <v/>
      </c>
      <c r="U255" s="61"/>
      <c r="V255" s="61"/>
      <c r="W255" s="60"/>
      <c r="X255" s="88" t="str">
        <f aca="false">IF(AND(G255&lt;&gt;"",AND(B255&lt;&gt;"",B255&gt;='Weekly Report'!$F$4,B255&lt;='Weekly Report'!$F$5)),ROW(),"")</f>
        <v/>
      </c>
    </row>
    <row r="256" customFormat="false" ht="15" hidden="false" customHeight="false" outlineLevel="0" collapsed="false">
      <c r="A256" s="56" t="s">
        <v>1075</v>
      </c>
      <c r="B256" s="63"/>
      <c r="C256" s="91"/>
      <c r="D256" s="92"/>
      <c r="E256" s="61"/>
      <c r="F256" s="61"/>
      <c r="G256" s="60"/>
      <c r="H256" s="61"/>
      <c r="I256" s="60"/>
      <c r="J256" s="61"/>
      <c r="K256" s="60"/>
      <c r="L256" s="60"/>
      <c r="M256" s="60"/>
      <c r="N256" s="60"/>
      <c r="O256" s="60"/>
      <c r="P256" s="61"/>
      <c r="Q256" s="61"/>
      <c r="R256" s="63"/>
      <c r="S256" s="61"/>
      <c r="T256" s="62" t="str">
        <f aca="true">IF(Q256&lt;&gt;"Yes","",IF(S256="Yes","Done",IF(R256="","Date missing",IF(R256&lt;TODAY(),"OVERDUE","Scheduled"))))</f>
        <v/>
      </c>
      <c r="U256" s="61"/>
      <c r="V256" s="61"/>
      <c r="W256" s="60"/>
      <c r="X256" s="88" t="str">
        <f aca="false">IF(AND(G256&lt;&gt;"",AND(B256&lt;&gt;"",B256&gt;='Weekly Report'!$F$4,B256&lt;='Weekly Report'!$F$5)),ROW(),"")</f>
        <v/>
      </c>
    </row>
    <row r="257" customFormat="false" ht="15" hidden="false" customHeight="false" outlineLevel="0" collapsed="false">
      <c r="A257" s="56" t="s">
        <v>1076</v>
      </c>
      <c r="B257" s="63"/>
      <c r="C257" s="91"/>
      <c r="D257" s="92"/>
      <c r="E257" s="61"/>
      <c r="F257" s="61"/>
      <c r="G257" s="60"/>
      <c r="H257" s="61"/>
      <c r="I257" s="60"/>
      <c r="J257" s="61"/>
      <c r="K257" s="60"/>
      <c r="L257" s="60"/>
      <c r="M257" s="60"/>
      <c r="N257" s="60"/>
      <c r="O257" s="60"/>
      <c r="P257" s="61"/>
      <c r="Q257" s="61"/>
      <c r="R257" s="63"/>
      <c r="S257" s="61"/>
      <c r="T257" s="62" t="str">
        <f aca="true">IF(Q257&lt;&gt;"Yes","",IF(S257="Yes","Done",IF(R257="","Date missing",IF(R257&lt;TODAY(),"OVERDUE","Scheduled"))))</f>
        <v/>
      </c>
      <c r="U257" s="61"/>
      <c r="V257" s="61"/>
      <c r="W257" s="60"/>
      <c r="X257" s="88" t="str">
        <f aca="false">IF(AND(G257&lt;&gt;"",AND(B257&lt;&gt;"",B257&gt;='Weekly Report'!$F$4,B257&lt;='Weekly Report'!$F$5)),ROW(),"")</f>
        <v/>
      </c>
    </row>
    <row r="258" customFormat="false" ht="15" hidden="false" customHeight="false" outlineLevel="0" collapsed="false">
      <c r="A258" s="56" t="s">
        <v>1077</v>
      </c>
      <c r="B258" s="63"/>
      <c r="C258" s="91"/>
      <c r="D258" s="92"/>
      <c r="E258" s="61"/>
      <c r="F258" s="61"/>
      <c r="G258" s="60"/>
      <c r="H258" s="61"/>
      <c r="I258" s="60"/>
      <c r="J258" s="61"/>
      <c r="K258" s="60"/>
      <c r="L258" s="60"/>
      <c r="M258" s="60"/>
      <c r="N258" s="60"/>
      <c r="O258" s="60"/>
      <c r="P258" s="61"/>
      <c r="Q258" s="61"/>
      <c r="R258" s="63"/>
      <c r="S258" s="61"/>
      <c r="T258" s="62" t="str">
        <f aca="true">IF(Q258&lt;&gt;"Yes","",IF(S258="Yes","Done",IF(R258="","Date missing",IF(R258&lt;TODAY(),"OVERDUE","Scheduled"))))</f>
        <v/>
      </c>
      <c r="U258" s="61"/>
      <c r="V258" s="61"/>
      <c r="W258" s="60"/>
      <c r="X258" s="88" t="str">
        <f aca="false">IF(AND(G258&lt;&gt;"",AND(B258&lt;&gt;"",B258&gt;='Weekly Report'!$F$4,B258&lt;='Weekly Report'!$F$5)),ROW(),"")</f>
        <v/>
      </c>
    </row>
    <row r="259" customFormat="false" ht="15" hidden="false" customHeight="false" outlineLevel="0" collapsed="false">
      <c r="A259" s="56" t="s">
        <v>1078</v>
      </c>
      <c r="B259" s="63"/>
      <c r="C259" s="91"/>
      <c r="D259" s="92"/>
      <c r="E259" s="61"/>
      <c r="F259" s="61"/>
      <c r="G259" s="60"/>
      <c r="H259" s="61"/>
      <c r="I259" s="60"/>
      <c r="J259" s="61"/>
      <c r="K259" s="60"/>
      <c r="L259" s="60"/>
      <c r="M259" s="60"/>
      <c r="N259" s="60"/>
      <c r="O259" s="60"/>
      <c r="P259" s="61"/>
      <c r="Q259" s="61"/>
      <c r="R259" s="63"/>
      <c r="S259" s="61"/>
      <c r="T259" s="62" t="str">
        <f aca="true">IF(Q259&lt;&gt;"Yes","",IF(S259="Yes","Done",IF(R259="","Date missing",IF(R259&lt;TODAY(),"OVERDUE","Scheduled"))))</f>
        <v/>
      </c>
      <c r="U259" s="61"/>
      <c r="V259" s="61"/>
      <c r="W259" s="60"/>
      <c r="X259" s="88" t="str">
        <f aca="false">IF(AND(G259&lt;&gt;"",AND(B259&lt;&gt;"",B259&gt;='Weekly Report'!$F$4,B259&lt;='Weekly Report'!$F$5)),ROW(),"")</f>
        <v/>
      </c>
    </row>
    <row r="260" customFormat="false" ht="15" hidden="false" customHeight="false" outlineLevel="0" collapsed="false">
      <c r="A260" s="56" t="s">
        <v>1079</v>
      </c>
      <c r="B260" s="63"/>
      <c r="C260" s="91"/>
      <c r="D260" s="92"/>
      <c r="E260" s="61"/>
      <c r="F260" s="61"/>
      <c r="G260" s="60"/>
      <c r="H260" s="61"/>
      <c r="I260" s="60"/>
      <c r="J260" s="61"/>
      <c r="K260" s="60"/>
      <c r="L260" s="60"/>
      <c r="M260" s="60"/>
      <c r="N260" s="60"/>
      <c r="O260" s="60"/>
      <c r="P260" s="61"/>
      <c r="Q260" s="61"/>
      <c r="R260" s="63"/>
      <c r="S260" s="61"/>
      <c r="T260" s="62" t="str">
        <f aca="true">IF(Q260&lt;&gt;"Yes","",IF(S260="Yes","Done",IF(R260="","Date missing",IF(R260&lt;TODAY(),"OVERDUE","Scheduled"))))</f>
        <v/>
      </c>
      <c r="U260" s="61"/>
      <c r="V260" s="61"/>
      <c r="W260" s="60"/>
      <c r="X260" s="88" t="str">
        <f aca="false">IF(AND(G260&lt;&gt;"",AND(B260&lt;&gt;"",B260&gt;='Weekly Report'!$F$4,B260&lt;='Weekly Report'!$F$5)),ROW(),"")</f>
        <v/>
      </c>
    </row>
    <row r="261" customFormat="false" ht="15" hidden="false" customHeight="false" outlineLevel="0" collapsed="false">
      <c r="A261" s="56" t="s">
        <v>1080</v>
      </c>
      <c r="B261" s="63"/>
      <c r="C261" s="91"/>
      <c r="D261" s="92"/>
      <c r="E261" s="61"/>
      <c r="F261" s="61"/>
      <c r="G261" s="60"/>
      <c r="H261" s="61"/>
      <c r="I261" s="60"/>
      <c r="J261" s="61"/>
      <c r="K261" s="60"/>
      <c r="L261" s="60"/>
      <c r="M261" s="60"/>
      <c r="N261" s="60"/>
      <c r="O261" s="60"/>
      <c r="P261" s="61"/>
      <c r="Q261" s="61"/>
      <c r="R261" s="63"/>
      <c r="S261" s="61"/>
      <c r="T261" s="62" t="str">
        <f aca="true">IF(Q261&lt;&gt;"Yes","",IF(S261="Yes","Done",IF(R261="","Date missing",IF(R261&lt;TODAY(),"OVERDUE","Scheduled"))))</f>
        <v/>
      </c>
      <c r="U261" s="61"/>
      <c r="V261" s="61"/>
      <c r="W261" s="60"/>
      <c r="X261" s="88" t="str">
        <f aca="false">IF(AND(G261&lt;&gt;"",AND(B261&lt;&gt;"",B261&gt;='Weekly Report'!$F$4,B261&lt;='Weekly Report'!$F$5)),ROW(),"")</f>
        <v/>
      </c>
    </row>
    <row r="262" customFormat="false" ht="15" hidden="false" customHeight="false" outlineLevel="0" collapsed="false">
      <c r="A262" s="56" t="s">
        <v>1081</v>
      </c>
      <c r="B262" s="63"/>
      <c r="C262" s="91"/>
      <c r="D262" s="92"/>
      <c r="E262" s="61"/>
      <c r="F262" s="61"/>
      <c r="G262" s="60"/>
      <c r="H262" s="61"/>
      <c r="I262" s="60"/>
      <c r="J262" s="61"/>
      <c r="K262" s="60"/>
      <c r="L262" s="60"/>
      <c r="M262" s="60"/>
      <c r="N262" s="60"/>
      <c r="O262" s="60"/>
      <c r="P262" s="61"/>
      <c r="Q262" s="61"/>
      <c r="R262" s="63"/>
      <c r="S262" s="61"/>
      <c r="T262" s="62" t="str">
        <f aca="true">IF(Q262&lt;&gt;"Yes","",IF(S262="Yes","Done",IF(R262="","Date missing",IF(R262&lt;TODAY(),"OVERDUE","Scheduled"))))</f>
        <v/>
      </c>
      <c r="U262" s="61"/>
      <c r="V262" s="61"/>
      <c r="W262" s="60"/>
      <c r="X262" s="88" t="str">
        <f aca="false">IF(AND(G262&lt;&gt;"",AND(B262&lt;&gt;"",B262&gt;='Weekly Report'!$F$4,B262&lt;='Weekly Report'!$F$5)),ROW(),"")</f>
        <v/>
      </c>
    </row>
    <row r="263" customFormat="false" ht="15" hidden="false" customHeight="false" outlineLevel="0" collapsed="false">
      <c r="A263" s="56" t="s">
        <v>1082</v>
      </c>
      <c r="B263" s="63"/>
      <c r="C263" s="91"/>
      <c r="D263" s="92"/>
      <c r="E263" s="61"/>
      <c r="F263" s="61"/>
      <c r="G263" s="60"/>
      <c r="H263" s="61"/>
      <c r="I263" s="60"/>
      <c r="J263" s="61"/>
      <c r="K263" s="60"/>
      <c r="L263" s="60"/>
      <c r="M263" s="60"/>
      <c r="N263" s="60"/>
      <c r="O263" s="60"/>
      <c r="P263" s="61"/>
      <c r="Q263" s="61"/>
      <c r="R263" s="63"/>
      <c r="S263" s="61"/>
      <c r="T263" s="62" t="str">
        <f aca="true">IF(Q263&lt;&gt;"Yes","",IF(S263="Yes","Done",IF(R263="","Date missing",IF(R263&lt;TODAY(),"OVERDUE","Scheduled"))))</f>
        <v/>
      </c>
      <c r="U263" s="61"/>
      <c r="V263" s="61"/>
      <c r="W263" s="60"/>
      <c r="X263" s="88" t="str">
        <f aca="false">IF(AND(G263&lt;&gt;"",AND(B263&lt;&gt;"",B263&gt;='Weekly Report'!$F$4,B263&lt;='Weekly Report'!$F$5)),ROW(),"")</f>
        <v/>
      </c>
    </row>
    <row r="264" customFormat="false" ht="15" hidden="false" customHeight="false" outlineLevel="0" collapsed="false">
      <c r="A264" s="56" t="s">
        <v>1083</v>
      </c>
      <c r="B264" s="63"/>
      <c r="C264" s="91"/>
      <c r="D264" s="92"/>
      <c r="E264" s="61"/>
      <c r="F264" s="61"/>
      <c r="G264" s="60"/>
      <c r="H264" s="61"/>
      <c r="I264" s="60"/>
      <c r="J264" s="61"/>
      <c r="K264" s="60"/>
      <c r="L264" s="60"/>
      <c r="M264" s="60"/>
      <c r="N264" s="60"/>
      <c r="O264" s="60"/>
      <c r="P264" s="61"/>
      <c r="Q264" s="61"/>
      <c r="R264" s="63"/>
      <c r="S264" s="61"/>
      <c r="T264" s="62" t="str">
        <f aca="true">IF(Q264&lt;&gt;"Yes","",IF(S264="Yes","Done",IF(R264="","Date missing",IF(R264&lt;TODAY(),"OVERDUE","Scheduled"))))</f>
        <v/>
      </c>
      <c r="U264" s="61"/>
      <c r="V264" s="61"/>
      <c r="W264" s="60"/>
      <c r="X264" s="88" t="str">
        <f aca="false">IF(AND(G264&lt;&gt;"",AND(B264&lt;&gt;"",B264&gt;='Weekly Report'!$F$4,B264&lt;='Weekly Report'!$F$5)),ROW(),"")</f>
        <v/>
      </c>
    </row>
    <row r="265" customFormat="false" ht="15" hidden="false" customHeight="false" outlineLevel="0" collapsed="false">
      <c r="A265" s="56" t="s">
        <v>1084</v>
      </c>
      <c r="B265" s="63"/>
      <c r="C265" s="91"/>
      <c r="D265" s="92"/>
      <c r="E265" s="61"/>
      <c r="F265" s="61"/>
      <c r="G265" s="60"/>
      <c r="H265" s="61"/>
      <c r="I265" s="60"/>
      <c r="J265" s="61"/>
      <c r="K265" s="60"/>
      <c r="L265" s="60"/>
      <c r="M265" s="60"/>
      <c r="N265" s="60"/>
      <c r="O265" s="60"/>
      <c r="P265" s="61"/>
      <c r="Q265" s="61"/>
      <c r="R265" s="63"/>
      <c r="S265" s="61"/>
      <c r="T265" s="62" t="str">
        <f aca="true">IF(Q265&lt;&gt;"Yes","",IF(S265="Yes","Done",IF(R265="","Date missing",IF(R265&lt;TODAY(),"OVERDUE","Scheduled"))))</f>
        <v/>
      </c>
      <c r="U265" s="61"/>
      <c r="V265" s="61"/>
      <c r="W265" s="60"/>
      <c r="X265" s="88" t="str">
        <f aca="false">IF(AND(G265&lt;&gt;"",AND(B265&lt;&gt;"",B265&gt;='Weekly Report'!$F$4,B265&lt;='Weekly Report'!$F$5)),ROW(),"")</f>
        <v/>
      </c>
    </row>
    <row r="266" customFormat="false" ht="15" hidden="false" customHeight="false" outlineLevel="0" collapsed="false">
      <c r="A266" s="56" t="s">
        <v>1085</v>
      </c>
      <c r="B266" s="63"/>
      <c r="C266" s="91"/>
      <c r="D266" s="92"/>
      <c r="E266" s="61"/>
      <c r="F266" s="61"/>
      <c r="G266" s="60"/>
      <c r="H266" s="61"/>
      <c r="I266" s="60"/>
      <c r="J266" s="61"/>
      <c r="K266" s="60"/>
      <c r="L266" s="60"/>
      <c r="M266" s="60"/>
      <c r="N266" s="60"/>
      <c r="O266" s="60"/>
      <c r="P266" s="61"/>
      <c r="Q266" s="61"/>
      <c r="R266" s="63"/>
      <c r="S266" s="61"/>
      <c r="T266" s="62" t="str">
        <f aca="true">IF(Q266&lt;&gt;"Yes","",IF(S266="Yes","Done",IF(R266="","Date missing",IF(R266&lt;TODAY(),"OVERDUE","Scheduled"))))</f>
        <v/>
      </c>
      <c r="U266" s="61"/>
      <c r="V266" s="61"/>
      <c r="W266" s="60"/>
      <c r="X266" s="88" t="str">
        <f aca="false">IF(AND(G266&lt;&gt;"",AND(B266&lt;&gt;"",B266&gt;='Weekly Report'!$F$4,B266&lt;='Weekly Report'!$F$5)),ROW(),"")</f>
        <v/>
      </c>
    </row>
    <row r="267" customFormat="false" ht="15" hidden="false" customHeight="false" outlineLevel="0" collapsed="false">
      <c r="A267" s="56" t="s">
        <v>1086</v>
      </c>
      <c r="B267" s="63"/>
      <c r="C267" s="91"/>
      <c r="D267" s="92"/>
      <c r="E267" s="61"/>
      <c r="F267" s="61"/>
      <c r="G267" s="60"/>
      <c r="H267" s="61"/>
      <c r="I267" s="60"/>
      <c r="J267" s="61"/>
      <c r="K267" s="60"/>
      <c r="L267" s="60"/>
      <c r="M267" s="60"/>
      <c r="N267" s="60"/>
      <c r="O267" s="60"/>
      <c r="P267" s="61"/>
      <c r="Q267" s="61"/>
      <c r="R267" s="63"/>
      <c r="S267" s="61"/>
      <c r="T267" s="62" t="str">
        <f aca="true">IF(Q267&lt;&gt;"Yes","",IF(S267="Yes","Done",IF(R267="","Date missing",IF(R267&lt;TODAY(),"OVERDUE","Scheduled"))))</f>
        <v/>
      </c>
      <c r="U267" s="61"/>
      <c r="V267" s="61"/>
      <c r="W267" s="60"/>
      <c r="X267" s="88" t="str">
        <f aca="false">IF(AND(G267&lt;&gt;"",AND(B267&lt;&gt;"",B267&gt;='Weekly Report'!$F$4,B267&lt;='Weekly Report'!$F$5)),ROW(),"")</f>
        <v/>
      </c>
    </row>
    <row r="268" customFormat="false" ht="15" hidden="false" customHeight="false" outlineLevel="0" collapsed="false">
      <c r="A268" s="56" t="s">
        <v>1087</v>
      </c>
      <c r="B268" s="63"/>
      <c r="C268" s="91"/>
      <c r="D268" s="92"/>
      <c r="E268" s="61"/>
      <c r="F268" s="61"/>
      <c r="G268" s="60"/>
      <c r="H268" s="61"/>
      <c r="I268" s="60"/>
      <c r="J268" s="61"/>
      <c r="K268" s="60"/>
      <c r="L268" s="60"/>
      <c r="M268" s="60"/>
      <c r="N268" s="60"/>
      <c r="O268" s="60"/>
      <c r="P268" s="61"/>
      <c r="Q268" s="61"/>
      <c r="R268" s="63"/>
      <c r="S268" s="61"/>
      <c r="T268" s="62" t="str">
        <f aca="true">IF(Q268&lt;&gt;"Yes","",IF(S268="Yes","Done",IF(R268="","Date missing",IF(R268&lt;TODAY(),"OVERDUE","Scheduled"))))</f>
        <v/>
      </c>
      <c r="U268" s="61"/>
      <c r="V268" s="61"/>
      <c r="W268" s="60"/>
      <c r="X268" s="88" t="str">
        <f aca="false">IF(AND(G268&lt;&gt;"",AND(B268&lt;&gt;"",B268&gt;='Weekly Report'!$F$4,B268&lt;='Weekly Report'!$F$5)),ROW(),"")</f>
        <v/>
      </c>
    </row>
    <row r="269" customFormat="false" ht="15" hidden="false" customHeight="false" outlineLevel="0" collapsed="false">
      <c r="A269" s="56" t="s">
        <v>1088</v>
      </c>
      <c r="B269" s="63"/>
      <c r="C269" s="91"/>
      <c r="D269" s="92"/>
      <c r="E269" s="61"/>
      <c r="F269" s="61"/>
      <c r="G269" s="60"/>
      <c r="H269" s="61"/>
      <c r="I269" s="60"/>
      <c r="J269" s="61"/>
      <c r="K269" s="60"/>
      <c r="L269" s="60"/>
      <c r="M269" s="60"/>
      <c r="N269" s="60"/>
      <c r="O269" s="60"/>
      <c r="P269" s="61"/>
      <c r="Q269" s="61"/>
      <c r="R269" s="63"/>
      <c r="S269" s="61"/>
      <c r="T269" s="62" t="str">
        <f aca="true">IF(Q269&lt;&gt;"Yes","",IF(S269="Yes","Done",IF(R269="","Date missing",IF(R269&lt;TODAY(),"OVERDUE","Scheduled"))))</f>
        <v/>
      </c>
      <c r="U269" s="61"/>
      <c r="V269" s="61"/>
      <c r="W269" s="60"/>
      <c r="X269" s="88" t="str">
        <f aca="false">IF(AND(G269&lt;&gt;"",AND(B269&lt;&gt;"",B269&gt;='Weekly Report'!$F$4,B269&lt;='Weekly Report'!$F$5)),ROW(),"")</f>
        <v/>
      </c>
    </row>
    <row r="270" customFormat="false" ht="15" hidden="false" customHeight="false" outlineLevel="0" collapsed="false">
      <c r="A270" s="56" t="s">
        <v>1089</v>
      </c>
      <c r="B270" s="63"/>
      <c r="C270" s="91"/>
      <c r="D270" s="92"/>
      <c r="E270" s="61"/>
      <c r="F270" s="61"/>
      <c r="G270" s="60"/>
      <c r="H270" s="61"/>
      <c r="I270" s="60"/>
      <c r="J270" s="61"/>
      <c r="K270" s="60"/>
      <c r="L270" s="60"/>
      <c r="M270" s="60"/>
      <c r="N270" s="60"/>
      <c r="O270" s="60"/>
      <c r="P270" s="61"/>
      <c r="Q270" s="61"/>
      <c r="R270" s="63"/>
      <c r="S270" s="61"/>
      <c r="T270" s="62" t="str">
        <f aca="true">IF(Q270&lt;&gt;"Yes","",IF(S270="Yes","Done",IF(R270="","Date missing",IF(R270&lt;TODAY(),"OVERDUE","Scheduled"))))</f>
        <v/>
      </c>
      <c r="U270" s="61"/>
      <c r="V270" s="61"/>
      <c r="W270" s="60"/>
      <c r="X270" s="88" t="str">
        <f aca="false">IF(AND(G270&lt;&gt;"",AND(B270&lt;&gt;"",B270&gt;='Weekly Report'!$F$4,B270&lt;='Weekly Report'!$F$5)),ROW(),"")</f>
        <v/>
      </c>
    </row>
    <row r="271" customFormat="false" ht="15" hidden="false" customHeight="false" outlineLevel="0" collapsed="false">
      <c r="A271" s="56" t="s">
        <v>1090</v>
      </c>
      <c r="B271" s="63"/>
      <c r="C271" s="91"/>
      <c r="D271" s="92"/>
      <c r="E271" s="61"/>
      <c r="F271" s="61"/>
      <c r="G271" s="60"/>
      <c r="H271" s="61"/>
      <c r="I271" s="60"/>
      <c r="J271" s="61"/>
      <c r="K271" s="60"/>
      <c r="L271" s="60"/>
      <c r="M271" s="60"/>
      <c r="N271" s="60"/>
      <c r="O271" s="60"/>
      <c r="P271" s="61"/>
      <c r="Q271" s="61"/>
      <c r="R271" s="63"/>
      <c r="S271" s="61"/>
      <c r="T271" s="62" t="str">
        <f aca="true">IF(Q271&lt;&gt;"Yes","",IF(S271="Yes","Done",IF(R271="","Date missing",IF(R271&lt;TODAY(),"OVERDUE","Scheduled"))))</f>
        <v/>
      </c>
      <c r="U271" s="61"/>
      <c r="V271" s="61"/>
      <c r="W271" s="60"/>
      <c r="X271" s="88" t="str">
        <f aca="false">IF(AND(G271&lt;&gt;"",AND(B271&lt;&gt;"",B271&gt;='Weekly Report'!$F$4,B271&lt;='Weekly Report'!$F$5)),ROW(),"")</f>
        <v/>
      </c>
    </row>
    <row r="272" customFormat="false" ht="15" hidden="false" customHeight="false" outlineLevel="0" collapsed="false">
      <c r="A272" s="56" t="s">
        <v>1091</v>
      </c>
      <c r="B272" s="63"/>
      <c r="C272" s="91"/>
      <c r="D272" s="92"/>
      <c r="E272" s="61"/>
      <c r="F272" s="61"/>
      <c r="G272" s="60"/>
      <c r="H272" s="61"/>
      <c r="I272" s="60"/>
      <c r="J272" s="61"/>
      <c r="K272" s="60"/>
      <c r="L272" s="60"/>
      <c r="M272" s="60"/>
      <c r="N272" s="60"/>
      <c r="O272" s="60"/>
      <c r="P272" s="61"/>
      <c r="Q272" s="61"/>
      <c r="R272" s="63"/>
      <c r="S272" s="61"/>
      <c r="T272" s="62" t="str">
        <f aca="true">IF(Q272&lt;&gt;"Yes","",IF(S272="Yes","Done",IF(R272="","Date missing",IF(R272&lt;TODAY(),"OVERDUE","Scheduled"))))</f>
        <v/>
      </c>
      <c r="U272" s="61"/>
      <c r="V272" s="61"/>
      <c r="W272" s="60"/>
      <c r="X272" s="88" t="str">
        <f aca="false">IF(AND(G272&lt;&gt;"",AND(B272&lt;&gt;"",B272&gt;='Weekly Report'!$F$4,B272&lt;='Weekly Report'!$F$5)),ROW(),"")</f>
        <v/>
      </c>
    </row>
    <row r="273" customFormat="false" ht="15" hidden="false" customHeight="false" outlineLevel="0" collapsed="false">
      <c r="A273" s="56" t="s">
        <v>1092</v>
      </c>
      <c r="B273" s="63"/>
      <c r="C273" s="91"/>
      <c r="D273" s="92"/>
      <c r="E273" s="61"/>
      <c r="F273" s="61"/>
      <c r="G273" s="60"/>
      <c r="H273" s="61"/>
      <c r="I273" s="60"/>
      <c r="J273" s="61"/>
      <c r="K273" s="60"/>
      <c r="L273" s="60"/>
      <c r="M273" s="60"/>
      <c r="N273" s="60"/>
      <c r="O273" s="60"/>
      <c r="P273" s="61"/>
      <c r="Q273" s="61"/>
      <c r="R273" s="63"/>
      <c r="S273" s="61"/>
      <c r="T273" s="62" t="str">
        <f aca="true">IF(Q273&lt;&gt;"Yes","",IF(S273="Yes","Done",IF(R273="","Date missing",IF(R273&lt;TODAY(),"OVERDUE","Scheduled"))))</f>
        <v/>
      </c>
      <c r="U273" s="61"/>
      <c r="V273" s="61"/>
      <c r="W273" s="60"/>
      <c r="X273" s="88" t="str">
        <f aca="false">IF(AND(G273&lt;&gt;"",AND(B273&lt;&gt;"",B273&gt;='Weekly Report'!$F$4,B273&lt;='Weekly Report'!$F$5)),ROW(),"")</f>
        <v/>
      </c>
    </row>
    <row r="274" customFormat="false" ht="15" hidden="false" customHeight="false" outlineLevel="0" collapsed="false">
      <c r="A274" s="56" t="s">
        <v>1093</v>
      </c>
      <c r="B274" s="63"/>
      <c r="C274" s="91"/>
      <c r="D274" s="92"/>
      <c r="E274" s="61"/>
      <c r="F274" s="61"/>
      <c r="G274" s="60"/>
      <c r="H274" s="61"/>
      <c r="I274" s="60"/>
      <c r="J274" s="61"/>
      <c r="K274" s="60"/>
      <c r="L274" s="60"/>
      <c r="M274" s="60"/>
      <c r="N274" s="60"/>
      <c r="O274" s="60"/>
      <c r="P274" s="61"/>
      <c r="Q274" s="61"/>
      <c r="R274" s="63"/>
      <c r="S274" s="61"/>
      <c r="T274" s="62" t="str">
        <f aca="true">IF(Q274&lt;&gt;"Yes","",IF(S274="Yes","Done",IF(R274="","Date missing",IF(R274&lt;TODAY(),"OVERDUE","Scheduled"))))</f>
        <v/>
      </c>
      <c r="U274" s="61"/>
      <c r="V274" s="61"/>
      <c r="W274" s="60"/>
      <c r="X274" s="88" t="str">
        <f aca="false">IF(AND(G274&lt;&gt;"",AND(B274&lt;&gt;"",B274&gt;='Weekly Report'!$F$4,B274&lt;='Weekly Report'!$F$5)),ROW(),"")</f>
        <v/>
      </c>
    </row>
    <row r="275" customFormat="false" ht="15" hidden="false" customHeight="false" outlineLevel="0" collapsed="false">
      <c r="A275" s="56" t="s">
        <v>1094</v>
      </c>
      <c r="B275" s="63"/>
      <c r="C275" s="91"/>
      <c r="D275" s="92"/>
      <c r="E275" s="61"/>
      <c r="F275" s="61"/>
      <c r="G275" s="60"/>
      <c r="H275" s="61"/>
      <c r="I275" s="60"/>
      <c r="J275" s="61"/>
      <c r="K275" s="60"/>
      <c r="L275" s="60"/>
      <c r="M275" s="60"/>
      <c r="N275" s="60"/>
      <c r="O275" s="60"/>
      <c r="P275" s="61"/>
      <c r="Q275" s="61"/>
      <c r="R275" s="63"/>
      <c r="S275" s="61"/>
      <c r="T275" s="62" t="str">
        <f aca="true">IF(Q275&lt;&gt;"Yes","",IF(S275="Yes","Done",IF(R275="","Date missing",IF(R275&lt;TODAY(),"OVERDUE","Scheduled"))))</f>
        <v/>
      </c>
      <c r="U275" s="61"/>
      <c r="V275" s="61"/>
      <c r="W275" s="60"/>
      <c r="X275" s="88" t="str">
        <f aca="false">IF(AND(G275&lt;&gt;"",AND(B275&lt;&gt;"",B275&gt;='Weekly Report'!$F$4,B275&lt;='Weekly Report'!$F$5)),ROW(),"")</f>
        <v/>
      </c>
    </row>
    <row r="276" customFormat="false" ht="15" hidden="false" customHeight="false" outlineLevel="0" collapsed="false">
      <c r="A276" s="56" t="s">
        <v>1095</v>
      </c>
      <c r="B276" s="63"/>
      <c r="C276" s="91"/>
      <c r="D276" s="92"/>
      <c r="E276" s="61"/>
      <c r="F276" s="61"/>
      <c r="G276" s="60"/>
      <c r="H276" s="61"/>
      <c r="I276" s="60"/>
      <c r="J276" s="61"/>
      <c r="K276" s="60"/>
      <c r="L276" s="60"/>
      <c r="M276" s="60"/>
      <c r="N276" s="60"/>
      <c r="O276" s="60"/>
      <c r="P276" s="61"/>
      <c r="Q276" s="61"/>
      <c r="R276" s="63"/>
      <c r="S276" s="61"/>
      <c r="T276" s="62" t="str">
        <f aca="true">IF(Q276&lt;&gt;"Yes","",IF(S276="Yes","Done",IF(R276="","Date missing",IF(R276&lt;TODAY(),"OVERDUE","Scheduled"))))</f>
        <v/>
      </c>
      <c r="U276" s="61"/>
      <c r="V276" s="61"/>
      <c r="W276" s="60"/>
      <c r="X276" s="88" t="str">
        <f aca="false">IF(AND(G276&lt;&gt;"",AND(B276&lt;&gt;"",B276&gt;='Weekly Report'!$F$4,B276&lt;='Weekly Report'!$F$5)),ROW(),"")</f>
        <v/>
      </c>
    </row>
    <row r="277" customFormat="false" ht="15" hidden="false" customHeight="false" outlineLevel="0" collapsed="false">
      <c r="A277" s="56" t="s">
        <v>1096</v>
      </c>
      <c r="B277" s="63"/>
      <c r="C277" s="91"/>
      <c r="D277" s="92"/>
      <c r="E277" s="61"/>
      <c r="F277" s="61"/>
      <c r="G277" s="60"/>
      <c r="H277" s="61"/>
      <c r="I277" s="60"/>
      <c r="J277" s="61"/>
      <c r="K277" s="60"/>
      <c r="L277" s="60"/>
      <c r="M277" s="60"/>
      <c r="N277" s="60"/>
      <c r="O277" s="60"/>
      <c r="P277" s="61"/>
      <c r="Q277" s="61"/>
      <c r="R277" s="63"/>
      <c r="S277" s="61"/>
      <c r="T277" s="62" t="str">
        <f aca="true">IF(Q277&lt;&gt;"Yes","",IF(S277="Yes","Done",IF(R277="","Date missing",IF(R277&lt;TODAY(),"OVERDUE","Scheduled"))))</f>
        <v/>
      </c>
      <c r="U277" s="61"/>
      <c r="V277" s="61"/>
      <c r="W277" s="60"/>
      <c r="X277" s="88" t="str">
        <f aca="false">IF(AND(G277&lt;&gt;"",AND(B277&lt;&gt;"",B277&gt;='Weekly Report'!$F$4,B277&lt;='Weekly Report'!$F$5)),ROW(),"")</f>
        <v/>
      </c>
    </row>
    <row r="278" customFormat="false" ht="15" hidden="false" customHeight="false" outlineLevel="0" collapsed="false">
      <c r="A278" s="56" t="s">
        <v>1097</v>
      </c>
      <c r="B278" s="63"/>
      <c r="C278" s="91"/>
      <c r="D278" s="92"/>
      <c r="E278" s="61"/>
      <c r="F278" s="61"/>
      <c r="G278" s="60"/>
      <c r="H278" s="61"/>
      <c r="I278" s="60"/>
      <c r="J278" s="61"/>
      <c r="K278" s="60"/>
      <c r="L278" s="60"/>
      <c r="M278" s="60"/>
      <c r="N278" s="60"/>
      <c r="O278" s="60"/>
      <c r="P278" s="61"/>
      <c r="Q278" s="61"/>
      <c r="R278" s="63"/>
      <c r="S278" s="61"/>
      <c r="T278" s="62" t="str">
        <f aca="true">IF(Q278&lt;&gt;"Yes","",IF(S278="Yes","Done",IF(R278="","Date missing",IF(R278&lt;TODAY(),"OVERDUE","Scheduled"))))</f>
        <v/>
      </c>
      <c r="U278" s="61"/>
      <c r="V278" s="61"/>
      <c r="W278" s="60"/>
      <c r="X278" s="88" t="str">
        <f aca="false">IF(AND(G278&lt;&gt;"",AND(B278&lt;&gt;"",B278&gt;='Weekly Report'!$F$4,B278&lt;='Weekly Report'!$F$5)),ROW(),"")</f>
        <v/>
      </c>
    </row>
    <row r="279" customFormat="false" ht="15" hidden="false" customHeight="false" outlineLevel="0" collapsed="false">
      <c r="A279" s="56" t="s">
        <v>1098</v>
      </c>
      <c r="B279" s="63"/>
      <c r="C279" s="91"/>
      <c r="D279" s="92"/>
      <c r="E279" s="61"/>
      <c r="F279" s="61"/>
      <c r="G279" s="60"/>
      <c r="H279" s="61"/>
      <c r="I279" s="60"/>
      <c r="J279" s="61"/>
      <c r="K279" s="60"/>
      <c r="L279" s="60"/>
      <c r="M279" s="60"/>
      <c r="N279" s="60"/>
      <c r="O279" s="60"/>
      <c r="P279" s="61"/>
      <c r="Q279" s="61"/>
      <c r="R279" s="63"/>
      <c r="S279" s="61"/>
      <c r="T279" s="62" t="str">
        <f aca="true">IF(Q279&lt;&gt;"Yes","",IF(S279="Yes","Done",IF(R279="","Date missing",IF(R279&lt;TODAY(),"OVERDUE","Scheduled"))))</f>
        <v/>
      </c>
      <c r="U279" s="61"/>
      <c r="V279" s="61"/>
      <c r="W279" s="60"/>
      <c r="X279" s="88" t="str">
        <f aca="false">IF(AND(G279&lt;&gt;"",AND(B279&lt;&gt;"",B279&gt;='Weekly Report'!$F$4,B279&lt;='Weekly Report'!$F$5)),ROW(),"")</f>
        <v/>
      </c>
    </row>
    <row r="280" customFormat="false" ht="15" hidden="false" customHeight="false" outlineLevel="0" collapsed="false">
      <c r="A280" s="56" t="s">
        <v>1099</v>
      </c>
      <c r="B280" s="63"/>
      <c r="C280" s="91"/>
      <c r="D280" s="92"/>
      <c r="E280" s="61"/>
      <c r="F280" s="61"/>
      <c r="G280" s="60"/>
      <c r="H280" s="61"/>
      <c r="I280" s="60"/>
      <c r="J280" s="61"/>
      <c r="K280" s="60"/>
      <c r="L280" s="60"/>
      <c r="M280" s="60"/>
      <c r="N280" s="60"/>
      <c r="O280" s="60"/>
      <c r="P280" s="61"/>
      <c r="Q280" s="61"/>
      <c r="R280" s="63"/>
      <c r="S280" s="61"/>
      <c r="T280" s="62" t="str">
        <f aca="true">IF(Q280&lt;&gt;"Yes","",IF(S280="Yes","Done",IF(R280="","Date missing",IF(R280&lt;TODAY(),"OVERDUE","Scheduled"))))</f>
        <v/>
      </c>
      <c r="U280" s="61"/>
      <c r="V280" s="61"/>
      <c r="W280" s="60"/>
      <c r="X280" s="88" t="str">
        <f aca="false">IF(AND(G280&lt;&gt;"",AND(B280&lt;&gt;"",B280&gt;='Weekly Report'!$F$4,B280&lt;='Weekly Report'!$F$5)),ROW(),"")</f>
        <v/>
      </c>
    </row>
    <row r="281" customFormat="false" ht="15" hidden="false" customHeight="false" outlineLevel="0" collapsed="false">
      <c r="A281" s="56" t="s">
        <v>1100</v>
      </c>
      <c r="B281" s="63"/>
      <c r="C281" s="91"/>
      <c r="D281" s="92"/>
      <c r="E281" s="61"/>
      <c r="F281" s="61"/>
      <c r="G281" s="60"/>
      <c r="H281" s="61"/>
      <c r="I281" s="60"/>
      <c r="J281" s="61"/>
      <c r="K281" s="60"/>
      <c r="L281" s="60"/>
      <c r="M281" s="60"/>
      <c r="N281" s="60"/>
      <c r="O281" s="60"/>
      <c r="P281" s="61"/>
      <c r="Q281" s="61"/>
      <c r="R281" s="63"/>
      <c r="S281" s="61"/>
      <c r="T281" s="62" t="str">
        <f aca="true">IF(Q281&lt;&gt;"Yes","",IF(S281="Yes","Done",IF(R281="","Date missing",IF(R281&lt;TODAY(),"OVERDUE","Scheduled"))))</f>
        <v/>
      </c>
      <c r="U281" s="61"/>
      <c r="V281" s="61"/>
      <c r="W281" s="60"/>
      <c r="X281" s="88" t="str">
        <f aca="false">IF(AND(G281&lt;&gt;"",AND(B281&lt;&gt;"",B281&gt;='Weekly Report'!$F$4,B281&lt;='Weekly Report'!$F$5)),ROW(),"")</f>
        <v/>
      </c>
    </row>
    <row r="282" customFormat="false" ht="15" hidden="false" customHeight="false" outlineLevel="0" collapsed="false">
      <c r="A282" s="56" t="s">
        <v>1101</v>
      </c>
      <c r="B282" s="63"/>
      <c r="C282" s="91"/>
      <c r="D282" s="92"/>
      <c r="E282" s="61"/>
      <c r="F282" s="61"/>
      <c r="G282" s="60"/>
      <c r="H282" s="61"/>
      <c r="I282" s="60"/>
      <c r="J282" s="61"/>
      <c r="K282" s="60"/>
      <c r="L282" s="60"/>
      <c r="M282" s="60"/>
      <c r="N282" s="60"/>
      <c r="O282" s="60"/>
      <c r="P282" s="61"/>
      <c r="Q282" s="61"/>
      <c r="R282" s="63"/>
      <c r="S282" s="61"/>
      <c r="T282" s="62" t="str">
        <f aca="true">IF(Q282&lt;&gt;"Yes","",IF(S282="Yes","Done",IF(R282="","Date missing",IF(R282&lt;TODAY(),"OVERDUE","Scheduled"))))</f>
        <v/>
      </c>
      <c r="U282" s="61"/>
      <c r="V282" s="61"/>
      <c r="W282" s="60"/>
      <c r="X282" s="88" t="str">
        <f aca="false">IF(AND(G282&lt;&gt;"",AND(B282&lt;&gt;"",B282&gt;='Weekly Report'!$F$4,B282&lt;='Weekly Report'!$F$5)),ROW(),"")</f>
        <v/>
      </c>
    </row>
    <row r="283" customFormat="false" ht="15" hidden="false" customHeight="false" outlineLevel="0" collapsed="false">
      <c r="A283" s="56" t="s">
        <v>1102</v>
      </c>
      <c r="B283" s="63"/>
      <c r="C283" s="91"/>
      <c r="D283" s="92"/>
      <c r="E283" s="61"/>
      <c r="F283" s="61"/>
      <c r="G283" s="60"/>
      <c r="H283" s="61"/>
      <c r="I283" s="60"/>
      <c r="J283" s="61"/>
      <c r="K283" s="60"/>
      <c r="L283" s="60"/>
      <c r="M283" s="60"/>
      <c r="N283" s="60"/>
      <c r="O283" s="60"/>
      <c r="P283" s="61"/>
      <c r="Q283" s="61"/>
      <c r="R283" s="63"/>
      <c r="S283" s="61"/>
      <c r="T283" s="62" t="str">
        <f aca="true">IF(Q283&lt;&gt;"Yes","",IF(S283="Yes","Done",IF(R283="","Date missing",IF(R283&lt;TODAY(),"OVERDUE","Scheduled"))))</f>
        <v/>
      </c>
      <c r="U283" s="61"/>
      <c r="V283" s="61"/>
      <c r="W283" s="60"/>
      <c r="X283" s="88" t="str">
        <f aca="false">IF(AND(G283&lt;&gt;"",AND(B283&lt;&gt;"",B283&gt;='Weekly Report'!$F$4,B283&lt;='Weekly Report'!$F$5)),ROW(),"")</f>
        <v/>
      </c>
    </row>
    <row r="284" customFormat="false" ht="15" hidden="false" customHeight="false" outlineLevel="0" collapsed="false">
      <c r="A284" s="56" t="s">
        <v>1103</v>
      </c>
      <c r="B284" s="63"/>
      <c r="C284" s="91"/>
      <c r="D284" s="92"/>
      <c r="E284" s="61"/>
      <c r="F284" s="61"/>
      <c r="G284" s="60"/>
      <c r="H284" s="61"/>
      <c r="I284" s="60"/>
      <c r="J284" s="61"/>
      <c r="K284" s="60"/>
      <c r="L284" s="60"/>
      <c r="M284" s="60"/>
      <c r="N284" s="60"/>
      <c r="O284" s="60"/>
      <c r="P284" s="61"/>
      <c r="Q284" s="61"/>
      <c r="R284" s="63"/>
      <c r="S284" s="61"/>
      <c r="T284" s="62" t="str">
        <f aca="true">IF(Q284&lt;&gt;"Yes","",IF(S284="Yes","Done",IF(R284="","Date missing",IF(R284&lt;TODAY(),"OVERDUE","Scheduled"))))</f>
        <v/>
      </c>
      <c r="U284" s="61"/>
      <c r="V284" s="61"/>
      <c r="W284" s="60"/>
      <c r="X284" s="88" t="str">
        <f aca="false">IF(AND(G284&lt;&gt;"",AND(B284&lt;&gt;"",B284&gt;='Weekly Report'!$F$4,B284&lt;='Weekly Report'!$F$5)),ROW(),"")</f>
        <v/>
      </c>
    </row>
    <row r="285" customFormat="false" ht="15" hidden="false" customHeight="false" outlineLevel="0" collapsed="false">
      <c r="A285" s="56" t="s">
        <v>1104</v>
      </c>
      <c r="B285" s="63"/>
      <c r="C285" s="91"/>
      <c r="D285" s="92"/>
      <c r="E285" s="61"/>
      <c r="F285" s="61"/>
      <c r="G285" s="60"/>
      <c r="H285" s="61"/>
      <c r="I285" s="60"/>
      <c r="J285" s="61"/>
      <c r="K285" s="60"/>
      <c r="L285" s="60"/>
      <c r="M285" s="60"/>
      <c r="N285" s="60"/>
      <c r="O285" s="60"/>
      <c r="P285" s="61"/>
      <c r="Q285" s="61"/>
      <c r="R285" s="63"/>
      <c r="S285" s="61"/>
      <c r="T285" s="62" t="str">
        <f aca="true">IF(Q285&lt;&gt;"Yes","",IF(S285="Yes","Done",IF(R285="","Date missing",IF(R285&lt;TODAY(),"OVERDUE","Scheduled"))))</f>
        <v/>
      </c>
      <c r="U285" s="61"/>
      <c r="V285" s="61"/>
      <c r="W285" s="60"/>
      <c r="X285" s="88" t="str">
        <f aca="false">IF(AND(G285&lt;&gt;"",AND(B285&lt;&gt;"",B285&gt;='Weekly Report'!$F$4,B285&lt;='Weekly Report'!$F$5)),ROW(),"")</f>
        <v/>
      </c>
    </row>
    <row r="286" customFormat="false" ht="15" hidden="false" customHeight="false" outlineLevel="0" collapsed="false">
      <c r="A286" s="56" t="s">
        <v>1105</v>
      </c>
      <c r="B286" s="63"/>
      <c r="C286" s="91"/>
      <c r="D286" s="92"/>
      <c r="E286" s="61"/>
      <c r="F286" s="61"/>
      <c r="G286" s="60"/>
      <c r="H286" s="61"/>
      <c r="I286" s="60"/>
      <c r="J286" s="61"/>
      <c r="K286" s="60"/>
      <c r="L286" s="60"/>
      <c r="M286" s="60"/>
      <c r="N286" s="60"/>
      <c r="O286" s="60"/>
      <c r="P286" s="61"/>
      <c r="Q286" s="61"/>
      <c r="R286" s="63"/>
      <c r="S286" s="61"/>
      <c r="T286" s="62" t="str">
        <f aca="true">IF(Q286&lt;&gt;"Yes","",IF(S286="Yes","Done",IF(R286="","Date missing",IF(R286&lt;TODAY(),"OVERDUE","Scheduled"))))</f>
        <v/>
      </c>
      <c r="U286" s="61"/>
      <c r="V286" s="61"/>
      <c r="W286" s="60"/>
      <c r="X286" s="88" t="str">
        <f aca="false">IF(AND(G286&lt;&gt;"",AND(B286&lt;&gt;"",B286&gt;='Weekly Report'!$F$4,B286&lt;='Weekly Report'!$F$5)),ROW(),"")</f>
        <v/>
      </c>
    </row>
    <row r="287" customFormat="false" ht="15" hidden="false" customHeight="false" outlineLevel="0" collapsed="false">
      <c r="A287" s="56" t="s">
        <v>1106</v>
      </c>
      <c r="B287" s="63"/>
      <c r="C287" s="91"/>
      <c r="D287" s="92"/>
      <c r="E287" s="61"/>
      <c r="F287" s="61"/>
      <c r="G287" s="60"/>
      <c r="H287" s="61"/>
      <c r="I287" s="60"/>
      <c r="J287" s="61"/>
      <c r="K287" s="60"/>
      <c r="L287" s="60"/>
      <c r="M287" s="60"/>
      <c r="N287" s="60"/>
      <c r="O287" s="60"/>
      <c r="P287" s="61"/>
      <c r="Q287" s="61"/>
      <c r="R287" s="63"/>
      <c r="S287" s="61"/>
      <c r="T287" s="62" t="str">
        <f aca="true">IF(Q287&lt;&gt;"Yes","",IF(S287="Yes","Done",IF(R287="","Date missing",IF(R287&lt;TODAY(),"OVERDUE","Scheduled"))))</f>
        <v/>
      </c>
      <c r="U287" s="61"/>
      <c r="V287" s="61"/>
      <c r="W287" s="60"/>
      <c r="X287" s="88" t="str">
        <f aca="false">IF(AND(G287&lt;&gt;"",AND(B287&lt;&gt;"",B287&gt;='Weekly Report'!$F$4,B287&lt;='Weekly Report'!$F$5)),ROW(),"")</f>
        <v/>
      </c>
    </row>
    <row r="288" customFormat="false" ht="15" hidden="false" customHeight="false" outlineLevel="0" collapsed="false">
      <c r="A288" s="56" t="s">
        <v>1107</v>
      </c>
      <c r="B288" s="63"/>
      <c r="C288" s="91"/>
      <c r="D288" s="92"/>
      <c r="E288" s="61"/>
      <c r="F288" s="61"/>
      <c r="G288" s="60"/>
      <c r="H288" s="61"/>
      <c r="I288" s="60"/>
      <c r="J288" s="61"/>
      <c r="K288" s="60"/>
      <c r="L288" s="60"/>
      <c r="M288" s="60"/>
      <c r="N288" s="60"/>
      <c r="O288" s="60"/>
      <c r="P288" s="61"/>
      <c r="Q288" s="61"/>
      <c r="R288" s="63"/>
      <c r="S288" s="61"/>
      <c r="T288" s="62" t="str">
        <f aca="true">IF(Q288&lt;&gt;"Yes","",IF(S288="Yes","Done",IF(R288="","Date missing",IF(R288&lt;TODAY(),"OVERDUE","Scheduled"))))</f>
        <v/>
      </c>
      <c r="U288" s="61"/>
      <c r="V288" s="61"/>
      <c r="W288" s="60"/>
      <c r="X288" s="88" t="str">
        <f aca="false">IF(AND(G288&lt;&gt;"",AND(B288&lt;&gt;"",B288&gt;='Weekly Report'!$F$4,B288&lt;='Weekly Report'!$F$5)),ROW(),"")</f>
        <v/>
      </c>
    </row>
    <row r="289" customFormat="false" ht="15" hidden="false" customHeight="false" outlineLevel="0" collapsed="false">
      <c r="A289" s="56" t="s">
        <v>1108</v>
      </c>
      <c r="B289" s="63"/>
      <c r="C289" s="91"/>
      <c r="D289" s="92"/>
      <c r="E289" s="61"/>
      <c r="F289" s="61"/>
      <c r="G289" s="60"/>
      <c r="H289" s="61"/>
      <c r="I289" s="60"/>
      <c r="J289" s="61"/>
      <c r="K289" s="60"/>
      <c r="L289" s="60"/>
      <c r="M289" s="60"/>
      <c r="N289" s="60"/>
      <c r="O289" s="60"/>
      <c r="P289" s="61"/>
      <c r="Q289" s="61"/>
      <c r="R289" s="63"/>
      <c r="S289" s="61"/>
      <c r="T289" s="62" t="str">
        <f aca="true">IF(Q289&lt;&gt;"Yes","",IF(S289="Yes","Done",IF(R289="","Date missing",IF(R289&lt;TODAY(),"OVERDUE","Scheduled"))))</f>
        <v/>
      </c>
      <c r="U289" s="61"/>
      <c r="V289" s="61"/>
      <c r="W289" s="60"/>
      <c r="X289" s="88" t="str">
        <f aca="false">IF(AND(G289&lt;&gt;"",AND(B289&lt;&gt;"",B289&gt;='Weekly Report'!$F$4,B289&lt;='Weekly Report'!$F$5)),ROW(),"")</f>
        <v/>
      </c>
    </row>
    <row r="290" customFormat="false" ht="15" hidden="false" customHeight="false" outlineLevel="0" collapsed="false">
      <c r="A290" s="56" t="s">
        <v>1109</v>
      </c>
      <c r="B290" s="63"/>
      <c r="C290" s="91"/>
      <c r="D290" s="92"/>
      <c r="E290" s="61"/>
      <c r="F290" s="61"/>
      <c r="G290" s="60"/>
      <c r="H290" s="61"/>
      <c r="I290" s="60"/>
      <c r="J290" s="61"/>
      <c r="K290" s="60"/>
      <c r="L290" s="60"/>
      <c r="M290" s="60"/>
      <c r="N290" s="60"/>
      <c r="O290" s="60"/>
      <c r="P290" s="61"/>
      <c r="Q290" s="61"/>
      <c r="R290" s="63"/>
      <c r="S290" s="61"/>
      <c r="T290" s="62" t="str">
        <f aca="true">IF(Q290&lt;&gt;"Yes","",IF(S290="Yes","Done",IF(R290="","Date missing",IF(R290&lt;TODAY(),"OVERDUE","Scheduled"))))</f>
        <v/>
      </c>
      <c r="U290" s="61"/>
      <c r="V290" s="61"/>
      <c r="W290" s="60"/>
      <c r="X290" s="88" t="str">
        <f aca="false">IF(AND(G290&lt;&gt;"",AND(B290&lt;&gt;"",B290&gt;='Weekly Report'!$F$4,B290&lt;='Weekly Report'!$F$5)),ROW(),"")</f>
        <v/>
      </c>
    </row>
    <row r="291" customFormat="false" ht="15" hidden="false" customHeight="false" outlineLevel="0" collapsed="false">
      <c r="A291" s="56" t="s">
        <v>1110</v>
      </c>
      <c r="B291" s="63"/>
      <c r="C291" s="91"/>
      <c r="D291" s="92"/>
      <c r="E291" s="61"/>
      <c r="F291" s="61"/>
      <c r="G291" s="60"/>
      <c r="H291" s="61"/>
      <c r="I291" s="60"/>
      <c r="J291" s="61"/>
      <c r="K291" s="60"/>
      <c r="L291" s="60"/>
      <c r="M291" s="60"/>
      <c r="N291" s="60"/>
      <c r="O291" s="60"/>
      <c r="P291" s="61"/>
      <c r="Q291" s="61"/>
      <c r="R291" s="63"/>
      <c r="S291" s="61"/>
      <c r="T291" s="62" t="str">
        <f aca="true">IF(Q291&lt;&gt;"Yes","",IF(S291="Yes","Done",IF(R291="","Date missing",IF(R291&lt;TODAY(),"OVERDUE","Scheduled"))))</f>
        <v/>
      </c>
      <c r="U291" s="61"/>
      <c r="V291" s="61"/>
      <c r="W291" s="60"/>
      <c r="X291" s="88" t="str">
        <f aca="false">IF(AND(G291&lt;&gt;"",AND(B291&lt;&gt;"",B291&gt;='Weekly Report'!$F$4,B291&lt;='Weekly Report'!$F$5)),ROW(),"")</f>
        <v/>
      </c>
    </row>
    <row r="292" customFormat="false" ht="15" hidden="false" customHeight="false" outlineLevel="0" collapsed="false">
      <c r="A292" s="56" t="s">
        <v>1111</v>
      </c>
      <c r="B292" s="63"/>
      <c r="C292" s="91"/>
      <c r="D292" s="92"/>
      <c r="E292" s="61"/>
      <c r="F292" s="61"/>
      <c r="G292" s="60"/>
      <c r="H292" s="61"/>
      <c r="I292" s="60"/>
      <c r="J292" s="61"/>
      <c r="K292" s="60"/>
      <c r="L292" s="60"/>
      <c r="M292" s="60"/>
      <c r="N292" s="60"/>
      <c r="O292" s="60"/>
      <c r="P292" s="61"/>
      <c r="Q292" s="61"/>
      <c r="R292" s="63"/>
      <c r="S292" s="61"/>
      <c r="T292" s="62" t="str">
        <f aca="true">IF(Q292&lt;&gt;"Yes","",IF(S292="Yes","Done",IF(R292="","Date missing",IF(R292&lt;TODAY(),"OVERDUE","Scheduled"))))</f>
        <v/>
      </c>
      <c r="U292" s="61"/>
      <c r="V292" s="61"/>
      <c r="W292" s="60"/>
      <c r="X292" s="88" t="str">
        <f aca="false">IF(AND(G292&lt;&gt;"",AND(B292&lt;&gt;"",B292&gt;='Weekly Report'!$F$4,B292&lt;='Weekly Report'!$F$5)),ROW(),"")</f>
        <v/>
      </c>
    </row>
    <row r="293" customFormat="false" ht="15" hidden="false" customHeight="false" outlineLevel="0" collapsed="false">
      <c r="A293" s="56" t="s">
        <v>1112</v>
      </c>
      <c r="B293" s="63"/>
      <c r="C293" s="91"/>
      <c r="D293" s="92"/>
      <c r="E293" s="61"/>
      <c r="F293" s="61"/>
      <c r="G293" s="60"/>
      <c r="H293" s="61"/>
      <c r="I293" s="60"/>
      <c r="J293" s="61"/>
      <c r="K293" s="60"/>
      <c r="L293" s="60"/>
      <c r="M293" s="60"/>
      <c r="N293" s="60"/>
      <c r="O293" s="60"/>
      <c r="P293" s="61"/>
      <c r="Q293" s="61"/>
      <c r="R293" s="63"/>
      <c r="S293" s="61"/>
      <c r="T293" s="62" t="str">
        <f aca="true">IF(Q293&lt;&gt;"Yes","",IF(S293="Yes","Done",IF(R293="","Date missing",IF(R293&lt;TODAY(),"OVERDUE","Scheduled"))))</f>
        <v/>
      </c>
      <c r="U293" s="61"/>
      <c r="V293" s="61"/>
      <c r="W293" s="60"/>
      <c r="X293" s="88" t="str">
        <f aca="false">IF(AND(G293&lt;&gt;"",AND(B293&lt;&gt;"",B293&gt;='Weekly Report'!$F$4,B293&lt;='Weekly Report'!$F$5)),ROW(),"")</f>
        <v/>
      </c>
    </row>
    <row r="294" customFormat="false" ht="15" hidden="false" customHeight="false" outlineLevel="0" collapsed="false">
      <c r="A294" s="56" t="s">
        <v>1113</v>
      </c>
      <c r="B294" s="63"/>
      <c r="C294" s="91"/>
      <c r="D294" s="92"/>
      <c r="E294" s="61"/>
      <c r="F294" s="61"/>
      <c r="G294" s="60"/>
      <c r="H294" s="61"/>
      <c r="I294" s="60"/>
      <c r="J294" s="61"/>
      <c r="K294" s="60"/>
      <c r="L294" s="60"/>
      <c r="M294" s="60"/>
      <c r="N294" s="60"/>
      <c r="O294" s="60"/>
      <c r="P294" s="61"/>
      <c r="Q294" s="61"/>
      <c r="R294" s="63"/>
      <c r="S294" s="61"/>
      <c r="T294" s="62" t="str">
        <f aca="true">IF(Q294&lt;&gt;"Yes","",IF(S294="Yes","Done",IF(R294="","Date missing",IF(R294&lt;TODAY(),"OVERDUE","Scheduled"))))</f>
        <v/>
      </c>
      <c r="U294" s="61"/>
      <c r="V294" s="61"/>
      <c r="W294" s="60"/>
      <c r="X294" s="88" t="str">
        <f aca="false">IF(AND(G294&lt;&gt;"",AND(B294&lt;&gt;"",B294&gt;='Weekly Report'!$F$4,B294&lt;='Weekly Report'!$F$5)),ROW(),"")</f>
        <v/>
      </c>
    </row>
    <row r="295" customFormat="false" ht="15" hidden="false" customHeight="false" outlineLevel="0" collapsed="false">
      <c r="A295" s="56" t="s">
        <v>1114</v>
      </c>
      <c r="B295" s="63"/>
      <c r="C295" s="91"/>
      <c r="D295" s="92"/>
      <c r="E295" s="61"/>
      <c r="F295" s="61"/>
      <c r="G295" s="60"/>
      <c r="H295" s="61"/>
      <c r="I295" s="60"/>
      <c r="J295" s="61"/>
      <c r="K295" s="60"/>
      <c r="L295" s="60"/>
      <c r="M295" s="60"/>
      <c r="N295" s="60"/>
      <c r="O295" s="60"/>
      <c r="P295" s="61"/>
      <c r="Q295" s="61"/>
      <c r="R295" s="63"/>
      <c r="S295" s="61"/>
      <c r="T295" s="62" t="str">
        <f aca="true">IF(Q295&lt;&gt;"Yes","",IF(S295="Yes","Done",IF(R295="","Date missing",IF(R295&lt;TODAY(),"OVERDUE","Scheduled"))))</f>
        <v/>
      </c>
      <c r="U295" s="61"/>
      <c r="V295" s="61"/>
      <c r="W295" s="60"/>
      <c r="X295" s="88" t="str">
        <f aca="false">IF(AND(G295&lt;&gt;"",AND(B295&lt;&gt;"",B295&gt;='Weekly Report'!$F$4,B295&lt;='Weekly Report'!$F$5)),ROW(),"")</f>
        <v/>
      </c>
    </row>
    <row r="296" customFormat="false" ht="15" hidden="false" customHeight="false" outlineLevel="0" collapsed="false">
      <c r="A296" s="56" t="s">
        <v>1115</v>
      </c>
      <c r="B296" s="63"/>
      <c r="C296" s="91"/>
      <c r="D296" s="92"/>
      <c r="E296" s="61"/>
      <c r="F296" s="61"/>
      <c r="G296" s="60"/>
      <c r="H296" s="61"/>
      <c r="I296" s="60"/>
      <c r="J296" s="61"/>
      <c r="K296" s="60"/>
      <c r="L296" s="60"/>
      <c r="M296" s="60"/>
      <c r="N296" s="60"/>
      <c r="O296" s="60"/>
      <c r="P296" s="61"/>
      <c r="Q296" s="61"/>
      <c r="R296" s="63"/>
      <c r="S296" s="61"/>
      <c r="T296" s="62" t="str">
        <f aca="true">IF(Q296&lt;&gt;"Yes","",IF(S296="Yes","Done",IF(R296="","Date missing",IF(R296&lt;TODAY(),"OVERDUE","Scheduled"))))</f>
        <v/>
      </c>
      <c r="U296" s="61"/>
      <c r="V296" s="61"/>
      <c r="W296" s="60"/>
      <c r="X296" s="88" t="str">
        <f aca="false">IF(AND(G296&lt;&gt;"",AND(B296&lt;&gt;"",B296&gt;='Weekly Report'!$F$4,B296&lt;='Weekly Report'!$F$5)),ROW(),"")</f>
        <v/>
      </c>
    </row>
    <row r="297" customFormat="false" ht="15" hidden="false" customHeight="false" outlineLevel="0" collapsed="false">
      <c r="A297" s="56" t="s">
        <v>1116</v>
      </c>
      <c r="B297" s="63"/>
      <c r="C297" s="91"/>
      <c r="D297" s="92"/>
      <c r="E297" s="61"/>
      <c r="F297" s="61"/>
      <c r="G297" s="60"/>
      <c r="H297" s="61"/>
      <c r="I297" s="60"/>
      <c r="J297" s="61"/>
      <c r="K297" s="60"/>
      <c r="L297" s="60"/>
      <c r="M297" s="60"/>
      <c r="N297" s="60"/>
      <c r="O297" s="60"/>
      <c r="P297" s="61"/>
      <c r="Q297" s="61"/>
      <c r="R297" s="63"/>
      <c r="S297" s="61"/>
      <c r="T297" s="62" t="str">
        <f aca="true">IF(Q297&lt;&gt;"Yes","",IF(S297="Yes","Done",IF(R297="","Date missing",IF(R297&lt;TODAY(),"OVERDUE","Scheduled"))))</f>
        <v/>
      </c>
      <c r="U297" s="61"/>
      <c r="V297" s="61"/>
      <c r="W297" s="60"/>
      <c r="X297" s="88" t="str">
        <f aca="false">IF(AND(G297&lt;&gt;"",AND(B297&lt;&gt;"",B297&gt;='Weekly Report'!$F$4,B297&lt;='Weekly Report'!$F$5)),ROW(),"")</f>
        <v/>
      </c>
    </row>
    <row r="298" customFormat="false" ht="15" hidden="false" customHeight="false" outlineLevel="0" collapsed="false">
      <c r="A298" s="56" t="s">
        <v>1117</v>
      </c>
      <c r="B298" s="63"/>
      <c r="C298" s="91"/>
      <c r="D298" s="92"/>
      <c r="E298" s="61"/>
      <c r="F298" s="61"/>
      <c r="G298" s="60"/>
      <c r="H298" s="61"/>
      <c r="I298" s="60"/>
      <c r="J298" s="61"/>
      <c r="K298" s="60"/>
      <c r="L298" s="60"/>
      <c r="M298" s="60"/>
      <c r="N298" s="60"/>
      <c r="O298" s="60"/>
      <c r="P298" s="61"/>
      <c r="Q298" s="61"/>
      <c r="R298" s="63"/>
      <c r="S298" s="61"/>
      <c r="T298" s="62" t="str">
        <f aca="true">IF(Q298&lt;&gt;"Yes","",IF(S298="Yes","Done",IF(R298="","Date missing",IF(R298&lt;TODAY(),"OVERDUE","Scheduled"))))</f>
        <v/>
      </c>
      <c r="U298" s="61"/>
      <c r="V298" s="61"/>
      <c r="W298" s="60"/>
      <c r="X298" s="88" t="str">
        <f aca="false">IF(AND(G298&lt;&gt;"",AND(B298&lt;&gt;"",B298&gt;='Weekly Report'!$F$4,B298&lt;='Weekly Report'!$F$5)),ROW(),"")</f>
        <v/>
      </c>
    </row>
    <row r="299" customFormat="false" ht="15" hidden="false" customHeight="false" outlineLevel="0" collapsed="false">
      <c r="A299" s="56" t="s">
        <v>1118</v>
      </c>
      <c r="B299" s="63"/>
      <c r="C299" s="91"/>
      <c r="D299" s="92"/>
      <c r="E299" s="61"/>
      <c r="F299" s="61"/>
      <c r="G299" s="60"/>
      <c r="H299" s="61"/>
      <c r="I299" s="60"/>
      <c r="J299" s="61"/>
      <c r="K299" s="60"/>
      <c r="L299" s="60"/>
      <c r="M299" s="60"/>
      <c r="N299" s="60"/>
      <c r="O299" s="60"/>
      <c r="P299" s="61"/>
      <c r="Q299" s="61"/>
      <c r="R299" s="63"/>
      <c r="S299" s="61"/>
      <c r="T299" s="62" t="str">
        <f aca="true">IF(Q299&lt;&gt;"Yes","",IF(S299="Yes","Done",IF(R299="","Date missing",IF(R299&lt;TODAY(),"OVERDUE","Scheduled"))))</f>
        <v/>
      </c>
      <c r="U299" s="61"/>
      <c r="V299" s="61"/>
      <c r="W299" s="60"/>
      <c r="X299" s="88" t="str">
        <f aca="false">IF(AND(G299&lt;&gt;"",AND(B299&lt;&gt;"",B299&gt;='Weekly Report'!$F$4,B299&lt;='Weekly Report'!$F$5)),ROW(),"")</f>
        <v/>
      </c>
    </row>
    <row r="300" customFormat="false" ht="15" hidden="false" customHeight="false" outlineLevel="0" collapsed="false">
      <c r="A300" s="56" t="s">
        <v>1119</v>
      </c>
      <c r="B300" s="63"/>
      <c r="C300" s="91"/>
      <c r="D300" s="92"/>
      <c r="E300" s="61"/>
      <c r="F300" s="61"/>
      <c r="G300" s="60"/>
      <c r="H300" s="61"/>
      <c r="I300" s="60"/>
      <c r="J300" s="61"/>
      <c r="K300" s="60"/>
      <c r="L300" s="60"/>
      <c r="M300" s="60"/>
      <c r="N300" s="60"/>
      <c r="O300" s="60"/>
      <c r="P300" s="61"/>
      <c r="Q300" s="61"/>
      <c r="R300" s="63"/>
      <c r="S300" s="61"/>
      <c r="T300" s="62" t="str">
        <f aca="true">IF(Q300&lt;&gt;"Yes","",IF(S300="Yes","Done",IF(R300="","Date missing",IF(R300&lt;TODAY(),"OVERDUE","Scheduled"))))</f>
        <v/>
      </c>
      <c r="U300" s="61"/>
      <c r="V300" s="61"/>
      <c r="W300" s="60"/>
      <c r="X300" s="88" t="str">
        <f aca="false">IF(AND(G300&lt;&gt;"",AND(B300&lt;&gt;"",B300&gt;='Weekly Report'!$F$4,B300&lt;='Weekly Report'!$F$5)),ROW(),"")</f>
        <v/>
      </c>
    </row>
    <row r="301" customFormat="false" ht="15" hidden="false" customHeight="false" outlineLevel="0" collapsed="false">
      <c r="A301" s="56" t="s">
        <v>1120</v>
      </c>
      <c r="B301" s="63"/>
      <c r="C301" s="91"/>
      <c r="D301" s="92"/>
      <c r="E301" s="61"/>
      <c r="F301" s="61"/>
      <c r="G301" s="60"/>
      <c r="H301" s="61"/>
      <c r="I301" s="60"/>
      <c r="J301" s="61"/>
      <c r="K301" s="60"/>
      <c r="L301" s="60"/>
      <c r="M301" s="60"/>
      <c r="N301" s="60"/>
      <c r="O301" s="60"/>
      <c r="P301" s="61"/>
      <c r="Q301" s="61"/>
      <c r="R301" s="63"/>
      <c r="S301" s="61"/>
      <c r="T301" s="62" t="str">
        <f aca="true">IF(Q301&lt;&gt;"Yes","",IF(S301="Yes","Done",IF(R301="","Date missing",IF(R301&lt;TODAY(),"OVERDUE","Scheduled"))))</f>
        <v/>
      </c>
      <c r="U301" s="61"/>
      <c r="V301" s="61"/>
      <c r="W301" s="60"/>
      <c r="X301" s="88" t="str">
        <f aca="false">IF(AND(G301&lt;&gt;"",AND(B301&lt;&gt;"",B301&gt;='Weekly Report'!$F$4,B301&lt;='Weekly Report'!$F$5)),ROW(),"")</f>
        <v/>
      </c>
    </row>
    <row r="302" customFormat="false" ht="15" hidden="false" customHeight="false" outlineLevel="0" collapsed="false">
      <c r="A302" s="56" t="s">
        <v>1121</v>
      </c>
      <c r="B302" s="63"/>
      <c r="C302" s="91"/>
      <c r="D302" s="92"/>
      <c r="E302" s="61"/>
      <c r="F302" s="61"/>
      <c r="G302" s="60"/>
      <c r="H302" s="61"/>
      <c r="I302" s="60"/>
      <c r="J302" s="61"/>
      <c r="K302" s="60"/>
      <c r="L302" s="60"/>
      <c r="M302" s="60"/>
      <c r="N302" s="60"/>
      <c r="O302" s="60"/>
      <c r="P302" s="61"/>
      <c r="Q302" s="61"/>
      <c r="R302" s="63"/>
      <c r="S302" s="61"/>
      <c r="T302" s="62" t="str">
        <f aca="true">IF(Q302&lt;&gt;"Yes","",IF(S302="Yes","Done",IF(R302="","Date missing",IF(R302&lt;TODAY(),"OVERDUE","Scheduled"))))</f>
        <v/>
      </c>
      <c r="U302" s="61"/>
      <c r="V302" s="61"/>
      <c r="W302" s="60"/>
      <c r="X302" s="88" t="str">
        <f aca="false">IF(AND(G302&lt;&gt;"",AND(B302&lt;&gt;"",B302&gt;='Weekly Report'!$F$4,B302&lt;='Weekly Report'!$F$5)),ROW(),"")</f>
        <v/>
      </c>
    </row>
    <row r="303" customFormat="false" ht="15" hidden="false" customHeight="false" outlineLevel="0" collapsed="false">
      <c r="A303" s="56" t="s">
        <v>1122</v>
      </c>
      <c r="B303" s="63"/>
      <c r="C303" s="91"/>
      <c r="D303" s="92"/>
      <c r="E303" s="61"/>
      <c r="F303" s="61"/>
      <c r="G303" s="60"/>
      <c r="H303" s="61"/>
      <c r="I303" s="60"/>
      <c r="J303" s="61"/>
      <c r="K303" s="60"/>
      <c r="L303" s="60"/>
      <c r="M303" s="60"/>
      <c r="N303" s="60"/>
      <c r="O303" s="60"/>
      <c r="P303" s="61"/>
      <c r="Q303" s="61"/>
      <c r="R303" s="63"/>
      <c r="S303" s="61"/>
      <c r="T303" s="62" t="str">
        <f aca="true">IF(Q303&lt;&gt;"Yes","",IF(S303="Yes","Done",IF(R303="","Date missing",IF(R303&lt;TODAY(),"OVERDUE","Scheduled"))))</f>
        <v/>
      </c>
      <c r="U303" s="61"/>
      <c r="V303" s="61"/>
      <c r="W303" s="60"/>
      <c r="X303" s="88" t="str">
        <f aca="false">IF(AND(G303&lt;&gt;"",AND(B303&lt;&gt;"",B303&gt;='Weekly Report'!$F$4,B303&lt;='Weekly Report'!$F$5)),ROW(),"")</f>
        <v/>
      </c>
    </row>
    <row r="304" customFormat="false" ht="15" hidden="false" customHeight="false" outlineLevel="0" collapsed="false">
      <c r="A304" s="56" t="s">
        <v>1123</v>
      </c>
      <c r="B304" s="63"/>
      <c r="C304" s="91"/>
      <c r="D304" s="92"/>
      <c r="E304" s="61"/>
      <c r="F304" s="61"/>
      <c r="G304" s="60"/>
      <c r="H304" s="61"/>
      <c r="I304" s="60"/>
      <c r="J304" s="61"/>
      <c r="K304" s="60"/>
      <c r="L304" s="60"/>
      <c r="M304" s="60"/>
      <c r="N304" s="60"/>
      <c r="O304" s="60"/>
      <c r="P304" s="61"/>
      <c r="Q304" s="61"/>
      <c r="R304" s="63"/>
      <c r="S304" s="61"/>
      <c r="T304" s="62" t="str">
        <f aca="true">IF(Q304&lt;&gt;"Yes","",IF(S304="Yes","Done",IF(R304="","Date missing",IF(R304&lt;TODAY(),"OVERDUE","Scheduled"))))</f>
        <v/>
      </c>
      <c r="U304" s="61"/>
      <c r="V304" s="61"/>
      <c r="W304" s="60"/>
      <c r="X304" s="88" t="str">
        <f aca="false">IF(AND(G304&lt;&gt;"",AND(B304&lt;&gt;"",B304&gt;='Weekly Report'!$F$4,B304&lt;='Weekly Report'!$F$5)),ROW(),"")</f>
        <v/>
      </c>
    </row>
  </sheetData>
  <autoFilter ref="A4:W304"/>
  <conditionalFormatting sqref="T5:T304">
    <cfRule type="cellIs" priority="2" operator="equal" aboveAverage="0" equalAverage="0" bottom="0" percent="0" rank="0" text="" dxfId="13">
      <formula>"OVERDUE"</formula>
    </cfRule>
    <cfRule type="cellIs" priority="3" operator="equal" aboveAverage="0" equalAverage="0" bottom="0" percent="0" rank="0" text="" dxfId="13">
      <formula>"SLA BREACH"</formula>
    </cfRule>
    <cfRule type="expression" priority="4" aboveAverage="0" equalAverage="0" bottom="0" percent="0" rank="0" text="" dxfId="23">
      <formula>LEFT(T5,3)="Due"</formula>
    </cfRule>
    <cfRule type="cellIs" priority="5" operator="equal" aboveAverage="0" equalAverage="0" bottom="0" percent="0" rank="0" text="" dxfId="3">
      <formula>"Closed Late"</formula>
    </cfRule>
    <cfRule type="cellIs" priority="6" operator="equal" aboveAverage="0" equalAverage="0" bottom="0" percent="0" rank="0" text="" dxfId="3">
      <formula>"Date missing"</formula>
    </cfRule>
    <cfRule type="cellIs" priority="7" operator="equal" aboveAverage="0" equalAverage="0" bottom="0" percent="0" rank="0" text="" dxfId="3">
      <formula>"Due date missing"</formula>
    </cfRule>
    <cfRule type="cellIs" priority="8" operator="equal" aboveAverage="0" equalAverage="0" bottom="0" percent="0" rank="0" text="" dxfId="1">
      <formula>"Met"</formula>
    </cfRule>
    <cfRule type="cellIs" priority="9" operator="equal" aboveAverage="0" equalAverage="0" bottom="0" percent="0" rank="0" text="" dxfId="1">
      <formula>"Done"</formula>
    </cfRule>
    <cfRule type="cellIs" priority="10" operator="equal" aboveAverage="0" equalAverage="0" bottom="0" percent="0" rank="0" text="" dxfId="1">
      <formula>"Within SLA"</formula>
    </cfRule>
    <cfRule type="cellIs" priority="11" operator="equal" aboveAverage="0" equalAverage="0" bottom="0" percent="0" rank="0" text="" dxfId="1">
      <formula>"On Schedule"</formula>
    </cfRule>
    <cfRule type="cellIs" priority="12" operator="equal" aboveAverage="0" equalAverage="0" bottom="0" percent="0" rank="0" text="" dxfId="1">
      <formula>"Scheduled"</formula>
    </cfRule>
  </conditionalFormatting>
  <dataValidations count="8">
    <dataValidation allowBlank="true" error="Enter a valid date (e.g. 19-Oct-2026)." errorStyle="stop" operator="greaterThan" showDropDown="false" showErrorMessage="true" showInputMessage="false" sqref="B5:B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E5:E304" type="list">
      <formula1>Lists!$F$4:$F$12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F5:F304" type="list">
      <formula1>Lists!$G$4:$G$14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J5:J304" type="list">
      <formula1>Lists!$H$4:$H$8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Q5:Q304" type="list">
      <formula1>Lists!$A$4:$A$5</formula1>
      <formula2>0</formula2>
    </dataValidation>
    <dataValidation allowBlank="true" error="Enter a valid date (e.g. 19-Oct-2026)." errorStyle="stop" operator="greaterThan" showDropDown="false" showErrorMessage="true" showInputMessage="false" sqref="R5:R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S5:S304" type="list">
      <formula1>Lists!$A$4:$A$5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V5:V304" type="list">
      <formula1>Lists!$W$4:$W$6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V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0" min="20" style="0" width="24"/>
    <col collapsed="false" customWidth="true" hidden="false" outlineLevel="0" max="21" min="21" style="0" width="30"/>
    <col collapsed="false" customWidth="true" hidden="true" outlineLevel="1" max="22" min="22" style="0" width="8"/>
  </cols>
  <sheetData>
    <row r="1" customFormat="false" ht="19.7" hidden="false" customHeight="false" outlineLevel="0" collapsed="false">
      <c r="A1" s="53" t="s">
        <v>1124</v>
      </c>
    </row>
    <row r="2" customFormat="false" ht="15" hidden="false" customHeight="false" outlineLevel="0" collapsed="false">
      <c r="A2" s="2" t="s">
        <v>1125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1126</v>
      </c>
      <c r="B4" s="55" t="s">
        <v>1127</v>
      </c>
      <c r="C4" s="55" t="s">
        <v>1128</v>
      </c>
      <c r="D4" s="55" t="s">
        <v>1129</v>
      </c>
      <c r="E4" s="55" t="s">
        <v>1130</v>
      </c>
      <c r="F4" s="55" t="s">
        <v>1131</v>
      </c>
      <c r="G4" s="55" t="s">
        <v>194</v>
      </c>
      <c r="H4" s="55" t="s">
        <v>195</v>
      </c>
      <c r="I4" s="55" t="s">
        <v>142</v>
      </c>
      <c r="J4" s="55" t="s">
        <v>1132</v>
      </c>
      <c r="K4" s="55" t="s">
        <v>1133</v>
      </c>
      <c r="L4" s="55" t="s">
        <v>1134</v>
      </c>
      <c r="M4" s="55" t="s">
        <v>1135</v>
      </c>
      <c r="N4" s="55" t="s">
        <v>1136</v>
      </c>
      <c r="O4" s="55" t="s">
        <v>1137</v>
      </c>
      <c r="P4" s="55" t="s">
        <v>1138</v>
      </c>
      <c r="Q4" s="55" t="s">
        <v>1139</v>
      </c>
      <c r="R4" s="55" t="s">
        <v>1140</v>
      </c>
      <c r="S4" s="55" t="s">
        <v>1141</v>
      </c>
      <c r="T4" s="55" t="s">
        <v>1142</v>
      </c>
      <c r="U4" s="55" t="s">
        <v>232</v>
      </c>
      <c r="V4" s="84" t="s">
        <v>1143</v>
      </c>
    </row>
    <row r="5" customFormat="false" ht="35.05" hidden="false" customHeight="false" outlineLevel="0" collapsed="false">
      <c r="A5" s="56" t="s">
        <v>1144</v>
      </c>
      <c r="B5" s="57" t="n">
        <v>46311</v>
      </c>
      <c r="C5" s="58" t="s">
        <v>1145</v>
      </c>
      <c r="D5" s="58" t="s">
        <v>486</v>
      </c>
      <c r="E5" s="59" t="s">
        <v>1146</v>
      </c>
      <c r="F5" s="58" t="s">
        <v>1147</v>
      </c>
      <c r="G5" s="59" t="s">
        <v>1148</v>
      </c>
      <c r="H5" s="58" t="s">
        <v>1149</v>
      </c>
      <c r="I5" s="58" t="s">
        <v>482</v>
      </c>
      <c r="J5" s="59" t="s">
        <v>1150</v>
      </c>
      <c r="K5" s="59" t="s">
        <v>1151</v>
      </c>
      <c r="L5" s="59" t="s">
        <v>1152</v>
      </c>
      <c r="M5" s="58" t="s">
        <v>821</v>
      </c>
      <c r="N5" s="57" t="n">
        <v>46318</v>
      </c>
      <c r="O5" s="58" t="s">
        <v>1153</v>
      </c>
      <c r="P5" s="63"/>
      <c r="Q5" s="87" t="str">
        <f aca="false">IF(OR(B5="",P5=""),"",P5-B5)</f>
        <v/>
      </c>
      <c r="R5" s="62" t="str">
        <f aca="true">IF(OR(M5&lt;&gt;"Yes",P5&lt;&gt;"",O5="Closed",O5="No Action Required"),"",IF(N5="","Due date missing",IF(N5&lt;TODAY(),"OVERDUE",IF(N5-TODAY()&lt;=2,"Due ≤2d","Open"))))</f>
        <v>Open</v>
      </c>
      <c r="S5" s="58" t="s">
        <v>1154</v>
      </c>
      <c r="T5" s="58" t="s">
        <v>1155</v>
      </c>
      <c r="U5" s="60"/>
      <c r="V5" s="88" t="n">
        <f aca="false">IF(AND(G5&lt;&gt;"",M5="Yes",P5="",O5&lt;&gt;"Closed",O5&lt;&gt;"No Action Required",O5&lt;&gt;"Responded"),ROW(),"")</f>
        <v>5</v>
      </c>
    </row>
    <row r="6" customFormat="false" ht="15" hidden="false" customHeight="false" outlineLevel="0" collapsed="false">
      <c r="A6" s="56" t="s">
        <v>1156</v>
      </c>
      <c r="B6" s="63"/>
      <c r="C6" s="61"/>
      <c r="D6" s="61"/>
      <c r="E6" s="60"/>
      <c r="F6" s="61"/>
      <c r="G6" s="60"/>
      <c r="H6" s="61"/>
      <c r="I6" s="61"/>
      <c r="J6" s="60"/>
      <c r="K6" s="60"/>
      <c r="L6" s="60"/>
      <c r="M6" s="61"/>
      <c r="N6" s="63"/>
      <c r="O6" s="61"/>
      <c r="P6" s="63"/>
      <c r="Q6" s="87" t="str">
        <f aca="false">IF(OR(B6="",P6=""),"",P6-B6)</f>
        <v/>
      </c>
      <c r="R6" s="62" t="str">
        <f aca="true">IF(OR(M6&lt;&gt;"Yes",P6&lt;&gt;"",O6="Closed",O6="No Action Required"),"",IF(N6="","Due date missing",IF(N6&lt;TODAY(),"OVERDUE",IF(N6-TODAY()&lt;=2,"Due ≤2d","Open"))))</f>
        <v/>
      </c>
      <c r="S6" s="61"/>
      <c r="T6" s="61"/>
      <c r="U6" s="60"/>
      <c r="V6" s="88" t="str">
        <f aca="false">IF(AND(G6&lt;&gt;"",M6="Yes",P6="",O6&lt;&gt;"Closed",O6&lt;&gt;"No Action Required",O6&lt;&gt;"Responded"),ROW(),"")</f>
        <v/>
      </c>
    </row>
    <row r="7" customFormat="false" ht="15" hidden="false" customHeight="false" outlineLevel="0" collapsed="false">
      <c r="A7" s="56" t="s">
        <v>1157</v>
      </c>
      <c r="B7" s="63"/>
      <c r="C7" s="61"/>
      <c r="D7" s="61"/>
      <c r="E7" s="60"/>
      <c r="F7" s="61"/>
      <c r="G7" s="60"/>
      <c r="H7" s="61"/>
      <c r="I7" s="61"/>
      <c r="J7" s="60"/>
      <c r="K7" s="60"/>
      <c r="L7" s="60"/>
      <c r="M7" s="61"/>
      <c r="N7" s="63"/>
      <c r="O7" s="61"/>
      <c r="P7" s="63"/>
      <c r="Q7" s="87" t="str">
        <f aca="false">IF(OR(B7="",P7=""),"",P7-B7)</f>
        <v/>
      </c>
      <c r="R7" s="62" t="str">
        <f aca="true">IF(OR(M7&lt;&gt;"Yes",P7&lt;&gt;"",O7="Closed",O7="No Action Required"),"",IF(N7="","Due date missing",IF(N7&lt;TODAY(),"OVERDUE",IF(N7-TODAY()&lt;=2,"Due ≤2d","Open"))))</f>
        <v/>
      </c>
      <c r="S7" s="61"/>
      <c r="T7" s="61"/>
      <c r="U7" s="60"/>
      <c r="V7" s="88" t="str">
        <f aca="false">IF(AND(G7&lt;&gt;"",M7="Yes",P7="",O7&lt;&gt;"Closed",O7&lt;&gt;"No Action Required",O7&lt;&gt;"Responded"),ROW(),"")</f>
        <v/>
      </c>
    </row>
    <row r="8" customFormat="false" ht="15" hidden="false" customHeight="false" outlineLevel="0" collapsed="false">
      <c r="A8" s="56" t="s">
        <v>1158</v>
      </c>
      <c r="B8" s="63"/>
      <c r="C8" s="61"/>
      <c r="D8" s="61"/>
      <c r="E8" s="60"/>
      <c r="F8" s="61"/>
      <c r="G8" s="60"/>
      <c r="H8" s="61"/>
      <c r="I8" s="61"/>
      <c r="J8" s="60"/>
      <c r="K8" s="60"/>
      <c r="L8" s="60"/>
      <c r="M8" s="61"/>
      <c r="N8" s="63"/>
      <c r="O8" s="61"/>
      <c r="P8" s="63"/>
      <c r="Q8" s="87" t="str">
        <f aca="false">IF(OR(B8="",P8=""),"",P8-B8)</f>
        <v/>
      </c>
      <c r="R8" s="62" t="str">
        <f aca="true">IF(OR(M8&lt;&gt;"Yes",P8&lt;&gt;"",O8="Closed",O8="No Action Required"),"",IF(N8="","Due date missing",IF(N8&lt;TODAY(),"OVERDUE",IF(N8-TODAY()&lt;=2,"Due ≤2d","Open"))))</f>
        <v/>
      </c>
      <c r="S8" s="61"/>
      <c r="T8" s="61"/>
      <c r="U8" s="60"/>
      <c r="V8" s="88" t="str">
        <f aca="false">IF(AND(G8&lt;&gt;"",M8="Yes",P8="",O8&lt;&gt;"Closed",O8&lt;&gt;"No Action Required",O8&lt;&gt;"Responded"),ROW(),"")</f>
        <v/>
      </c>
    </row>
    <row r="9" customFormat="false" ht="15" hidden="false" customHeight="false" outlineLevel="0" collapsed="false">
      <c r="A9" s="56" t="s">
        <v>1159</v>
      </c>
      <c r="B9" s="63"/>
      <c r="C9" s="61"/>
      <c r="D9" s="61"/>
      <c r="E9" s="60"/>
      <c r="F9" s="61"/>
      <c r="G9" s="60"/>
      <c r="H9" s="61"/>
      <c r="I9" s="61"/>
      <c r="J9" s="60"/>
      <c r="K9" s="60"/>
      <c r="L9" s="60"/>
      <c r="M9" s="61"/>
      <c r="N9" s="63"/>
      <c r="O9" s="61"/>
      <c r="P9" s="63"/>
      <c r="Q9" s="87" t="str">
        <f aca="false">IF(OR(B9="",P9=""),"",P9-B9)</f>
        <v/>
      </c>
      <c r="R9" s="62" t="str">
        <f aca="true">IF(OR(M9&lt;&gt;"Yes",P9&lt;&gt;"",O9="Closed",O9="No Action Required"),"",IF(N9="","Due date missing",IF(N9&lt;TODAY(),"OVERDUE",IF(N9-TODAY()&lt;=2,"Due ≤2d","Open"))))</f>
        <v/>
      </c>
      <c r="S9" s="61"/>
      <c r="T9" s="61"/>
      <c r="U9" s="60"/>
      <c r="V9" s="88" t="str">
        <f aca="false">IF(AND(G9&lt;&gt;"",M9="Yes",P9="",O9&lt;&gt;"Closed",O9&lt;&gt;"No Action Required",O9&lt;&gt;"Responded"),ROW(),"")</f>
        <v/>
      </c>
    </row>
    <row r="10" customFormat="false" ht="15" hidden="false" customHeight="false" outlineLevel="0" collapsed="false">
      <c r="A10" s="56" t="s">
        <v>1160</v>
      </c>
      <c r="B10" s="63"/>
      <c r="C10" s="61"/>
      <c r="D10" s="61"/>
      <c r="E10" s="60"/>
      <c r="F10" s="61"/>
      <c r="G10" s="60"/>
      <c r="H10" s="61"/>
      <c r="I10" s="61"/>
      <c r="J10" s="60"/>
      <c r="K10" s="60"/>
      <c r="L10" s="60"/>
      <c r="M10" s="61"/>
      <c r="N10" s="63"/>
      <c r="O10" s="61"/>
      <c r="P10" s="63"/>
      <c r="Q10" s="87" t="str">
        <f aca="false">IF(OR(B10="",P10=""),"",P10-B10)</f>
        <v/>
      </c>
      <c r="R10" s="62" t="str">
        <f aca="true">IF(OR(M10&lt;&gt;"Yes",P10&lt;&gt;"",O10="Closed",O10="No Action Required"),"",IF(N10="","Due date missing",IF(N10&lt;TODAY(),"OVERDUE",IF(N10-TODAY()&lt;=2,"Due ≤2d","Open"))))</f>
        <v/>
      </c>
      <c r="S10" s="61"/>
      <c r="T10" s="61"/>
      <c r="U10" s="60"/>
      <c r="V10" s="88" t="str">
        <f aca="false">IF(AND(G10&lt;&gt;"",M10="Yes",P10="",O10&lt;&gt;"Closed",O10&lt;&gt;"No Action Required",O10&lt;&gt;"Responded"),ROW(),"")</f>
        <v/>
      </c>
    </row>
    <row r="11" customFormat="false" ht="15" hidden="false" customHeight="false" outlineLevel="0" collapsed="false">
      <c r="A11" s="56" t="s">
        <v>1161</v>
      </c>
      <c r="B11" s="63"/>
      <c r="C11" s="61"/>
      <c r="D11" s="61"/>
      <c r="E11" s="60"/>
      <c r="F11" s="61"/>
      <c r="G11" s="60"/>
      <c r="H11" s="61"/>
      <c r="I11" s="61"/>
      <c r="J11" s="60"/>
      <c r="K11" s="60"/>
      <c r="L11" s="60"/>
      <c r="M11" s="61"/>
      <c r="N11" s="63"/>
      <c r="O11" s="61"/>
      <c r="P11" s="63"/>
      <c r="Q11" s="87" t="str">
        <f aca="false">IF(OR(B11="",P11=""),"",P11-B11)</f>
        <v/>
      </c>
      <c r="R11" s="62" t="str">
        <f aca="true">IF(OR(M11&lt;&gt;"Yes",P11&lt;&gt;"",O11="Closed",O11="No Action Required"),"",IF(N11="","Due date missing",IF(N11&lt;TODAY(),"OVERDUE",IF(N11-TODAY()&lt;=2,"Due ≤2d","Open"))))</f>
        <v/>
      </c>
      <c r="S11" s="61"/>
      <c r="T11" s="61"/>
      <c r="U11" s="60"/>
      <c r="V11" s="88" t="str">
        <f aca="false">IF(AND(G11&lt;&gt;"",M11="Yes",P11="",O11&lt;&gt;"Closed",O11&lt;&gt;"No Action Required",O11&lt;&gt;"Responded"),ROW(),"")</f>
        <v/>
      </c>
    </row>
    <row r="12" customFormat="false" ht="15" hidden="false" customHeight="false" outlineLevel="0" collapsed="false">
      <c r="A12" s="56" t="s">
        <v>1162</v>
      </c>
      <c r="B12" s="63"/>
      <c r="C12" s="61"/>
      <c r="D12" s="61"/>
      <c r="E12" s="60"/>
      <c r="F12" s="61"/>
      <c r="G12" s="60"/>
      <c r="H12" s="61"/>
      <c r="I12" s="61"/>
      <c r="J12" s="60"/>
      <c r="K12" s="60"/>
      <c r="L12" s="60"/>
      <c r="M12" s="61"/>
      <c r="N12" s="63"/>
      <c r="O12" s="61"/>
      <c r="P12" s="63"/>
      <c r="Q12" s="87" t="str">
        <f aca="false">IF(OR(B12="",P12=""),"",P12-B12)</f>
        <v/>
      </c>
      <c r="R12" s="62" t="str">
        <f aca="true">IF(OR(M12&lt;&gt;"Yes",P12&lt;&gt;"",O12="Closed",O12="No Action Required"),"",IF(N12="","Due date missing",IF(N12&lt;TODAY(),"OVERDUE",IF(N12-TODAY()&lt;=2,"Due ≤2d","Open"))))</f>
        <v/>
      </c>
      <c r="S12" s="61"/>
      <c r="T12" s="61"/>
      <c r="U12" s="60"/>
      <c r="V12" s="88" t="str">
        <f aca="false">IF(AND(G12&lt;&gt;"",M12="Yes",P12="",O12&lt;&gt;"Closed",O12&lt;&gt;"No Action Required",O12&lt;&gt;"Responded"),ROW(),"")</f>
        <v/>
      </c>
    </row>
    <row r="13" customFormat="false" ht="15" hidden="false" customHeight="false" outlineLevel="0" collapsed="false">
      <c r="A13" s="56" t="s">
        <v>1163</v>
      </c>
      <c r="B13" s="63"/>
      <c r="C13" s="61"/>
      <c r="D13" s="61"/>
      <c r="E13" s="60"/>
      <c r="F13" s="61"/>
      <c r="G13" s="60"/>
      <c r="H13" s="61"/>
      <c r="I13" s="61"/>
      <c r="J13" s="60"/>
      <c r="K13" s="60"/>
      <c r="L13" s="60"/>
      <c r="M13" s="61"/>
      <c r="N13" s="63"/>
      <c r="O13" s="61"/>
      <c r="P13" s="63"/>
      <c r="Q13" s="87" t="str">
        <f aca="false">IF(OR(B13="",P13=""),"",P13-B13)</f>
        <v/>
      </c>
      <c r="R13" s="62" t="str">
        <f aca="true">IF(OR(M13&lt;&gt;"Yes",P13&lt;&gt;"",O13="Closed",O13="No Action Required"),"",IF(N13="","Due date missing",IF(N13&lt;TODAY(),"OVERDUE",IF(N13-TODAY()&lt;=2,"Due ≤2d","Open"))))</f>
        <v/>
      </c>
      <c r="S13" s="61"/>
      <c r="T13" s="61"/>
      <c r="U13" s="60"/>
      <c r="V13" s="88" t="str">
        <f aca="false">IF(AND(G13&lt;&gt;"",M13="Yes",P13="",O13&lt;&gt;"Closed",O13&lt;&gt;"No Action Required",O13&lt;&gt;"Responded"),ROW(),"")</f>
        <v/>
      </c>
    </row>
    <row r="14" customFormat="false" ht="15" hidden="false" customHeight="false" outlineLevel="0" collapsed="false">
      <c r="A14" s="56" t="s">
        <v>1164</v>
      </c>
      <c r="B14" s="63"/>
      <c r="C14" s="61"/>
      <c r="D14" s="61"/>
      <c r="E14" s="60"/>
      <c r="F14" s="61"/>
      <c r="G14" s="60"/>
      <c r="H14" s="61"/>
      <c r="I14" s="61"/>
      <c r="J14" s="60"/>
      <c r="K14" s="60"/>
      <c r="L14" s="60"/>
      <c r="M14" s="61"/>
      <c r="N14" s="63"/>
      <c r="O14" s="61"/>
      <c r="P14" s="63"/>
      <c r="Q14" s="87" t="str">
        <f aca="false">IF(OR(B14="",P14=""),"",P14-B14)</f>
        <v/>
      </c>
      <c r="R14" s="62" t="str">
        <f aca="true">IF(OR(M14&lt;&gt;"Yes",P14&lt;&gt;"",O14="Closed",O14="No Action Required"),"",IF(N14="","Due date missing",IF(N14&lt;TODAY(),"OVERDUE",IF(N14-TODAY()&lt;=2,"Due ≤2d","Open"))))</f>
        <v/>
      </c>
      <c r="S14" s="61"/>
      <c r="T14" s="61"/>
      <c r="U14" s="60"/>
      <c r="V14" s="88" t="str">
        <f aca="false">IF(AND(G14&lt;&gt;"",M14="Yes",P14="",O14&lt;&gt;"Closed",O14&lt;&gt;"No Action Required",O14&lt;&gt;"Responded"),ROW(),"")</f>
        <v/>
      </c>
    </row>
    <row r="15" customFormat="false" ht="15" hidden="false" customHeight="false" outlineLevel="0" collapsed="false">
      <c r="A15" s="56" t="s">
        <v>1165</v>
      </c>
      <c r="B15" s="63"/>
      <c r="C15" s="61"/>
      <c r="D15" s="61"/>
      <c r="E15" s="60"/>
      <c r="F15" s="61"/>
      <c r="G15" s="60"/>
      <c r="H15" s="61"/>
      <c r="I15" s="61"/>
      <c r="J15" s="60"/>
      <c r="K15" s="60"/>
      <c r="L15" s="60"/>
      <c r="M15" s="61"/>
      <c r="N15" s="63"/>
      <c r="O15" s="61"/>
      <c r="P15" s="63"/>
      <c r="Q15" s="87" t="str">
        <f aca="false">IF(OR(B15="",P15=""),"",P15-B15)</f>
        <v/>
      </c>
      <c r="R15" s="62" t="str">
        <f aca="true">IF(OR(M15&lt;&gt;"Yes",P15&lt;&gt;"",O15="Closed",O15="No Action Required"),"",IF(N15="","Due date missing",IF(N15&lt;TODAY(),"OVERDUE",IF(N15-TODAY()&lt;=2,"Due ≤2d","Open"))))</f>
        <v/>
      </c>
      <c r="S15" s="61"/>
      <c r="T15" s="61"/>
      <c r="U15" s="60"/>
      <c r="V15" s="88" t="str">
        <f aca="false">IF(AND(G15&lt;&gt;"",M15="Yes",P15="",O15&lt;&gt;"Closed",O15&lt;&gt;"No Action Required",O15&lt;&gt;"Responded"),ROW(),"")</f>
        <v/>
      </c>
    </row>
    <row r="16" customFormat="false" ht="15" hidden="false" customHeight="false" outlineLevel="0" collapsed="false">
      <c r="A16" s="56" t="s">
        <v>1166</v>
      </c>
      <c r="B16" s="63"/>
      <c r="C16" s="61"/>
      <c r="D16" s="61"/>
      <c r="E16" s="60"/>
      <c r="F16" s="61"/>
      <c r="G16" s="60"/>
      <c r="H16" s="61"/>
      <c r="I16" s="61"/>
      <c r="J16" s="60"/>
      <c r="K16" s="60"/>
      <c r="L16" s="60"/>
      <c r="M16" s="61"/>
      <c r="N16" s="63"/>
      <c r="O16" s="61"/>
      <c r="P16" s="63"/>
      <c r="Q16" s="87" t="str">
        <f aca="false">IF(OR(B16="",P16=""),"",P16-B16)</f>
        <v/>
      </c>
      <c r="R16" s="62" t="str">
        <f aca="true">IF(OR(M16&lt;&gt;"Yes",P16&lt;&gt;"",O16="Closed",O16="No Action Required"),"",IF(N16="","Due date missing",IF(N16&lt;TODAY(),"OVERDUE",IF(N16-TODAY()&lt;=2,"Due ≤2d","Open"))))</f>
        <v/>
      </c>
      <c r="S16" s="61"/>
      <c r="T16" s="61"/>
      <c r="U16" s="60"/>
      <c r="V16" s="88" t="str">
        <f aca="false">IF(AND(G16&lt;&gt;"",M16="Yes",P16="",O16&lt;&gt;"Closed",O16&lt;&gt;"No Action Required",O16&lt;&gt;"Responded"),ROW(),"")</f>
        <v/>
      </c>
    </row>
    <row r="17" customFormat="false" ht="15" hidden="false" customHeight="false" outlineLevel="0" collapsed="false">
      <c r="A17" s="56" t="s">
        <v>1167</v>
      </c>
      <c r="B17" s="63"/>
      <c r="C17" s="61"/>
      <c r="D17" s="61"/>
      <c r="E17" s="60"/>
      <c r="F17" s="61"/>
      <c r="G17" s="60"/>
      <c r="H17" s="61"/>
      <c r="I17" s="61"/>
      <c r="J17" s="60"/>
      <c r="K17" s="60"/>
      <c r="L17" s="60"/>
      <c r="M17" s="61"/>
      <c r="N17" s="63"/>
      <c r="O17" s="61"/>
      <c r="P17" s="63"/>
      <c r="Q17" s="87" t="str">
        <f aca="false">IF(OR(B17="",P17=""),"",P17-B17)</f>
        <v/>
      </c>
      <c r="R17" s="62" t="str">
        <f aca="true">IF(OR(M17&lt;&gt;"Yes",P17&lt;&gt;"",O17="Closed",O17="No Action Required"),"",IF(N17="","Due date missing",IF(N17&lt;TODAY(),"OVERDUE",IF(N17-TODAY()&lt;=2,"Due ≤2d","Open"))))</f>
        <v/>
      </c>
      <c r="S17" s="61"/>
      <c r="T17" s="61"/>
      <c r="U17" s="60"/>
      <c r="V17" s="88" t="str">
        <f aca="false">IF(AND(G17&lt;&gt;"",M17="Yes",P17="",O17&lt;&gt;"Closed",O17&lt;&gt;"No Action Required",O17&lt;&gt;"Responded"),ROW(),"")</f>
        <v/>
      </c>
    </row>
    <row r="18" customFormat="false" ht="15" hidden="false" customHeight="false" outlineLevel="0" collapsed="false">
      <c r="A18" s="56" t="s">
        <v>1168</v>
      </c>
      <c r="B18" s="63"/>
      <c r="C18" s="61"/>
      <c r="D18" s="61"/>
      <c r="E18" s="60"/>
      <c r="F18" s="61"/>
      <c r="G18" s="60"/>
      <c r="H18" s="61"/>
      <c r="I18" s="61"/>
      <c r="J18" s="60"/>
      <c r="K18" s="60"/>
      <c r="L18" s="60"/>
      <c r="M18" s="61"/>
      <c r="N18" s="63"/>
      <c r="O18" s="61"/>
      <c r="P18" s="63"/>
      <c r="Q18" s="87" t="str">
        <f aca="false">IF(OR(B18="",P18=""),"",P18-B18)</f>
        <v/>
      </c>
      <c r="R18" s="62" t="str">
        <f aca="true">IF(OR(M18&lt;&gt;"Yes",P18&lt;&gt;"",O18="Closed",O18="No Action Required"),"",IF(N18="","Due date missing",IF(N18&lt;TODAY(),"OVERDUE",IF(N18-TODAY()&lt;=2,"Due ≤2d","Open"))))</f>
        <v/>
      </c>
      <c r="S18" s="61"/>
      <c r="T18" s="61"/>
      <c r="U18" s="60"/>
      <c r="V18" s="88" t="str">
        <f aca="false">IF(AND(G18&lt;&gt;"",M18="Yes",P18="",O18&lt;&gt;"Closed",O18&lt;&gt;"No Action Required",O18&lt;&gt;"Responded"),ROW(),"")</f>
        <v/>
      </c>
    </row>
    <row r="19" customFormat="false" ht="15" hidden="false" customHeight="false" outlineLevel="0" collapsed="false">
      <c r="A19" s="56" t="s">
        <v>1169</v>
      </c>
      <c r="B19" s="63"/>
      <c r="C19" s="61"/>
      <c r="D19" s="61"/>
      <c r="E19" s="60"/>
      <c r="F19" s="61"/>
      <c r="G19" s="60"/>
      <c r="H19" s="61"/>
      <c r="I19" s="61"/>
      <c r="J19" s="60"/>
      <c r="K19" s="60"/>
      <c r="L19" s="60"/>
      <c r="M19" s="61"/>
      <c r="N19" s="63"/>
      <c r="O19" s="61"/>
      <c r="P19" s="63"/>
      <c r="Q19" s="87" t="str">
        <f aca="false">IF(OR(B19="",P19=""),"",P19-B19)</f>
        <v/>
      </c>
      <c r="R19" s="62" t="str">
        <f aca="true">IF(OR(M19&lt;&gt;"Yes",P19&lt;&gt;"",O19="Closed",O19="No Action Required"),"",IF(N19="","Due date missing",IF(N19&lt;TODAY(),"OVERDUE",IF(N19-TODAY()&lt;=2,"Due ≤2d","Open"))))</f>
        <v/>
      </c>
      <c r="S19" s="61"/>
      <c r="T19" s="61"/>
      <c r="U19" s="60"/>
      <c r="V19" s="88" t="str">
        <f aca="false">IF(AND(G19&lt;&gt;"",M19="Yes",P19="",O19&lt;&gt;"Closed",O19&lt;&gt;"No Action Required",O19&lt;&gt;"Responded"),ROW(),"")</f>
        <v/>
      </c>
    </row>
    <row r="20" customFormat="false" ht="15" hidden="false" customHeight="false" outlineLevel="0" collapsed="false">
      <c r="A20" s="56" t="s">
        <v>1170</v>
      </c>
      <c r="B20" s="63"/>
      <c r="C20" s="61"/>
      <c r="D20" s="61"/>
      <c r="E20" s="60"/>
      <c r="F20" s="61"/>
      <c r="G20" s="60"/>
      <c r="H20" s="61"/>
      <c r="I20" s="61"/>
      <c r="J20" s="60"/>
      <c r="K20" s="60"/>
      <c r="L20" s="60"/>
      <c r="M20" s="61"/>
      <c r="N20" s="63"/>
      <c r="O20" s="61"/>
      <c r="P20" s="63"/>
      <c r="Q20" s="87" t="str">
        <f aca="false">IF(OR(B20="",P20=""),"",P20-B20)</f>
        <v/>
      </c>
      <c r="R20" s="62" t="str">
        <f aca="true">IF(OR(M20&lt;&gt;"Yes",P20&lt;&gt;"",O20="Closed",O20="No Action Required"),"",IF(N20="","Due date missing",IF(N20&lt;TODAY(),"OVERDUE",IF(N20-TODAY()&lt;=2,"Due ≤2d","Open"))))</f>
        <v/>
      </c>
      <c r="S20" s="61"/>
      <c r="T20" s="61"/>
      <c r="U20" s="60"/>
      <c r="V20" s="88" t="str">
        <f aca="false">IF(AND(G20&lt;&gt;"",M20="Yes",P20="",O20&lt;&gt;"Closed",O20&lt;&gt;"No Action Required",O20&lt;&gt;"Responded"),ROW(),"")</f>
        <v/>
      </c>
    </row>
    <row r="21" customFormat="false" ht="15" hidden="false" customHeight="false" outlineLevel="0" collapsed="false">
      <c r="A21" s="56" t="s">
        <v>1171</v>
      </c>
      <c r="B21" s="63"/>
      <c r="C21" s="61"/>
      <c r="D21" s="61"/>
      <c r="E21" s="60"/>
      <c r="F21" s="61"/>
      <c r="G21" s="60"/>
      <c r="H21" s="61"/>
      <c r="I21" s="61"/>
      <c r="J21" s="60"/>
      <c r="K21" s="60"/>
      <c r="L21" s="60"/>
      <c r="M21" s="61"/>
      <c r="N21" s="63"/>
      <c r="O21" s="61"/>
      <c r="P21" s="63"/>
      <c r="Q21" s="87" t="str">
        <f aca="false">IF(OR(B21="",P21=""),"",P21-B21)</f>
        <v/>
      </c>
      <c r="R21" s="62" t="str">
        <f aca="true">IF(OR(M21&lt;&gt;"Yes",P21&lt;&gt;"",O21="Closed",O21="No Action Required"),"",IF(N21="","Due date missing",IF(N21&lt;TODAY(),"OVERDUE",IF(N21-TODAY()&lt;=2,"Due ≤2d","Open"))))</f>
        <v/>
      </c>
      <c r="S21" s="61"/>
      <c r="T21" s="61"/>
      <c r="U21" s="60"/>
      <c r="V21" s="88" t="str">
        <f aca="false">IF(AND(G21&lt;&gt;"",M21="Yes",P21="",O21&lt;&gt;"Closed",O21&lt;&gt;"No Action Required",O21&lt;&gt;"Responded"),ROW(),"")</f>
        <v/>
      </c>
    </row>
    <row r="22" customFormat="false" ht="15" hidden="false" customHeight="false" outlineLevel="0" collapsed="false">
      <c r="A22" s="56" t="s">
        <v>1172</v>
      </c>
      <c r="B22" s="63"/>
      <c r="C22" s="61"/>
      <c r="D22" s="61"/>
      <c r="E22" s="60"/>
      <c r="F22" s="61"/>
      <c r="G22" s="60"/>
      <c r="H22" s="61"/>
      <c r="I22" s="61"/>
      <c r="J22" s="60"/>
      <c r="K22" s="60"/>
      <c r="L22" s="60"/>
      <c r="M22" s="61"/>
      <c r="N22" s="63"/>
      <c r="O22" s="61"/>
      <c r="P22" s="63"/>
      <c r="Q22" s="87" t="str">
        <f aca="false">IF(OR(B22="",P22=""),"",P22-B22)</f>
        <v/>
      </c>
      <c r="R22" s="62" t="str">
        <f aca="true">IF(OR(M22&lt;&gt;"Yes",P22&lt;&gt;"",O22="Closed",O22="No Action Required"),"",IF(N22="","Due date missing",IF(N22&lt;TODAY(),"OVERDUE",IF(N22-TODAY()&lt;=2,"Due ≤2d","Open"))))</f>
        <v/>
      </c>
      <c r="S22" s="61"/>
      <c r="T22" s="61"/>
      <c r="U22" s="60"/>
      <c r="V22" s="88" t="str">
        <f aca="false">IF(AND(G22&lt;&gt;"",M22="Yes",P22="",O22&lt;&gt;"Closed",O22&lt;&gt;"No Action Required",O22&lt;&gt;"Responded"),ROW(),"")</f>
        <v/>
      </c>
    </row>
    <row r="23" customFormat="false" ht="15" hidden="false" customHeight="false" outlineLevel="0" collapsed="false">
      <c r="A23" s="56" t="s">
        <v>1173</v>
      </c>
      <c r="B23" s="63"/>
      <c r="C23" s="61"/>
      <c r="D23" s="61"/>
      <c r="E23" s="60"/>
      <c r="F23" s="61"/>
      <c r="G23" s="60"/>
      <c r="H23" s="61"/>
      <c r="I23" s="61"/>
      <c r="J23" s="60"/>
      <c r="K23" s="60"/>
      <c r="L23" s="60"/>
      <c r="M23" s="61"/>
      <c r="N23" s="63"/>
      <c r="O23" s="61"/>
      <c r="P23" s="63"/>
      <c r="Q23" s="87" t="str">
        <f aca="false">IF(OR(B23="",P23=""),"",P23-B23)</f>
        <v/>
      </c>
      <c r="R23" s="62" t="str">
        <f aca="true">IF(OR(M23&lt;&gt;"Yes",P23&lt;&gt;"",O23="Closed",O23="No Action Required"),"",IF(N23="","Due date missing",IF(N23&lt;TODAY(),"OVERDUE",IF(N23-TODAY()&lt;=2,"Due ≤2d","Open"))))</f>
        <v/>
      </c>
      <c r="S23" s="61"/>
      <c r="T23" s="61"/>
      <c r="U23" s="60"/>
      <c r="V23" s="88" t="str">
        <f aca="false">IF(AND(G23&lt;&gt;"",M23="Yes",P23="",O23&lt;&gt;"Closed",O23&lt;&gt;"No Action Required",O23&lt;&gt;"Responded"),ROW(),"")</f>
        <v/>
      </c>
    </row>
    <row r="24" customFormat="false" ht="15" hidden="false" customHeight="false" outlineLevel="0" collapsed="false">
      <c r="A24" s="56" t="s">
        <v>1174</v>
      </c>
      <c r="B24" s="63"/>
      <c r="C24" s="61"/>
      <c r="D24" s="61"/>
      <c r="E24" s="60"/>
      <c r="F24" s="61"/>
      <c r="G24" s="60"/>
      <c r="H24" s="61"/>
      <c r="I24" s="61"/>
      <c r="J24" s="60"/>
      <c r="K24" s="60"/>
      <c r="L24" s="60"/>
      <c r="M24" s="61"/>
      <c r="N24" s="63"/>
      <c r="O24" s="61"/>
      <c r="P24" s="63"/>
      <c r="Q24" s="87" t="str">
        <f aca="false">IF(OR(B24="",P24=""),"",P24-B24)</f>
        <v/>
      </c>
      <c r="R24" s="62" t="str">
        <f aca="true">IF(OR(M24&lt;&gt;"Yes",P24&lt;&gt;"",O24="Closed",O24="No Action Required"),"",IF(N24="","Due date missing",IF(N24&lt;TODAY(),"OVERDUE",IF(N24-TODAY()&lt;=2,"Due ≤2d","Open"))))</f>
        <v/>
      </c>
      <c r="S24" s="61"/>
      <c r="T24" s="61"/>
      <c r="U24" s="60"/>
      <c r="V24" s="88" t="str">
        <f aca="false">IF(AND(G24&lt;&gt;"",M24="Yes",P24="",O24&lt;&gt;"Closed",O24&lt;&gt;"No Action Required",O24&lt;&gt;"Responded"),ROW(),"")</f>
        <v/>
      </c>
    </row>
    <row r="25" customFormat="false" ht="15" hidden="false" customHeight="false" outlineLevel="0" collapsed="false">
      <c r="A25" s="56" t="s">
        <v>1175</v>
      </c>
      <c r="B25" s="63"/>
      <c r="C25" s="61"/>
      <c r="D25" s="61"/>
      <c r="E25" s="60"/>
      <c r="F25" s="61"/>
      <c r="G25" s="60"/>
      <c r="H25" s="61"/>
      <c r="I25" s="61"/>
      <c r="J25" s="60"/>
      <c r="K25" s="60"/>
      <c r="L25" s="60"/>
      <c r="M25" s="61"/>
      <c r="N25" s="63"/>
      <c r="O25" s="61"/>
      <c r="P25" s="63"/>
      <c r="Q25" s="87" t="str">
        <f aca="false">IF(OR(B25="",P25=""),"",P25-B25)</f>
        <v/>
      </c>
      <c r="R25" s="62" t="str">
        <f aca="true">IF(OR(M25&lt;&gt;"Yes",P25&lt;&gt;"",O25="Closed",O25="No Action Required"),"",IF(N25="","Due date missing",IF(N25&lt;TODAY(),"OVERDUE",IF(N25-TODAY()&lt;=2,"Due ≤2d","Open"))))</f>
        <v/>
      </c>
      <c r="S25" s="61"/>
      <c r="T25" s="61"/>
      <c r="U25" s="60"/>
      <c r="V25" s="88" t="str">
        <f aca="false">IF(AND(G25&lt;&gt;"",M25="Yes",P25="",O25&lt;&gt;"Closed",O25&lt;&gt;"No Action Required",O25&lt;&gt;"Responded"),ROW(),"")</f>
        <v/>
      </c>
    </row>
    <row r="26" customFormat="false" ht="15" hidden="false" customHeight="false" outlineLevel="0" collapsed="false">
      <c r="A26" s="56" t="s">
        <v>1176</v>
      </c>
      <c r="B26" s="63"/>
      <c r="C26" s="61"/>
      <c r="D26" s="61"/>
      <c r="E26" s="60"/>
      <c r="F26" s="61"/>
      <c r="G26" s="60"/>
      <c r="H26" s="61"/>
      <c r="I26" s="61"/>
      <c r="J26" s="60"/>
      <c r="K26" s="60"/>
      <c r="L26" s="60"/>
      <c r="M26" s="61"/>
      <c r="N26" s="63"/>
      <c r="O26" s="61"/>
      <c r="P26" s="63"/>
      <c r="Q26" s="87" t="str">
        <f aca="false">IF(OR(B26="",P26=""),"",P26-B26)</f>
        <v/>
      </c>
      <c r="R26" s="62" t="str">
        <f aca="true">IF(OR(M26&lt;&gt;"Yes",P26&lt;&gt;"",O26="Closed",O26="No Action Required"),"",IF(N26="","Due date missing",IF(N26&lt;TODAY(),"OVERDUE",IF(N26-TODAY()&lt;=2,"Due ≤2d","Open"))))</f>
        <v/>
      </c>
      <c r="S26" s="61"/>
      <c r="T26" s="61"/>
      <c r="U26" s="60"/>
      <c r="V26" s="88" t="str">
        <f aca="false">IF(AND(G26&lt;&gt;"",M26="Yes",P26="",O26&lt;&gt;"Closed",O26&lt;&gt;"No Action Required",O26&lt;&gt;"Responded"),ROW(),"")</f>
        <v/>
      </c>
    </row>
    <row r="27" customFormat="false" ht="15" hidden="false" customHeight="false" outlineLevel="0" collapsed="false">
      <c r="A27" s="56" t="s">
        <v>1177</v>
      </c>
      <c r="B27" s="63"/>
      <c r="C27" s="61"/>
      <c r="D27" s="61"/>
      <c r="E27" s="60"/>
      <c r="F27" s="61"/>
      <c r="G27" s="60"/>
      <c r="H27" s="61"/>
      <c r="I27" s="61"/>
      <c r="J27" s="60"/>
      <c r="K27" s="60"/>
      <c r="L27" s="60"/>
      <c r="M27" s="61"/>
      <c r="N27" s="63"/>
      <c r="O27" s="61"/>
      <c r="P27" s="63"/>
      <c r="Q27" s="87" t="str">
        <f aca="false">IF(OR(B27="",P27=""),"",P27-B27)</f>
        <v/>
      </c>
      <c r="R27" s="62" t="str">
        <f aca="true">IF(OR(M27&lt;&gt;"Yes",P27&lt;&gt;"",O27="Closed",O27="No Action Required"),"",IF(N27="","Due date missing",IF(N27&lt;TODAY(),"OVERDUE",IF(N27-TODAY()&lt;=2,"Due ≤2d","Open"))))</f>
        <v/>
      </c>
      <c r="S27" s="61"/>
      <c r="T27" s="61"/>
      <c r="U27" s="60"/>
      <c r="V27" s="88" t="str">
        <f aca="false">IF(AND(G27&lt;&gt;"",M27="Yes",P27="",O27&lt;&gt;"Closed",O27&lt;&gt;"No Action Required",O27&lt;&gt;"Responded"),ROW(),"")</f>
        <v/>
      </c>
    </row>
    <row r="28" customFormat="false" ht="15" hidden="false" customHeight="false" outlineLevel="0" collapsed="false">
      <c r="A28" s="56" t="s">
        <v>1178</v>
      </c>
      <c r="B28" s="63"/>
      <c r="C28" s="61"/>
      <c r="D28" s="61"/>
      <c r="E28" s="60"/>
      <c r="F28" s="61"/>
      <c r="G28" s="60"/>
      <c r="H28" s="61"/>
      <c r="I28" s="61"/>
      <c r="J28" s="60"/>
      <c r="K28" s="60"/>
      <c r="L28" s="60"/>
      <c r="M28" s="61"/>
      <c r="N28" s="63"/>
      <c r="O28" s="61"/>
      <c r="P28" s="63"/>
      <c r="Q28" s="87" t="str">
        <f aca="false">IF(OR(B28="",P28=""),"",P28-B28)</f>
        <v/>
      </c>
      <c r="R28" s="62" t="str">
        <f aca="true">IF(OR(M28&lt;&gt;"Yes",P28&lt;&gt;"",O28="Closed",O28="No Action Required"),"",IF(N28="","Due date missing",IF(N28&lt;TODAY(),"OVERDUE",IF(N28-TODAY()&lt;=2,"Due ≤2d","Open"))))</f>
        <v/>
      </c>
      <c r="S28" s="61"/>
      <c r="T28" s="61"/>
      <c r="U28" s="60"/>
      <c r="V28" s="88" t="str">
        <f aca="false">IF(AND(G28&lt;&gt;"",M28="Yes",P28="",O28&lt;&gt;"Closed",O28&lt;&gt;"No Action Required",O28&lt;&gt;"Responded"),ROW(),"")</f>
        <v/>
      </c>
    </row>
    <row r="29" customFormat="false" ht="15" hidden="false" customHeight="false" outlineLevel="0" collapsed="false">
      <c r="A29" s="56" t="s">
        <v>1179</v>
      </c>
      <c r="B29" s="63"/>
      <c r="C29" s="61"/>
      <c r="D29" s="61"/>
      <c r="E29" s="60"/>
      <c r="F29" s="61"/>
      <c r="G29" s="60"/>
      <c r="H29" s="61"/>
      <c r="I29" s="61"/>
      <c r="J29" s="60"/>
      <c r="K29" s="60"/>
      <c r="L29" s="60"/>
      <c r="M29" s="61"/>
      <c r="N29" s="63"/>
      <c r="O29" s="61"/>
      <c r="P29" s="63"/>
      <c r="Q29" s="87" t="str">
        <f aca="false">IF(OR(B29="",P29=""),"",P29-B29)</f>
        <v/>
      </c>
      <c r="R29" s="62" t="str">
        <f aca="true">IF(OR(M29&lt;&gt;"Yes",P29&lt;&gt;"",O29="Closed",O29="No Action Required"),"",IF(N29="","Due date missing",IF(N29&lt;TODAY(),"OVERDUE",IF(N29-TODAY()&lt;=2,"Due ≤2d","Open"))))</f>
        <v/>
      </c>
      <c r="S29" s="61"/>
      <c r="T29" s="61"/>
      <c r="U29" s="60"/>
      <c r="V29" s="88" t="str">
        <f aca="false">IF(AND(G29&lt;&gt;"",M29="Yes",P29="",O29&lt;&gt;"Closed",O29&lt;&gt;"No Action Required",O29&lt;&gt;"Responded"),ROW(),"")</f>
        <v/>
      </c>
    </row>
    <row r="30" customFormat="false" ht="15" hidden="false" customHeight="false" outlineLevel="0" collapsed="false">
      <c r="A30" s="56" t="s">
        <v>1180</v>
      </c>
      <c r="B30" s="63"/>
      <c r="C30" s="61"/>
      <c r="D30" s="61"/>
      <c r="E30" s="60"/>
      <c r="F30" s="61"/>
      <c r="G30" s="60"/>
      <c r="H30" s="61"/>
      <c r="I30" s="61"/>
      <c r="J30" s="60"/>
      <c r="K30" s="60"/>
      <c r="L30" s="60"/>
      <c r="M30" s="61"/>
      <c r="N30" s="63"/>
      <c r="O30" s="61"/>
      <c r="P30" s="63"/>
      <c r="Q30" s="87" t="str">
        <f aca="false">IF(OR(B30="",P30=""),"",P30-B30)</f>
        <v/>
      </c>
      <c r="R30" s="62" t="str">
        <f aca="true">IF(OR(M30&lt;&gt;"Yes",P30&lt;&gt;"",O30="Closed",O30="No Action Required"),"",IF(N30="","Due date missing",IF(N30&lt;TODAY(),"OVERDUE",IF(N30-TODAY()&lt;=2,"Due ≤2d","Open"))))</f>
        <v/>
      </c>
      <c r="S30" s="61"/>
      <c r="T30" s="61"/>
      <c r="U30" s="60"/>
      <c r="V30" s="88" t="str">
        <f aca="false">IF(AND(G30&lt;&gt;"",M30="Yes",P30="",O30&lt;&gt;"Closed",O30&lt;&gt;"No Action Required",O30&lt;&gt;"Responded"),ROW(),"")</f>
        <v/>
      </c>
    </row>
    <row r="31" customFormat="false" ht="15" hidden="false" customHeight="false" outlineLevel="0" collapsed="false">
      <c r="A31" s="56" t="s">
        <v>1181</v>
      </c>
      <c r="B31" s="63"/>
      <c r="C31" s="61"/>
      <c r="D31" s="61"/>
      <c r="E31" s="60"/>
      <c r="F31" s="61"/>
      <c r="G31" s="60"/>
      <c r="H31" s="61"/>
      <c r="I31" s="61"/>
      <c r="J31" s="60"/>
      <c r="K31" s="60"/>
      <c r="L31" s="60"/>
      <c r="M31" s="61"/>
      <c r="N31" s="63"/>
      <c r="O31" s="61"/>
      <c r="P31" s="63"/>
      <c r="Q31" s="87" t="str">
        <f aca="false">IF(OR(B31="",P31=""),"",P31-B31)</f>
        <v/>
      </c>
      <c r="R31" s="62" t="str">
        <f aca="true">IF(OR(M31&lt;&gt;"Yes",P31&lt;&gt;"",O31="Closed",O31="No Action Required"),"",IF(N31="","Due date missing",IF(N31&lt;TODAY(),"OVERDUE",IF(N31-TODAY()&lt;=2,"Due ≤2d","Open"))))</f>
        <v/>
      </c>
      <c r="S31" s="61"/>
      <c r="T31" s="61"/>
      <c r="U31" s="60"/>
      <c r="V31" s="88" t="str">
        <f aca="false">IF(AND(G31&lt;&gt;"",M31="Yes",P31="",O31&lt;&gt;"Closed",O31&lt;&gt;"No Action Required",O31&lt;&gt;"Responded"),ROW(),"")</f>
        <v/>
      </c>
    </row>
    <row r="32" customFormat="false" ht="15" hidden="false" customHeight="false" outlineLevel="0" collapsed="false">
      <c r="A32" s="56" t="s">
        <v>1182</v>
      </c>
      <c r="B32" s="63"/>
      <c r="C32" s="61"/>
      <c r="D32" s="61"/>
      <c r="E32" s="60"/>
      <c r="F32" s="61"/>
      <c r="G32" s="60"/>
      <c r="H32" s="61"/>
      <c r="I32" s="61"/>
      <c r="J32" s="60"/>
      <c r="K32" s="60"/>
      <c r="L32" s="60"/>
      <c r="M32" s="61"/>
      <c r="N32" s="63"/>
      <c r="O32" s="61"/>
      <c r="P32" s="63"/>
      <c r="Q32" s="87" t="str">
        <f aca="false">IF(OR(B32="",P32=""),"",P32-B32)</f>
        <v/>
      </c>
      <c r="R32" s="62" t="str">
        <f aca="true">IF(OR(M32&lt;&gt;"Yes",P32&lt;&gt;"",O32="Closed",O32="No Action Required"),"",IF(N32="","Due date missing",IF(N32&lt;TODAY(),"OVERDUE",IF(N32-TODAY()&lt;=2,"Due ≤2d","Open"))))</f>
        <v/>
      </c>
      <c r="S32" s="61"/>
      <c r="T32" s="61"/>
      <c r="U32" s="60"/>
      <c r="V32" s="88" t="str">
        <f aca="false">IF(AND(G32&lt;&gt;"",M32="Yes",P32="",O32&lt;&gt;"Closed",O32&lt;&gt;"No Action Required",O32&lt;&gt;"Responded"),ROW(),"")</f>
        <v/>
      </c>
    </row>
    <row r="33" customFormat="false" ht="15" hidden="false" customHeight="false" outlineLevel="0" collapsed="false">
      <c r="A33" s="56" t="s">
        <v>1183</v>
      </c>
      <c r="B33" s="63"/>
      <c r="C33" s="61"/>
      <c r="D33" s="61"/>
      <c r="E33" s="60"/>
      <c r="F33" s="61"/>
      <c r="G33" s="60"/>
      <c r="H33" s="61"/>
      <c r="I33" s="61"/>
      <c r="J33" s="60"/>
      <c r="K33" s="60"/>
      <c r="L33" s="60"/>
      <c r="M33" s="61"/>
      <c r="N33" s="63"/>
      <c r="O33" s="61"/>
      <c r="P33" s="63"/>
      <c r="Q33" s="87" t="str">
        <f aca="false">IF(OR(B33="",P33=""),"",P33-B33)</f>
        <v/>
      </c>
      <c r="R33" s="62" t="str">
        <f aca="true">IF(OR(M33&lt;&gt;"Yes",P33&lt;&gt;"",O33="Closed",O33="No Action Required"),"",IF(N33="","Due date missing",IF(N33&lt;TODAY(),"OVERDUE",IF(N33-TODAY()&lt;=2,"Due ≤2d","Open"))))</f>
        <v/>
      </c>
      <c r="S33" s="61"/>
      <c r="T33" s="61"/>
      <c r="U33" s="60"/>
      <c r="V33" s="88" t="str">
        <f aca="false">IF(AND(G33&lt;&gt;"",M33="Yes",P33="",O33&lt;&gt;"Closed",O33&lt;&gt;"No Action Required",O33&lt;&gt;"Responded"),ROW(),"")</f>
        <v/>
      </c>
    </row>
    <row r="34" customFormat="false" ht="15" hidden="false" customHeight="false" outlineLevel="0" collapsed="false">
      <c r="A34" s="56" t="s">
        <v>1184</v>
      </c>
      <c r="B34" s="63"/>
      <c r="C34" s="61"/>
      <c r="D34" s="61"/>
      <c r="E34" s="60"/>
      <c r="F34" s="61"/>
      <c r="G34" s="60"/>
      <c r="H34" s="61"/>
      <c r="I34" s="61"/>
      <c r="J34" s="60"/>
      <c r="K34" s="60"/>
      <c r="L34" s="60"/>
      <c r="M34" s="61"/>
      <c r="N34" s="63"/>
      <c r="O34" s="61"/>
      <c r="P34" s="63"/>
      <c r="Q34" s="87" t="str">
        <f aca="false">IF(OR(B34="",P34=""),"",P34-B34)</f>
        <v/>
      </c>
      <c r="R34" s="62" t="str">
        <f aca="true">IF(OR(M34&lt;&gt;"Yes",P34&lt;&gt;"",O34="Closed",O34="No Action Required"),"",IF(N34="","Due date missing",IF(N34&lt;TODAY(),"OVERDUE",IF(N34-TODAY()&lt;=2,"Due ≤2d","Open"))))</f>
        <v/>
      </c>
      <c r="S34" s="61"/>
      <c r="T34" s="61"/>
      <c r="U34" s="60"/>
      <c r="V34" s="88" t="str">
        <f aca="false">IF(AND(G34&lt;&gt;"",M34="Yes",P34="",O34&lt;&gt;"Closed",O34&lt;&gt;"No Action Required",O34&lt;&gt;"Responded"),ROW(),"")</f>
        <v/>
      </c>
    </row>
    <row r="35" customFormat="false" ht="15" hidden="false" customHeight="false" outlineLevel="0" collapsed="false">
      <c r="A35" s="56" t="s">
        <v>1185</v>
      </c>
      <c r="B35" s="63"/>
      <c r="C35" s="61"/>
      <c r="D35" s="61"/>
      <c r="E35" s="60"/>
      <c r="F35" s="61"/>
      <c r="G35" s="60"/>
      <c r="H35" s="61"/>
      <c r="I35" s="61"/>
      <c r="J35" s="60"/>
      <c r="K35" s="60"/>
      <c r="L35" s="60"/>
      <c r="M35" s="61"/>
      <c r="N35" s="63"/>
      <c r="O35" s="61"/>
      <c r="P35" s="63"/>
      <c r="Q35" s="87" t="str">
        <f aca="false">IF(OR(B35="",P35=""),"",P35-B35)</f>
        <v/>
      </c>
      <c r="R35" s="62" t="str">
        <f aca="true">IF(OR(M35&lt;&gt;"Yes",P35&lt;&gt;"",O35="Closed",O35="No Action Required"),"",IF(N35="","Due date missing",IF(N35&lt;TODAY(),"OVERDUE",IF(N35-TODAY()&lt;=2,"Due ≤2d","Open"))))</f>
        <v/>
      </c>
      <c r="S35" s="61"/>
      <c r="T35" s="61"/>
      <c r="U35" s="60"/>
      <c r="V35" s="88" t="str">
        <f aca="false">IF(AND(G35&lt;&gt;"",M35="Yes",P35="",O35&lt;&gt;"Closed",O35&lt;&gt;"No Action Required",O35&lt;&gt;"Responded"),ROW(),"")</f>
        <v/>
      </c>
    </row>
    <row r="36" customFormat="false" ht="15" hidden="false" customHeight="false" outlineLevel="0" collapsed="false">
      <c r="A36" s="56" t="s">
        <v>1186</v>
      </c>
      <c r="B36" s="63"/>
      <c r="C36" s="61"/>
      <c r="D36" s="61"/>
      <c r="E36" s="60"/>
      <c r="F36" s="61"/>
      <c r="G36" s="60"/>
      <c r="H36" s="61"/>
      <c r="I36" s="61"/>
      <c r="J36" s="60"/>
      <c r="K36" s="60"/>
      <c r="L36" s="60"/>
      <c r="M36" s="61"/>
      <c r="N36" s="63"/>
      <c r="O36" s="61"/>
      <c r="P36" s="63"/>
      <c r="Q36" s="87" t="str">
        <f aca="false">IF(OR(B36="",P36=""),"",P36-B36)</f>
        <v/>
      </c>
      <c r="R36" s="62" t="str">
        <f aca="true">IF(OR(M36&lt;&gt;"Yes",P36&lt;&gt;"",O36="Closed",O36="No Action Required"),"",IF(N36="","Due date missing",IF(N36&lt;TODAY(),"OVERDUE",IF(N36-TODAY()&lt;=2,"Due ≤2d","Open"))))</f>
        <v/>
      </c>
      <c r="S36" s="61"/>
      <c r="T36" s="61"/>
      <c r="U36" s="60"/>
      <c r="V36" s="88" t="str">
        <f aca="false">IF(AND(G36&lt;&gt;"",M36="Yes",P36="",O36&lt;&gt;"Closed",O36&lt;&gt;"No Action Required",O36&lt;&gt;"Responded"),ROW(),"")</f>
        <v/>
      </c>
    </row>
    <row r="37" customFormat="false" ht="15" hidden="false" customHeight="false" outlineLevel="0" collapsed="false">
      <c r="A37" s="56" t="s">
        <v>1187</v>
      </c>
      <c r="B37" s="63"/>
      <c r="C37" s="61"/>
      <c r="D37" s="61"/>
      <c r="E37" s="60"/>
      <c r="F37" s="61"/>
      <c r="G37" s="60"/>
      <c r="H37" s="61"/>
      <c r="I37" s="61"/>
      <c r="J37" s="60"/>
      <c r="K37" s="60"/>
      <c r="L37" s="60"/>
      <c r="M37" s="61"/>
      <c r="N37" s="63"/>
      <c r="O37" s="61"/>
      <c r="P37" s="63"/>
      <c r="Q37" s="87" t="str">
        <f aca="false">IF(OR(B37="",P37=""),"",P37-B37)</f>
        <v/>
      </c>
      <c r="R37" s="62" t="str">
        <f aca="true">IF(OR(M37&lt;&gt;"Yes",P37&lt;&gt;"",O37="Closed",O37="No Action Required"),"",IF(N37="","Due date missing",IF(N37&lt;TODAY(),"OVERDUE",IF(N37-TODAY()&lt;=2,"Due ≤2d","Open"))))</f>
        <v/>
      </c>
      <c r="S37" s="61"/>
      <c r="T37" s="61"/>
      <c r="U37" s="60"/>
      <c r="V37" s="88" t="str">
        <f aca="false">IF(AND(G37&lt;&gt;"",M37="Yes",P37="",O37&lt;&gt;"Closed",O37&lt;&gt;"No Action Required",O37&lt;&gt;"Responded"),ROW(),"")</f>
        <v/>
      </c>
    </row>
    <row r="38" customFormat="false" ht="15" hidden="false" customHeight="false" outlineLevel="0" collapsed="false">
      <c r="A38" s="56" t="s">
        <v>1188</v>
      </c>
      <c r="B38" s="63"/>
      <c r="C38" s="61"/>
      <c r="D38" s="61"/>
      <c r="E38" s="60"/>
      <c r="F38" s="61"/>
      <c r="G38" s="60"/>
      <c r="H38" s="61"/>
      <c r="I38" s="61"/>
      <c r="J38" s="60"/>
      <c r="K38" s="60"/>
      <c r="L38" s="60"/>
      <c r="M38" s="61"/>
      <c r="N38" s="63"/>
      <c r="O38" s="61"/>
      <c r="P38" s="63"/>
      <c r="Q38" s="87" t="str">
        <f aca="false">IF(OR(B38="",P38=""),"",P38-B38)</f>
        <v/>
      </c>
      <c r="R38" s="62" t="str">
        <f aca="true">IF(OR(M38&lt;&gt;"Yes",P38&lt;&gt;"",O38="Closed",O38="No Action Required"),"",IF(N38="","Due date missing",IF(N38&lt;TODAY(),"OVERDUE",IF(N38-TODAY()&lt;=2,"Due ≤2d","Open"))))</f>
        <v/>
      </c>
      <c r="S38" s="61"/>
      <c r="T38" s="61"/>
      <c r="U38" s="60"/>
      <c r="V38" s="88" t="str">
        <f aca="false">IF(AND(G38&lt;&gt;"",M38="Yes",P38="",O38&lt;&gt;"Closed",O38&lt;&gt;"No Action Required",O38&lt;&gt;"Responded"),ROW(),"")</f>
        <v/>
      </c>
    </row>
    <row r="39" customFormat="false" ht="15" hidden="false" customHeight="false" outlineLevel="0" collapsed="false">
      <c r="A39" s="56" t="s">
        <v>1189</v>
      </c>
      <c r="B39" s="63"/>
      <c r="C39" s="61"/>
      <c r="D39" s="61"/>
      <c r="E39" s="60"/>
      <c r="F39" s="61"/>
      <c r="G39" s="60"/>
      <c r="H39" s="61"/>
      <c r="I39" s="61"/>
      <c r="J39" s="60"/>
      <c r="K39" s="60"/>
      <c r="L39" s="60"/>
      <c r="M39" s="61"/>
      <c r="N39" s="63"/>
      <c r="O39" s="61"/>
      <c r="P39" s="63"/>
      <c r="Q39" s="87" t="str">
        <f aca="false">IF(OR(B39="",P39=""),"",P39-B39)</f>
        <v/>
      </c>
      <c r="R39" s="62" t="str">
        <f aca="true">IF(OR(M39&lt;&gt;"Yes",P39&lt;&gt;"",O39="Closed",O39="No Action Required"),"",IF(N39="","Due date missing",IF(N39&lt;TODAY(),"OVERDUE",IF(N39-TODAY()&lt;=2,"Due ≤2d","Open"))))</f>
        <v/>
      </c>
      <c r="S39" s="61"/>
      <c r="T39" s="61"/>
      <c r="U39" s="60"/>
      <c r="V39" s="88" t="str">
        <f aca="false">IF(AND(G39&lt;&gt;"",M39="Yes",P39="",O39&lt;&gt;"Closed",O39&lt;&gt;"No Action Required",O39&lt;&gt;"Responded"),ROW(),"")</f>
        <v/>
      </c>
    </row>
    <row r="40" customFormat="false" ht="15" hidden="false" customHeight="false" outlineLevel="0" collapsed="false">
      <c r="A40" s="56" t="s">
        <v>1190</v>
      </c>
      <c r="B40" s="63"/>
      <c r="C40" s="61"/>
      <c r="D40" s="61"/>
      <c r="E40" s="60"/>
      <c r="F40" s="61"/>
      <c r="G40" s="60"/>
      <c r="H40" s="61"/>
      <c r="I40" s="61"/>
      <c r="J40" s="60"/>
      <c r="K40" s="60"/>
      <c r="L40" s="60"/>
      <c r="M40" s="61"/>
      <c r="N40" s="63"/>
      <c r="O40" s="61"/>
      <c r="P40" s="63"/>
      <c r="Q40" s="87" t="str">
        <f aca="false">IF(OR(B40="",P40=""),"",P40-B40)</f>
        <v/>
      </c>
      <c r="R40" s="62" t="str">
        <f aca="true">IF(OR(M40&lt;&gt;"Yes",P40&lt;&gt;"",O40="Closed",O40="No Action Required"),"",IF(N40="","Due date missing",IF(N40&lt;TODAY(),"OVERDUE",IF(N40-TODAY()&lt;=2,"Due ≤2d","Open"))))</f>
        <v/>
      </c>
      <c r="S40" s="61"/>
      <c r="T40" s="61"/>
      <c r="U40" s="60"/>
      <c r="V40" s="88" t="str">
        <f aca="false">IF(AND(G40&lt;&gt;"",M40="Yes",P40="",O40&lt;&gt;"Closed",O40&lt;&gt;"No Action Required",O40&lt;&gt;"Responded"),ROW(),"")</f>
        <v/>
      </c>
    </row>
    <row r="41" customFormat="false" ht="15" hidden="false" customHeight="false" outlineLevel="0" collapsed="false">
      <c r="A41" s="56" t="s">
        <v>1191</v>
      </c>
      <c r="B41" s="63"/>
      <c r="C41" s="61"/>
      <c r="D41" s="61"/>
      <c r="E41" s="60"/>
      <c r="F41" s="61"/>
      <c r="G41" s="60"/>
      <c r="H41" s="61"/>
      <c r="I41" s="61"/>
      <c r="J41" s="60"/>
      <c r="K41" s="60"/>
      <c r="L41" s="60"/>
      <c r="M41" s="61"/>
      <c r="N41" s="63"/>
      <c r="O41" s="61"/>
      <c r="P41" s="63"/>
      <c r="Q41" s="87" t="str">
        <f aca="false">IF(OR(B41="",P41=""),"",P41-B41)</f>
        <v/>
      </c>
      <c r="R41" s="62" t="str">
        <f aca="true">IF(OR(M41&lt;&gt;"Yes",P41&lt;&gt;"",O41="Closed",O41="No Action Required"),"",IF(N41="","Due date missing",IF(N41&lt;TODAY(),"OVERDUE",IF(N41-TODAY()&lt;=2,"Due ≤2d","Open"))))</f>
        <v/>
      </c>
      <c r="S41" s="61"/>
      <c r="T41" s="61"/>
      <c r="U41" s="60"/>
      <c r="V41" s="88" t="str">
        <f aca="false">IF(AND(G41&lt;&gt;"",M41="Yes",P41="",O41&lt;&gt;"Closed",O41&lt;&gt;"No Action Required",O41&lt;&gt;"Responded"),ROW(),"")</f>
        <v/>
      </c>
    </row>
    <row r="42" customFormat="false" ht="15" hidden="false" customHeight="false" outlineLevel="0" collapsed="false">
      <c r="A42" s="56" t="s">
        <v>1192</v>
      </c>
      <c r="B42" s="63"/>
      <c r="C42" s="61"/>
      <c r="D42" s="61"/>
      <c r="E42" s="60"/>
      <c r="F42" s="61"/>
      <c r="G42" s="60"/>
      <c r="H42" s="61"/>
      <c r="I42" s="61"/>
      <c r="J42" s="60"/>
      <c r="K42" s="60"/>
      <c r="L42" s="60"/>
      <c r="M42" s="61"/>
      <c r="N42" s="63"/>
      <c r="O42" s="61"/>
      <c r="P42" s="63"/>
      <c r="Q42" s="87" t="str">
        <f aca="false">IF(OR(B42="",P42=""),"",P42-B42)</f>
        <v/>
      </c>
      <c r="R42" s="62" t="str">
        <f aca="true">IF(OR(M42&lt;&gt;"Yes",P42&lt;&gt;"",O42="Closed",O42="No Action Required"),"",IF(N42="","Due date missing",IF(N42&lt;TODAY(),"OVERDUE",IF(N42-TODAY()&lt;=2,"Due ≤2d","Open"))))</f>
        <v/>
      </c>
      <c r="S42" s="61"/>
      <c r="T42" s="61"/>
      <c r="U42" s="60"/>
      <c r="V42" s="88" t="str">
        <f aca="false">IF(AND(G42&lt;&gt;"",M42="Yes",P42="",O42&lt;&gt;"Closed",O42&lt;&gt;"No Action Required",O42&lt;&gt;"Responded"),ROW(),"")</f>
        <v/>
      </c>
    </row>
    <row r="43" customFormat="false" ht="15" hidden="false" customHeight="false" outlineLevel="0" collapsed="false">
      <c r="A43" s="56" t="s">
        <v>1193</v>
      </c>
      <c r="B43" s="63"/>
      <c r="C43" s="61"/>
      <c r="D43" s="61"/>
      <c r="E43" s="60"/>
      <c r="F43" s="61"/>
      <c r="G43" s="60"/>
      <c r="H43" s="61"/>
      <c r="I43" s="61"/>
      <c r="J43" s="60"/>
      <c r="K43" s="60"/>
      <c r="L43" s="60"/>
      <c r="M43" s="61"/>
      <c r="N43" s="63"/>
      <c r="O43" s="61"/>
      <c r="P43" s="63"/>
      <c r="Q43" s="87" t="str">
        <f aca="false">IF(OR(B43="",P43=""),"",P43-B43)</f>
        <v/>
      </c>
      <c r="R43" s="62" t="str">
        <f aca="true">IF(OR(M43&lt;&gt;"Yes",P43&lt;&gt;"",O43="Closed",O43="No Action Required"),"",IF(N43="","Due date missing",IF(N43&lt;TODAY(),"OVERDUE",IF(N43-TODAY()&lt;=2,"Due ≤2d","Open"))))</f>
        <v/>
      </c>
      <c r="S43" s="61"/>
      <c r="T43" s="61"/>
      <c r="U43" s="60"/>
      <c r="V43" s="88" t="str">
        <f aca="false">IF(AND(G43&lt;&gt;"",M43="Yes",P43="",O43&lt;&gt;"Closed",O43&lt;&gt;"No Action Required",O43&lt;&gt;"Responded"),ROW(),"")</f>
        <v/>
      </c>
    </row>
    <row r="44" customFormat="false" ht="15" hidden="false" customHeight="false" outlineLevel="0" collapsed="false">
      <c r="A44" s="56" t="s">
        <v>1194</v>
      </c>
      <c r="B44" s="63"/>
      <c r="C44" s="61"/>
      <c r="D44" s="61"/>
      <c r="E44" s="60"/>
      <c r="F44" s="61"/>
      <c r="G44" s="60"/>
      <c r="H44" s="61"/>
      <c r="I44" s="61"/>
      <c r="J44" s="60"/>
      <c r="K44" s="60"/>
      <c r="L44" s="60"/>
      <c r="M44" s="61"/>
      <c r="N44" s="63"/>
      <c r="O44" s="61"/>
      <c r="P44" s="63"/>
      <c r="Q44" s="87" t="str">
        <f aca="false">IF(OR(B44="",P44=""),"",P44-B44)</f>
        <v/>
      </c>
      <c r="R44" s="62" t="str">
        <f aca="true">IF(OR(M44&lt;&gt;"Yes",P44&lt;&gt;"",O44="Closed",O44="No Action Required"),"",IF(N44="","Due date missing",IF(N44&lt;TODAY(),"OVERDUE",IF(N44-TODAY()&lt;=2,"Due ≤2d","Open"))))</f>
        <v/>
      </c>
      <c r="S44" s="61"/>
      <c r="T44" s="61"/>
      <c r="U44" s="60"/>
      <c r="V44" s="88" t="str">
        <f aca="false">IF(AND(G44&lt;&gt;"",M44="Yes",P44="",O44&lt;&gt;"Closed",O44&lt;&gt;"No Action Required",O44&lt;&gt;"Responded"),ROW(),"")</f>
        <v/>
      </c>
    </row>
    <row r="45" customFormat="false" ht="15" hidden="false" customHeight="false" outlineLevel="0" collapsed="false">
      <c r="A45" s="56" t="s">
        <v>1195</v>
      </c>
      <c r="B45" s="63"/>
      <c r="C45" s="61"/>
      <c r="D45" s="61"/>
      <c r="E45" s="60"/>
      <c r="F45" s="61"/>
      <c r="G45" s="60"/>
      <c r="H45" s="61"/>
      <c r="I45" s="61"/>
      <c r="J45" s="60"/>
      <c r="K45" s="60"/>
      <c r="L45" s="60"/>
      <c r="M45" s="61"/>
      <c r="N45" s="63"/>
      <c r="O45" s="61"/>
      <c r="P45" s="63"/>
      <c r="Q45" s="87" t="str">
        <f aca="false">IF(OR(B45="",P45=""),"",P45-B45)</f>
        <v/>
      </c>
      <c r="R45" s="62" t="str">
        <f aca="true">IF(OR(M45&lt;&gt;"Yes",P45&lt;&gt;"",O45="Closed",O45="No Action Required"),"",IF(N45="","Due date missing",IF(N45&lt;TODAY(),"OVERDUE",IF(N45-TODAY()&lt;=2,"Due ≤2d","Open"))))</f>
        <v/>
      </c>
      <c r="S45" s="61"/>
      <c r="T45" s="61"/>
      <c r="U45" s="60"/>
      <c r="V45" s="88" t="str">
        <f aca="false">IF(AND(G45&lt;&gt;"",M45="Yes",P45="",O45&lt;&gt;"Closed",O45&lt;&gt;"No Action Required",O45&lt;&gt;"Responded"),ROW(),"")</f>
        <v/>
      </c>
    </row>
    <row r="46" customFormat="false" ht="15" hidden="false" customHeight="false" outlineLevel="0" collapsed="false">
      <c r="A46" s="56" t="s">
        <v>1196</v>
      </c>
      <c r="B46" s="63"/>
      <c r="C46" s="61"/>
      <c r="D46" s="61"/>
      <c r="E46" s="60"/>
      <c r="F46" s="61"/>
      <c r="G46" s="60"/>
      <c r="H46" s="61"/>
      <c r="I46" s="61"/>
      <c r="J46" s="60"/>
      <c r="K46" s="60"/>
      <c r="L46" s="60"/>
      <c r="M46" s="61"/>
      <c r="N46" s="63"/>
      <c r="O46" s="61"/>
      <c r="P46" s="63"/>
      <c r="Q46" s="87" t="str">
        <f aca="false">IF(OR(B46="",P46=""),"",P46-B46)</f>
        <v/>
      </c>
      <c r="R46" s="62" t="str">
        <f aca="true">IF(OR(M46&lt;&gt;"Yes",P46&lt;&gt;"",O46="Closed",O46="No Action Required"),"",IF(N46="","Due date missing",IF(N46&lt;TODAY(),"OVERDUE",IF(N46-TODAY()&lt;=2,"Due ≤2d","Open"))))</f>
        <v/>
      </c>
      <c r="S46" s="61"/>
      <c r="T46" s="61"/>
      <c r="U46" s="60"/>
      <c r="V46" s="88" t="str">
        <f aca="false">IF(AND(G46&lt;&gt;"",M46="Yes",P46="",O46&lt;&gt;"Closed",O46&lt;&gt;"No Action Required",O46&lt;&gt;"Responded"),ROW(),"")</f>
        <v/>
      </c>
    </row>
    <row r="47" customFormat="false" ht="15" hidden="false" customHeight="false" outlineLevel="0" collapsed="false">
      <c r="A47" s="56" t="s">
        <v>1197</v>
      </c>
      <c r="B47" s="63"/>
      <c r="C47" s="61"/>
      <c r="D47" s="61"/>
      <c r="E47" s="60"/>
      <c r="F47" s="61"/>
      <c r="G47" s="60"/>
      <c r="H47" s="61"/>
      <c r="I47" s="61"/>
      <c r="J47" s="60"/>
      <c r="K47" s="60"/>
      <c r="L47" s="60"/>
      <c r="M47" s="61"/>
      <c r="N47" s="63"/>
      <c r="O47" s="61"/>
      <c r="P47" s="63"/>
      <c r="Q47" s="87" t="str">
        <f aca="false">IF(OR(B47="",P47=""),"",P47-B47)</f>
        <v/>
      </c>
      <c r="R47" s="62" t="str">
        <f aca="true">IF(OR(M47&lt;&gt;"Yes",P47&lt;&gt;"",O47="Closed",O47="No Action Required"),"",IF(N47="","Due date missing",IF(N47&lt;TODAY(),"OVERDUE",IF(N47-TODAY()&lt;=2,"Due ≤2d","Open"))))</f>
        <v/>
      </c>
      <c r="S47" s="61"/>
      <c r="T47" s="61"/>
      <c r="U47" s="60"/>
      <c r="V47" s="88" t="str">
        <f aca="false">IF(AND(G47&lt;&gt;"",M47="Yes",P47="",O47&lt;&gt;"Closed",O47&lt;&gt;"No Action Required",O47&lt;&gt;"Responded"),ROW(),"")</f>
        <v/>
      </c>
    </row>
    <row r="48" customFormat="false" ht="15" hidden="false" customHeight="false" outlineLevel="0" collapsed="false">
      <c r="A48" s="56" t="s">
        <v>1198</v>
      </c>
      <c r="B48" s="63"/>
      <c r="C48" s="61"/>
      <c r="D48" s="61"/>
      <c r="E48" s="60"/>
      <c r="F48" s="61"/>
      <c r="G48" s="60"/>
      <c r="H48" s="61"/>
      <c r="I48" s="61"/>
      <c r="J48" s="60"/>
      <c r="K48" s="60"/>
      <c r="L48" s="60"/>
      <c r="M48" s="61"/>
      <c r="N48" s="63"/>
      <c r="O48" s="61"/>
      <c r="P48" s="63"/>
      <c r="Q48" s="87" t="str">
        <f aca="false">IF(OR(B48="",P48=""),"",P48-B48)</f>
        <v/>
      </c>
      <c r="R48" s="62" t="str">
        <f aca="true">IF(OR(M48&lt;&gt;"Yes",P48&lt;&gt;"",O48="Closed",O48="No Action Required"),"",IF(N48="","Due date missing",IF(N48&lt;TODAY(),"OVERDUE",IF(N48-TODAY()&lt;=2,"Due ≤2d","Open"))))</f>
        <v/>
      </c>
      <c r="S48" s="61"/>
      <c r="T48" s="61"/>
      <c r="U48" s="60"/>
      <c r="V48" s="88" t="str">
        <f aca="false">IF(AND(G48&lt;&gt;"",M48="Yes",P48="",O48&lt;&gt;"Closed",O48&lt;&gt;"No Action Required",O48&lt;&gt;"Responded"),ROW(),"")</f>
        <v/>
      </c>
    </row>
    <row r="49" customFormat="false" ht="15" hidden="false" customHeight="false" outlineLevel="0" collapsed="false">
      <c r="A49" s="56" t="s">
        <v>1199</v>
      </c>
      <c r="B49" s="63"/>
      <c r="C49" s="61"/>
      <c r="D49" s="61"/>
      <c r="E49" s="60"/>
      <c r="F49" s="61"/>
      <c r="G49" s="60"/>
      <c r="H49" s="61"/>
      <c r="I49" s="61"/>
      <c r="J49" s="60"/>
      <c r="K49" s="60"/>
      <c r="L49" s="60"/>
      <c r="M49" s="61"/>
      <c r="N49" s="63"/>
      <c r="O49" s="61"/>
      <c r="P49" s="63"/>
      <c r="Q49" s="87" t="str">
        <f aca="false">IF(OR(B49="",P49=""),"",P49-B49)</f>
        <v/>
      </c>
      <c r="R49" s="62" t="str">
        <f aca="true">IF(OR(M49&lt;&gt;"Yes",P49&lt;&gt;"",O49="Closed",O49="No Action Required"),"",IF(N49="","Due date missing",IF(N49&lt;TODAY(),"OVERDUE",IF(N49-TODAY()&lt;=2,"Due ≤2d","Open"))))</f>
        <v/>
      </c>
      <c r="S49" s="61"/>
      <c r="T49" s="61"/>
      <c r="U49" s="60"/>
      <c r="V49" s="88" t="str">
        <f aca="false">IF(AND(G49&lt;&gt;"",M49="Yes",P49="",O49&lt;&gt;"Closed",O49&lt;&gt;"No Action Required",O49&lt;&gt;"Responded"),ROW(),"")</f>
        <v/>
      </c>
    </row>
    <row r="50" customFormat="false" ht="15" hidden="false" customHeight="false" outlineLevel="0" collapsed="false">
      <c r="A50" s="56" t="s">
        <v>1200</v>
      </c>
      <c r="B50" s="63"/>
      <c r="C50" s="61"/>
      <c r="D50" s="61"/>
      <c r="E50" s="60"/>
      <c r="F50" s="61"/>
      <c r="G50" s="60"/>
      <c r="H50" s="61"/>
      <c r="I50" s="61"/>
      <c r="J50" s="60"/>
      <c r="K50" s="60"/>
      <c r="L50" s="60"/>
      <c r="M50" s="61"/>
      <c r="N50" s="63"/>
      <c r="O50" s="61"/>
      <c r="P50" s="63"/>
      <c r="Q50" s="87" t="str">
        <f aca="false">IF(OR(B50="",P50=""),"",P50-B50)</f>
        <v/>
      </c>
      <c r="R50" s="62" t="str">
        <f aca="true">IF(OR(M50&lt;&gt;"Yes",P50&lt;&gt;"",O50="Closed",O50="No Action Required"),"",IF(N50="","Due date missing",IF(N50&lt;TODAY(),"OVERDUE",IF(N50-TODAY()&lt;=2,"Due ≤2d","Open"))))</f>
        <v/>
      </c>
      <c r="S50" s="61"/>
      <c r="T50" s="61"/>
      <c r="U50" s="60"/>
      <c r="V50" s="88" t="str">
        <f aca="false">IF(AND(G50&lt;&gt;"",M50="Yes",P50="",O50&lt;&gt;"Closed",O50&lt;&gt;"No Action Required",O50&lt;&gt;"Responded"),ROW(),"")</f>
        <v/>
      </c>
    </row>
    <row r="51" customFormat="false" ht="15" hidden="false" customHeight="false" outlineLevel="0" collapsed="false">
      <c r="A51" s="56" t="s">
        <v>1201</v>
      </c>
      <c r="B51" s="63"/>
      <c r="C51" s="61"/>
      <c r="D51" s="61"/>
      <c r="E51" s="60"/>
      <c r="F51" s="61"/>
      <c r="G51" s="60"/>
      <c r="H51" s="61"/>
      <c r="I51" s="61"/>
      <c r="J51" s="60"/>
      <c r="K51" s="60"/>
      <c r="L51" s="60"/>
      <c r="M51" s="61"/>
      <c r="N51" s="63"/>
      <c r="O51" s="61"/>
      <c r="P51" s="63"/>
      <c r="Q51" s="87" t="str">
        <f aca="false">IF(OR(B51="",P51=""),"",P51-B51)</f>
        <v/>
      </c>
      <c r="R51" s="62" t="str">
        <f aca="true">IF(OR(M51&lt;&gt;"Yes",P51&lt;&gt;"",O51="Closed",O51="No Action Required"),"",IF(N51="","Due date missing",IF(N51&lt;TODAY(),"OVERDUE",IF(N51-TODAY()&lt;=2,"Due ≤2d","Open"))))</f>
        <v/>
      </c>
      <c r="S51" s="61"/>
      <c r="T51" s="61"/>
      <c r="U51" s="60"/>
      <c r="V51" s="88" t="str">
        <f aca="false">IF(AND(G51&lt;&gt;"",M51="Yes",P51="",O51&lt;&gt;"Closed",O51&lt;&gt;"No Action Required",O51&lt;&gt;"Responded"),ROW(),"")</f>
        <v/>
      </c>
    </row>
    <row r="52" customFormat="false" ht="15" hidden="false" customHeight="false" outlineLevel="0" collapsed="false">
      <c r="A52" s="56" t="s">
        <v>1202</v>
      </c>
      <c r="B52" s="63"/>
      <c r="C52" s="61"/>
      <c r="D52" s="61"/>
      <c r="E52" s="60"/>
      <c r="F52" s="61"/>
      <c r="G52" s="60"/>
      <c r="H52" s="61"/>
      <c r="I52" s="61"/>
      <c r="J52" s="60"/>
      <c r="K52" s="60"/>
      <c r="L52" s="60"/>
      <c r="M52" s="61"/>
      <c r="N52" s="63"/>
      <c r="O52" s="61"/>
      <c r="P52" s="63"/>
      <c r="Q52" s="87" t="str">
        <f aca="false">IF(OR(B52="",P52=""),"",P52-B52)</f>
        <v/>
      </c>
      <c r="R52" s="62" t="str">
        <f aca="true">IF(OR(M52&lt;&gt;"Yes",P52&lt;&gt;"",O52="Closed",O52="No Action Required"),"",IF(N52="","Due date missing",IF(N52&lt;TODAY(),"OVERDUE",IF(N52-TODAY()&lt;=2,"Due ≤2d","Open"))))</f>
        <v/>
      </c>
      <c r="S52" s="61"/>
      <c r="T52" s="61"/>
      <c r="U52" s="60"/>
      <c r="V52" s="88" t="str">
        <f aca="false">IF(AND(G52&lt;&gt;"",M52="Yes",P52="",O52&lt;&gt;"Closed",O52&lt;&gt;"No Action Required",O52&lt;&gt;"Responded"),ROW(),"")</f>
        <v/>
      </c>
    </row>
    <row r="53" customFormat="false" ht="15" hidden="false" customHeight="false" outlineLevel="0" collapsed="false">
      <c r="A53" s="56" t="s">
        <v>1203</v>
      </c>
      <c r="B53" s="63"/>
      <c r="C53" s="61"/>
      <c r="D53" s="61"/>
      <c r="E53" s="60"/>
      <c r="F53" s="61"/>
      <c r="G53" s="60"/>
      <c r="H53" s="61"/>
      <c r="I53" s="61"/>
      <c r="J53" s="60"/>
      <c r="K53" s="60"/>
      <c r="L53" s="60"/>
      <c r="M53" s="61"/>
      <c r="N53" s="63"/>
      <c r="O53" s="61"/>
      <c r="P53" s="63"/>
      <c r="Q53" s="87" t="str">
        <f aca="false">IF(OR(B53="",P53=""),"",P53-B53)</f>
        <v/>
      </c>
      <c r="R53" s="62" t="str">
        <f aca="true">IF(OR(M53&lt;&gt;"Yes",P53&lt;&gt;"",O53="Closed",O53="No Action Required"),"",IF(N53="","Due date missing",IF(N53&lt;TODAY(),"OVERDUE",IF(N53-TODAY()&lt;=2,"Due ≤2d","Open"))))</f>
        <v/>
      </c>
      <c r="S53" s="61"/>
      <c r="T53" s="61"/>
      <c r="U53" s="60"/>
      <c r="V53" s="88" t="str">
        <f aca="false">IF(AND(G53&lt;&gt;"",M53="Yes",P53="",O53&lt;&gt;"Closed",O53&lt;&gt;"No Action Required",O53&lt;&gt;"Responded"),ROW(),"")</f>
        <v/>
      </c>
    </row>
    <row r="54" customFormat="false" ht="15" hidden="false" customHeight="false" outlineLevel="0" collapsed="false">
      <c r="A54" s="56" t="s">
        <v>1204</v>
      </c>
      <c r="B54" s="63"/>
      <c r="C54" s="61"/>
      <c r="D54" s="61"/>
      <c r="E54" s="60"/>
      <c r="F54" s="61"/>
      <c r="G54" s="60"/>
      <c r="H54" s="61"/>
      <c r="I54" s="61"/>
      <c r="J54" s="60"/>
      <c r="K54" s="60"/>
      <c r="L54" s="60"/>
      <c r="M54" s="61"/>
      <c r="N54" s="63"/>
      <c r="O54" s="61"/>
      <c r="P54" s="63"/>
      <c r="Q54" s="87" t="str">
        <f aca="false">IF(OR(B54="",P54=""),"",P54-B54)</f>
        <v/>
      </c>
      <c r="R54" s="62" t="str">
        <f aca="true">IF(OR(M54&lt;&gt;"Yes",P54&lt;&gt;"",O54="Closed",O54="No Action Required"),"",IF(N54="","Due date missing",IF(N54&lt;TODAY(),"OVERDUE",IF(N54-TODAY()&lt;=2,"Due ≤2d","Open"))))</f>
        <v/>
      </c>
      <c r="S54" s="61"/>
      <c r="T54" s="61"/>
      <c r="U54" s="60"/>
      <c r="V54" s="88" t="str">
        <f aca="false">IF(AND(G54&lt;&gt;"",M54="Yes",P54="",O54&lt;&gt;"Closed",O54&lt;&gt;"No Action Required",O54&lt;&gt;"Responded"),ROW(),"")</f>
        <v/>
      </c>
    </row>
    <row r="55" customFormat="false" ht="15" hidden="false" customHeight="false" outlineLevel="0" collapsed="false">
      <c r="A55" s="56" t="s">
        <v>1205</v>
      </c>
      <c r="B55" s="63"/>
      <c r="C55" s="61"/>
      <c r="D55" s="61"/>
      <c r="E55" s="60"/>
      <c r="F55" s="61"/>
      <c r="G55" s="60"/>
      <c r="H55" s="61"/>
      <c r="I55" s="61"/>
      <c r="J55" s="60"/>
      <c r="K55" s="60"/>
      <c r="L55" s="60"/>
      <c r="M55" s="61"/>
      <c r="N55" s="63"/>
      <c r="O55" s="61"/>
      <c r="P55" s="63"/>
      <c r="Q55" s="87" t="str">
        <f aca="false">IF(OR(B55="",P55=""),"",P55-B55)</f>
        <v/>
      </c>
      <c r="R55" s="62" t="str">
        <f aca="true">IF(OR(M55&lt;&gt;"Yes",P55&lt;&gt;"",O55="Closed",O55="No Action Required"),"",IF(N55="","Due date missing",IF(N55&lt;TODAY(),"OVERDUE",IF(N55-TODAY()&lt;=2,"Due ≤2d","Open"))))</f>
        <v/>
      </c>
      <c r="S55" s="61"/>
      <c r="T55" s="61"/>
      <c r="U55" s="60"/>
      <c r="V55" s="88" t="str">
        <f aca="false">IF(AND(G55&lt;&gt;"",M55="Yes",P55="",O55&lt;&gt;"Closed",O55&lt;&gt;"No Action Required",O55&lt;&gt;"Responded"),ROW(),"")</f>
        <v/>
      </c>
    </row>
    <row r="56" customFormat="false" ht="15" hidden="false" customHeight="false" outlineLevel="0" collapsed="false">
      <c r="A56" s="56" t="s">
        <v>1206</v>
      </c>
      <c r="B56" s="63"/>
      <c r="C56" s="61"/>
      <c r="D56" s="61"/>
      <c r="E56" s="60"/>
      <c r="F56" s="61"/>
      <c r="G56" s="60"/>
      <c r="H56" s="61"/>
      <c r="I56" s="61"/>
      <c r="J56" s="60"/>
      <c r="K56" s="60"/>
      <c r="L56" s="60"/>
      <c r="M56" s="61"/>
      <c r="N56" s="63"/>
      <c r="O56" s="61"/>
      <c r="P56" s="63"/>
      <c r="Q56" s="87" t="str">
        <f aca="false">IF(OR(B56="",P56=""),"",P56-B56)</f>
        <v/>
      </c>
      <c r="R56" s="62" t="str">
        <f aca="true">IF(OR(M56&lt;&gt;"Yes",P56&lt;&gt;"",O56="Closed",O56="No Action Required"),"",IF(N56="","Due date missing",IF(N56&lt;TODAY(),"OVERDUE",IF(N56-TODAY()&lt;=2,"Due ≤2d","Open"))))</f>
        <v/>
      </c>
      <c r="S56" s="61"/>
      <c r="T56" s="61"/>
      <c r="U56" s="60"/>
      <c r="V56" s="88" t="str">
        <f aca="false">IF(AND(G56&lt;&gt;"",M56="Yes",P56="",O56&lt;&gt;"Closed",O56&lt;&gt;"No Action Required",O56&lt;&gt;"Responded"),ROW(),"")</f>
        <v/>
      </c>
    </row>
    <row r="57" customFormat="false" ht="15" hidden="false" customHeight="false" outlineLevel="0" collapsed="false">
      <c r="A57" s="56" t="s">
        <v>1207</v>
      </c>
      <c r="B57" s="63"/>
      <c r="C57" s="61"/>
      <c r="D57" s="61"/>
      <c r="E57" s="60"/>
      <c r="F57" s="61"/>
      <c r="G57" s="60"/>
      <c r="H57" s="61"/>
      <c r="I57" s="61"/>
      <c r="J57" s="60"/>
      <c r="K57" s="60"/>
      <c r="L57" s="60"/>
      <c r="M57" s="61"/>
      <c r="N57" s="63"/>
      <c r="O57" s="61"/>
      <c r="P57" s="63"/>
      <c r="Q57" s="87" t="str">
        <f aca="false">IF(OR(B57="",P57=""),"",P57-B57)</f>
        <v/>
      </c>
      <c r="R57" s="62" t="str">
        <f aca="true">IF(OR(M57&lt;&gt;"Yes",P57&lt;&gt;"",O57="Closed",O57="No Action Required"),"",IF(N57="","Due date missing",IF(N57&lt;TODAY(),"OVERDUE",IF(N57-TODAY()&lt;=2,"Due ≤2d","Open"))))</f>
        <v/>
      </c>
      <c r="S57" s="61"/>
      <c r="T57" s="61"/>
      <c r="U57" s="60"/>
      <c r="V57" s="88" t="str">
        <f aca="false">IF(AND(G57&lt;&gt;"",M57="Yes",P57="",O57&lt;&gt;"Closed",O57&lt;&gt;"No Action Required",O57&lt;&gt;"Responded"),ROW(),"")</f>
        <v/>
      </c>
    </row>
    <row r="58" customFormat="false" ht="15" hidden="false" customHeight="false" outlineLevel="0" collapsed="false">
      <c r="A58" s="56" t="s">
        <v>1208</v>
      </c>
      <c r="B58" s="63"/>
      <c r="C58" s="61"/>
      <c r="D58" s="61"/>
      <c r="E58" s="60"/>
      <c r="F58" s="61"/>
      <c r="G58" s="60"/>
      <c r="H58" s="61"/>
      <c r="I58" s="61"/>
      <c r="J58" s="60"/>
      <c r="K58" s="60"/>
      <c r="L58" s="60"/>
      <c r="M58" s="61"/>
      <c r="N58" s="63"/>
      <c r="O58" s="61"/>
      <c r="P58" s="63"/>
      <c r="Q58" s="87" t="str">
        <f aca="false">IF(OR(B58="",P58=""),"",P58-B58)</f>
        <v/>
      </c>
      <c r="R58" s="62" t="str">
        <f aca="true">IF(OR(M58&lt;&gt;"Yes",P58&lt;&gt;"",O58="Closed",O58="No Action Required"),"",IF(N58="","Due date missing",IF(N58&lt;TODAY(),"OVERDUE",IF(N58-TODAY()&lt;=2,"Due ≤2d","Open"))))</f>
        <v/>
      </c>
      <c r="S58" s="61"/>
      <c r="T58" s="61"/>
      <c r="U58" s="60"/>
      <c r="V58" s="88" t="str">
        <f aca="false">IF(AND(G58&lt;&gt;"",M58="Yes",P58="",O58&lt;&gt;"Closed",O58&lt;&gt;"No Action Required",O58&lt;&gt;"Responded"),ROW(),"")</f>
        <v/>
      </c>
    </row>
    <row r="59" customFormat="false" ht="15" hidden="false" customHeight="false" outlineLevel="0" collapsed="false">
      <c r="A59" s="56" t="s">
        <v>1209</v>
      </c>
      <c r="B59" s="63"/>
      <c r="C59" s="61"/>
      <c r="D59" s="61"/>
      <c r="E59" s="60"/>
      <c r="F59" s="61"/>
      <c r="G59" s="60"/>
      <c r="H59" s="61"/>
      <c r="I59" s="61"/>
      <c r="J59" s="60"/>
      <c r="K59" s="60"/>
      <c r="L59" s="60"/>
      <c r="M59" s="61"/>
      <c r="N59" s="63"/>
      <c r="O59" s="61"/>
      <c r="P59" s="63"/>
      <c r="Q59" s="87" t="str">
        <f aca="false">IF(OR(B59="",P59=""),"",P59-B59)</f>
        <v/>
      </c>
      <c r="R59" s="62" t="str">
        <f aca="true">IF(OR(M59&lt;&gt;"Yes",P59&lt;&gt;"",O59="Closed",O59="No Action Required"),"",IF(N59="","Due date missing",IF(N59&lt;TODAY(),"OVERDUE",IF(N59-TODAY()&lt;=2,"Due ≤2d","Open"))))</f>
        <v/>
      </c>
      <c r="S59" s="61"/>
      <c r="T59" s="61"/>
      <c r="U59" s="60"/>
      <c r="V59" s="88" t="str">
        <f aca="false">IF(AND(G59&lt;&gt;"",M59="Yes",P59="",O59&lt;&gt;"Closed",O59&lt;&gt;"No Action Required",O59&lt;&gt;"Responded"),ROW(),"")</f>
        <v/>
      </c>
    </row>
    <row r="60" customFormat="false" ht="15" hidden="false" customHeight="false" outlineLevel="0" collapsed="false">
      <c r="A60" s="56" t="s">
        <v>1210</v>
      </c>
      <c r="B60" s="63"/>
      <c r="C60" s="61"/>
      <c r="D60" s="61"/>
      <c r="E60" s="60"/>
      <c r="F60" s="61"/>
      <c r="G60" s="60"/>
      <c r="H60" s="61"/>
      <c r="I60" s="61"/>
      <c r="J60" s="60"/>
      <c r="K60" s="60"/>
      <c r="L60" s="60"/>
      <c r="M60" s="61"/>
      <c r="N60" s="63"/>
      <c r="O60" s="61"/>
      <c r="P60" s="63"/>
      <c r="Q60" s="87" t="str">
        <f aca="false">IF(OR(B60="",P60=""),"",P60-B60)</f>
        <v/>
      </c>
      <c r="R60" s="62" t="str">
        <f aca="true">IF(OR(M60&lt;&gt;"Yes",P60&lt;&gt;"",O60="Closed",O60="No Action Required"),"",IF(N60="","Due date missing",IF(N60&lt;TODAY(),"OVERDUE",IF(N60-TODAY()&lt;=2,"Due ≤2d","Open"))))</f>
        <v/>
      </c>
      <c r="S60" s="61"/>
      <c r="T60" s="61"/>
      <c r="U60" s="60"/>
      <c r="V60" s="88" t="str">
        <f aca="false">IF(AND(G60&lt;&gt;"",M60="Yes",P60="",O60&lt;&gt;"Closed",O60&lt;&gt;"No Action Required",O60&lt;&gt;"Responded"),ROW(),"")</f>
        <v/>
      </c>
    </row>
    <row r="61" customFormat="false" ht="15" hidden="false" customHeight="false" outlineLevel="0" collapsed="false">
      <c r="A61" s="56" t="s">
        <v>1211</v>
      </c>
      <c r="B61" s="63"/>
      <c r="C61" s="61"/>
      <c r="D61" s="61"/>
      <c r="E61" s="60"/>
      <c r="F61" s="61"/>
      <c r="G61" s="60"/>
      <c r="H61" s="61"/>
      <c r="I61" s="61"/>
      <c r="J61" s="60"/>
      <c r="K61" s="60"/>
      <c r="L61" s="60"/>
      <c r="M61" s="61"/>
      <c r="N61" s="63"/>
      <c r="O61" s="61"/>
      <c r="P61" s="63"/>
      <c r="Q61" s="87" t="str">
        <f aca="false">IF(OR(B61="",P61=""),"",P61-B61)</f>
        <v/>
      </c>
      <c r="R61" s="62" t="str">
        <f aca="true">IF(OR(M61&lt;&gt;"Yes",P61&lt;&gt;"",O61="Closed",O61="No Action Required"),"",IF(N61="","Due date missing",IF(N61&lt;TODAY(),"OVERDUE",IF(N61-TODAY()&lt;=2,"Due ≤2d","Open"))))</f>
        <v/>
      </c>
      <c r="S61" s="61"/>
      <c r="T61" s="61"/>
      <c r="U61" s="60"/>
      <c r="V61" s="88" t="str">
        <f aca="false">IF(AND(G61&lt;&gt;"",M61="Yes",P61="",O61&lt;&gt;"Closed",O61&lt;&gt;"No Action Required",O61&lt;&gt;"Responded"),ROW(),"")</f>
        <v/>
      </c>
    </row>
    <row r="62" customFormat="false" ht="15" hidden="false" customHeight="false" outlineLevel="0" collapsed="false">
      <c r="A62" s="56" t="s">
        <v>1212</v>
      </c>
      <c r="B62" s="63"/>
      <c r="C62" s="61"/>
      <c r="D62" s="61"/>
      <c r="E62" s="60"/>
      <c r="F62" s="61"/>
      <c r="G62" s="60"/>
      <c r="H62" s="61"/>
      <c r="I62" s="61"/>
      <c r="J62" s="60"/>
      <c r="K62" s="60"/>
      <c r="L62" s="60"/>
      <c r="M62" s="61"/>
      <c r="N62" s="63"/>
      <c r="O62" s="61"/>
      <c r="P62" s="63"/>
      <c r="Q62" s="87" t="str">
        <f aca="false">IF(OR(B62="",P62=""),"",P62-B62)</f>
        <v/>
      </c>
      <c r="R62" s="62" t="str">
        <f aca="true">IF(OR(M62&lt;&gt;"Yes",P62&lt;&gt;"",O62="Closed",O62="No Action Required"),"",IF(N62="","Due date missing",IF(N62&lt;TODAY(),"OVERDUE",IF(N62-TODAY()&lt;=2,"Due ≤2d","Open"))))</f>
        <v/>
      </c>
      <c r="S62" s="61"/>
      <c r="T62" s="61"/>
      <c r="U62" s="60"/>
      <c r="V62" s="88" t="str">
        <f aca="false">IF(AND(G62&lt;&gt;"",M62="Yes",P62="",O62&lt;&gt;"Closed",O62&lt;&gt;"No Action Required",O62&lt;&gt;"Responded"),ROW(),"")</f>
        <v/>
      </c>
    </row>
    <row r="63" customFormat="false" ht="15" hidden="false" customHeight="false" outlineLevel="0" collapsed="false">
      <c r="A63" s="56" t="s">
        <v>1213</v>
      </c>
      <c r="B63" s="63"/>
      <c r="C63" s="61"/>
      <c r="D63" s="61"/>
      <c r="E63" s="60"/>
      <c r="F63" s="61"/>
      <c r="G63" s="60"/>
      <c r="H63" s="61"/>
      <c r="I63" s="61"/>
      <c r="J63" s="60"/>
      <c r="K63" s="60"/>
      <c r="L63" s="60"/>
      <c r="M63" s="61"/>
      <c r="N63" s="63"/>
      <c r="O63" s="61"/>
      <c r="P63" s="63"/>
      <c r="Q63" s="87" t="str">
        <f aca="false">IF(OR(B63="",P63=""),"",P63-B63)</f>
        <v/>
      </c>
      <c r="R63" s="62" t="str">
        <f aca="true">IF(OR(M63&lt;&gt;"Yes",P63&lt;&gt;"",O63="Closed",O63="No Action Required"),"",IF(N63="","Due date missing",IF(N63&lt;TODAY(),"OVERDUE",IF(N63-TODAY()&lt;=2,"Due ≤2d","Open"))))</f>
        <v/>
      </c>
      <c r="S63" s="61"/>
      <c r="T63" s="61"/>
      <c r="U63" s="60"/>
      <c r="V63" s="88" t="str">
        <f aca="false">IF(AND(G63&lt;&gt;"",M63="Yes",P63="",O63&lt;&gt;"Closed",O63&lt;&gt;"No Action Required",O63&lt;&gt;"Responded"),ROW(),"")</f>
        <v/>
      </c>
    </row>
    <row r="64" customFormat="false" ht="15" hidden="false" customHeight="false" outlineLevel="0" collapsed="false">
      <c r="A64" s="56" t="s">
        <v>1214</v>
      </c>
      <c r="B64" s="63"/>
      <c r="C64" s="61"/>
      <c r="D64" s="61"/>
      <c r="E64" s="60"/>
      <c r="F64" s="61"/>
      <c r="G64" s="60"/>
      <c r="H64" s="61"/>
      <c r="I64" s="61"/>
      <c r="J64" s="60"/>
      <c r="K64" s="60"/>
      <c r="L64" s="60"/>
      <c r="M64" s="61"/>
      <c r="N64" s="63"/>
      <c r="O64" s="61"/>
      <c r="P64" s="63"/>
      <c r="Q64" s="87" t="str">
        <f aca="false">IF(OR(B64="",P64=""),"",P64-B64)</f>
        <v/>
      </c>
      <c r="R64" s="62" t="str">
        <f aca="true">IF(OR(M64&lt;&gt;"Yes",P64&lt;&gt;"",O64="Closed",O64="No Action Required"),"",IF(N64="","Due date missing",IF(N64&lt;TODAY(),"OVERDUE",IF(N64-TODAY()&lt;=2,"Due ≤2d","Open"))))</f>
        <v/>
      </c>
      <c r="S64" s="61"/>
      <c r="T64" s="61"/>
      <c r="U64" s="60"/>
      <c r="V64" s="88" t="str">
        <f aca="false">IF(AND(G64&lt;&gt;"",M64="Yes",P64="",O64&lt;&gt;"Closed",O64&lt;&gt;"No Action Required",O64&lt;&gt;"Responded"),ROW(),"")</f>
        <v/>
      </c>
    </row>
    <row r="65" customFormat="false" ht="15" hidden="false" customHeight="false" outlineLevel="0" collapsed="false">
      <c r="A65" s="56" t="s">
        <v>1215</v>
      </c>
      <c r="B65" s="63"/>
      <c r="C65" s="61"/>
      <c r="D65" s="61"/>
      <c r="E65" s="60"/>
      <c r="F65" s="61"/>
      <c r="G65" s="60"/>
      <c r="H65" s="61"/>
      <c r="I65" s="61"/>
      <c r="J65" s="60"/>
      <c r="K65" s="60"/>
      <c r="L65" s="60"/>
      <c r="M65" s="61"/>
      <c r="N65" s="63"/>
      <c r="O65" s="61"/>
      <c r="P65" s="63"/>
      <c r="Q65" s="87" t="str">
        <f aca="false">IF(OR(B65="",P65=""),"",P65-B65)</f>
        <v/>
      </c>
      <c r="R65" s="62" t="str">
        <f aca="true">IF(OR(M65&lt;&gt;"Yes",P65&lt;&gt;"",O65="Closed",O65="No Action Required"),"",IF(N65="","Due date missing",IF(N65&lt;TODAY(),"OVERDUE",IF(N65-TODAY()&lt;=2,"Due ≤2d","Open"))))</f>
        <v/>
      </c>
      <c r="S65" s="61"/>
      <c r="T65" s="61"/>
      <c r="U65" s="60"/>
      <c r="V65" s="88" t="str">
        <f aca="false">IF(AND(G65&lt;&gt;"",M65="Yes",P65="",O65&lt;&gt;"Closed",O65&lt;&gt;"No Action Required",O65&lt;&gt;"Responded"),ROW(),"")</f>
        <v/>
      </c>
    </row>
    <row r="66" customFormat="false" ht="15" hidden="false" customHeight="false" outlineLevel="0" collapsed="false">
      <c r="A66" s="56" t="s">
        <v>1216</v>
      </c>
      <c r="B66" s="63"/>
      <c r="C66" s="61"/>
      <c r="D66" s="61"/>
      <c r="E66" s="60"/>
      <c r="F66" s="61"/>
      <c r="G66" s="60"/>
      <c r="H66" s="61"/>
      <c r="I66" s="61"/>
      <c r="J66" s="60"/>
      <c r="K66" s="60"/>
      <c r="L66" s="60"/>
      <c r="M66" s="61"/>
      <c r="N66" s="63"/>
      <c r="O66" s="61"/>
      <c r="P66" s="63"/>
      <c r="Q66" s="87" t="str">
        <f aca="false">IF(OR(B66="",P66=""),"",P66-B66)</f>
        <v/>
      </c>
      <c r="R66" s="62" t="str">
        <f aca="true">IF(OR(M66&lt;&gt;"Yes",P66&lt;&gt;"",O66="Closed",O66="No Action Required"),"",IF(N66="","Due date missing",IF(N66&lt;TODAY(),"OVERDUE",IF(N66-TODAY()&lt;=2,"Due ≤2d","Open"))))</f>
        <v/>
      </c>
      <c r="S66" s="61"/>
      <c r="T66" s="61"/>
      <c r="U66" s="60"/>
      <c r="V66" s="88" t="str">
        <f aca="false">IF(AND(G66&lt;&gt;"",M66="Yes",P66="",O66&lt;&gt;"Closed",O66&lt;&gt;"No Action Required",O66&lt;&gt;"Responded"),ROW(),"")</f>
        <v/>
      </c>
    </row>
    <row r="67" customFormat="false" ht="15" hidden="false" customHeight="false" outlineLevel="0" collapsed="false">
      <c r="A67" s="56" t="s">
        <v>1217</v>
      </c>
      <c r="B67" s="63"/>
      <c r="C67" s="61"/>
      <c r="D67" s="61"/>
      <c r="E67" s="60"/>
      <c r="F67" s="61"/>
      <c r="G67" s="60"/>
      <c r="H67" s="61"/>
      <c r="I67" s="61"/>
      <c r="J67" s="60"/>
      <c r="K67" s="60"/>
      <c r="L67" s="60"/>
      <c r="M67" s="61"/>
      <c r="N67" s="63"/>
      <c r="O67" s="61"/>
      <c r="P67" s="63"/>
      <c r="Q67" s="87" t="str">
        <f aca="false">IF(OR(B67="",P67=""),"",P67-B67)</f>
        <v/>
      </c>
      <c r="R67" s="62" t="str">
        <f aca="true">IF(OR(M67&lt;&gt;"Yes",P67&lt;&gt;"",O67="Closed",O67="No Action Required"),"",IF(N67="","Due date missing",IF(N67&lt;TODAY(),"OVERDUE",IF(N67-TODAY()&lt;=2,"Due ≤2d","Open"))))</f>
        <v/>
      </c>
      <c r="S67" s="61"/>
      <c r="T67" s="61"/>
      <c r="U67" s="60"/>
      <c r="V67" s="88" t="str">
        <f aca="false">IF(AND(G67&lt;&gt;"",M67="Yes",P67="",O67&lt;&gt;"Closed",O67&lt;&gt;"No Action Required",O67&lt;&gt;"Responded"),ROW(),"")</f>
        <v/>
      </c>
    </row>
    <row r="68" customFormat="false" ht="15" hidden="false" customHeight="false" outlineLevel="0" collapsed="false">
      <c r="A68" s="56" t="s">
        <v>1218</v>
      </c>
      <c r="B68" s="63"/>
      <c r="C68" s="61"/>
      <c r="D68" s="61"/>
      <c r="E68" s="60"/>
      <c r="F68" s="61"/>
      <c r="G68" s="60"/>
      <c r="H68" s="61"/>
      <c r="I68" s="61"/>
      <c r="J68" s="60"/>
      <c r="K68" s="60"/>
      <c r="L68" s="60"/>
      <c r="M68" s="61"/>
      <c r="N68" s="63"/>
      <c r="O68" s="61"/>
      <c r="P68" s="63"/>
      <c r="Q68" s="87" t="str">
        <f aca="false">IF(OR(B68="",P68=""),"",P68-B68)</f>
        <v/>
      </c>
      <c r="R68" s="62" t="str">
        <f aca="true">IF(OR(M68&lt;&gt;"Yes",P68&lt;&gt;"",O68="Closed",O68="No Action Required"),"",IF(N68="","Due date missing",IF(N68&lt;TODAY(),"OVERDUE",IF(N68-TODAY()&lt;=2,"Due ≤2d","Open"))))</f>
        <v/>
      </c>
      <c r="S68" s="61"/>
      <c r="T68" s="61"/>
      <c r="U68" s="60"/>
      <c r="V68" s="88" t="str">
        <f aca="false">IF(AND(G68&lt;&gt;"",M68="Yes",P68="",O68&lt;&gt;"Closed",O68&lt;&gt;"No Action Required",O68&lt;&gt;"Responded"),ROW(),"")</f>
        <v/>
      </c>
    </row>
    <row r="69" customFormat="false" ht="15" hidden="false" customHeight="false" outlineLevel="0" collapsed="false">
      <c r="A69" s="56" t="s">
        <v>1219</v>
      </c>
      <c r="B69" s="63"/>
      <c r="C69" s="61"/>
      <c r="D69" s="61"/>
      <c r="E69" s="60"/>
      <c r="F69" s="61"/>
      <c r="G69" s="60"/>
      <c r="H69" s="61"/>
      <c r="I69" s="61"/>
      <c r="J69" s="60"/>
      <c r="K69" s="60"/>
      <c r="L69" s="60"/>
      <c r="M69" s="61"/>
      <c r="N69" s="63"/>
      <c r="O69" s="61"/>
      <c r="P69" s="63"/>
      <c r="Q69" s="87" t="str">
        <f aca="false">IF(OR(B69="",P69=""),"",P69-B69)</f>
        <v/>
      </c>
      <c r="R69" s="62" t="str">
        <f aca="true">IF(OR(M69&lt;&gt;"Yes",P69&lt;&gt;"",O69="Closed",O69="No Action Required"),"",IF(N69="","Due date missing",IF(N69&lt;TODAY(),"OVERDUE",IF(N69-TODAY()&lt;=2,"Due ≤2d","Open"))))</f>
        <v/>
      </c>
      <c r="S69" s="61"/>
      <c r="T69" s="61"/>
      <c r="U69" s="60"/>
      <c r="V69" s="88" t="str">
        <f aca="false">IF(AND(G69&lt;&gt;"",M69="Yes",P69="",O69&lt;&gt;"Closed",O69&lt;&gt;"No Action Required",O69&lt;&gt;"Responded"),ROW(),"")</f>
        <v/>
      </c>
    </row>
    <row r="70" customFormat="false" ht="15" hidden="false" customHeight="false" outlineLevel="0" collapsed="false">
      <c r="A70" s="56" t="s">
        <v>1220</v>
      </c>
      <c r="B70" s="63"/>
      <c r="C70" s="61"/>
      <c r="D70" s="61"/>
      <c r="E70" s="60"/>
      <c r="F70" s="61"/>
      <c r="G70" s="60"/>
      <c r="H70" s="61"/>
      <c r="I70" s="61"/>
      <c r="J70" s="60"/>
      <c r="K70" s="60"/>
      <c r="L70" s="60"/>
      <c r="M70" s="61"/>
      <c r="N70" s="63"/>
      <c r="O70" s="61"/>
      <c r="P70" s="63"/>
      <c r="Q70" s="87" t="str">
        <f aca="false">IF(OR(B70="",P70=""),"",P70-B70)</f>
        <v/>
      </c>
      <c r="R70" s="62" t="str">
        <f aca="true">IF(OR(M70&lt;&gt;"Yes",P70&lt;&gt;"",O70="Closed",O70="No Action Required"),"",IF(N70="","Due date missing",IF(N70&lt;TODAY(),"OVERDUE",IF(N70-TODAY()&lt;=2,"Due ≤2d","Open"))))</f>
        <v/>
      </c>
      <c r="S70" s="61"/>
      <c r="T70" s="61"/>
      <c r="U70" s="60"/>
      <c r="V70" s="88" t="str">
        <f aca="false">IF(AND(G70&lt;&gt;"",M70="Yes",P70="",O70&lt;&gt;"Closed",O70&lt;&gt;"No Action Required",O70&lt;&gt;"Responded"),ROW(),"")</f>
        <v/>
      </c>
    </row>
    <row r="71" customFormat="false" ht="15" hidden="false" customHeight="false" outlineLevel="0" collapsed="false">
      <c r="A71" s="56" t="s">
        <v>1221</v>
      </c>
      <c r="B71" s="63"/>
      <c r="C71" s="61"/>
      <c r="D71" s="61"/>
      <c r="E71" s="60"/>
      <c r="F71" s="61"/>
      <c r="G71" s="60"/>
      <c r="H71" s="61"/>
      <c r="I71" s="61"/>
      <c r="J71" s="60"/>
      <c r="K71" s="60"/>
      <c r="L71" s="60"/>
      <c r="M71" s="61"/>
      <c r="N71" s="63"/>
      <c r="O71" s="61"/>
      <c r="P71" s="63"/>
      <c r="Q71" s="87" t="str">
        <f aca="false">IF(OR(B71="",P71=""),"",P71-B71)</f>
        <v/>
      </c>
      <c r="R71" s="62" t="str">
        <f aca="true">IF(OR(M71&lt;&gt;"Yes",P71&lt;&gt;"",O71="Closed",O71="No Action Required"),"",IF(N71="","Due date missing",IF(N71&lt;TODAY(),"OVERDUE",IF(N71-TODAY()&lt;=2,"Due ≤2d","Open"))))</f>
        <v/>
      </c>
      <c r="S71" s="61"/>
      <c r="T71" s="61"/>
      <c r="U71" s="60"/>
      <c r="V71" s="88" t="str">
        <f aca="false">IF(AND(G71&lt;&gt;"",M71="Yes",P71="",O71&lt;&gt;"Closed",O71&lt;&gt;"No Action Required",O71&lt;&gt;"Responded"),ROW(),"")</f>
        <v/>
      </c>
    </row>
    <row r="72" customFormat="false" ht="15" hidden="false" customHeight="false" outlineLevel="0" collapsed="false">
      <c r="A72" s="56" t="s">
        <v>1222</v>
      </c>
      <c r="B72" s="63"/>
      <c r="C72" s="61"/>
      <c r="D72" s="61"/>
      <c r="E72" s="60"/>
      <c r="F72" s="61"/>
      <c r="G72" s="60"/>
      <c r="H72" s="61"/>
      <c r="I72" s="61"/>
      <c r="J72" s="60"/>
      <c r="K72" s="60"/>
      <c r="L72" s="60"/>
      <c r="M72" s="61"/>
      <c r="N72" s="63"/>
      <c r="O72" s="61"/>
      <c r="P72" s="63"/>
      <c r="Q72" s="87" t="str">
        <f aca="false">IF(OR(B72="",P72=""),"",P72-B72)</f>
        <v/>
      </c>
      <c r="R72" s="62" t="str">
        <f aca="true">IF(OR(M72&lt;&gt;"Yes",P72&lt;&gt;"",O72="Closed",O72="No Action Required"),"",IF(N72="","Due date missing",IF(N72&lt;TODAY(),"OVERDUE",IF(N72-TODAY()&lt;=2,"Due ≤2d","Open"))))</f>
        <v/>
      </c>
      <c r="S72" s="61"/>
      <c r="T72" s="61"/>
      <c r="U72" s="60"/>
      <c r="V72" s="88" t="str">
        <f aca="false">IF(AND(G72&lt;&gt;"",M72="Yes",P72="",O72&lt;&gt;"Closed",O72&lt;&gt;"No Action Required",O72&lt;&gt;"Responded"),ROW(),"")</f>
        <v/>
      </c>
    </row>
    <row r="73" customFormat="false" ht="15" hidden="false" customHeight="false" outlineLevel="0" collapsed="false">
      <c r="A73" s="56" t="s">
        <v>1223</v>
      </c>
      <c r="B73" s="63"/>
      <c r="C73" s="61"/>
      <c r="D73" s="61"/>
      <c r="E73" s="60"/>
      <c r="F73" s="61"/>
      <c r="G73" s="60"/>
      <c r="H73" s="61"/>
      <c r="I73" s="61"/>
      <c r="J73" s="60"/>
      <c r="K73" s="60"/>
      <c r="L73" s="60"/>
      <c r="M73" s="61"/>
      <c r="N73" s="63"/>
      <c r="O73" s="61"/>
      <c r="P73" s="63"/>
      <c r="Q73" s="87" t="str">
        <f aca="false">IF(OR(B73="",P73=""),"",P73-B73)</f>
        <v/>
      </c>
      <c r="R73" s="62" t="str">
        <f aca="true">IF(OR(M73&lt;&gt;"Yes",P73&lt;&gt;"",O73="Closed",O73="No Action Required"),"",IF(N73="","Due date missing",IF(N73&lt;TODAY(),"OVERDUE",IF(N73-TODAY()&lt;=2,"Due ≤2d","Open"))))</f>
        <v/>
      </c>
      <c r="S73" s="61"/>
      <c r="T73" s="61"/>
      <c r="U73" s="60"/>
      <c r="V73" s="88" t="str">
        <f aca="false">IF(AND(G73&lt;&gt;"",M73="Yes",P73="",O73&lt;&gt;"Closed",O73&lt;&gt;"No Action Required",O73&lt;&gt;"Responded"),ROW(),"")</f>
        <v/>
      </c>
    </row>
    <row r="74" customFormat="false" ht="15" hidden="false" customHeight="false" outlineLevel="0" collapsed="false">
      <c r="A74" s="56" t="s">
        <v>1224</v>
      </c>
      <c r="B74" s="63"/>
      <c r="C74" s="61"/>
      <c r="D74" s="61"/>
      <c r="E74" s="60"/>
      <c r="F74" s="61"/>
      <c r="G74" s="60"/>
      <c r="H74" s="61"/>
      <c r="I74" s="61"/>
      <c r="J74" s="60"/>
      <c r="K74" s="60"/>
      <c r="L74" s="60"/>
      <c r="M74" s="61"/>
      <c r="N74" s="63"/>
      <c r="O74" s="61"/>
      <c r="P74" s="63"/>
      <c r="Q74" s="87" t="str">
        <f aca="false">IF(OR(B74="",P74=""),"",P74-B74)</f>
        <v/>
      </c>
      <c r="R74" s="62" t="str">
        <f aca="true">IF(OR(M74&lt;&gt;"Yes",P74&lt;&gt;"",O74="Closed",O74="No Action Required"),"",IF(N74="","Due date missing",IF(N74&lt;TODAY(),"OVERDUE",IF(N74-TODAY()&lt;=2,"Due ≤2d","Open"))))</f>
        <v/>
      </c>
      <c r="S74" s="61"/>
      <c r="T74" s="61"/>
      <c r="U74" s="60"/>
      <c r="V74" s="88" t="str">
        <f aca="false">IF(AND(G74&lt;&gt;"",M74="Yes",P74="",O74&lt;&gt;"Closed",O74&lt;&gt;"No Action Required",O74&lt;&gt;"Responded"),ROW(),"")</f>
        <v/>
      </c>
    </row>
    <row r="75" customFormat="false" ht="15" hidden="false" customHeight="false" outlineLevel="0" collapsed="false">
      <c r="A75" s="56" t="s">
        <v>1225</v>
      </c>
      <c r="B75" s="63"/>
      <c r="C75" s="61"/>
      <c r="D75" s="61"/>
      <c r="E75" s="60"/>
      <c r="F75" s="61"/>
      <c r="G75" s="60"/>
      <c r="H75" s="61"/>
      <c r="I75" s="61"/>
      <c r="J75" s="60"/>
      <c r="K75" s="60"/>
      <c r="L75" s="60"/>
      <c r="M75" s="61"/>
      <c r="N75" s="63"/>
      <c r="O75" s="61"/>
      <c r="P75" s="63"/>
      <c r="Q75" s="87" t="str">
        <f aca="false">IF(OR(B75="",P75=""),"",P75-B75)</f>
        <v/>
      </c>
      <c r="R75" s="62" t="str">
        <f aca="true">IF(OR(M75&lt;&gt;"Yes",P75&lt;&gt;"",O75="Closed",O75="No Action Required"),"",IF(N75="","Due date missing",IF(N75&lt;TODAY(),"OVERDUE",IF(N75-TODAY()&lt;=2,"Due ≤2d","Open"))))</f>
        <v/>
      </c>
      <c r="S75" s="61"/>
      <c r="T75" s="61"/>
      <c r="U75" s="60"/>
      <c r="V75" s="88" t="str">
        <f aca="false">IF(AND(G75&lt;&gt;"",M75="Yes",P75="",O75&lt;&gt;"Closed",O75&lt;&gt;"No Action Required",O75&lt;&gt;"Responded"),ROW(),"")</f>
        <v/>
      </c>
    </row>
    <row r="76" customFormat="false" ht="15" hidden="false" customHeight="false" outlineLevel="0" collapsed="false">
      <c r="A76" s="56" t="s">
        <v>1226</v>
      </c>
      <c r="B76" s="63"/>
      <c r="C76" s="61"/>
      <c r="D76" s="61"/>
      <c r="E76" s="60"/>
      <c r="F76" s="61"/>
      <c r="G76" s="60"/>
      <c r="H76" s="61"/>
      <c r="I76" s="61"/>
      <c r="J76" s="60"/>
      <c r="K76" s="60"/>
      <c r="L76" s="60"/>
      <c r="M76" s="61"/>
      <c r="N76" s="63"/>
      <c r="O76" s="61"/>
      <c r="P76" s="63"/>
      <c r="Q76" s="87" t="str">
        <f aca="false">IF(OR(B76="",P76=""),"",P76-B76)</f>
        <v/>
      </c>
      <c r="R76" s="62" t="str">
        <f aca="true">IF(OR(M76&lt;&gt;"Yes",P76&lt;&gt;"",O76="Closed",O76="No Action Required"),"",IF(N76="","Due date missing",IF(N76&lt;TODAY(),"OVERDUE",IF(N76-TODAY()&lt;=2,"Due ≤2d","Open"))))</f>
        <v/>
      </c>
      <c r="S76" s="61"/>
      <c r="T76" s="61"/>
      <c r="U76" s="60"/>
      <c r="V76" s="88" t="str">
        <f aca="false">IF(AND(G76&lt;&gt;"",M76="Yes",P76="",O76&lt;&gt;"Closed",O76&lt;&gt;"No Action Required",O76&lt;&gt;"Responded"),ROW(),"")</f>
        <v/>
      </c>
    </row>
    <row r="77" customFormat="false" ht="15" hidden="false" customHeight="false" outlineLevel="0" collapsed="false">
      <c r="A77" s="56" t="s">
        <v>1227</v>
      </c>
      <c r="B77" s="63"/>
      <c r="C77" s="61"/>
      <c r="D77" s="61"/>
      <c r="E77" s="60"/>
      <c r="F77" s="61"/>
      <c r="G77" s="60"/>
      <c r="H77" s="61"/>
      <c r="I77" s="61"/>
      <c r="J77" s="60"/>
      <c r="K77" s="60"/>
      <c r="L77" s="60"/>
      <c r="M77" s="61"/>
      <c r="N77" s="63"/>
      <c r="O77" s="61"/>
      <c r="P77" s="63"/>
      <c r="Q77" s="87" t="str">
        <f aca="false">IF(OR(B77="",P77=""),"",P77-B77)</f>
        <v/>
      </c>
      <c r="R77" s="62" t="str">
        <f aca="true">IF(OR(M77&lt;&gt;"Yes",P77&lt;&gt;"",O77="Closed",O77="No Action Required"),"",IF(N77="","Due date missing",IF(N77&lt;TODAY(),"OVERDUE",IF(N77-TODAY()&lt;=2,"Due ≤2d","Open"))))</f>
        <v/>
      </c>
      <c r="S77" s="61"/>
      <c r="T77" s="61"/>
      <c r="U77" s="60"/>
      <c r="V77" s="88" t="str">
        <f aca="false">IF(AND(G77&lt;&gt;"",M77="Yes",P77="",O77&lt;&gt;"Closed",O77&lt;&gt;"No Action Required",O77&lt;&gt;"Responded"),ROW(),"")</f>
        <v/>
      </c>
    </row>
    <row r="78" customFormat="false" ht="15" hidden="false" customHeight="false" outlineLevel="0" collapsed="false">
      <c r="A78" s="56" t="s">
        <v>1228</v>
      </c>
      <c r="B78" s="63"/>
      <c r="C78" s="61"/>
      <c r="D78" s="61"/>
      <c r="E78" s="60"/>
      <c r="F78" s="61"/>
      <c r="G78" s="60"/>
      <c r="H78" s="61"/>
      <c r="I78" s="61"/>
      <c r="J78" s="60"/>
      <c r="K78" s="60"/>
      <c r="L78" s="60"/>
      <c r="M78" s="61"/>
      <c r="N78" s="63"/>
      <c r="O78" s="61"/>
      <c r="P78" s="63"/>
      <c r="Q78" s="87" t="str">
        <f aca="false">IF(OR(B78="",P78=""),"",P78-B78)</f>
        <v/>
      </c>
      <c r="R78" s="62" t="str">
        <f aca="true">IF(OR(M78&lt;&gt;"Yes",P78&lt;&gt;"",O78="Closed",O78="No Action Required"),"",IF(N78="","Due date missing",IF(N78&lt;TODAY(),"OVERDUE",IF(N78-TODAY()&lt;=2,"Due ≤2d","Open"))))</f>
        <v/>
      </c>
      <c r="S78" s="61"/>
      <c r="T78" s="61"/>
      <c r="U78" s="60"/>
      <c r="V78" s="88" t="str">
        <f aca="false">IF(AND(G78&lt;&gt;"",M78="Yes",P78="",O78&lt;&gt;"Closed",O78&lt;&gt;"No Action Required",O78&lt;&gt;"Responded"),ROW(),"")</f>
        <v/>
      </c>
    </row>
    <row r="79" customFormat="false" ht="15" hidden="false" customHeight="false" outlineLevel="0" collapsed="false">
      <c r="A79" s="56" t="s">
        <v>1229</v>
      </c>
      <c r="B79" s="63"/>
      <c r="C79" s="61"/>
      <c r="D79" s="61"/>
      <c r="E79" s="60"/>
      <c r="F79" s="61"/>
      <c r="G79" s="60"/>
      <c r="H79" s="61"/>
      <c r="I79" s="61"/>
      <c r="J79" s="60"/>
      <c r="K79" s="60"/>
      <c r="L79" s="60"/>
      <c r="M79" s="61"/>
      <c r="N79" s="63"/>
      <c r="O79" s="61"/>
      <c r="P79" s="63"/>
      <c r="Q79" s="87" t="str">
        <f aca="false">IF(OR(B79="",P79=""),"",P79-B79)</f>
        <v/>
      </c>
      <c r="R79" s="62" t="str">
        <f aca="true">IF(OR(M79&lt;&gt;"Yes",P79&lt;&gt;"",O79="Closed",O79="No Action Required"),"",IF(N79="","Due date missing",IF(N79&lt;TODAY(),"OVERDUE",IF(N79-TODAY()&lt;=2,"Due ≤2d","Open"))))</f>
        <v/>
      </c>
      <c r="S79" s="61"/>
      <c r="T79" s="61"/>
      <c r="U79" s="60"/>
      <c r="V79" s="88" t="str">
        <f aca="false">IF(AND(G79&lt;&gt;"",M79="Yes",P79="",O79&lt;&gt;"Closed",O79&lt;&gt;"No Action Required",O79&lt;&gt;"Responded"),ROW(),"")</f>
        <v/>
      </c>
    </row>
    <row r="80" customFormat="false" ht="15" hidden="false" customHeight="false" outlineLevel="0" collapsed="false">
      <c r="A80" s="56" t="s">
        <v>1230</v>
      </c>
      <c r="B80" s="63"/>
      <c r="C80" s="61"/>
      <c r="D80" s="61"/>
      <c r="E80" s="60"/>
      <c r="F80" s="61"/>
      <c r="G80" s="60"/>
      <c r="H80" s="61"/>
      <c r="I80" s="61"/>
      <c r="J80" s="60"/>
      <c r="K80" s="60"/>
      <c r="L80" s="60"/>
      <c r="M80" s="61"/>
      <c r="N80" s="63"/>
      <c r="O80" s="61"/>
      <c r="P80" s="63"/>
      <c r="Q80" s="87" t="str">
        <f aca="false">IF(OR(B80="",P80=""),"",P80-B80)</f>
        <v/>
      </c>
      <c r="R80" s="62" t="str">
        <f aca="true">IF(OR(M80&lt;&gt;"Yes",P80&lt;&gt;"",O80="Closed",O80="No Action Required"),"",IF(N80="","Due date missing",IF(N80&lt;TODAY(),"OVERDUE",IF(N80-TODAY()&lt;=2,"Due ≤2d","Open"))))</f>
        <v/>
      </c>
      <c r="S80" s="61"/>
      <c r="T80" s="61"/>
      <c r="U80" s="60"/>
      <c r="V80" s="88" t="str">
        <f aca="false">IF(AND(G80&lt;&gt;"",M80="Yes",P80="",O80&lt;&gt;"Closed",O80&lt;&gt;"No Action Required",O80&lt;&gt;"Responded"),ROW(),"")</f>
        <v/>
      </c>
    </row>
    <row r="81" customFormat="false" ht="15" hidden="false" customHeight="false" outlineLevel="0" collapsed="false">
      <c r="A81" s="56" t="s">
        <v>1231</v>
      </c>
      <c r="B81" s="63"/>
      <c r="C81" s="61"/>
      <c r="D81" s="61"/>
      <c r="E81" s="60"/>
      <c r="F81" s="61"/>
      <c r="G81" s="60"/>
      <c r="H81" s="61"/>
      <c r="I81" s="61"/>
      <c r="J81" s="60"/>
      <c r="K81" s="60"/>
      <c r="L81" s="60"/>
      <c r="M81" s="61"/>
      <c r="N81" s="63"/>
      <c r="O81" s="61"/>
      <c r="P81" s="63"/>
      <c r="Q81" s="87" t="str">
        <f aca="false">IF(OR(B81="",P81=""),"",P81-B81)</f>
        <v/>
      </c>
      <c r="R81" s="62" t="str">
        <f aca="true">IF(OR(M81&lt;&gt;"Yes",P81&lt;&gt;"",O81="Closed",O81="No Action Required"),"",IF(N81="","Due date missing",IF(N81&lt;TODAY(),"OVERDUE",IF(N81-TODAY()&lt;=2,"Due ≤2d","Open"))))</f>
        <v/>
      </c>
      <c r="S81" s="61"/>
      <c r="T81" s="61"/>
      <c r="U81" s="60"/>
      <c r="V81" s="88" t="str">
        <f aca="false">IF(AND(G81&lt;&gt;"",M81="Yes",P81="",O81&lt;&gt;"Closed",O81&lt;&gt;"No Action Required",O81&lt;&gt;"Responded"),ROW(),"")</f>
        <v/>
      </c>
    </row>
    <row r="82" customFormat="false" ht="15" hidden="false" customHeight="false" outlineLevel="0" collapsed="false">
      <c r="A82" s="56" t="s">
        <v>1232</v>
      </c>
      <c r="B82" s="63"/>
      <c r="C82" s="61"/>
      <c r="D82" s="61"/>
      <c r="E82" s="60"/>
      <c r="F82" s="61"/>
      <c r="G82" s="60"/>
      <c r="H82" s="61"/>
      <c r="I82" s="61"/>
      <c r="J82" s="60"/>
      <c r="K82" s="60"/>
      <c r="L82" s="60"/>
      <c r="M82" s="61"/>
      <c r="N82" s="63"/>
      <c r="O82" s="61"/>
      <c r="P82" s="63"/>
      <c r="Q82" s="87" t="str">
        <f aca="false">IF(OR(B82="",P82=""),"",P82-B82)</f>
        <v/>
      </c>
      <c r="R82" s="62" t="str">
        <f aca="true">IF(OR(M82&lt;&gt;"Yes",P82&lt;&gt;"",O82="Closed",O82="No Action Required"),"",IF(N82="","Due date missing",IF(N82&lt;TODAY(),"OVERDUE",IF(N82-TODAY()&lt;=2,"Due ≤2d","Open"))))</f>
        <v/>
      </c>
      <c r="S82" s="61"/>
      <c r="T82" s="61"/>
      <c r="U82" s="60"/>
      <c r="V82" s="88" t="str">
        <f aca="false">IF(AND(G82&lt;&gt;"",M82="Yes",P82="",O82&lt;&gt;"Closed",O82&lt;&gt;"No Action Required",O82&lt;&gt;"Responded"),ROW(),"")</f>
        <v/>
      </c>
    </row>
    <row r="83" customFormat="false" ht="15" hidden="false" customHeight="false" outlineLevel="0" collapsed="false">
      <c r="A83" s="56" t="s">
        <v>1233</v>
      </c>
      <c r="B83" s="63"/>
      <c r="C83" s="61"/>
      <c r="D83" s="61"/>
      <c r="E83" s="60"/>
      <c r="F83" s="61"/>
      <c r="G83" s="60"/>
      <c r="H83" s="61"/>
      <c r="I83" s="61"/>
      <c r="J83" s="60"/>
      <c r="K83" s="60"/>
      <c r="L83" s="60"/>
      <c r="M83" s="61"/>
      <c r="N83" s="63"/>
      <c r="O83" s="61"/>
      <c r="P83" s="63"/>
      <c r="Q83" s="87" t="str">
        <f aca="false">IF(OR(B83="",P83=""),"",P83-B83)</f>
        <v/>
      </c>
      <c r="R83" s="62" t="str">
        <f aca="true">IF(OR(M83&lt;&gt;"Yes",P83&lt;&gt;"",O83="Closed",O83="No Action Required"),"",IF(N83="","Due date missing",IF(N83&lt;TODAY(),"OVERDUE",IF(N83-TODAY()&lt;=2,"Due ≤2d","Open"))))</f>
        <v/>
      </c>
      <c r="S83" s="61"/>
      <c r="T83" s="61"/>
      <c r="U83" s="60"/>
      <c r="V83" s="88" t="str">
        <f aca="false">IF(AND(G83&lt;&gt;"",M83="Yes",P83="",O83&lt;&gt;"Closed",O83&lt;&gt;"No Action Required",O83&lt;&gt;"Responded"),ROW(),"")</f>
        <v/>
      </c>
    </row>
    <row r="84" customFormat="false" ht="15" hidden="false" customHeight="false" outlineLevel="0" collapsed="false">
      <c r="A84" s="56" t="s">
        <v>1234</v>
      </c>
      <c r="B84" s="63"/>
      <c r="C84" s="61"/>
      <c r="D84" s="61"/>
      <c r="E84" s="60"/>
      <c r="F84" s="61"/>
      <c r="G84" s="60"/>
      <c r="H84" s="61"/>
      <c r="I84" s="61"/>
      <c r="J84" s="60"/>
      <c r="K84" s="60"/>
      <c r="L84" s="60"/>
      <c r="M84" s="61"/>
      <c r="N84" s="63"/>
      <c r="O84" s="61"/>
      <c r="P84" s="63"/>
      <c r="Q84" s="87" t="str">
        <f aca="false">IF(OR(B84="",P84=""),"",P84-B84)</f>
        <v/>
      </c>
      <c r="R84" s="62" t="str">
        <f aca="true">IF(OR(M84&lt;&gt;"Yes",P84&lt;&gt;"",O84="Closed",O84="No Action Required"),"",IF(N84="","Due date missing",IF(N84&lt;TODAY(),"OVERDUE",IF(N84-TODAY()&lt;=2,"Due ≤2d","Open"))))</f>
        <v/>
      </c>
      <c r="S84" s="61"/>
      <c r="T84" s="61"/>
      <c r="U84" s="60"/>
      <c r="V84" s="88" t="str">
        <f aca="false">IF(AND(G84&lt;&gt;"",M84="Yes",P84="",O84&lt;&gt;"Closed",O84&lt;&gt;"No Action Required",O84&lt;&gt;"Responded"),ROW(),"")</f>
        <v/>
      </c>
    </row>
    <row r="85" customFormat="false" ht="15" hidden="false" customHeight="false" outlineLevel="0" collapsed="false">
      <c r="A85" s="56" t="s">
        <v>1235</v>
      </c>
      <c r="B85" s="63"/>
      <c r="C85" s="61"/>
      <c r="D85" s="61"/>
      <c r="E85" s="60"/>
      <c r="F85" s="61"/>
      <c r="G85" s="60"/>
      <c r="H85" s="61"/>
      <c r="I85" s="61"/>
      <c r="J85" s="60"/>
      <c r="K85" s="60"/>
      <c r="L85" s="60"/>
      <c r="M85" s="61"/>
      <c r="N85" s="63"/>
      <c r="O85" s="61"/>
      <c r="P85" s="63"/>
      <c r="Q85" s="87" t="str">
        <f aca="false">IF(OR(B85="",P85=""),"",P85-B85)</f>
        <v/>
      </c>
      <c r="R85" s="62" t="str">
        <f aca="true">IF(OR(M85&lt;&gt;"Yes",P85&lt;&gt;"",O85="Closed",O85="No Action Required"),"",IF(N85="","Due date missing",IF(N85&lt;TODAY(),"OVERDUE",IF(N85-TODAY()&lt;=2,"Due ≤2d","Open"))))</f>
        <v/>
      </c>
      <c r="S85" s="61"/>
      <c r="T85" s="61"/>
      <c r="U85" s="60"/>
      <c r="V85" s="88" t="str">
        <f aca="false">IF(AND(G85&lt;&gt;"",M85="Yes",P85="",O85&lt;&gt;"Closed",O85&lt;&gt;"No Action Required",O85&lt;&gt;"Responded"),ROW(),"")</f>
        <v/>
      </c>
    </row>
    <row r="86" customFormat="false" ht="15" hidden="false" customHeight="false" outlineLevel="0" collapsed="false">
      <c r="A86" s="56" t="s">
        <v>1236</v>
      </c>
      <c r="B86" s="63"/>
      <c r="C86" s="61"/>
      <c r="D86" s="61"/>
      <c r="E86" s="60"/>
      <c r="F86" s="61"/>
      <c r="G86" s="60"/>
      <c r="H86" s="61"/>
      <c r="I86" s="61"/>
      <c r="J86" s="60"/>
      <c r="K86" s="60"/>
      <c r="L86" s="60"/>
      <c r="M86" s="61"/>
      <c r="N86" s="63"/>
      <c r="O86" s="61"/>
      <c r="P86" s="63"/>
      <c r="Q86" s="87" t="str">
        <f aca="false">IF(OR(B86="",P86=""),"",P86-B86)</f>
        <v/>
      </c>
      <c r="R86" s="62" t="str">
        <f aca="true">IF(OR(M86&lt;&gt;"Yes",P86&lt;&gt;"",O86="Closed",O86="No Action Required"),"",IF(N86="","Due date missing",IF(N86&lt;TODAY(),"OVERDUE",IF(N86-TODAY()&lt;=2,"Due ≤2d","Open"))))</f>
        <v/>
      </c>
      <c r="S86" s="61"/>
      <c r="T86" s="61"/>
      <c r="U86" s="60"/>
      <c r="V86" s="88" t="str">
        <f aca="false">IF(AND(G86&lt;&gt;"",M86="Yes",P86="",O86&lt;&gt;"Closed",O86&lt;&gt;"No Action Required",O86&lt;&gt;"Responded"),ROW(),"")</f>
        <v/>
      </c>
    </row>
    <row r="87" customFormat="false" ht="15" hidden="false" customHeight="false" outlineLevel="0" collapsed="false">
      <c r="A87" s="56" t="s">
        <v>1237</v>
      </c>
      <c r="B87" s="63"/>
      <c r="C87" s="61"/>
      <c r="D87" s="61"/>
      <c r="E87" s="60"/>
      <c r="F87" s="61"/>
      <c r="G87" s="60"/>
      <c r="H87" s="61"/>
      <c r="I87" s="61"/>
      <c r="J87" s="60"/>
      <c r="K87" s="60"/>
      <c r="L87" s="60"/>
      <c r="M87" s="61"/>
      <c r="N87" s="63"/>
      <c r="O87" s="61"/>
      <c r="P87" s="63"/>
      <c r="Q87" s="87" t="str">
        <f aca="false">IF(OR(B87="",P87=""),"",P87-B87)</f>
        <v/>
      </c>
      <c r="R87" s="62" t="str">
        <f aca="true">IF(OR(M87&lt;&gt;"Yes",P87&lt;&gt;"",O87="Closed",O87="No Action Required"),"",IF(N87="","Due date missing",IF(N87&lt;TODAY(),"OVERDUE",IF(N87-TODAY()&lt;=2,"Due ≤2d","Open"))))</f>
        <v/>
      </c>
      <c r="S87" s="61"/>
      <c r="T87" s="61"/>
      <c r="U87" s="60"/>
      <c r="V87" s="88" t="str">
        <f aca="false">IF(AND(G87&lt;&gt;"",M87="Yes",P87="",O87&lt;&gt;"Closed",O87&lt;&gt;"No Action Required",O87&lt;&gt;"Responded"),ROW(),"")</f>
        <v/>
      </c>
    </row>
    <row r="88" customFormat="false" ht="15" hidden="false" customHeight="false" outlineLevel="0" collapsed="false">
      <c r="A88" s="56" t="s">
        <v>1238</v>
      </c>
      <c r="B88" s="63"/>
      <c r="C88" s="61"/>
      <c r="D88" s="61"/>
      <c r="E88" s="60"/>
      <c r="F88" s="61"/>
      <c r="G88" s="60"/>
      <c r="H88" s="61"/>
      <c r="I88" s="61"/>
      <c r="J88" s="60"/>
      <c r="K88" s="60"/>
      <c r="L88" s="60"/>
      <c r="M88" s="61"/>
      <c r="N88" s="63"/>
      <c r="O88" s="61"/>
      <c r="P88" s="63"/>
      <c r="Q88" s="87" t="str">
        <f aca="false">IF(OR(B88="",P88=""),"",P88-B88)</f>
        <v/>
      </c>
      <c r="R88" s="62" t="str">
        <f aca="true">IF(OR(M88&lt;&gt;"Yes",P88&lt;&gt;"",O88="Closed",O88="No Action Required"),"",IF(N88="","Due date missing",IF(N88&lt;TODAY(),"OVERDUE",IF(N88-TODAY()&lt;=2,"Due ≤2d","Open"))))</f>
        <v/>
      </c>
      <c r="S88" s="61"/>
      <c r="T88" s="61"/>
      <c r="U88" s="60"/>
      <c r="V88" s="88" t="str">
        <f aca="false">IF(AND(G88&lt;&gt;"",M88="Yes",P88="",O88&lt;&gt;"Closed",O88&lt;&gt;"No Action Required",O88&lt;&gt;"Responded"),ROW(),"")</f>
        <v/>
      </c>
    </row>
    <row r="89" customFormat="false" ht="15" hidden="false" customHeight="false" outlineLevel="0" collapsed="false">
      <c r="A89" s="56" t="s">
        <v>1239</v>
      </c>
      <c r="B89" s="63"/>
      <c r="C89" s="61"/>
      <c r="D89" s="61"/>
      <c r="E89" s="60"/>
      <c r="F89" s="61"/>
      <c r="G89" s="60"/>
      <c r="H89" s="61"/>
      <c r="I89" s="61"/>
      <c r="J89" s="60"/>
      <c r="K89" s="60"/>
      <c r="L89" s="60"/>
      <c r="M89" s="61"/>
      <c r="N89" s="63"/>
      <c r="O89" s="61"/>
      <c r="P89" s="63"/>
      <c r="Q89" s="87" t="str">
        <f aca="false">IF(OR(B89="",P89=""),"",P89-B89)</f>
        <v/>
      </c>
      <c r="R89" s="62" t="str">
        <f aca="true">IF(OR(M89&lt;&gt;"Yes",P89&lt;&gt;"",O89="Closed",O89="No Action Required"),"",IF(N89="","Due date missing",IF(N89&lt;TODAY(),"OVERDUE",IF(N89-TODAY()&lt;=2,"Due ≤2d","Open"))))</f>
        <v/>
      </c>
      <c r="S89" s="61"/>
      <c r="T89" s="61"/>
      <c r="U89" s="60"/>
      <c r="V89" s="88" t="str">
        <f aca="false">IF(AND(G89&lt;&gt;"",M89="Yes",P89="",O89&lt;&gt;"Closed",O89&lt;&gt;"No Action Required",O89&lt;&gt;"Responded"),ROW(),"")</f>
        <v/>
      </c>
    </row>
    <row r="90" customFormat="false" ht="15" hidden="false" customHeight="false" outlineLevel="0" collapsed="false">
      <c r="A90" s="56" t="s">
        <v>1240</v>
      </c>
      <c r="B90" s="63"/>
      <c r="C90" s="61"/>
      <c r="D90" s="61"/>
      <c r="E90" s="60"/>
      <c r="F90" s="61"/>
      <c r="G90" s="60"/>
      <c r="H90" s="61"/>
      <c r="I90" s="61"/>
      <c r="J90" s="60"/>
      <c r="K90" s="60"/>
      <c r="L90" s="60"/>
      <c r="M90" s="61"/>
      <c r="N90" s="63"/>
      <c r="O90" s="61"/>
      <c r="P90" s="63"/>
      <c r="Q90" s="87" t="str">
        <f aca="false">IF(OR(B90="",P90=""),"",P90-B90)</f>
        <v/>
      </c>
      <c r="R90" s="62" t="str">
        <f aca="true">IF(OR(M90&lt;&gt;"Yes",P90&lt;&gt;"",O90="Closed",O90="No Action Required"),"",IF(N90="","Due date missing",IF(N90&lt;TODAY(),"OVERDUE",IF(N90-TODAY()&lt;=2,"Due ≤2d","Open"))))</f>
        <v/>
      </c>
      <c r="S90" s="61"/>
      <c r="T90" s="61"/>
      <c r="U90" s="60"/>
      <c r="V90" s="88" t="str">
        <f aca="false">IF(AND(G90&lt;&gt;"",M90="Yes",P90="",O90&lt;&gt;"Closed",O90&lt;&gt;"No Action Required",O90&lt;&gt;"Responded"),ROW(),"")</f>
        <v/>
      </c>
    </row>
    <row r="91" customFormat="false" ht="15" hidden="false" customHeight="false" outlineLevel="0" collapsed="false">
      <c r="A91" s="56" t="s">
        <v>1241</v>
      </c>
      <c r="B91" s="63"/>
      <c r="C91" s="61"/>
      <c r="D91" s="61"/>
      <c r="E91" s="60"/>
      <c r="F91" s="61"/>
      <c r="G91" s="60"/>
      <c r="H91" s="61"/>
      <c r="I91" s="61"/>
      <c r="J91" s="60"/>
      <c r="K91" s="60"/>
      <c r="L91" s="60"/>
      <c r="M91" s="61"/>
      <c r="N91" s="63"/>
      <c r="O91" s="61"/>
      <c r="P91" s="63"/>
      <c r="Q91" s="87" t="str">
        <f aca="false">IF(OR(B91="",P91=""),"",P91-B91)</f>
        <v/>
      </c>
      <c r="R91" s="62" t="str">
        <f aca="true">IF(OR(M91&lt;&gt;"Yes",P91&lt;&gt;"",O91="Closed",O91="No Action Required"),"",IF(N91="","Due date missing",IF(N91&lt;TODAY(),"OVERDUE",IF(N91-TODAY()&lt;=2,"Due ≤2d","Open"))))</f>
        <v/>
      </c>
      <c r="S91" s="61"/>
      <c r="T91" s="61"/>
      <c r="U91" s="60"/>
      <c r="V91" s="88" t="str">
        <f aca="false">IF(AND(G91&lt;&gt;"",M91="Yes",P91="",O91&lt;&gt;"Closed",O91&lt;&gt;"No Action Required",O91&lt;&gt;"Responded"),ROW(),"")</f>
        <v/>
      </c>
    </row>
    <row r="92" customFormat="false" ht="15" hidden="false" customHeight="false" outlineLevel="0" collapsed="false">
      <c r="A92" s="56" t="s">
        <v>1242</v>
      </c>
      <c r="B92" s="63"/>
      <c r="C92" s="61"/>
      <c r="D92" s="61"/>
      <c r="E92" s="60"/>
      <c r="F92" s="61"/>
      <c r="G92" s="60"/>
      <c r="H92" s="61"/>
      <c r="I92" s="61"/>
      <c r="J92" s="60"/>
      <c r="K92" s="60"/>
      <c r="L92" s="60"/>
      <c r="M92" s="61"/>
      <c r="N92" s="63"/>
      <c r="O92" s="61"/>
      <c r="P92" s="63"/>
      <c r="Q92" s="87" t="str">
        <f aca="false">IF(OR(B92="",P92=""),"",P92-B92)</f>
        <v/>
      </c>
      <c r="R92" s="62" t="str">
        <f aca="true">IF(OR(M92&lt;&gt;"Yes",P92&lt;&gt;"",O92="Closed",O92="No Action Required"),"",IF(N92="","Due date missing",IF(N92&lt;TODAY(),"OVERDUE",IF(N92-TODAY()&lt;=2,"Due ≤2d","Open"))))</f>
        <v/>
      </c>
      <c r="S92" s="61"/>
      <c r="T92" s="61"/>
      <c r="U92" s="60"/>
      <c r="V92" s="88" t="str">
        <f aca="false">IF(AND(G92&lt;&gt;"",M92="Yes",P92="",O92&lt;&gt;"Closed",O92&lt;&gt;"No Action Required",O92&lt;&gt;"Responded"),ROW(),"")</f>
        <v/>
      </c>
    </row>
    <row r="93" customFormat="false" ht="15" hidden="false" customHeight="false" outlineLevel="0" collapsed="false">
      <c r="A93" s="56" t="s">
        <v>1243</v>
      </c>
      <c r="B93" s="63"/>
      <c r="C93" s="61"/>
      <c r="D93" s="61"/>
      <c r="E93" s="60"/>
      <c r="F93" s="61"/>
      <c r="G93" s="60"/>
      <c r="H93" s="61"/>
      <c r="I93" s="61"/>
      <c r="J93" s="60"/>
      <c r="K93" s="60"/>
      <c r="L93" s="60"/>
      <c r="M93" s="61"/>
      <c r="N93" s="63"/>
      <c r="O93" s="61"/>
      <c r="P93" s="63"/>
      <c r="Q93" s="87" t="str">
        <f aca="false">IF(OR(B93="",P93=""),"",P93-B93)</f>
        <v/>
      </c>
      <c r="R93" s="62" t="str">
        <f aca="true">IF(OR(M93&lt;&gt;"Yes",P93&lt;&gt;"",O93="Closed",O93="No Action Required"),"",IF(N93="","Due date missing",IF(N93&lt;TODAY(),"OVERDUE",IF(N93-TODAY()&lt;=2,"Due ≤2d","Open"))))</f>
        <v/>
      </c>
      <c r="S93" s="61"/>
      <c r="T93" s="61"/>
      <c r="U93" s="60"/>
      <c r="V93" s="88" t="str">
        <f aca="false">IF(AND(G93&lt;&gt;"",M93="Yes",P93="",O93&lt;&gt;"Closed",O93&lt;&gt;"No Action Required",O93&lt;&gt;"Responded"),ROW(),"")</f>
        <v/>
      </c>
    </row>
    <row r="94" customFormat="false" ht="15" hidden="false" customHeight="false" outlineLevel="0" collapsed="false">
      <c r="A94" s="56" t="s">
        <v>1244</v>
      </c>
      <c r="B94" s="63"/>
      <c r="C94" s="61"/>
      <c r="D94" s="61"/>
      <c r="E94" s="60"/>
      <c r="F94" s="61"/>
      <c r="G94" s="60"/>
      <c r="H94" s="61"/>
      <c r="I94" s="61"/>
      <c r="J94" s="60"/>
      <c r="K94" s="60"/>
      <c r="L94" s="60"/>
      <c r="M94" s="61"/>
      <c r="N94" s="63"/>
      <c r="O94" s="61"/>
      <c r="P94" s="63"/>
      <c r="Q94" s="87" t="str">
        <f aca="false">IF(OR(B94="",P94=""),"",P94-B94)</f>
        <v/>
      </c>
      <c r="R94" s="62" t="str">
        <f aca="true">IF(OR(M94&lt;&gt;"Yes",P94&lt;&gt;"",O94="Closed",O94="No Action Required"),"",IF(N94="","Due date missing",IF(N94&lt;TODAY(),"OVERDUE",IF(N94-TODAY()&lt;=2,"Due ≤2d","Open"))))</f>
        <v/>
      </c>
      <c r="S94" s="61"/>
      <c r="T94" s="61"/>
      <c r="U94" s="60"/>
      <c r="V94" s="88" t="str">
        <f aca="false">IF(AND(G94&lt;&gt;"",M94="Yes",P94="",O94&lt;&gt;"Closed",O94&lt;&gt;"No Action Required",O94&lt;&gt;"Responded"),ROW(),"")</f>
        <v/>
      </c>
    </row>
    <row r="95" customFormat="false" ht="15" hidden="false" customHeight="false" outlineLevel="0" collapsed="false">
      <c r="A95" s="56" t="s">
        <v>1245</v>
      </c>
      <c r="B95" s="63"/>
      <c r="C95" s="61"/>
      <c r="D95" s="61"/>
      <c r="E95" s="60"/>
      <c r="F95" s="61"/>
      <c r="G95" s="60"/>
      <c r="H95" s="61"/>
      <c r="I95" s="61"/>
      <c r="J95" s="60"/>
      <c r="K95" s="60"/>
      <c r="L95" s="60"/>
      <c r="M95" s="61"/>
      <c r="N95" s="63"/>
      <c r="O95" s="61"/>
      <c r="P95" s="63"/>
      <c r="Q95" s="87" t="str">
        <f aca="false">IF(OR(B95="",P95=""),"",P95-B95)</f>
        <v/>
      </c>
      <c r="R95" s="62" t="str">
        <f aca="true">IF(OR(M95&lt;&gt;"Yes",P95&lt;&gt;"",O95="Closed",O95="No Action Required"),"",IF(N95="","Due date missing",IF(N95&lt;TODAY(),"OVERDUE",IF(N95-TODAY()&lt;=2,"Due ≤2d","Open"))))</f>
        <v/>
      </c>
      <c r="S95" s="61"/>
      <c r="T95" s="61"/>
      <c r="U95" s="60"/>
      <c r="V95" s="88" t="str">
        <f aca="false">IF(AND(G95&lt;&gt;"",M95="Yes",P95="",O95&lt;&gt;"Closed",O95&lt;&gt;"No Action Required",O95&lt;&gt;"Responded"),ROW(),"")</f>
        <v/>
      </c>
    </row>
    <row r="96" customFormat="false" ht="15" hidden="false" customHeight="false" outlineLevel="0" collapsed="false">
      <c r="A96" s="56" t="s">
        <v>1246</v>
      </c>
      <c r="B96" s="63"/>
      <c r="C96" s="61"/>
      <c r="D96" s="61"/>
      <c r="E96" s="60"/>
      <c r="F96" s="61"/>
      <c r="G96" s="60"/>
      <c r="H96" s="61"/>
      <c r="I96" s="61"/>
      <c r="J96" s="60"/>
      <c r="K96" s="60"/>
      <c r="L96" s="60"/>
      <c r="M96" s="61"/>
      <c r="N96" s="63"/>
      <c r="O96" s="61"/>
      <c r="P96" s="63"/>
      <c r="Q96" s="87" t="str">
        <f aca="false">IF(OR(B96="",P96=""),"",P96-B96)</f>
        <v/>
      </c>
      <c r="R96" s="62" t="str">
        <f aca="true">IF(OR(M96&lt;&gt;"Yes",P96&lt;&gt;"",O96="Closed",O96="No Action Required"),"",IF(N96="","Due date missing",IF(N96&lt;TODAY(),"OVERDUE",IF(N96-TODAY()&lt;=2,"Due ≤2d","Open"))))</f>
        <v/>
      </c>
      <c r="S96" s="61"/>
      <c r="T96" s="61"/>
      <c r="U96" s="60"/>
      <c r="V96" s="88" t="str">
        <f aca="false">IF(AND(G96&lt;&gt;"",M96="Yes",P96="",O96&lt;&gt;"Closed",O96&lt;&gt;"No Action Required",O96&lt;&gt;"Responded"),ROW(),"")</f>
        <v/>
      </c>
    </row>
    <row r="97" customFormat="false" ht="15" hidden="false" customHeight="false" outlineLevel="0" collapsed="false">
      <c r="A97" s="56" t="s">
        <v>1247</v>
      </c>
      <c r="B97" s="63"/>
      <c r="C97" s="61"/>
      <c r="D97" s="61"/>
      <c r="E97" s="60"/>
      <c r="F97" s="61"/>
      <c r="G97" s="60"/>
      <c r="H97" s="61"/>
      <c r="I97" s="61"/>
      <c r="J97" s="60"/>
      <c r="K97" s="60"/>
      <c r="L97" s="60"/>
      <c r="M97" s="61"/>
      <c r="N97" s="63"/>
      <c r="O97" s="61"/>
      <c r="P97" s="63"/>
      <c r="Q97" s="87" t="str">
        <f aca="false">IF(OR(B97="",P97=""),"",P97-B97)</f>
        <v/>
      </c>
      <c r="R97" s="62" t="str">
        <f aca="true">IF(OR(M97&lt;&gt;"Yes",P97&lt;&gt;"",O97="Closed",O97="No Action Required"),"",IF(N97="","Due date missing",IF(N97&lt;TODAY(),"OVERDUE",IF(N97-TODAY()&lt;=2,"Due ≤2d","Open"))))</f>
        <v/>
      </c>
      <c r="S97" s="61"/>
      <c r="T97" s="61"/>
      <c r="U97" s="60"/>
      <c r="V97" s="88" t="str">
        <f aca="false">IF(AND(G97&lt;&gt;"",M97="Yes",P97="",O97&lt;&gt;"Closed",O97&lt;&gt;"No Action Required",O97&lt;&gt;"Responded"),ROW(),"")</f>
        <v/>
      </c>
    </row>
    <row r="98" customFormat="false" ht="15" hidden="false" customHeight="false" outlineLevel="0" collapsed="false">
      <c r="A98" s="56" t="s">
        <v>1248</v>
      </c>
      <c r="B98" s="63"/>
      <c r="C98" s="61"/>
      <c r="D98" s="61"/>
      <c r="E98" s="60"/>
      <c r="F98" s="61"/>
      <c r="G98" s="60"/>
      <c r="H98" s="61"/>
      <c r="I98" s="61"/>
      <c r="J98" s="60"/>
      <c r="K98" s="60"/>
      <c r="L98" s="60"/>
      <c r="M98" s="61"/>
      <c r="N98" s="63"/>
      <c r="O98" s="61"/>
      <c r="P98" s="63"/>
      <c r="Q98" s="87" t="str">
        <f aca="false">IF(OR(B98="",P98=""),"",P98-B98)</f>
        <v/>
      </c>
      <c r="R98" s="62" t="str">
        <f aca="true">IF(OR(M98&lt;&gt;"Yes",P98&lt;&gt;"",O98="Closed",O98="No Action Required"),"",IF(N98="","Due date missing",IF(N98&lt;TODAY(),"OVERDUE",IF(N98-TODAY()&lt;=2,"Due ≤2d","Open"))))</f>
        <v/>
      </c>
      <c r="S98" s="61"/>
      <c r="T98" s="61"/>
      <c r="U98" s="60"/>
      <c r="V98" s="88" t="str">
        <f aca="false">IF(AND(G98&lt;&gt;"",M98="Yes",P98="",O98&lt;&gt;"Closed",O98&lt;&gt;"No Action Required",O98&lt;&gt;"Responded"),ROW(),"")</f>
        <v/>
      </c>
    </row>
    <row r="99" customFormat="false" ht="15" hidden="false" customHeight="false" outlineLevel="0" collapsed="false">
      <c r="A99" s="56" t="s">
        <v>1249</v>
      </c>
      <c r="B99" s="63"/>
      <c r="C99" s="61"/>
      <c r="D99" s="61"/>
      <c r="E99" s="60"/>
      <c r="F99" s="61"/>
      <c r="G99" s="60"/>
      <c r="H99" s="61"/>
      <c r="I99" s="61"/>
      <c r="J99" s="60"/>
      <c r="K99" s="60"/>
      <c r="L99" s="60"/>
      <c r="M99" s="61"/>
      <c r="N99" s="63"/>
      <c r="O99" s="61"/>
      <c r="P99" s="63"/>
      <c r="Q99" s="87" t="str">
        <f aca="false">IF(OR(B99="",P99=""),"",P99-B99)</f>
        <v/>
      </c>
      <c r="R99" s="62" t="str">
        <f aca="true">IF(OR(M99&lt;&gt;"Yes",P99&lt;&gt;"",O99="Closed",O99="No Action Required"),"",IF(N99="","Due date missing",IF(N99&lt;TODAY(),"OVERDUE",IF(N99-TODAY()&lt;=2,"Due ≤2d","Open"))))</f>
        <v/>
      </c>
      <c r="S99" s="61"/>
      <c r="T99" s="61"/>
      <c r="U99" s="60"/>
      <c r="V99" s="88" t="str">
        <f aca="false">IF(AND(G99&lt;&gt;"",M99="Yes",P99="",O99&lt;&gt;"Closed",O99&lt;&gt;"No Action Required",O99&lt;&gt;"Responded"),ROW(),"")</f>
        <v/>
      </c>
    </row>
    <row r="100" customFormat="false" ht="15" hidden="false" customHeight="false" outlineLevel="0" collapsed="false">
      <c r="A100" s="56" t="s">
        <v>1250</v>
      </c>
      <c r="B100" s="63"/>
      <c r="C100" s="61"/>
      <c r="D100" s="61"/>
      <c r="E100" s="60"/>
      <c r="F100" s="61"/>
      <c r="G100" s="60"/>
      <c r="H100" s="61"/>
      <c r="I100" s="61"/>
      <c r="J100" s="60"/>
      <c r="K100" s="60"/>
      <c r="L100" s="60"/>
      <c r="M100" s="61"/>
      <c r="N100" s="63"/>
      <c r="O100" s="61"/>
      <c r="P100" s="63"/>
      <c r="Q100" s="87" t="str">
        <f aca="false">IF(OR(B100="",P100=""),"",P100-B100)</f>
        <v/>
      </c>
      <c r="R100" s="62" t="str">
        <f aca="true">IF(OR(M100&lt;&gt;"Yes",P100&lt;&gt;"",O100="Closed",O100="No Action Required"),"",IF(N100="","Due date missing",IF(N100&lt;TODAY(),"OVERDUE",IF(N100-TODAY()&lt;=2,"Due ≤2d","Open"))))</f>
        <v/>
      </c>
      <c r="S100" s="61"/>
      <c r="T100" s="61"/>
      <c r="U100" s="60"/>
      <c r="V100" s="88" t="str">
        <f aca="false">IF(AND(G100&lt;&gt;"",M100="Yes",P100="",O100&lt;&gt;"Closed",O100&lt;&gt;"No Action Required",O100&lt;&gt;"Responded"),ROW(),"")</f>
        <v/>
      </c>
    </row>
    <row r="101" customFormat="false" ht="15" hidden="false" customHeight="false" outlineLevel="0" collapsed="false">
      <c r="A101" s="56" t="s">
        <v>1251</v>
      </c>
      <c r="B101" s="63"/>
      <c r="C101" s="61"/>
      <c r="D101" s="61"/>
      <c r="E101" s="60"/>
      <c r="F101" s="61"/>
      <c r="G101" s="60"/>
      <c r="H101" s="61"/>
      <c r="I101" s="61"/>
      <c r="J101" s="60"/>
      <c r="K101" s="60"/>
      <c r="L101" s="60"/>
      <c r="M101" s="61"/>
      <c r="N101" s="63"/>
      <c r="O101" s="61"/>
      <c r="P101" s="63"/>
      <c r="Q101" s="87" t="str">
        <f aca="false">IF(OR(B101="",P101=""),"",P101-B101)</f>
        <v/>
      </c>
      <c r="R101" s="62" t="str">
        <f aca="true">IF(OR(M101&lt;&gt;"Yes",P101&lt;&gt;"",O101="Closed",O101="No Action Required"),"",IF(N101="","Due date missing",IF(N101&lt;TODAY(),"OVERDUE",IF(N101-TODAY()&lt;=2,"Due ≤2d","Open"))))</f>
        <v/>
      </c>
      <c r="S101" s="61"/>
      <c r="T101" s="61"/>
      <c r="U101" s="60"/>
      <c r="V101" s="88" t="str">
        <f aca="false">IF(AND(G101&lt;&gt;"",M101="Yes",P101="",O101&lt;&gt;"Closed",O101&lt;&gt;"No Action Required",O101&lt;&gt;"Responded"),ROW(),"")</f>
        <v/>
      </c>
    </row>
    <row r="102" customFormat="false" ht="15" hidden="false" customHeight="false" outlineLevel="0" collapsed="false">
      <c r="A102" s="56" t="s">
        <v>1252</v>
      </c>
      <c r="B102" s="63"/>
      <c r="C102" s="61"/>
      <c r="D102" s="61"/>
      <c r="E102" s="60"/>
      <c r="F102" s="61"/>
      <c r="G102" s="60"/>
      <c r="H102" s="61"/>
      <c r="I102" s="61"/>
      <c r="J102" s="60"/>
      <c r="K102" s="60"/>
      <c r="L102" s="60"/>
      <c r="M102" s="61"/>
      <c r="N102" s="63"/>
      <c r="O102" s="61"/>
      <c r="P102" s="63"/>
      <c r="Q102" s="87" t="str">
        <f aca="false">IF(OR(B102="",P102=""),"",P102-B102)</f>
        <v/>
      </c>
      <c r="R102" s="62" t="str">
        <f aca="true">IF(OR(M102&lt;&gt;"Yes",P102&lt;&gt;"",O102="Closed",O102="No Action Required"),"",IF(N102="","Due date missing",IF(N102&lt;TODAY(),"OVERDUE",IF(N102-TODAY()&lt;=2,"Due ≤2d","Open"))))</f>
        <v/>
      </c>
      <c r="S102" s="61"/>
      <c r="T102" s="61"/>
      <c r="U102" s="60"/>
      <c r="V102" s="88" t="str">
        <f aca="false">IF(AND(G102&lt;&gt;"",M102="Yes",P102="",O102&lt;&gt;"Closed",O102&lt;&gt;"No Action Required",O102&lt;&gt;"Responded"),ROW(),"")</f>
        <v/>
      </c>
    </row>
    <row r="103" customFormat="false" ht="15" hidden="false" customHeight="false" outlineLevel="0" collapsed="false">
      <c r="A103" s="56" t="s">
        <v>1253</v>
      </c>
      <c r="B103" s="63"/>
      <c r="C103" s="61"/>
      <c r="D103" s="61"/>
      <c r="E103" s="60"/>
      <c r="F103" s="61"/>
      <c r="G103" s="60"/>
      <c r="H103" s="61"/>
      <c r="I103" s="61"/>
      <c r="J103" s="60"/>
      <c r="K103" s="60"/>
      <c r="L103" s="60"/>
      <c r="M103" s="61"/>
      <c r="N103" s="63"/>
      <c r="O103" s="61"/>
      <c r="P103" s="63"/>
      <c r="Q103" s="87" t="str">
        <f aca="false">IF(OR(B103="",P103=""),"",P103-B103)</f>
        <v/>
      </c>
      <c r="R103" s="62" t="str">
        <f aca="true">IF(OR(M103&lt;&gt;"Yes",P103&lt;&gt;"",O103="Closed",O103="No Action Required"),"",IF(N103="","Due date missing",IF(N103&lt;TODAY(),"OVERDUE",IF(N103-TODAY()&lt;=2,"Due ≤2d","Open"))))</f>
        <v/>
      </c>
      <c r="S103" s="61"/>
      <c r="T103" s="61"/>
      <c r="U103" s="60"/>
      <c r="V103" s="88" t="str">
        <f aca="false">IF(AND(G103&lt;&gt;"",M103="Yes",P103="",O103&lt;&gt;"Closed",O103&lt;&gt;"No Action Required",O103&lt;&gt;"Responded"),ROW(),"")</f>
        <v/>
      </c>
    </row>
    <row r="104" customFormat="false" ht="15" hidden="false" customHeight="false" outlineLevel="0" collapsed="false">
      <c r="A104" s="56" t="s">
        <v>1254</v>
      </c>
      <c r="B104" s="63"/>
      <c r="C104" s="61"/>
      <c r="D104" s="61"/>
      <c r="E104" s="60"/>
      <c r="F104" s="61"/>
      <c r="G104" s="60"/>
      <c r="H104" s="61"/>
      <c r="I104" s="61"/>
      <c r="J104" s="60"/>
      <c r="K104" s="60"/>
      <c r="L104" s="60"/>
      <c r="M104" s="61"/>
      <c r="N104" s="63"/>
      <c r="O104" s="61"/>
      <c r="P104" s="63"/>
      <c r="Q104" s="87" t="str">
        <f aca="false">IF(OR(B104="",P104=""),"",P104-B104)</f>
        <v/>
      </c>
      <c r="R104" s="62" t="str">
        <f aca="true">IF(OR(M104&lt;&gt;"Yes",P104&lt;&gt;"",O104="Closed",O104="No Action Required"),"",IF(N104="","Due date missing",IF(N104&lt;TODAY(),"OVERDUE",IF(N104-TODAY()&lt;=2,"Due ≤2d","Open"))))</f>
        <v/>
      </c>
      <c r="S104" s="61"/>
      <c r="T104" s="61"/>
      <c r="U104" s="60"/>
      <c r="V104" s="88" t="str">
        <f aca="false">IF(AND(G104&lt;&gt;"",M104="Yes",P104="",O104&lt;&gt;"Closed",O104&lt;&gt;"No Action Required",O104&lt;&gt;"Responded"),ROW(),"")</f>
        <v/>
      </c>
    </row>
    <row r="105" customFormat="false" ht="15" hidden="false" customHeight="false" outlineLevel="0" collapsed="false">
      <c r="A105" s="56" t="s">
        <v>1255</v>
      </c>
      <c r="B105" s="63"/>
      <c r="C105" s="61"/>
      <c r="D105" s="61"/>
      <c r="E105" s="60"/>
      <c r="F105" s="61"/>
      <c r="G105" s="60"/>
      <c r="H105" s="61"/>
      <c r="I105" s="61"/>
      <c r="J105" s="60"/>
      <c r="K105" s="60"/>
      <c r="L105" s="60"/>
      <c r="M105" s="61"/>
      <c r="N105" s="63"/>
      <c r="O105" s="61"/>
      <c r="P105" s="63"/>
      <c r="Q105" s="87" t="str">
        <f aca="false">IF(OR(B105="",P105=""),"",P105-B105)</f>
        <v/>
      </c>
      <c r="R105" s="62" t="str">
        <f aca="true">IF(OR(M105&lt;&gt;"Yes",P105&lt;&gt;"",O105="Closed",O105="No Action Required"),"",IF(N105="","Due date missing",IF(N105&lt;TODAY(),"OVERDUE",IF(N105-TODAY()&lt;=2,"Due ≤2d","Open"))))</f>
        <v/>
      </c>
      <c r="S105" s="61"/>
      <c r="T105" s="61"/>
      <c r="U105" s="60"/>
      <c r="V105" s="88" t="str">
        <f aca="false">IF(AND(G105&lt;&gt;"",M105="Yes",P105="",O105&lt;&gt;"Closed",O105&lt;&gt;"No Action Required",O105&lt;&gt;"Responded"),ROW(),"")</f>
        <v/>
      </c>
    </row>
    <row r="106" customFormat="false" ht="15" hidden="false" customHeight="false" outlineLevel="0" collapsed="false">
      <c r="A106" s="56" t="s">
        <v>1256</v>
      </c>
      <c r="B106" s="63"/>
      <c r="C106" s="61"/>
      <c r="D106" s="61"/>
      <c r="E106" s="60"/>
      <c r="F106" s="61"/>
      <c r="G106" s="60"/>
      <c r="H106" s="61"/>
      <c r="I106" s="61"/>
      <c r="J106" s="60"/>
      <c r="K106" s="60"/>
      <c r="L106" s="60"/>
      <c r="M106" s="61"/>
      <c r="N106" s="63"/>
      <c r="O106" s="61"/>
      <c r="P106" s="63"/>
      <c r="Q106" s="87" t="str">
        <f aca="false">IF(OR(B106="",P106=""),"",P106-B106)</f>
        <v/>
      </c>
      <c r="R106" s="62" t="str">
        <f aca="true">IF(OR(M106&lt;&gt;"Yes",P106&lt;&gt;"",O106="Closed",O106="No Action Required"),"",IF(N106="","Due date missing",IF(N106&lt;TODAY(),"OVERDUE",IF(N106-TODAY()&lt;=2,"Due ≤2d","Open"))))</f>
        <v/>
      </c>
      <c r="S106" s="61"/>
      <c r="T106" s="61"/>
      <c r="U106" s="60"/>
      <c r="V106" s="88" t="str">
        <f aca="false">IF(AND(G106&lt;&gt;"",M106="Yes",P106="",O106&lt;&gt;"Closed",O106&lt;&gt;"No Action Required",O106&lt;&gt;"Responded"),ROW(),"")</f>
        <v/>
      </c>
    </row>
    <row r="107" customFormat="false" ht="15" hidden="false" customHeight="false" outlineLevel="0" collapsed="false">
      <c r="A107" s="56" t="s">
        <v>1257</v>
      </c>
      <c r="B107" s="63"/>
      <c r="C107" s="61"/>
      <c r="D107" s="61"/>
      <c r="E107" s="60"/>
      <c r="F107" s="61"/>
      <c r="G107" s="60"/>
      <c r="H107" s="61"/>
      <c r="I107" s="61"/>
      <c r="J107" s="60"/>
      <c r="K107" s="60"/>
      <c r="L107" s="60"/>
      <c r="M107" s="61"/>
      <c r="N107" s="63"/>
      <c r="O107" s="61"/>
      <c r="P107" s="63"/>
      <c r="Q107" s="87" t="str">
        <f aca="false">IF(OR(B107="",P107=""),"",P107-B107)</f>
        <v/>
      </c>
      <c r="R107" s="62" t="str">
        <f aca="true">IF(OR(M107&lt;&gt;"Yes",P107&lt;&gt;"",O107="Closed",O107="No Action Required"),"",IF(N107="","Due date missing",IF(N107&lt;TODAY(),"OVERDUE",IF(N107-TODAY()&lt;=2,"Due ≤2d","Open"))))</f>
        <v/>
      </c>
      <c r="S107" s="61"/>
      <c r="T107" s="61"/>
      <c r="U107" s="60"/>
      <c r="V107" s="88" t="str">
        <f aca="false">IF(AND(G107&lt;&gt;"",M107="Yes",P107="",O107&lt;&gt;"Closed",O107&lt;&gt;"No Action Required",O107&lt;&gt;"Responded"),ROW(),"")</f>
        <v/>
      </c>
    </row>
    <row r="108" customFormat="false" ht="15" hidden="false" customHeight="false" outlineLevel="0" collapsed="false">
      <c r="A108" s="56" t="s">
        <v>1258</v>
      </c>
      <c r="B108" s="63"/>
      <c r="C108" s="61"/>
      <c r="D108" s="61"/>
      <c r="E108" s="60"/>
      <c r="F108" s="61"/>
      <c r="G108" s="60"/>
      <c r="H108" s="61"/>
      <c r="I108" s="61"/>
      <c r="J108" s="60"/>
      <c r="K108" s="60"/>
      <c r="L108" s="60"/>
      <c r="M108" s="61"/>
      <c r="N108" s="63"/>
      <c r="O108" s="61"/>
      <c r="P108" s="63"/>
      <c r="Q108" s="87" t="str">
        <f aca="false">IF(OR(B108="",P108=""),"",P108-B108)</f>
        <v/>
      </c>
      <c r="R108" s="62" t="str">
        <f aca="true">IF(OR(M108&lt;&gt;"Yes",P108&lt;&gt;"",O108="Closed",O108="No Action Required"),"",IF(N108="","Due date missing",IF(N108&lt;TODAY(),"OVERDUE",IF(N108-TODAY()&lt;=2,"Due ≤2d","Open"))))</f>
        <v/>
      </c>
      <c r="S108" s="61"/>
      <c r="T108" s="61"/>
      <c r="U108" s="60"/>
      <c r="V108" s="88" t="str">
        <f aca="false">IF(AND(G108&lt;&gt;"",M108="Yes",P108="",O108&lt;&gt;"Closed",O108&lt;&gt;"No Action Required",O108&lt;&gt;"Responded"),ROW(),"")</f>
        <v/>
      </c>
    </row>
    <row r="109" customFormat="false" ht="15" hidden="false" customHeight="false" outlineLevel="0" collapsed="false">
      <c r="A109" s="56" t="s">
        <v>1259</v>
      </c>
      <c r="B109" s="63"/>
      <c r="C109" s="61"/>
      <c r="D109" s="61"/>
      <c r="E109" s="60"/>
      <c r="F109" s="61"/>
      <c r="G109" s="60"/>
      <c r="H109" s="61"/>
      <c r="I109" s="61"/>
      <c r="J109" s="60"/>
      <c r="K109" s="60"/>
      <c r="L109" s="60"/>
      <c r="M109" s="61"/>
      <c r="N109" s="63"/>
      <c r="O109" s="61"/>
      <c r="P109" s="63"/>
      <c r="Q109" s="87" t="str">
        <f aca="false">IF(OR(B109="",P109=""),"",P109-B109)</f>
        <v/>
      </c>
      <c r="R109" s="62" t="str">
        <f aca="true">IF(OR(M109&lt;&gt;"Yes",P109&lt;&gt;"",O109="Closed",O109="No Action Required"),"",IF(N109="","Due date missing",IF(N109&lt;TODAY(),"OVERDUE",IF(N109-TODAY()&lt;=2,"Due ≤2d","Open"))))</f>
        <v/>
      </c>
      <c r="S109" s="61"/>
      <c r="T109" s="61"/>
      <c r="U109" s="60"/>
      <c r="V109" s="88" t="str">
        <f aca="false">IF(AND(G109&lt;&gt;"",M109="Yes",P109="",O109&lt;&gt;"Closed",O109&lt;&gt;"No Action Required",O109&lt;&gt;"Responded"),ROW(),"")</f>
        <v/>
      </c>
    </row>
    <row r="110" customFormat="false" ht="15" hidden="false" customHeight="false" outlineLevel="0" collapsed="false">
      <c r="A110" s="56" t="s">
        <v>1260</v>
      </c>
      <c r="B110" s="63"/>
      <c r="C110" s="61"/>
      <c r="D110" s="61"/>
      <c r="E110" s="60"/>
      <c r="F110" s="61"/>
      <c r="G110" s="60"/>
      <c r="H110" s="61"/>
      <c r="I110" s="61"/>
      <c r="J110" s="60"/>
      <c r="K110" s="60"/>
      <c r="L110" s="60"/>
      <c r="M110" s="61"/>
      <c r="N110" s="63"/>
      <c r="O110" s="61"/>
      <c r="P110" s="63"/>
      <c r="Q110" s="87" t="str">
        <f aca="false">IF(OR(B110="",P110=""),"",P110-B110)</f>
        <v/>
      </c>
      <c r="R110" s="62" t="str">
        <f aca="true">IF(OR(M110&lt;&gt;"Yes",P110&lt;&gt;"",O110="Closed",O110="No Action Required"),"",IF(N110="","Due date missing",IF(N110&lt;TODAY(),"OVERDUE",IF(N110-TODAY()&lt;=2,"Due ≤2d","Open"))))</f>
        <v/>
      </c>
      <c r="S110" s="61"/>
      <c r="T110" s="61"/>
      <c r="U110" s="60"/>
      <c r="V110" s="88" t="str">
        <f aca="false">IF(AND(G110&lt;&gt;"",M110="Yes",P110="",O110&lt;&gt;"Closed",O110&lt;&gt;"No Action Required",O110&lt;&gt;"Responded"),ROW(),"")</f>
        <v/>
      </c>
    </row>
    <row r="111" customFormat="false" ht="15" hidden="false" customHeight="false" outlineLevel="0" collapsed="false">
      <c r="A111" s="56" t="s">
        <v>1261</v>
      </c>
      <c r="B111" s="63"/>
      <c r="C111" s="61"/>
      <c r="D111" s="61"/>
      <c r="E111" s="60"/>
      <c r="F111" s="61"/>
      <c r="G111" s="60"/>
      <c r="H111" s="61"/>
      <c r="I111" s="61"/>
      <c r="J111" s="60"/>
      <c r="K111" s="60"/>
      <c r="L111" s="60"/>
      <c r="M111" s="61"/>
      <c r="N111" s="63"/>
      <c r="O111" s="61"/>
      <c r="P111" s="63"/>
      <c r="Q111" s="87" t="str">
        <f aca="false">IF(OR(B111="",P111=""),"",P111-B111)</f>
        <v/>
      </c>
      <c r="R111" s="62" t="str">
        <f aca="true">IF(OR(M111&lt;&gt;"Yes",P111&lt;&gt;"",O111="Closed",O111="No Action Required"),"",IF(N111="","Due date missing",IF(N111&lt;TODAY(),"OVERDUE",IF(N111-TODAY()&lt;=2,"Due ≤2d","Open"))))</f>
        <v/>
      </c>
      <c r="S111" s="61"/>
      <c r="T111" s="61"/>
      <c r="U111" s="60"/>
      <c r="V111" s="88" t="str">
        <f aca="false">IF(AND(G111&lt;&gt;"",M111="Yes",P111="",O111&lt;&gt;"Closed",O111&lt;&gt;"No Action Required",O111&lt;&gt;"Responded"),ROW(),"")</f>
        <v/>
      </c>
    </row>
    <row r="112" customFormat="false" ht="15" hidden="false" customHeight="false" outlineLevel="0" collapsed="false">
      <c r="A112" s="56" t="s">
        <v>1262</v>
      </c>
      <c r="B112" s="63"/>
      <c r="C112" s="61"/>
      <c r="D112" s="61"/>
      <c r="E112" s="60"/>
      <c r="F112" s="61"/>
      <c r="G112" s="60"/>
      <c r="H112" s="61"/>
      <c r="I112" s="61"/>
      <c r="J112" s="60"/>
      <c r="K112" s="60"/>
      <c r="L112" s="60"/>
      <c r="M112" s="61"/>
      <c r="N112" s="63"/>
      <c r="O112" s="61"/>
      <c r="P112" s="63"/>
      <c r="Q112" s="87" t="str">
        <f aca="false">IF(OR(B112="",P112=""),"",P112-B112)</f>
        <v/>
      </c>
      <c r="R112" s="62" t="str">
        <f aca="true">IF(OR(M112&lt;&gt;"Yes",P112&lt;&gt;"",O112="Closed",O112="No Action Required"),"",IF(N112="","Due date missing",IF(N112&lt;TODAY(),"OVERDUE",IF(N112-TODAY()&lt;=2,"Due ≤2d","Open"))))</f>
        <v/>
      </c>
      <c r="S112" s="61"/>
      <c r="T112" s="61"/>
      <c r="U112" s="60"/>
      <c r="V112" s="88" t="str">
        <f aca="false">IF(AND(G112&lt;&gt;"",M112="Yes",P112="",O112&lt;&gt;"Closed",O112&lt;&gt;"No Action Required",O112&lt;&gt;"Responded"),ROW(),"")</f>
        <v/>
      </c>
    </row>
    <row r="113" customFormat="false" ht="15" hidden="false" customHeight="false" outlineLevel="0" collapsed="false">
      <c r="A113" s="56" t="s">
        <v>1263</v>
      </c>
      <c r="B113" s="63"/>
      <c r="C113" s="61"/>
      <c r="D113" s="61"/>
      <c r="E113" s="60"/>
      <c r="F113" s="61"/>
      <c r="G113" s="60"/>
      <c r="H113" s="61"/>
      <c r="I113" s="61"/>
      <c r="J113" s="60"/>
      <c r="K113" s="60"/>
      <c r="L113" s="60"/>
      <c r="M113" s="61"/>
      <c r="N113" s="63"/>
      <c r="O113" s="61"/>
      <c r="P113" s="63"/>
      <c r="Q113" s="87" t="str">
        <f aca="false">IF(OR(B113="",P113=""),"",P113-B113)</f>
        <v/>
      </c>
      <c r="R113" s="62" t="str">
        <f aca="true">IF(OR(M113&lt;&gt;"Yes",P113&lt;&gt;"",O113="Closed",O113="No Action Required"),"",IF(N113="","Due date missing",IF(N113&lt;TODAY(),"OVERDUE",IF(N113-TODAY()&lt;=2,"Due ≤2d","Open"))))</f>
        <v/>
      </c>
      <c r="S113" s="61"/>
      <c r="T113" s="61"/>
      <c r="U113" s="60"/>
      <c r="V113" s="88" t="str">
        <f aca="false">IF(AND(G113&lt;&gt;"",M113="Yes",P113="",O113&lt;&gt;"Closed",O113&lt;&gt;"No Action Required",O113&lt;&gt;"Responded"),ROW(),"")</f>
        <v/>
      </c>
    </row>
    <row r="114" customFormat="false" ht="15" hidden="false" customHeight="false" outlineLevel="0" collapsed="false">
      <c r="A114" s="56" t="s">
        <v>1264</v>
      </c>
      <c r="B114" s="63"/>
      <c r="C114" s="61"/>
      <c r="D114" s="61"/>
      <c r="E114" s="60"/>
      <c r="F114" s="61"/>
      <c r="G114" s="60"/>
      <c r="H114" s="61"/>
      <c r="I114" s="61"/>
      <c r="J114" s="60"/>
      <c r="K114" s="60"/>
      <c r="L114" s="60"/>
      <c r="M114" s="61"/>
      <c r="N114" s="63"/>
      <c r="O114" s="61"/>
      <c r="P114" s="63"/>
      <c r="Q114" s="87" t="str">
        <f aca="false">IF(OR(B114="",P114=""),"",P114-B114)</f>
        <v/>
      </c>
      <c r="R114" s="62" t="str">
        <f aca="true">IF(OR(M114&lt;&gt;"Yes",P114&lt;&gt;"",O114="Closed",O114="No Action Required"),"",IF(N114="","Due date missing",IF(N114&lt;TODAY(),"OVERDUE",IF(N114-TODAY()&lt;=2,"Due ≤2d","Open"))))</f>
        <v/>
      </c>
      <c r="S114" s="61"/>
      <c r="T114" s="61"/>
      <c r="U114" s="60"/>
      <c r="V114" s="88" t="str">
        <f aca="false">IF(AND(G114&lt;&gt;"",M114="Yes",P114="",O114&lt;&gt;"Closed",O114&lt;&gt;"No Action Required",O114&lt;&gt;"Responded"),ROW(),"")</f>
        <v/>
      </c>
    </row>
    <row r="115" customFormat="false" ht="15" hidden="false" customHeight="false" outlineLevel="0" collapsed="false">
      <c r="A115" s="56" t="s">
        <v>1265</v>
      </c>
      <c r="B115" s="63"/>
      <c r="C115" s="61"/>
      <c r="D115" s="61"/>
      <c r="E115" s="60"/>
      <c r="F115" s="61"/>
      <c r="G115" s="60"/>
      <c r="H115" s="61"/>
      <c r="I115" s="61"/>
      <c r="J115" s="60"/>
      <c r="K115" s="60"/>
      <c r="L115" s="60"/>
      <c r="M115" s="61"/>
      <c r="N115" s="63"/>
      <c r="O115" s="61"/>
      <c r="P115" s="63"/>
      <c r="Q115" s="87" t="str">
        <f aca="false">IF(OR(B115="",P115=""),"",P115-B115)</f>
        <v/>
      </c>
      <c r="R115" s="62" t="str">
        <f aca="true">IF(OR(M115&lt;&gt;"Yes",P115&lt;&gt;"",O115="Closed",O115="No Action Required"),"",IF(N115="","Due date missing",IF(N115&lt;TODAY(),"OVERDUE",IF(N115-TODAY()&lt;=2,"Due ≤2d","Open"))))</f>
        <v/>
      </c>
      <c r="S115" s="61"/>
      <c r="T115" s="61"/>
      <c r="U115" s="60"/>
      <c r="V115" s="88" t="str">
        <f aca="false">IF(AND(G115&lt;&gt;"",M115="Yes",P115="",O115&lt;&gt;"Closed",O115&lt;&gt;"No Action Required",O115&lt;&gt;"Responded"),ROW(),"")</f>
        <v/>
      </c>
    </row>
    <row r="116" customFormat="false" ht="15" hidden="false" customHeight="false" outlineLevel="0" collapsed="false">
      <c r="A116" s="56" t="s">
        <v>1266</v>
      </c>
      <c r="B116" s="63"/>
      <c r="C116" s="61"/>
      <c r="D116" s="61"/>
      <c r="E116" s="60"/>
      <c r="F116" s="61"/>
      <c r="G116" s="60"/>
      <c r="H116" s="61"/>
      <c r="I116" s="61"/>
      <c r="J116" s="60"/>
      <c r="K116" s="60"/>
      <c r="L116" s="60"/>
      <c r="M116" s="61"/>
      <c r="N116" s="63"/>
      <c r="O116" s="61"/>
      <c r="P116" s="63"/>
      <c r="Q116" s="87" t="str">
        <f aca="false">IF(OR(B116="",P116=""),"",P116-B116)</f>
        <v/>
      </c>
      <c r="R116" s="62" t="str">
        <f aca="true">IF(OR(M116&lt;&gt;"Yes",P116&lt;&gt;"",O116="Closed",O116="No Action Required"),"",IF(N116="","Due date missing",IF(N116&lt;TODAY(),"OVERDUE",IF(N116-TODAY()&lt;=2,"Due ≤2d","Open"))))</f>
        <v/>
      </c>
      <c r="S116" s="61"/>
      <c r="T116" s="61"/>
      <c r="U116" s="60"/>
      <c r="V116" s="88" t="str">
        <f aca="false">IF(AND(G116&lt;&gt;"",M116="Yes",P116="",O116&lt;&gt;"Closed",O116&lt;&gt;"No Action Required",O116&lt;&gt;"Responded"),ROW(),"")</f>
        <v/>
      </c>
    </row>
    <row r="117" customFormat="false" ht="15" hidden="false" customHeight="false" outlineLevel="0" collapsed="false">
      <c r="A117" s="56" t="s">
        <v>1267</v>
      </c>
      <c r="B117" s="63"/>
      <c r="C117" s="61"/>
      <c r="D117" s="61"/>
      <c r="E117" s="60"/>
      <c r="F117" s="61"/>
      <c r="G117" s="60"/>
      <c r="H117" s="61"/>
      <c r="I117" s="61"/>
      <c r="J117" s="60"/>
      <c r="K117" s="60"/>
      <c r="L117" s="60"/>
      <c r="M117" s="61"/>
      <c r="N117" s="63"/>
      <c r="O117" s="61"/>
      <c r="P117" s="63"/>
      <c r="Q117" s="87" t="str">
        <f aca="false">IF(OR(B117="",P117=""),"",P117-B117)</f>
        <v/>
      </c>
      <c r="R117" s="62" t="str">
        <f aca="true">IF(OR(M117&lt;&gt;"Yes",P117&lt;&gt;"",O117="Closed",O117="No Action Required"),"",IF(N117="","Due date missing",IF(N117&lt;TODAY(),"OVERDUE",IF(N117-TODAY()&lt;=2,"Due ≤2d","Open"))))</f>
        <v/>
      </c>
      <c r="S117" s="61"/>
      <c r="T117" s="61"/>
      <c r="U117" s="60"/>
      <c r="V117" s="88" t="str">
        <f aca="false">IF(AND(G117&lt;&gt;"",M117="Yes",P117="",O117&lt;&gt;"Closed",O117&lt;&gt;"No Action Required",O117&lt;&gt;"Responded"),ROW(),"")</f>
        <v/>
      </c>
    </row>
    <row r="118" customFormat="false" ht="15" hidden="false" customHeight="false" outlineLevel="0" collapsed="false">
      <c r="A118" s="56" t="s">
        <v>1268</v>
      </c>
      <c r="B118" s="63"/>
      <c r="C118" s="61"/>
      <c r="D118" s="61"/>
      <c r="E118" s="60"/>
      <c r="F118" s="61"/>
      <c r="G118" s="60"/>
      <c r="H118" s="61"/>
      <c r="I118" s="61"/>
      <c r="J118" s="60"/>
      <c r="K118" s="60"/>
      <c r="L118" s="60"/>
      <c r="M118" s="61"/>
      <c r="N118" s="63"/>
      <c r="O118" s="61"/>
      <c r="P118" s="63"/>
      <c r="Q118" s="87" t="str">
        <f aca="false">IF(OR(B118="",P118=""),"",P118-B118)</f>
        <v/>
      </c>
      <c r="R118" s="62" t="str">
        <f aca="true">IF(OR(M118&lt;&gt;"Yes",P118&lt;&gt;"",O118="Closed",O118="No Action Required"),"",IF(N118="","Due date missing",IF(N118&lt;TODAY(),"OVERDUE",IF(N118-TODAY()&lt;=2,"Due ≤2d","Open"))))</f>
        <v/>
      </c>
      <c r="S118" s="61"/>
      <c r="T118" s="61"/>
      <c r="U118" s="60"/>
      <c r="V118" s="88" t="str">
        <f aca="false">IF(AND(G118&lt;&gt;"",M118="Yes",P118="",O118&lt;&gt;"Closed",O118&lt;&gt;"No Action Required",O118&lt;&gt;"Responded"),ROW(),"")</f>
        <v/>
      </c>
    </row>
    <row r="119" customFormat="false" ht="15" hidden="false" customHeight="false" outlineLevel="0" collapsed="false">
      <c r="A119" s="56" t="s">
        <v>1269</v>
      </c>
      <c r="B119" s="63"/>
      <c r="C119" s="61"/>
      <c r="D119" s="61"/>
      <c r="E119" s="60"/>
      <c r="F119" s="61"/>
      <c r="G119" s="60"/>
      <c r="H119" s="61"/>
      <c r="I119" s="61"/>
      <c r="J119" s="60"/>
      <c r="K119" s="60"/>
      <c r="L119" s="60"/>
      <c r="M119" s="61"/>
      <c r="N119" s="63"/>
      <c r="O119" s="61"/>
      <c r="P119" s="63"/>
      <c r="Q119" s="87" t="str">
        <f aca="false">IF(OR(B119="",P119=""),"",P119-B119)</f>
        <v/>
      </c>
      <c r="R119" s="62" t="str">
        <f aca="true">IF(OR(M119&lt;&gt;"Yes",P119&lt;&gt;"",O119="Closed",O119="No Action Required"),"",IF(N119="","Due date missing",IF(N119&lt;TODAY(),"OVERDUE",IF(N119-TODAY()&lt;=2,"Due ≤2d","Open"))))</f>
        <v/>
      </c>
      <c r="S119" s="61"/>
      <c r="T119" s="61"/>
      <c r="U119" s="60"/>
      <c r="V119" s="88" t="str">
        <f aca="false">IF(AND(G119&lt;&gt;"",M119="Yes",P119="",O119&lt;&gt;"Closed",O119&lt;&gt;"No Action Required",O119&lt;&gt;"Responded"),ROW(),"")</f>
        <v/>
      </c>
    </row>
    <row r="120" customFormat="false" ht="15" hidden="false" customHeight="false" outlineLevel="0" collapsed="false">
      <c r="A120" s="56" t="s">
        <v>1270</v>
      </c>
      <c r="B120" s="63"/>
      <c r="C120" s="61"/>
      <c r="D120" s="61"/>
      <c r="E120" s="60"/>
      <c r="F120" s="61"/>
      <c r="G120" s="60"/>
      <c r="H120" s="61"/>
      <c r="I120" s="61"/>
      <c r="J120" s="60"/>
      <c r="K120" s="60"/>
      <c r="L120" s="60"/>
      <c r="M120" s="61"/>
      <c r="N120" s="63"/>
      <c r="O120" s="61"/>
      <c r="P120" s="63"/>
      <c r="Q120" s="87" t="str">
        <f aca="false">IF(OR(B120="",P120=""),"",P120-B120)</f>
        <v/>
      </c>
      <c r="R120" s="62" t="str">
        <f aca="true">IF(OR(M120&lt;&gt;"Yes",P120&lt;&gt;"",O120="Closed",O120="No Action Required"),"",IF(N120="","Due date missing",IF(N120&lt;TODAY(),"OVERDUE",IF(N120-TODAY()&lt;=2,"Due ≤2d","Open"))))</f>
        <v/>
      </c>
      <c r="S120" s="61"/>
      <c r="T120" s="61"/>
      <c r="U120" s="60"/>
      <c r="V120" s="88" t="str">
        <f aca="false">IF(AND(G120&lt;&gt;"",M120="Yes",P120="",O120&lt;&gt;"Closed",O120&lt;&gt;"No Action Required",O120&lt;&gt;"Responded"),ROW(),"")</f>
        <v/>
      </c>
    </row>
    <row r="121" customFormat="false" ht="15" hidden="false" customHeight="false" outlineLevel="0" collapsed="false">
      <c r="A121" s="56" t="s">
        <v>1271</v>
      </c>
      <c r="B121" s="63"/>
      <c r="C121" s="61"/>
      <c r="D121" s="61"/>
      <c r="E121" s="60"/>
      <c r="F121" s="61"/>
      <c r="G121" s="60"/>
      <c r="H121" s="61"/>
      <c r="I121" s="61"/>
      <c r="J121" s="60"/>
      <c r="K121" s="60"/>
      <c r="L121" s="60"/>
      <c r="M121" s="61"/>
      <c r="N121" s="63"/>
      <c r="O121" s="61"/>
      <c r="P121" s="63"/>
      <c r="Q121" s="87" t="str">
        <f aca="false">IF(OR(B121="",P121=""),"",P121-B121)</f>
        <v/>
      </c>
      <c r="R121" s="62" t="str">
        <f aca="true">IF(OR(M121&lt;&gt;"Yes",P121&lt;&gt;"",O121="Closed",O121="No Action Required"),"",IF(N121="","Due date missing",IF(N121&lt;TODAY(),"OVERDUE",IF(N121-TODAY()&lt;=2,"Due ≤2d","Open"))))</f>
        <v/>
      </c>
      <c r="S121" s="61"/>
      <c r="T121" s="61"/>
      <c r="U121" s="60"/>
      <c r="V121" s="88" t="str">
        <f aca="false">IF(AND(G121&lt;&gt;"",M121="Yes",P121="",O121&lt;&gt;"Closed",O121&lt;&gt;"No Action Required",O121&lt;&gt;"Responded"),ROW(),"")</f>
        <v/>
      </c>
    </row>
    <row r="122" customFormat="false" ht="15" hidden="false" customHeight="false" outlineLevel="0" collapsed="false">
      <c r="A122" s="56" t="s">
        <v>1272</v>
      </c>
      <c r="B122" s="63"/>
      <c r="C122" s="61"/>
      <c r="D122" s="61"/>
      <c r="E122" s="60"/>
      <c r="F122" s="61"/>
      <c r="G122" s="60"/>
      <c r="H122" s="61"/>
      <c r="I122" s="61"/>
      <c r="J122" s="60"/>
      <c r="K122" s="60"/>
      <c r="L122" s="60"/>
      <c r="M122" s="61"/>
      <c r="N122" s="63"/>
      <c r="O122" s="61"/>
      <c r="P122" s="63"/>
      <c r="Q122" s="87" t="str">
        <f aca="false">IF(OR(B122="",P122=""),"",P122-B122)</f>
        <v/>
      </c>
      <c r="R122" s="62" t="str">
        <f aca="true">IF(OR(M122&lt;&gt;"Yes",P122&lt;&gt;"",O122="Closed",O122="No Action Required"),"",IF(N122="","Due date missing",IF(N122&lt;TODAY(),"OVERDUE",IF(N122-TODAY()&lt;=2,"Due ≤2d","Open"))))</f>
        <v/>
      </c>
      <c r="S122" s="61"/>
      <c r="T122" s="61"/>
      <c r="U122" s="60"/>
      <c r="V122" s="88" t="str">
        <f aca="false">IF(AND(G122&lt;&gt;"",M122="Yes",P122="",O122&lt;&gt;"Closed",O122&lt;&gt;"No Action Required",O122&lt;&gt;"Responded"),ROW(),"")</f>
        <v/>
      </c>
    </row>
    <row r="123" customFormat="false" ht="15" hidden="false" customHeight="false" outlineLevel="0" collapsed="false">
      <c r="A123" s="56" t="s">
        <v>1273</v>
      </c>
      <c r="B123" s="63"/>
      <c r="C123" s="61"/>
      <c r="D123" s="61"/>
      <c r="E123" s="60"/>
      <c r="F123" s="61"/>
      <c r="G123" s="60"/>
      <c r="H123" s="61"/>
      <c r="I123" s="61"/>
      <c r="J123" s="60"/>
      <c r="K123" s="60"/>
      <c r="L123" s="60"/>
      <c r="M123" s="61"/>
      <c r="N123" s="63"/>
      <c r="O123" s="61"/>
      <c r="P123" s="63"/>
      <c r="Q123" s="87" t="str">
        <f aca="false">IF(OR(B123="",P123=""),"",P123-B123)</f>
        <v/>
      </c>
      <c r="R123" s="62" t="str">
        <f aca="true">IF(OR(M123&lt;&gt;"Yes",P123&lt;&gt;"",O123="Closed",O123="No Action Required"),"",IF(N123="","Due date missing",IF(N123&lt;TODAY(),"OVERDUE",IF(N123-TODAY()&lt;=2,"Due ≤2d","Open"))))</f>
        <v/>
      </c>
      <c r="S123" s="61"/>
      <c r="T123" s="61"/>
      <c r="U123" s="60"/>
      <c r="V123" s="88" t="str">
        <f aca="false">IF(AND(G123&lt;&gt;"",M123="Yes",P123="",O123&lt;&gt;"Closed",O123&lt;&gt;"No Action Required",O123&lt;&gt;"Responded"),ROW(),"")</f>
        <v/>
      </c>
    </row>
    <row r="124" customFormat="false" ht="15" hidden="false" customHeight="false" outlineLevel="0" collapsed="false">
      <c r="A124" s="56" t="s">
        <v>1274</v>
      </c>
      <c r="B124" s="63"/>
      <c r="C124" s="61"/>
      <c r="D124" s="61"/>
      <c r="E124" s="60"/>
      <c r="F124" s="61"/>
      <c r="G124" s="60"/>
      <c r="H124" s="61"/>
      <c r="I124" s="61"/>
      <c r="J124" s="60"/>
      <c r="K124" s="60"/>
      <c r="L124" s="60"/>
      <c r="M124" s="61"/>
      <c r="N124" s="63"/>
      <c r="O124" s="61"/>
      <c r="P124" s="63"/>
      <c r="Q124" s="87" t="str">
        <f aca="false">IF(OR(B124="",P124=""),"",P124-B124)</f>
        <v/>
      </c>
      <c r="R124" s="62" t="str">
        <f aca="true">IF(OR(M124&lt;&gt;"Yes",P124&lt;&gt;"",O124="Closed",O124="No Action Required"),"",IF(N124="","Due date missing",IF(N124&lt;TODAY(),"OVERDUE",IF(N124-TODAY()&lt;=2,"Due ≤2d","Open"))))</f>
        <v/>
      </c>
      <c r="S124" s="61"/>
      <c r="T124" s="61"/>
      <c r="U124" s="60"/>
      <c r="V124" s="88" t="str">
        <f aca="false">IF(AND(G124&lt;&gt;"",M124="Yes",P124="",O124&lt;&gt;"Closed",O124&lt;&gt;"No Action Required",O124&lt;&gt;"Responded"),ROW(),"")</f>
        <v/>
      </c>
    </row>
    <row r="125" customFormat="false" ht="15" hidden="false" customHeight="false" outlineLevel="0" collapsed="false">
      <c r="A125" s="56" t="s">
        <v>1275</v>
      </c>
      <c r="B125" s="63"/>
      <c r="C125" s="61"/>
      <c r="D125" s="61"/>
      <c r="E125" s="60"/>
      <c r="F125" s="61"/>
      <c r="G125" s="60"/>
      <c r="H125" s="61"/>
      <c r="I125" s="61"/>
      <c r="J125" s="60"/>
      <c r="K125" s="60"/>
      <c r="L125" s="60"/>
      <c r="M125" s="61"/>
      <c r="N125" s="63"/>
      <c r="O125" s="61"/>
      <c r="P125" s="63"/>
      <c r="Q125" s="87" t="str">
        <f aca="false">IF(OR(B125="",P125=""),"",P125-B125)</f>
        <v/>
      </c>
      <c r="R125" s="62" t="str">
        <f aca="true">IF(OR(M125&lt;&gt;"Yes",P125&lt;&gt;"",O125="Closed",O125="No Action Required"),"",IF(N125="","Due date missing",IF(N125&lt;TODAY(),"OVERDUE",IF(N125-TODAY()&lt;=2,"Due ≤2d","Open"))))</f>
        <v/>
      </c>
      <c r="S125" s="61"/>
      <c r="T125" s="61"/>
      <c r="U125" s="60"/>
      <c r="V125" s="88" t="str">
        <f aca="false">IF(AND(G125&lt;&gt;"",M125="Yes",P125="",O125&lt;&gt;"Closed",O125&lt;&gt;"No Action Required",O125&lt;&gt;"Responded"),ROW(),"")</f>
        <v/>
      </c>
    </row>
    <row r="126" customFormat="false" ht="15" hidden="false" customHeight="false" outlineLevel="0" collapsed="false">
      <c r="A126" s="56" t="s">
        <v>1276</v>
      </c>
      <c r="B126" s="63"/>
      <c r="C126" s="61"/>
      <c r="D126" s="61"/>
      <c r="E126" s="60"/>
      <c r="F126" s="61"/>
      <c r="G126" s="60"/>
      <c r="H126" s="61"/>
      <c r="I126" s="61"/>
      <c r="J126" s="60"/>
      <c r="K126" s="60"/>
      <c r="L126" s="60"/>
      <c r="M126" s="61"/>
      <c r="N126" s="63"/>
      <c r="O126" s="61"/>
      <c r="P126" s="63"/>
      <c r="Q126" s="87" t="str">
        <f aca="false">IF(OR(B126="",P126=""),"",P126-B126)</f>
        <v/>
      </c>
      <c r="R126" s="62" t="str">
        <f aca="true">IF(OR(M126&lt;&gt;"Yes",P126&lt;&gt;"",O126="Closed",O126="No Action Required"),"",IF(N126="","Due date missing",IF(N126&lt;TODAY(),"OVERDUE",IF(N126-TODAY()&lt;=2,"Due ≤2d","Open"))))</f>
        <v/>
      </c>
      <c r="S126" s="61"/>
      <c r="T126" s="61"/>
      <c r="U126" s="60"/>
      <c r="V126" s="88" t="str">
        <f aca="false">IF(AND(G126&lt;&gt;"",M126="Yes",P126="",O126&lt;&gt;"Closed",O126&lt;&gt;"No Action Required",O126&lt;&gt;"Responded"),ROW(),"")</f>
        <v/>
      </c>
    </row>
    <row r="127" customFormat="false" ht="15" hidden="false" customHeight="false" outlineLevel="0" collapsed="false">
      <c r="A127" s="56" t="s">
        <v>1277</v>
      </c>
      <c r="B127" s="63"/>
      <c r="C127" s="61"/>
      <c r="D127" s="61"/>
      <c r="E127" s="60"/>
      <c r="F127" s="61"/>
      <c r="G127" s="60"/>
      <c r="H127" s="61"/>
      <c r="I127" s="61"/>
      <c r="J127" s="60"/>
      <c r="K127" s="60"/>
      <c r="L127" s="60"/>
      <c r="M127" s="61"/>
      <c r="N127" s="63"/>
      <c r="O127" s="61"/>
      <c r="P127" s="63"/>
      <c r="Q127" s="87" t="str">
        <f aca="false">IF(OR(B127="",P127=""),"",P127-B127)</f>
        <v/>
      </c>
      <c r="R127" s="62" t="str">
        <f aca="true">IF(OR(M127&lt;&gt;"Yes",P127&lt;&gt;"",O127="Closed",O127="No Action Required"),"",IF(N127="","Due date missing",IF(N127&lt;TODAY(),"OVERDUE",IF(N127-TODAY()&lt;=2,"Due ≤2d","Open"))))</f>
        <v/>
      </c>
      <c r="S127" s="61"/>
      <c r="T127" s="61"/>
      <c r="U127" s="60"/>
      <c r="V127" s="88" t="str">
        <f aca="false">IF(AND(G127&lt;&gt;"",M127="Yes",P127="",O127&lt;&gt;"Closed",O127&lt;&gt;"No Action Required",O127&lt;&gt;"Responded"),ROW(),"")</f>
        <v/>
      </c>
    </row>
    <row r="128" customFormat="false" ht="15" hidden="false" customHeight="false" outlineLevel="0" collapsed="false">
      <c r="A128" s="56" t="s">
        <v>1278</v>
      </c>
      <c r="B128" s="63"/>
      <c r="C128" s="61"/>
      <c r="D128" s="61"/>
      <c r="E128" s="60"/>
      <c r="F128" s="61"/>
      <c r="G128" s="60"/>
      <c r="H128" s="61"/>
      <c r="I128" s="61"/>
      <c r="J128" s="60"/>
      <c r="K128" s="60"/>
      <c r="L128" s="60"/>
      <c r="M128" s="61"/>
      <c r="N128" s="63"/>
      <c r="O128" s="61"/>
      <c r="P128" s="63"/>
      <c r="Q128" s="87" t="str">
        <f aca="false">IF(OR(B128="",P128=""),"",P128-B128)</f>
        <v/>
      </c>
      <c r="R128" s="62" t="str">
        <f aca="true">IF(OR(M128&lt;&gt;"Yes",P128&lt;&gt;"",O128="Closed",O128="No Action Required"),"",IF(N128="","Due date missing",IF(N128&lt;TODAY(),"OVERDUE",IF(N128-TODAY()&lt;=2,"Due ≤2d","Open"))))</f>
        <v/>
      </c>
      <c r="S128" s="61"/>
      <c r="T128" s="61"/>
      <c r="U128" s="60"/>
      <c r="V128" s="88" t="str">
        <f aca="false">IF(AND(G128&lt;&gt;"",M128="Yes",P128="",O128&lt;&gt;"Closed",O128&lt;&gt;"No Action Required",O128&lt;&gt;"Responded"),ROW(),"")</f>
        <v/>
      </c>
    </row>
    <row r="129" customFormat="false" ht="15" hidden="false" customHeight="false" outlineLevel="0" collapsed="false">
      <c r="A129" s="56" t="s">
        <v>1279</v>
      </c>
      <c r="B129" s="63"/>
      <c r="C129" s="61"/>
      <c r="D129" s="61"/>
      <c r="E129" s="60"/>
      <c r="F129" s="61"/>
      <c r="G129" s="60"/>
      <c r="H129" s="61"/>
      <c r="I129" s="61"/>
      <c r="J129" s="60"/>
      <c r="K129" s="60"/>
      <c r="L129" s="60"/>
      <c r="M129" s="61"/>
      <c r="N129" s="63"/>
      <c r="O129" s="61"/>
      <c r="P129" s="63"/>
      <c r="Q129" s="87" t="str">
        <f aca="false">IF(OR(B129="",P129=""),"",P129-B129)</f>
        <v/>
      </c>
      <c r="R129" s="62" t="str">
        <f aca="true">IF(OR(M129&lt;&gt;"Yes",P129&lt;&gt;"",O129="Closed",O129="No Action Required"),"",IF(N129="","Due date missing",IF(N129&lt;TODAY(),"OVERDUE",IF(N129-TODAY()&lt;=2,"Due ≤2d","Open"))))</f>
        <v/>
      </c>
      <c r="S129" s="61"/>
      <c r="T129" s="61"/>
      <c r="U129" s="60"/>
      <c r="V129" s="88" t="str">
        <f aca="false">IF(AND(G129&lt;&gt;"",M129="Yes",P129="",O129&lt;&gt;"Closed",O129&lt;&gt;"No Action Required",O129&lt;&gt;"Responded"),ROW(),"")</f>
        <v/>
      </c>
    </row>
    <row r="130" customFormat="false" ht="15" hidden="false" customHeight="false" outlineLevel="0" collapsed="false">
      <c r="A130" s="56" t="s">
        <v>1280</v>
      </c>
      <c r="B130" s="63"/>
      <c r="C130" s="61"/>
      <c r="D130" s="61"/>
      <c r="E130" s="60"/>
      <c r="F130" s="61"/>
      <c r="G130" s="60"/>
      <c r="H130" s="61"/>
      <c r="I130" s="61"/>
      <c r="J130" s="60"/>
      <c r="K130" s="60"/>
      <c r="L130" s="60"/>
      <c r="M130" s="61"/>
      <c r="N130" s="63"/>
      <c r="O130" s="61"/>
      <c r="P130" s="63"/>
      <c r="Q130" s="87" t="str">
        <f aca="false">IF(OR(B130="",P130=""),"",P130-B130)</f>
        <v/>
      </c>
      <c r="R130" s="62" t="str">
        <f aca="true">IF(OR(M130&lt;&gt;"Yes",P130&lt;&gt;"",O130="Closed",O130="No Action Required"),"",IF(N130="","Due date missing",IF(N130&lt;TODAY(),"OVERDUE",IF(N130-TODAY()&lt;=2,"Due ≤2d","Open"))))</f>
        <v/>
      </c>
      <c r="S130" s="61"/>
      <c r="T130" s="61"/>
      <c r="U130" s="60"/>
      <c r="V130" s="88" t="str">
        <f aca="false">IF(AND(G130&lt;&gt;"",M130="Yes",P130="",O130&lt;&gt;"Closed",O130&lt;&gt;"No Action Required",O130&lt;&gt;"Responded"),ROW(),"")</f>
        <v/>
      </c>
    </row>
    <row r="131" customFormat="false" ht="15" hidden="false" customHeight="false" outlineLevel="0" collapsed="false">
      <c r="A131" s="56" t="s">
        <v>1281</v>
      </c>
      <c r="B131" s="63"/>
      <c r="C131" s="61"/>
      <c r="D131" s="61"/>
      <c r="E131" s="60"/>
      <c r="F131" s="61"/>
      <c r="G131" s="60"/>
      <c r="H131" s="61"/>
      <c r="I131" s="61"/>
      <c r="J131" s="60"/>
      <c r="K131" s="60"/>
      <c r="L131" s="60"/>
      <c r="M131" s="61"/>
      <c r="N131" s="63"/>
      <c r="O131" s="61"/>
      <c r="P131" s="63"/>
      <c r="Q131" s="87" t="str">
        <f aca="false">IF(OR(B131="",P131=""),"",P131-B131)</f>
        <v/>
      </c>
      <c r="R131" s="62" t="str">
        <f aca="true">IF(OR(M131&lt;&gt;"Yes",P131&lt;&gt;"",O131="Closed",O131="No Action Required"),"",IF(N131="","Due date missing",IF(N131&lt;TODAY(),"OVERDUE",IF(N131-TODAY()&lt;=2,"Due ≤2d","Open"))))</f>
        <v/>
      </c>
      <c r="S131" s="61"/>
      <c r="T131" s="61"/>
      <c r="U131" s="60"/>
      <c r="V131" s="88" t="str">
        <f aca="false">IF(AND(G131&lt;&gt;"",M131="Yes",P131="",O131&lt;&gt;"Closed",O131&lt;&gt;"No Action Required",O131&lt;&gt;"Responded"),ROW(),"")</f>
        <v/>
      </c>
    </row>
    <row r="132" customFormat="false" ht="15" hidden="false" customHeight="false" outlineLevel="0" collapsed="false">
      <c r="A132" s="56" t="s">
        <v>1282</v>
      </c>
      <c r="B132" s="63"/>
      <c r="C132" s="61"/>
      <c r="D132" s="61"/>
      <c r="E132" s="60"/>
      <c r="F132" s="61"/>
      <c r="G132" s="60"/>
      <c r="H132" s="61"/>
      <c r="I132" s="61"/>
      <c r="J132" s="60"/>
      <c r="K132" s="60"/>
      <c r="L132" s="60"/>
      <c r="M132" s="61"/>
      <c r="N132" s="63"/>
      <c r="O132" s="61"/>
      <c r="P132" s="63"/>
      <c r="Q132" s="87" t="str">
        <f aca="false">IF(OR(B132="",P132=""),"",P132-B132)</f>
        <v/>
      </c>
      <c r="R132" s="62" t="str">
        <f aca="true">IF(OR(M132&lt;&gt;"Yes",P132&lt;&gt;"",O132="Closed",O132="No Action Required"),"",IF(N132="","Due date missing",IF(N132&lt;TODAY(),"OVERDUE",IF(N132-TODAY()&lt;=2,"Due ≤2d","Open"))))</f>
        <v/>
      </c>
      <c r="S132" s="61"/>
      <c r="T132" s="61"/>
      <c r="U132" s="60"/>
      <c r="V132" s="88" t="str">
        <f aca="false">IF(AND(G132&lt;&gt;"",M132="Yes",P132="",O132&lt;&gt;"Closed",O132&lt;&gt;"No Action Required",O132&lt;&gt;"Responded"),ROW(),"")</f>
        <v/>
      </c>
    </row>
    <row r="133" customFormat="false" ht="15" hidden="false" customHeight="false" outlineLevel="0" collapsed="false">
      <c r="A133" s="56" t="s">
        <v>1283</v>
      </c>
      <c r="B133" s="63"/>
      <c r="C133" s="61"/>
      <c r="D133" s="61"/>
      <c r="E133" s="60"/>
      <c r="F133" s="61"/>
      <c r="G133" s="60"/>
      <c r="H133" s="61"/>
      <c r="I133" s="61"/>
      <c r="J133" s="60"/>
      <c r="K133" s="60"/>
      <c r="L133" s="60"/>
      <c r="M133" s="61"/>
      <c r="N133" s="63"/>
      <c r="O133" s="61"/>
      <c r="P133" s="63"/>
      <c r="Q133" s="87" t="str">
        <f aca="false">IF(OR(B133="",P133=""),"",P133-B133)</f>
        <v/>
      </c>
      <c r="R133" s="62" t="str">
        <f aca="true">IF(OR(M133&lt;&gt;"Yes",P133&lt;&gt;"",O133="Closed",O133="No Action Required"),"",IF(N133="","Due date missing",IF(N133&lt;TODAY(),"OVERDUE",IF(N133-TODAY()&lt;=2,"Due ≤2d","Open"))))</f>
        <v/>
      </c>
      <c r="S133" s="61"/>
      <c r="T133" s="61"/>
      <c r="U133" s="60"/>
      <c r="V133" s="88" t="str">
        <f aca="false">IF(AND(G133&lt;&gt;"",M133="Yes",P133="",O133&lt;&gt;"Closed",O133&lt;&gt;"No Action Required",O133&lt;&gt;"Responded"),ROW(),"")</f>
        <v/>
      </c>
    </row>
    <row r="134" customFormat="false" ht="15" hidden="false" customHeight="false" outlineLevel="0" collapsed="false">
      <c r="A134" s="56" t="s">
        <v>1284</v>
      </c>
      <c r="B134" s="63"/>
      <c r="C134" s="61"/>
      <c r="D134" s="61"/>
      <c r="E134" s="60"/>
      <c r="F134" s="61"/>
      <c r="G134" s="60"/>
      <c r="H134" s="61"/>
      <c r="I134" s="61"/>
      <c r="J134" s="60"/>
      <c r="K134" s="60"/>
      <c r="L134" s="60"/>
      <c r="M134" s="61"/>
      <c r="N134" s="63"/>
      <c r="O134" s="61"/>
      <c r="P134" s="63"/>
      <c r="Q134" s="87" t="str">
        <f aca="false">IF(OR(B134="",P134=""),"",P134-B134)</f>
        <v/>
      </c>
      <c r="R134" s="62" t="str">
        <f aca="true">IF(OR(M134&lt;&gt;"Yes",P134&lt;&gt;"",O134="Closed",O134="No Action Required"),"",IF(N134="","Due date missing",IF(N134&lt;TODAY(),"OVERDUE",IF(N134-TODAY()&lt;=2,"Due ≤2d","Open"))))</f>
        <v/>
      </c>
      <c r="S134" s="61"/>
      <c r="T134" s="61"/>
      <c r="U134" s="60"/>
      <c r="V134" s="88" t="str">
        <f aca="false">IF(AND(G134&lt;&gt;"",M134="Yes",P134="",O134&lt;&gt;"Closed",O134&lt;&gt;"No Action Required",O134&lt;&gt;"Responded"),ROW(),"")</f>
        <v/>
      </c>
    </row>
    <row r="135" customFormat="false" ht="15" hidden="false" customHeight="false" outlineLevel="0" collapsed="false">
      <c r="A135" s="56" t="s">
        <v>1285</v>
      </c>
      <c r="B135" s="63"/>
      <c r="C135" s="61"/>
      <c r="D135" s="61"/>
      <c r="E135" s="60"/>
      <c r="F135" s="61"/>
      <c r="G135" s="60"/>
      <c r="H135" s="61"/>
      <c r="I135" s="61"/>
      <c r="J135" s="60"/>
      <c r="K135" s="60"/>
      <c r="L135" s="60"/>
      <c r="M135" s="61"/>
      <c r="N135" s="63"/>
      <c r="O135" s="61"/>
      <c r="P135" s="63"/>
      <c r="Q135" s="87" t="str">
        <f aca="false">IF(OR(B135="",P135=""),"",P135-B135)</f>
        <v/>
      </c>
      <c r="R135" s="62" t="str">
        <f aca="true">IF(OR(M135&lt;&gt;"Yes",P135&lt;&gt;"",O135="Closed",O135="No Action Required"),"",IF(N135="","Due date missing",IF(N135&lt;TODAY(),"OVERDUE",IF(N135-TODAY()&lt;=2,"Due ≤2d","Open"))))</f>
        <v/>
      </c>
      <c r="S135" s="61"/>
      <c r="T135" s="61"/>
      <c r="U135" s="60"/>
      <c r="V135" s="88" t="str">
        <f aca="false">IF(AND(G135&lt;&gt;"",M135="Yes",P135="",O135&lt;&gt;"Closed",O135&lt;&gt;"No Action Required",O135&lt;&gt;"Responded"),ROW(),"")</f>
        <v/>
      </c>
    </row>
    <row r="136" customFormat="false" ht="15" hidden="false" customHeight="false" outlineLevel="0" collapsed="false">
      <c r="A136" s="56" t="s">
        <v>1286</v>
      </c>
      <c r="B136" s="63"/>
      <c r="C136" s="61"/>
      <c r="D136" s="61"/>
      <c r="E136" s="60"/>
      <c r="F136" s="61"/>
      <c r="G136" s="60"/>
      <c r="H136" s="61"/>
      <c r="I136" s="61"/>
      <c r="J136" s="60"/>
      <c r="K136" s="60"/>
      <c r="L136" s="60"/>
      <c r="M136" s="61"/>
      <c r="N136" s="63"/>
      <c r="O136" s="61"/>
      <c r="P136" s="63"/>
      <c r="Q136" s="87" t="str">
        <f aca="false">IF(OR(B136="",P136=""),"",P136-B136)</f>
        <v/>
      </c>
      <c r="R136" s="62" t="str">
        <f aca="true">IF(OR(M136&lt;&gt;"Yes",P136&lt;&gt;"",O136="Closed",O136="No Action Required"),"",IF(N136="","Due date missing",IF(N136&lt;TODAY(),"OVERDUE",IF(N136-TODAY()&lt;=2,"Due ≤2d","Open"))))</f>
        <v/>
      </c>
      <c r="S136" s="61"/>
      <c r="T136" s="61"/>
      <c r="U136" s="60"/>
      <c r="V136" s="88" t="str">
        <f aca="false">IF(AND(G136&lt;&gt;"",M136="Yes",P136="",O136&lt;&gt;"Closed",O136&lt;&gt;"No Action Required",O136&lt;&gt;"Responded"),ROW(),"")</f>
        <v/>
      </c>
    </row>
    <row r="137" customFormat="false" ht="15" hidden="false" customHeight="false" outlineLevel="0" collapsed="false">
      <c r="A137" s="56" t="s">
        <v>1287</v>
      </c>
      <c r="B137" s="63"/>
      <c r="C137" s="61"/>
      <c r="D137" s="61"/>
      <c r="E137" s="60"/>
      <c r="F137" s="61"/>
      <c r="G137" s="60"/>
      <c r="H137" s="61"/>
      <c r="I137" s="61"/>
      <c r="J137" s="60"/>
      <c r="K137" s="60"/>
      <c r="L137" s="60"/>
      <c r="M137" s="61"/>
      <c r="N137" s="63"/>
      <c r="O137" s="61"/>
      <c r="P137" s="63"/>
      <c r="Q137" s="87" t="str">
        <f aca="false">IF(OR(B137="",P137=""),"",P137-B137)</f>
        <v/>
      </c>
      <c r="R137" s="62" t="str">
        <f aca="true">IF(OR(M137&lt;&gt;"Yes",P137&lt;&gt;"",O137="Closed",O137="No Action Required"),"",IF(N137="","Due date missing",IF(N137&lt;TODAY(),"OVERDUE",IF(N137-TODAY()&lt;=2,"Due ≤2d","Open"))))</f>
        <v/>
      </c>
      <c r="S137" s="61"/>
      <c r="T137" s="61"/>
      <c r="U137" s="60"/>
      <c r="V137" s="88" t="str">
        <f aca="false">IF(AND(G137&lt;&gt;"",M137="Yes",P137="",O137&lt;&gt;"Closed",O137&lt;&gt;"No Action Required",O137&lt;&gt;"Responded"),ROW(),"")</f>
        <v/>
      </c>
    </row>
    <row r="138" customFormat="false" ht="15" hidden="false" customHeight="false" outlineLevel="0" collapsed="false">
      <c r="A138" s="56" t="s">
        <v>1288</v>
      </c>
      <c r="B138" s="63"/>
      <c r="C138" s="61"/>
      <c r="D138" s="61"/>
      <c r="E138" s="60"/>
      <c r="F138" s="61"/>
      <c r="G138" s="60"/>
      <c r="H138" s="61"/>
      <c r="I138" s="61"/>
      <c r="J138" s="60"/>
      <c r="K138" s="60"/>
      <c r="L138" s="60"/>
      <c r="M138" s="61"/>
      <c r="N138" s="63"/>
      <c r="O138" s="61"/>
      <c r="P138" s="63"/>
      <c r="Q138" s="87" t="str">
        <f aca="false">IF(OR(B138="",P138=""),"",P138-B138)</f>
        <v/>
      </c>
      <c r="R138" s="62" t="str">
        <f aca="true">IF(OR(M138&lt;&gt;"Yes",P138&lt;&gt;"",O138="Closed",O138="No Action Required"),"",IF(N138="","Due date missing",IF(N138&lt;TODAY(),"OVERDUE",IF(N138-TODAY()&lt;=2,"Due ≤2d","Open"))))</f>
        <v/>
      </c>
      <c r="S138" s="61"/>
      <c r="T138" s="61"/>
      <c r="U138" s="60"/>
      <c r="V138" s="88" t="str">
        <f aca="false">IF(AND(G138&lt;&gt;"",M138="Yes",P138="",O138&lt;&gt;"Closed",O138&lt;&gt;"No Action Required",O138&lt;&gt;"Responded"),ROW(),"")</f>
        <v/>
      </c>
    </row>
    <row r="139" customFormat="false" ht="15" hidden="false" customHeight="false" outlineLevel="0" collapsed="false">
      <c r="A139" s="56" t="s">
        <v>1289</v>
      </c>
      <c r="B139" s="63"/>
      <c r="C139" s="61"/>
      <c r="D139" s="61"/>
      <c r="E139" s="60"/>
      <c r="F139" s="61"/>
      <c r="G139" s="60"/>
      <c r="H139" s="61"/>
      <c r="I139" s="61"/>
      <c r="J139" s="60"/>
      <c r="K139" s="60"/>
      <c r="L139" s="60"/>
      <c r="M139" s="61"/>
      <c r="N139" s="63"/>
      <c r="O139" s="61"/>
      <c r="P139" s="63"/>
      <c r="Q139" s="87" t="str">
        <f aca="false">IF(OR(B139="",P139=""),"",P139-B139)</f>
        <v/>
      </c>
      <c r="R139" s="62" t="str">
        <f aca="true">IF(OR(M139&lt;&gt;"Yes",P139&lt;&gt;"",O139="Closed",O139="No Action Required"),"",IF(N139="","Due date missing",IF(N139&lt;TODAY(),"OVERDUE",IF(N139-TODAY()&lt;=2,"Due ≤2d","Open"))))</f>
        <v/>
      </c>
      <c r="S139" s="61"/>
      <c r="T139" s="61"/>
      <c r="U139" s="60"/>
      <c r="V139" s="88" t="str">
        <f aca="false">IF(AND(G139&lt;&gt;"",M139="Yes",P139="",O139&lt;&gt;"Closed",O139&lt;&gt;"No Action Required",O139&lt;&gt;"Responded"),ROW(),"")</f>
        <v/>
      </c>
    </row>
    <row r="140" customFormat="false" ht="15" hidden="false" customHeight="false" outlineLevel="0" collapsed="false">
      <c r="A140" s="56" t="s">
        <v>1290</v>
      </c>
      <c r="B140" s="63"/>
      <c r="C140" s="61"/>
      <c r="D140" s="61"/>
      <c r="E140" s="60"/>
      <c r="F140" s="61"/>
      <c r="G140" s="60"/>
      <c r="H140" s="61"/>
      <c r="I140" s="61"/>
      <c r="J140" s="60"/>
      <c r="K140" s="60"/>
      <c r="L140" s="60"/>
      <c r="M140" s="61"/>
      <c r="N140" s="63"/>
      <c r="O140" s="61"/>
      <c r="P140" s="63"/>
      <c r="Q140" s="87" t="str">
        <f aca="false">IF(OR(B140="",P140=""),"",P140-B140)</f>
        <v/>
      </c>
      <c r="R140" s="62" t="str">
        <f aca="true">IF(OR(M140&lt;&gt;"Yes",P140&lt;&gt;"",O140="Closed",O140="No Action Required"),"",IF(N140="","Due date missing",IF(N140&lt;TODAY(),"OVERDUE",IF(N140-TODAY()&lt;=2,"Due ≤2d","Open"))))</f>
        <v/>
      </c>
      <c r="S140" s="61"/>
      <c r="T140" s="61"/>
      <c r="U140" s="60"/>
      <c r="V140" s="88" t="str">
        <f aca="false">IF(AND(G140&lt;&gt;"",M140="Yes",P140="",O140&lt;&gt;"Closed",O140&lt;&gt;"No Action Required",O140&lt;&gt;"Responded"),ROW(),"")</f>
        <v/>
      </c>
    </row>
    <row r="141" customFormat="false" ht="15" hidden="false" customHeight="false" outlineLevel="0" collapsed="false">
      <c r="A141" s="56" t="s">
        <v>1291</v>
      </c>
      <c r="B141" s="63"/>
      <c r="C141" s="61"/>
      <c r="D141" s="61"/>
      <c r="E141" s="60"/>
      <c r="F141" s="61"/>
      <c r="G141" s="60"/>
      <c r="H141" s="61"/>
      <c r="I141" s="61"/>
      <c r="J141" s="60"/>
      <c r="K141" s="60"/>
      <c r="L141" s="60"/>
      <c r="M141" s="61"/>
      <c r="N141" s="63"/>
      <c r="O141" s="61"/>
      <c r="P141" s="63"/>
      <c r="Q141" s="87" t="str">
        <f aca="false">IF(OR(B141="",P141=""),"",P141-B141)</f>
        <v/>
      </c>
      <c r="R141" s="62" t="str">
        <f aca="true">IF(OR(M141&lt;&gt;"Yes",P141&lt;&gt;"",O141="Closed",O141="No Action Required"),"",IF(N141="","Due date missing",IF(N141&lt;TODAY(),"OVERDUE",IF(N141-TODAY()&lt;=2,"Due ≤2d","Open"))))</f>
        <v/>
      </c>
      <c r="S141" s="61"/>
      <c r="T141" s="61"/>
      <c r="U141" s="60"/>
      <c r="V141" s="88" t="str">
        <f aca="false">IF(AND(G141&lt;&gt;"",M141="Yes",P141="",O141&lt;&gt;"Closed",O141&lt;&gt;"No Action Required",O141&lt;&gt;"Responded"),ROW(),"")</f>
        <v/>
      </c>
    </row>
    <row r="142" customFormat="false" ht="15" hidden="false" customHeight="false" outlineLevel="0" collapsed="false">
      <c r="A142" s="56" t="s">
        <v>1292</v>
      </c>
      <c r="B142" s="63"/>
      <c r="C142" s="61"/>
      <c r="D142" s="61"/>
      <c r="E142" s="60"/>
      <c r="F142" s="61"/>
      <c r="G142" s="60"/>
      <c r="H142" s="61"/>
      <c r="I142" s="61"/>
      <c r="J142" s="60"/>
      <c r="K142" s="60"/>
      <c r="L142" s="60"/>
      <c r="M142" s="61"/>
      <c r="N142" s="63"/>
      <c r="O142" s="61"/>
      <c r="P142" s="63"/>
      <c r="Q142" s="87" t="str">
        <f aca="false">IF(OR(B142="",P142=""),"",P142-B142)</f>
        <v/>
      </c>
      <c r="R142" s="62" t="str">
        <f aca="true">IF(OR(M142&lt;&gt;"Yes",P142&lt;&gt;"",O142="Closed",O142="No Action Required"),"",IF(N142="","Due date missing",IF(N142&lt;TODAY(),"OVERDUE",IF(N142-TODAY()&lt;=2,"Due ≤2d","Open"))))</f>
        <v/>
      </c>
      <c r="S142" s="61"/>
      <c r="T142" s="61"/>
      <c r="U142" s="60"/>
      <c r="V142" s="88" t="str">
        <f aca="false">IF(AND(G142&lt;&gt;"",M142="Yes",P142="",O142&lt;&gt;"Closed",O142&lt;&gt;"No Action Required",O142&lt;&gt;"Responded"),ROW(),"")</f>
        <v/>
      </c>
    </row>
    <row r="143" customFormat="false" ht="15" hidden="false" customHeight="false" outlineLevel="0" collapsed="false">
      <c r="A143" s="56" t="s">
        <v>1293</v>
      </c>
      <c r="B143" s="63"/>
      <c r="C143" s="61"/>
      <c r="D143" s="61"/>
      <c r="E143" s="60"/>
      <c r="F143" s="61"/>
      <c r="G143" s="60"/>
      <c r="H143" s="61"/>
      <c r="I143" s="61"/>
      <c r="J143" s="60"/>
      <c r="K143" s="60"/>
      <c r="L143" s="60"/>
      <c r="M143" s="61"/>
      <c r="N143" s="63"/>
      <c r="O143" s="61"/>
      <c r="P143" s="63"/>
      <c r="Q143" s="87" t="str">
        <f aca="false">IF(OR(B143="",P143=""),"",P143-B143)</f>
        <v/>
      </c>
      <c r="R143" s="62" t="str">
        <f aca="true">IF(OR(M143&lt;&gt;"Yes",P143&lt;&gt;"",O143="Closed",O143="No Action Required"),"",IF(N143="","Due date missing",IF(N143&lt;TODAY(),"OVERDUE",IF(N143-TODAY()&lt;=2,"Due ≤2d","Open"))))</f>
        <v/>
      </c>
      <c r="S143" s="61"/>
      <c r="T143" s="61"/>
      <c r="U143" s="60"/>
      <c r="V143" s="88" t="str">
        <f aca="false">IF(AND(G143&lt;&gt;"",M143="Yes",P143="",O143&lt;&gt;"Closed",O143&lt;&gt;"No Action Required",O143&lt;&gt;"Responded"),ROW(),"")</f>
        <v/>
      </c>
    </row>
    <row r="144" customFormat="false" ht="15" hidden="false" customHeight="false" outlineLevel="0" collapsed="false">
      <c r="A144" s="56" t="s">
        <v>1294</v>
      </c>
      <c r="B144" s="63"/>
      <c r="C144" s="61"/>
      <c r="D144" s="61"/>
      <c r="E144" s="60"/>
      <c r="F144" s="61"/>
      <c r="G144" s="60"/>
      <c r="H144" s="61"/>
      <c r="I144" s="61"/>
      <c r="J144" s="60"/>
      <c r="K144" s="60"/>
      <c r="L144" s="60"/>
      <c r="M144" s="61"/>
      <c r="N144" s="63"/>
      <c r="O144" s="61"/>
      <c r="P144" s="63"/>
      <c r="Q144" s="87" t="str">
        <f aca="false">IF(OR(B144="",P144=""),"",P144-B144)</f>
        <v/>
      </c>
      <c r="R144" s="62" t="str">
        <f aca="true">IF(OR(M144&lt;&gt;"Yes",P144&lt;&gt;"",O144="Closed",O144="No Action Required"),"",IF(N144="","Due date missing",IF(N144&lt;TODAY(),"OVERDUE",IF(N144-TODAY()&lt;=2,"Due ≤2d","Open"))))</f>
        <v/>
      </c>
      <c r="S144" s="61"/>
      <c r="T144" s="61"/>
      <c r="U144" s="60"/>
      <c r="V144" s="88" t="str">
        <f aca="false">IF(AND(G144&lt;&gt;"",M144="Yes",P144="",O144&lt;&gt;"Closed",O144&lt;&gt;"No Action Required",O144&lt;&gt;"Responded"),ROW(),"")</f>
        <v/>
      </c>
    </row>
    <row r="145" customFormat="false" ht="15" hidden="false" customHeight="false" outlineLevel="0" collapsed="false">
      <c r="A145" s="56" t="s">
        <v>1295</v>
      </c>
      <c r="B145" s="63"/>
      <c r="C145" s="61"/>
      <c r="D145" s="61"/>
      <c r="E145" s="60"/>
      <c r="F145" s="61"/>
      <c r="G145" s="60"/>
      <c r="H145" s="61"/>
      <c r="I145" s="61"/>
      <c r="J145" s="60"/>
      <c r="K145" s="60"/>
      <c r="L145" s="60"/>
      <c r="M145" s="61"/>
      <c r="N145" s="63"/>
      <c r="O145" s="61"/>
      <c r="P145" s="63"/>
      <c r="Q145" s="87" t="str">
        <f aca="false">IF(OR(B145="",P145=""),"",P145-B145)</f>
        <v/>
      </c>
      <c r="R145" s="62" t="str">
        <f aca="true">IF(OR(M145&lt;&gt;"Yes",P145&lt;&gt;"",O145="Closed",O145="No Action Required"),"",IF(N145="","Due date missing",IF(N145&lt;TODAY(),"OVERDUE",IF(N145-TODAY()&lt;=2,"Due ≤2d","Open"))))</f>
        <v/>
      </c>
      <c r="S145" s="61"/>
      <c r="T145" s="61"/>
      <c r="U145" s="60"/>
      <c r="V145" s="88" t="str">
        <f aca="false">IF(AND(G145&lt;&gt;"",M145="Yes",P145="",O145&lt;&gt;"Closed",O145&lt;&gt;"No Action Required",O145&lt;&gt;"Responded"),ROW(),"")</f>
        <v/>
      </c>
    </row>
    <row r="146" customFormat="false" ht="15" hidden="false" customHeight="false" outlineLevel="0" collapsed="false">
      <c r="A146" s="56" t="s">
        <v>1296</v>
      </c>
      <c r="B146" s="63"/>
      <c r="C146" s="61"/>
      <c r="D146" s="61"/>
      <c r="E146" s="60"/>
      <c r="F146" s="61"/>
      <c r="G146" s="60"/>
      <c r="H146" s="61"/>
      <c r="I146" s="61"/>
      <c r="J146" s="60"/>
      <c r="K146" s="60"/>
      <c r="L146" s="60"/>
      <c r="M146" s="61"/>
      <c r="N146" s="63"/>
      <c r="O146" s="61"/>
      <c r="P146" s="63"/>
      <c r="Q146" s="87" t="str">
        <f aca="false">IF(OR(B146="",P146=""),"",P146-B146)</f>
        <v/>
      </c>
      <c r="R146" s="62" t="str">
        <f aca="true">IF(OR(M146&lt;&gt;"Yes",P146&lt;&gt;"",O146="Closed",O146="No Action Required"),"",IF(N146="","Due date missing",IF(N146&lt;TODAY(),"OVERDUE",IF(N146-TODAY()&lt;=2,"Due ≤2d","Open"))))</f>
        <v/>
      </c>
      <c r="S146" s="61"/>
      <c r="T146" s="61"/>
      <c r="U146" s="60"/>
      <c r="V146" s="88" t="str">
        <f aca="false">IF(AND(G146&lt;&gt;"",M146="Yes",P146="",O146&lt;&gt;"Closed",O146&lt;&gt;"No Action Required",O146&lt;&gt;"Responded"),ROW(),"")</f>
        <v/>
      </c>
    </row>
    <row r="147" customFormat="false" ht="15" hidden="false" customHeight="false" outlineLevel="0" collapsed="false">
      <c r="A147" s="56" t="s">
        <v>1297</v>
      </c>
      <c r="B147" s="63"/>
      <c r="C147" s="61"/>
      <c r="D147" s="61"/>
      <c r="E147" s="60"/>
      <c r="F147" s="61"/>
      <c r="G147" s="60"/>
      <c r="H147" s="61"/>
      <c r="I147" s="61"/>
      <c r="J147" s="60"/>
      <c r="K147" s="60"/>
      <c r="L147" s="60"/>
      <c r="M147" s="61"/>
      <c r="N147" s="63"/>
      <c r="O147" s="61"/>
      <c r="P147" s="63"/>
      <c r="Q147" s="87" t="str">
        <f aca="false">IF(OR(B147="",P147=""),"",P147-B147)</f>
        <v/>
      </c>
      <c r="R147" s="62" t="str">
        <f aca="true">IF(OR(M147&lt;&gt;"Yes",P147&lt;&gt;"",O147="Closed",O147="No Action Required"),"",IF(N147="","Due date missing",IF(N147&lt;TODAY(),"OVERDUE",IF(N147-TODAY()&lt;=2,"Due ≤2d","Open"))))</f>
        <v/>
      </c>
      <c r="S147" s="61"/>
      <c r="T147" s="61"/>
      <c r="U147" s="60"/>
      <c r="V147" s="88" t="str">
        <f aca="false">IF(AND(G147&lt;&gt;"",M147="Yes",P147="",O147&lt;&gt;"Closed",O147&lt;&gt;"No Action Required",O147&lt;&gt;"Responded"),ROW(),"")</f>
        <v/>
      </c>
    </row>
    <row r="148" customFormat="false" ht="15" hidden="false" customHeight="false" outlineLevel="0" collapsed="false">
      <c r="A148" s="56" t="s">
        <v>1298</v>
      </c>
      <c r="B148" s="63"/>
      <c r="C148" s="61"/>
      <c r="D148" s="61"/>
      <c r="E148" s="60"/>
      <c r="F148" s="61"/>
      <c r="G148" s="60"/>
      <c r="H148" s="61"/>
      <c r="I148" s="61"/>
      <c r="J148" s="60"/>
      <c r="K148" s="60"/>
      <c r="L148" s="60"/>
      <c r="M148" s="61"/>
      <c r="N148" s="63"/>
      <c r="O148" s="61"/>
      <c r="P148" s="63"/>
      <c r="Q148" s="87" t="str">
        <f aca="false">IF(OR(B148="",P148=""),"",P148-B148)</f>
        <v/>
      </c>
      <c r="R148" s="62" t="str">
        <f aca="true">IF(OR(M148&lt;&gt;"Yes",P148&lt;&gt;"",O148="Closed",O148="No Action Required"),"",IF(N148="","Due date missing",IF(N148&lt;TODAY(),"OVERDUE",IF(N148-TODAY()&lt;=2,"Due ≤2d","Open"))))</f>
        <v/>
      </c>
      <c r="S148" s="61"/>
      <c r="T148" s="61"/>
      <c r="U148" s="60"/>
      <c r="V148" s="88" t="str">
        <f aca="false">IF(AND(G148&lt;&gt;"",M148="Yes",P148="",O148&lt;&gt;"Closed",O148&lt;&gt;"No Action Required",O148&lt;&gt;"Responded"),ROW(),"")</f>
        <v/>
      </c>
    </row>
    <row r="149" customFormat="false" ht="15" hidden="false" customHeight="false" outlineLevel="0" collapsed="false">
      <c r="A149" s="56" t="s">
        <v>1299</v>
      </c>
      <c r="B149" s="63"/>
      <c r="C149" s="61"/>
      <c r="D149" s="61"/>
      <c r="E149" s="60"/>
      <c r="F149" s="61"/>
      <c r="G149" s="60"/>
      <c r="H149" s="61"/>
      <c r="I149" s="61"/>
      <c r="J149" s="60"/>
      <c r="K149" s="60"/>
      <c r="L149" s="60"/>
      <c r="M149" s="61"/>
      <c r="N149" s="63"/>
      <c r="O149" s="61"/>
      <c r="P149" s="63"/>
      <c r="Q149" s="87" t="str">
        <f aca="false">IF(OR(B149="",P149=""),"",P149-B149)</f>
        <v/>
      </c>
      <c r="R149" s="62" t="str">
        <f aca="true">IF(OR(M149&lt;&gt;"Yes",P149&lt;&gt;"",O149="Closed",O149="No Action Required"),"",IF(N149="","Due date missing",IF(N149&lt;TODAY(),"OVERDUE",IF(N149-TODAY()&lt;=2,"Due ≤2d","Open"))))</f>
        <v/>
      </c>
      <c r="S149" s="61"/>
      <c r="T149" s="61"/>
      <c r="U149" s="60"/>
      <c r="V149" s="88" t="str">
        <f aca="false">IF(AND(G149&lt;&gt;"",M149="Yes",P149="",O149&lt;&gt;"Closed",O149&lt;&gt;"No Action Required",O149&lt;&gt;"Responded"),ROW(),"")</f>
        <v/>
      </c>
    </row>
    <row r="150" customFormat="false" ht="15" hidden="false" customHeight="false" outlineLevel="0" collapsed="false">
      <c r="A150" s="56" t="s">
        <v>1300</v>
      </c>
      <c r="B150" s="63"/>
      <c r="C150" s="61"/>
      <c r="D150" s="61"/>
      <c r="E150" s="60"/>
      <c r="F150" s="61"/>
      <c r="G150" s="60"/>
      <c r="H150" s="61"/>
      <c r="I150" s="61"/>
      <c r="J150" s="60"/>
      <c r="K150" s="60"/>
      <c r="L150" s="60"/>
      <c r="M150" s="61"/>
      <c r="N150" s="63"/>
      <c r="O150" s="61"/>
      <c r="P150" s="63"/>
      <c r="Q150" s="87" t="str">
        <f aca="false">IF(OR(B150="",P150=""),"",P150-B150)</f>
        <v/>
      </c>
      <c r="R150" s="62" t="str">
        <f aca="true">IF(OR(M150&lt;&gt;"Yes",P150&lt;&gt;"",O150="Closed",O150="No Action Required"),"",IF(N150="","Due date missing",IF(N150&lt;TODAY(),"OVERDUE",IF(N150-TODAY()&lt;=2,"Due ≤2d","Open"))))</f>
        <v/>
      </c>
      <c r="S150" s="61"/>
      <c r="T150" s="61"/>
      <c r="U150" s="60"/>
      <c r="V150" s="88" t="str">
        <f aca="false">IF(AND(G150&lt;&gt;"",M150="Yes",P150="",O150&lt;&gt;"Closed",O150&lt;&gt;"No Action Required",O150&lt;&gt;"Responded"),ROW(),"")</f>
        <v/>
      </c>
    </row>
    <row r="151" customFormat="false" ht="15" hidden="false" customHeight="false" outlineLevel="0" collapsed="false">
      <c r="A151" s="56" t="s">
        <v>1301</v>
      </c>
      <c r="B151" s="63"/>
      <c r="C151" s="61"/>
      <c r="D151" s="61"/>
      <c r="E151" s="60"/>
      <c r="F151" s="61"/>
      <c r="G151" s="60"/>
      <c r="H151" s="61"/>
      <c r="I151" s="61"/>
      <c r="J151" s="60"/>
      <c r="K151" s="60"/>
      <c r="L151" s="60"/>
      <c r="M151" s="61"/>
      <c r="N151" s="63"/>
      <c r="O151" s="61"/>
      <c r="P151" s="63"/>
      <c r="Q151" s="87" t="str">
        <f aca="false">IF(OR(B151="",P151=""),"",P151-B151)</f>
        <v/>
      </c>
      <c r="R151" s="62" t="str">
        <f aca="true">IF(OR(M151&lt;&gt;"Yes",P151&lt;&gt;"",O151="Closed",O151="No Action Required"),"",IF(N151="","Due date missing",IF(N151&lt;TODAY(),"OVERDUE",IF(N151-TODAY()&lt;=2,"Due ≤2d","Open"))))</f>
        <v/>
      </c>
      <c r="S151" s="61"/>
      <c r="T151" s="61"/>
      <c r="U151" s="60"/>
      <c r="V151" s="88" t="str">
        <f aca="false">IF(AND(G151&lt;&gt;"",M151="Yes",P151="",O151&lt;&gt;"Closed",O151&lt;&gt;"No Action Required",O151&lt;&gt;"Responded"),ROW(),"")</f>
        <v/>
      </c>
    </row>
    <row r="152" customFormat="false" ht="15" hidden="false" customHeight="false" outlineLevel="0" collapsed="false">
      <c r="A152" s="56" t="s">
        <v>1302</v>
      </c>
      <c r="B152" s="63"/>
      <c r="C152" s="61"/>
      <c r="D152" s="61"/>
      <c r="E152" s="60"/>
      <c r="F152" s="61"/>
      <c r="G152" s="60"/>
      <c r="H152" s="61"/>
      <c r="I152" s="61"/>
      <c r="J152" s="60"/>
      <c r="K152" s="60"/>
      <c r="L152" s="60"/>
      <c r="M152" s="61"/>
      <c r="N152" s="63"/>
      <c r="O152" s="61"/>
      <c r="P152" s="63"/>
      <c r="Q152" s="87" t="str">
        <f aca="false">IF(OR(B152="",P152=""),"",P152-B152)</f>
        <v/>
      </c>
      <c r="R152" s="62" t="str">
        <f aca="true">IF(OR(M152&lt;&gt;"Yes",P152&lt;&gt;"",O152="Closed",O152="No Action Required"),"",IF(N152="","Due date missing",IF(N152&lt;TODAY(),"OVERDUE",IF(N152-TODAY()&lt;=2,"Due ≤2d","Open"))))</f>
        <v/>
      </c>
      <c r="S152" s="61"/>
      <c r="T152" s="61"/>
      <c r="U152" s="60"/>
      <c r="V152" s="88" t="str">
        <f aca="false">IF(AND(G152&lt;&gt;"",M152="Yes",P152="",O152&lt;&gt;"Closed",O152&lt;&gt;"No Action Required",O152&lt;&gt;"Responded"),ROW(),"")</f>
        <v/>
      </c>
    </row>
    <row r="153" customFormat="false" ht="15" hidden="false" customHeight="false" outlineLevel="0" collapsed="false">
      <c r="A153" s="56" t="s">
        <v>1303</v>
      </c>
      <c r="B153" s="63"/>
      <c r="C153" s="61"/>
      <c r="D153" s="61"/>
      <c r="E153" s="60"/>
      <c r="F153" s="61"/>
      <c r="G153" s="60"/>
      <c r="H153" s="61"/>
      <c r="I153" s="61"/>
      <c r="J153" s="60"/>
      <c r="K153" s="60"/>
      <c r="L153" s="60"/>
      <c r="M153" s="61"/>
      <c r="N153" s="63"/>
      <c r="O153" s="61"/>
      <c r="P153" s="63"/>
      <c r="Q153" s="87" t="str">
        <f aca="false">IF(OR(B153="",P153=""),"",P153-B153)</f>
        <v/>
      </c>
      <c r="R153" s="62" t="str">
        <f aca="true">IF(OR(M153&lt;&gt;"Yes",P153&lt;&gt;"",O153="Closed",O153="No Action Required"),"",IF(N153="","Due date missing",IF(N153&lt;TODAY(),"OVERDUE",IF(N153-TODAY()&lt;=2,"Due ≤2d","Open"))))</f>
        <v/>
      </c>
      <c r="S153" s="61"/>
      <c r="T153" s="61"/>
      <c r="U153" s="60"/>
      <c r="V153" s="88" t="str">
        <f aca="false">IF(AND(G153&lt;&gt;"",M153="Yes",P153="",O153&lt;&gt;"Closed",O153&lt;&gt;"No Action Required",O153&lt;&gt;"Responded"),ROW(),"")</f>
        <v/>
      </c>
    </row>
    <row r="154" customFormat="false" ht="15" hidden="false" customHeight="false" outlineLevel="0" collapsed="false">
      <c r="A154" s="56" t="s">
        <v>1304</v>
      </c>
      <c r="B154" s="63"/>
      <c r="C154" s="61"/>
      <c r="D154" s="61"/>
      <c r="E154" s="60"/>
      <c r="F154" s="61"/>
      <c r="G154" s="60"/>
      <c r="H154" s="61"/>
      <c r="I154" s="61"/>
      <c r="J154" s="60"/>
      <c r="K154" s="60"/>
      <c r="L154" s="60"/>
      <c r="M154" s="61"/>
      <c r="N154" s="63"/>
      <c r="O154" s="61"/>
      <c r="P154" s="63"/>
      <c r="Q154" s="87" t="str">
        <f aca="false">IF(OR(B154="",P154=""),"",P154-B154)</f>
        <v/>
      </c>
      <c r="R154" s="62" t="str">
        <f aca="true">IF(OR(M154&lt;&gt;"Yes",P154&lt;&gt;"",O154="Closed",O154="No Action Required"),"",IF(N154="","Due date missing",IF(N154&lt;TODAY(),"OVERDUE",IF(N154-TODAY()&lt;=2,"Due ≤2d","Open"))))</f>
        <v/>
      </c>
      <c r="S154" s="61"/>
      <c r="T154" s="61"/>
      <c r="U154" s="60"/>
      <c r="V154" s="88" t="str">
        <f aca="false">IF(AND(G154&lt;&gt;"",M154="Yes",P154="",O154&lt;&gt;"Closed",O154&lt;&gt;"No Action Required",O154&lt;&gt;"Responded"),ROW(),"")</f>
        <v/>
      </c>
    </row>
    <row r="155" customFormat="false" ht="15" hidden="false" customHeight="false" outlineLevel="0" collapsed="false">
      <c r="A155" s="56" t="s">
        <v>1305</v>
      </c>
      <c r="B155" s="63"/>
      <c r="C155" s="61"/>
      <c r="D155" s="61"/>
      <c r="E155" s="60"/>
      <c r="F155" s="61"/>
      <c r="G155" s="60"/>
      <c r="H155" s="61"/>
      <c r="I155" s="61"/>
      <c r="J155" s="60"/>
      <c r="K155" s="60"/>
      <c r="L155" s="60"/>
      <c r="M155" s="61"/>
      <c r="N155" s="63"/>
      <c r="O155" s="61"/>
      <c r="P155" s="63"/>
      <c r="Q155" s="87" t="str">
        <f aca="false">IF(OR(B155="",P155=""),"",P155-B155)</f>
        <v/>
      </c>
      <c r="R155" s="62" t="str">
        <f aca="true">IF(OR(M155&lt;&gt;"Yes",P155&lt;&gt;"",O155="Closed",O155="No Action Required"),"",IF(N155="","Due date missing",IF(N155&lt;TODAY(),"OVERDUE",IF(N155-TODAY()&lt;=2,"Due ≤2d","Open"))))</f>
        <v/>
      </c>
      <c r="S155" s="61"/>
      <c r="T155" s="61"/>
      <c r="U155" s="60"/>
      <c r="V155" s="88" t="str">
        <f aca="false">IF(AND(G155&lt;&gt;"",M155="Yes",P155="",O155&lt;&gt;"Closed",O155&lt;&gt;"No Action Required",O155&lt;&gt;"Responded"),ROW(),"")</f>
        <v/>
      </c>
    </row>
    <row r="156" customFormat="false" ht="15" hidden="false" customHeight="false" outlineLevel="0" collapsed="false">
      <c r="A156" s="56" t="s">
        <v>1306</v>
      </c>
      <c r="B156" s="63"/>
      <c r="C156" s="61"/>
      <c r="D156" s="61"/>
      <c r="E156" s="60"/>
      <c r="F156" s="61"/>
      <c r="G156" s="60"/>
      <c r="H156" s="61"/>
      <c r="I156" s="61"/>
      <c r="J156" s="60"/>
      <c r="K156" s="60"/>
      <c r="L156" s="60"/>
      <c r="M156" s="61"/>
      <c r="N156" s="63"/>
      <c r="O156" s="61"/>
      <c r="P156" s="63"/>
      <c r="Q156" s="87" t="str">
        <f aca="false">IF(OR(B156="",P156=""),"",P156-B156)</f>
        <v/>
      </c>
      <c r="R156" s="62" t="str">
        <f aca="true">IF(OR(M156&lt;&gt;"Yes",P156&lt;&gt;"",O156="Closed",O156="No Action Required"),"",IF(N156="","Due date missing",IF(N156&lt;TODAY(),"OVERDUE",IF(N156-TODAY()&lt;=2,"Due ≤2d","Open"))))</f>
        <v/>
      </c>
      <c r="S156" s="61"/>
      <c r="T156" s="61"/>
      <c r="U156" s="60"/>
      <c r="V156" s="88" t="str">
        <f aca="false">IF(AND(G156&lt;&gt;"",M156="Yes",P156="",O156&lt;&gt;"Closed",O156&lt;&gt;"No Action Required",O156&lt;&gt;"Responded"),ROW(),"")</f>
        <v/>
      </c>
    </row>
    <row r="157" customFormat="false" ht="15" hidden="false" customHeight="false" outlineLevel="0" collapsed="false">
      <c r="A157" s="56" t="s">
        <v>1307</v>
      </c>
      <c r="B157" s="63"/>
      <c r="C157" s="61"/>
      <c r="D157" s="61"/>
      <c r="E157" s="60"/>
      <c r="F157" s="61"/>
      <c r="G157" s="60"/>
      <c r="H157" s="61"/>
      <c r="I157" s="61"/>
      <c r="J157" s="60"/>
      <c r="K157" s="60"/>
      <c r="L157" s="60"/>
      <c r="M157" s="61"/>
      <c r="N157" s="63"/>
      <c r="O157" s="61"/>
      <c r="P157" s="63"/>
      <c r="Q157" s="87" t="str">
        <f aca="false">IF(OR(B157="",P157=""),"",P157-B157)</f>
        <v/>
      </c>
      <c r="R157" s="62" t="str">
        <f aca="true">IF(OR(M157&lt;&gt;"Yes",P157&lt;&gt;"",O157="Closed",O157="No Action Required"),"",IF(N157="","Due date missing",IF(N157&lt;TODAY(),"OVERDUE",IF(N157-TODAY()&lt;=2,"Due ≤2d","Open"))))</f>
        <v/>
      </c>
      <c r="S157" s="61"/>
      <c r="T157" s="61"/>
      <c r="U157" s="60"/>
      <c r="V157" s="88" t="str">
        <f aca="false">IF(AND(G157&lt;&gt;"",M157="Yes",P157="",O157&lt;&gt;"Closed",O157&lt;&gt;"No Action Required",O157&lt;&gt;"Responded"),ROW(),"")</f>
        <v/>
      </c>
    </row>
    <row r="158" customFormat="false" ht="15" hidden="false" customHeight="false" outlineLevel="0" collapsed="false">
      <c r="A158" s="56" t="s">
        <v>1308</v>
      </c>
      <c r="B158" s="63"/>
      <c r="C158" s="61"/>
      <c r="D158" s="61"/>
      <c r="E158" s="60"/>
      <c r="F158" s="61"/>
      <c r="G158" s="60"/>
      <c r="H158" s="61"/>
      <c r="I158" s="61"/>
      <c r="J158" s="60"/>
      <c r="K158" s="60"/>
      <c r="L158" s="60"/>
      <c r="M158" s="61"/>
      <c r="N158" s="63"/>
      <c r="O158" s="61"/>
      <c r="P158" s="63"/>
      <c r="Q158" s="87" t="str">
        <f aca="false">IF(OR(B158="",P158=""),"",P158-B158)</f>
        <v/>
      </c>
      <c r="R158" s="62" t="str">
        <f aca="true">IF(OR(M158&lt;&gt;"Yes",P158&lt;&gt;"",O158="Closed",O158="No Action Required"),"",IF(N158="","Due date missing",IF(N158&lt;TODAY(),"OVERDUE",IF(N158-TODAY()&lt;=2,"Due ≤2d","Open"))))</f>
        <v/>
      </c>
      <c r="S158" s="61"/>
      <c r="T158" s="61"/>
      <c r="U158" s="60"/>
      <c r="V158" s="88" t="str">
        <f aca="false">IF(AND(G158&lt;&gt;"",M158="Yes",P158="",O158&lt;&gt;"Closed",O158&lt;&gt;"No Action Required",O158&lt;&gt;"Responded"),ROW(),"")</f>
        <v/>
      </c>
    </row>
    <row r="159" customFormat="false" ht="15" hidden="false" customHeight="false" outlineLevel="0" collapsed="false">
      <c r="A159" s="56" t="s">
        <v>1309</v>
      </c>
      <c r="B159" s="63"/>
      <c r="C159" s="61"/>
      <c r="D159" s="61"/>
      <c r="E159" s="60"/>
      <c r="F159" s="61"/>
      <c r="G159" s="60"/>
      <c r="H159" s="61"/>
      <c r="I159" s="61"/>
      <c r="J159" s="60"/>
      <c r="K159" s="60"/>
      <c r="L159" s="60"/>
      <c r="M159" s="61"/>
      <c r="N159" s="63"/>
      <c r="O159" s="61"/>
      <c r="P159" s="63"/>
      <c r="Q159" s="87" t="str">
        <f aca="false">IF(OR(B159="",P159=""),"",P159-B159)</f>
        <v/>
      </c>
      <c r="R159" s="62" t="str">
        <f aca="true">IF(OR(M159&lt;&gt;"Yes",P159&lt;&gt;"",O159="Closed",O159="No Action Required"),"",IF(N159="","Due date missing",IF(N159&lt;TODAY(),"OVERDUE",IF(N159-TODAY()&lt;=2,"Due ≤2d","Open"))))</f>
        <v/>
      </c>
      <c r="S159" s="61"/>
      <c r="T159" s="61"/>
      <c r="U159" s="60"/>
      <c r="V159" s="88" t="str">
        <f aca="false">IF(AND(G159&lt;&gt;"",M159="Yes",P159="",O159&lt;&gt;"Closed",O159&lt;&gt;"No Action Required",O159&lt;&gt;"Responded"),ROW(),"")</f>
        <v/>
      </c>
    </row>
    <row r="160" customFormat="false" ht="15" hidden="false" customHeight="false" outlineLevel="0" collapsed="false">
      <c r="A160" s="56" t="s">
        <v>1310</v>
      </c>
      <c r="B160" s="63"/>
      <c r="C160" s="61"/>
      <c r="D160" s="61"/>
      <c r="E160" s="60"/>
      <c r="F160" s="61"/>
      <c r="G160" s="60"/>
      <c r="H160" s="61"/>
      <c r="I160" s="61"/>
      <c r="J160" s="60"/>
      <c r="K160" s="60"/>
      <c r="L160" s="60"/>
      <c r="M160" s="61"/>
      <c r="N160" s="63"/>
      <c r="O160" s="61"/>
      <c r="P160" s="63"/>
      <c r="Q160" s="87" t="str">
        <f aca="false">IF(OR(B160="",P160=""),"",P160-B160)</f>
        <v/>
      </c>
      <c r="R160" s="62" t="str">
        <f aca="true">IF(OR(M160&lt;&gt;"Yes",P160&lt;&gt;"",O160="Closed",O160="No Action Required"),"",IF(N160="","Due date missing",IF(N160&lt;TODAY(),"OVERDUE",IF(N160-TODAY()&lt;=2,"Due ≤2d","Open"))))</f>
        <v/>
      </c>
      <c r="S160" s="61"/>
      <c r="T160" s="61"/>
      <c r="U160" s="60"/>
      <c r="V160" s="88" t="str">
        <f aca="false">IF(AND(G160&lt;&gt;"",M160="Yes",P160="",O160&lt;&gt;"Closed",O160&lt;&gt;"No Action Required",O160&lt;&gt;"Responded"),ROW(),"")</f>
        <v/>
      </c>
    </row>
    <row r="161" customFormat="false" ht="15" hidden="false" customHeight="false" outlineLevel="0" collapsed="false">
      <c r="A161" s="56" t="s">
        <v>1311</v>
      </c>
      <c r="B161" s="63"/>
      <c r="C161" s="61"/>
      <c r="D161" s="61"/>
      <c r="E161" s="60"/>
      <c r="F161" s="61"/>
      <c r="G161" s="60"/>
      <c r="H161" s="61"/>
      <c r="I161" s="61"/>
      <c r="J161" s="60"/>
      <c r="K161" s="60"/>
      <c r="L161" s="60"/>
      <c r="M161" s="61"/>
      <c r="N161" s="63"/>
      <c r="O161" s="61"/>
      <c r="P161" s="63"/>
      <c r="Q161" s="87" t="str">
        <f aca="false">IF(OR(B161="",P161=""),"",P161-B161)</f>
        <v/>
      </c>
      <c r="R161" s="62" t="str">
        <f aca="true">IF(OR(M161&lt;&gt;"Yes",P161&lt;&gt;"",O161="Closed",O161="No Action Required"),"",IF(N161="","Due date missing",IF(N161&lt;TODAY(),"OVERDUE",IF(N161-TODAY()&lt;=2,"Due ≤2d","Open"))))</f>
        <v/>
      </c>
      <c r="S161" s="61"/>
      <c r="T161" s="61"/>
      <c r="U161" s="60"/>
      <c r="V161" s="88" t="str">
        <f aca="false">IF(AND(G161&lt;&gt;"",M161="Yes",P161="",O161&lt;&gt;"Closed",O161&lt;&gt;"No Action Required",O161&lt;&gt;"Responded"),ROW(),"")</f>
        <v/>
      </c>
    </row>
    <row r="162" customFormat="false" ht="15" hidden="false" customHeight="false" outlineLevel="0" collapsed="false">
      <c r="A162" s="56" t="s">
        <v>1312</v>
      </c>
      <c r="B162" s="63"/>
      <c r="C162" s="61"/>
      <c r="D162" s="61"/>
      <c r="E162" s="60"/>
      <c r="F162" s="61"/>
      <c r="G162" s="60"/>
      <c r="H162" s="61"/>
      <c r="I162" s="61"/>
      <c r="J162" s="60"/>
      <c r="K162" s="60"/>
      <c r="L162" s="60"/>
      <c r="M162" s="61"/>
      <c r="N162" s="63"/>
      <c r="O162" s="61"/>
      <c r="P162" s="63"/>
      <c r="Q162" s="87" t="str">
        <f aca="false">IF(OR(B162="",P162=""),"",P162-B162)</f>
        <v/>
      </c>
      <c r="R162" s="62" t="str">
        <f aca="true">IF(OR(M162&lt;&gt;"Yes",P162&lt;&gt;"",O162="Closed",O162="No Action Required"),"",IF(N162="","Due date missing",IF(N162&lt;TODAY(),"OVERDUE",IF(N162-TODAY()&lt;=2,"Due ≤2d","Open"))))</f>
        <v/>
      </c>
      <c r="S162" s="61"/>
      <c r="T162" s="61"/>
      <c r="U162" s="60"/>
      <c r="V162" s="88" t="str">
        <f aca="false">IF(AND(G162&lt;&gt;"",M162="Yes",P162="",O162&lt;&gt;"Closed",O162&lt;&gt;"No Action Required",O162&lt;&gt;"Responded"),ROW(),"")</f>
        <v/>
      </c>
    </row>
    <row r="163" customFormat="false" ht="15" hidden="false" customHeight="false" outlineLevel="0" collapsed="false">
      <c r="A163" s="56" t="s">
        <v>1313</v>
      </c>
      <c r="B163" s="63"/>
      <c r="C163" s="61"/>
      <c r="D163" s="61"/>
      <c r="E163" s="60"/>
      <c r="F163" s="61"/>
      <c r="G163" s="60"/>
      <c r="H163" s="61"/>
      <c r="I163" s="61"/>
      <c r="J163" s="60"/>
      <c r="K163" s="60"/>
      <c r="L163" s="60"/>
      <c r="M163" s="61"/>
      <c r="N163" s="63"/>
      <c r="O163" s="61"/>
      <c r="P163" s="63"/>
      <c r="Q163" s="87" t="str">
        <f aca="false">IF(OR(B163="",P163=""),"",P163-B163)</f>
        <v/>
      </c>
      <c r="R163" s="62" t="str">
        <f aca="true">IF(OR(M163&lt;&gt;"Yes",P163&lt;&gt;"",O163="Closed",O163="No Action Required"),"",IF(N163="","Due date missing",IF(N163&lt;TODAY(),"OVERDUE",IF(N163-TODAY()&lt;=2,"Due ≤2d","Open"))))</f>
        <v/>
      </c>
      <c r="S163" s="61"/>
      <c r="T163" s="61"/>
      <c r="U163" s="60"/>
      <c r="V163" s="88" t="str">
        <f aca="false">IF(AND(G163&lt;&gt;"",M163="Yes",P163="",O163&lt;&gt;"Closed",O163&lt;&gt;"No Action Required",O163&lt;&gt;"Responded"),ROW(),"")</f>
        <v/>
      </c>
    </row>
    <row r="164" customFormat="false" ht="15" hidden="false" customHeight="false" outlineLevel="0" collapsed="false">
      <c r="A164" s="56" t="s">
        <v>1314</v>
      </c>
      <c r="B164" s="63"/>
      <c r="C164" s="61"/>
      <c r="D164" s="61"/>
      <c r="E164" s="60"/>
      <c r="F164" s="61"/>
      <c r="G164" s="60"/>
      <c r="H164" s="61"/>
      <c r="I164" s="61"/>
      <c r="J164" s="60"/>
      <c r="K164" s="60"/>
      <c r="L164" s="60"/>
      <c r="M164" s="61"/>
      <c r="N164" s="63"/>
      <c r="O164" s="61"/>
      <c r="P164" s="63"/>
      <c r="Q164" s="87" t="str">
        <f aca="false">IF(OR(B164="",P164=""),"",P164-B164)</f>
        <v/>
      </c>
      <c r="R164" s="62" t="str">
        <f aca="true">IF(OR(M164&lt;&gt;"Yes",P164&lt;&gt;"",O164="Closed",O164="No Action Required"),"",IF(N164="","Due date missing",IF(N164&lt;TODAY(),"OVERDUE",IF(N164-TODAY()&lt;=2,"Due ≤2d","Open"))))</f>
        <v/>
      </c>
      <c r="S164" s="61"/>
      <c r="T164" s="61"/>
      <c r="U164" s="60"/>
      <c r="V164" s="88" t="str">
        <f aca="false">IF(AND(G164&lt;&gt;"",M164="Yes",P164="",O164&lt;&gt;"Closed",O164&lt;&gt;"No Action Required",O164&lt;&gt;"Responded"),ROW(),"")</f>
        <v/>
      </c>
    </row>
    <row r="165" customFormat="false" ht="15" hidden="false" customHeight="false" outlineLevel="0" collapsed="false">
      <c r="A165" s="56" t="s">
        <v>1315</v>
      </c>
      <c r="B165" s="63"/>
      <c r="C165" s="61"/>
      <c r="D165" s="61"/>
      <c r="E165" s="60"/>
      <c r="F165" s="61"/>
      <c r="G165" s="60"/>
      <c r="H165" s="61"/>
      <c r="I165" s="61"/>
      <c r="J165" s="60"/>
      <c r="K165" s="60"/>
      <c r="L165" s="60"/>
      <c r="M165" s="61"/>
      <c r="N165" s="63"/>
      <c r="O165" s="61"/>
      <c r="P165" s="63"/>
      <c r="Q165" s="87" t="str">
        <f aca="false">IF(OR(B165="",P165=""),"",P165-B165)</f>
        <v/>
      </c>
      <c r="R165" s="62" t="str">
        <f aca="true">IF(OR(M165&lt;&gt;"Yes",P165&lt;&gt;"",O165="Closed",O165="No Action Required"),"",IF(N165="","Due date missing",IF(N165&lt;TODAY(),"OVERDUE",IF(N165-TODAY()&lt;=2,"Due ≤2d","Open"))))</f>
        <v/>
      </c>
      <c r="S165" s="61"/>
      <c r="T165" s="61"/>
      <c r="U165" s="60"/>
      <c r="V165" s="88" t="str">
        <f aca="false">IF(AND(G165&lt;&gt;"",M165="Yes",P165="",O165&lt;&gt;"Closed",O165&lt;&gt;"No Action Required",O165&lt;&gt;"Responded"),ROW(),"")</f>
        <v/>
      </c>
    </row>
    <row r="166" customFormat="false" ht="15" hidden="false" customHeight="false" outlineLevel="0" collapsed="false">
      <c r="A166" s="56" t="s">
        <v>1316</v>
      </c>
      <c r="B166" s="63"/>
      <c r="C166" s="61"/>
      <c r="D166" s="61"/>
      <c r="E166" s="60"/>
      <c r="F166" s="61"/>
      <c r="G166" s="60"/>
      <c r="H166" s="61"/>
      <c r="I166" s="61"/>
      <c r="J166" s="60"/>
      <c r="K166" s="60"/>
      <c r="L166" s="60"/>
      <c r="M166" s="61"/>
      <c r="N166" s="63"/>
      <c r="O166" s="61"/>
      <c r="P166" s="63"/>
      <c r="Q166" s="87" t="str">
        <f aca="false">IF(OR(B166="",P166=""),"",P166-B166)</f>
        <v/>
      </c>
      <c r="R166" s="62" t="str">
        <f aca="true">IF(OR(M166&lt;&gt;"Yes",P166&lt;&gt;"",O166="Closed",O166="No Action Required"),"",IF(N166="","Due date missing",IF(N166&lt;TODAY(),"OVERDUE",IF(N166-TODAY()&lt;=2,"Due ≤2d","Open"))))</f>
        <v/>
      </c>
      <c r="S166" s="61"/>
      <c r="T166" s="61"/>
      <c r="U166" s="60"/>
      <c r="V166" s="88" t="str">
        <f aca="false">IF(AND(G166&lt;&gt;"",M166="Yes",P166="",O166&lt;&gt;"Closed",O166&lt;&gt;"No Action Required",O166&lt;&gt;"Responded"),ROW(),"")</f>
        <v/>
      </c>
    </row>
    <row r="167" customFormat="false" ht="15" hidden="false" customHeight="false" outlineLevel="0" collapsed="false">
      <c r="A167" s="56" t="s">
        <v>1317</v>
      </c>
      <c r="B167" s="63"/>
      <c r="C167" s="61"/>
      <c r="D167" s="61"/>
      <c r="E167" s="60"/>
      <c r="F167" s="61"/>
      <c r="G167" s="60"/>
      <c r="H167" s="61"/>
      <c r="I167" s="61"/>
      <c r="J167" s="60"/>
      <c r="K167" s="60"/>
      <c r="L167" s="60"/>
      <c r="M167" s="61"/>
      <c r="N167" s="63"/>
      <c r="O167" s="61"/>
      <c r="P167" s="63"/>
      <c r="Q167" s="87" t="str">
        <f aca="false">IF(OR(B167="",P167=""),"",P167-B167)</f>
        <v/>
      </c>
      <c r="R167" s="62" t="str">
        <f aca="true">IF(OR(M167&lt;&gt;"Yes",P167&lt;&gt;"",O167="Closed",O167="No Action Required"),"",IF(N167="","Due date missing",IF(N167&lt;TODAY(),"OVERDUE",IF(N167-TODAY()&lt;=2,"Due ≤2d","Open"))))</f>
        <v/>
      </c>
      <c r="S167" s="61"/>
      <c r="T167" s="61"/>
      <c r="U167" s="60"/>
      <c r="V167" s="88" t="str">
        <f aca="false">IF(AND(G167&lt;&gt;"",M167="Yes",P167="",O167&lt;&gt;"Closed",O167&lt;&gt;"No Action Required",O167&lt;&gt;"Responded"),ROW(),"")</f>
        <v/>
      </c>
    </row>
    <row r="168" customFormat="false" ht="15" hidden="false" customHeight="false" outlineLevel="0" collapsed="false">
      <c r="A168" s="56" t="s">
        <v>1318</v>
      </c>
      <c r="B168" s="63"/>
      <c r="C168" s="61"/>
      <c r="D168" s="61"/>
      <c r="E168" s="60"/>
      <c r="F168" s="61"/>
      <c r="G168" s="60"/>
      <c r="H168" s="61"/>
      <c r="I168" s="61"/>
      <c r="J168" s="60"/>
      <c r="K168" s="60"/>
      <c r="L168" s="60"/>
      <c r="M168" s="61"/>
      <c r="N168" s="63"/>
      <c r="O168" s="61"/>
      <c r="P168" s="63"/>
      <c r="Q168" s="87" t="str">
        <f aca="false">IF(OR(B168="",P168=""),"",P168-B168)</f>
        <v/>
      </c>
      <c r="R168" s="62" t="str">
        <f aca="true">IF(OR(M168&lt;&gt;"Yes",P168&lt;&gt;"",O168="Closed",O168="No Action Required"),"",IF(N168="","Due date missing",IF(N168&lt;TODAY(),"OVERDUE",IF(N168-TODAY()&lt;=2,"Due ≤2d","Open"))))</f>
        <v/>
      </c>
      <c r="S168" s="61"/>
      <c r="T168" s="61"/>
      <c r="U168" s="60"/>
      <c r="V168" s="88" t="str">
        <f aca="false">IF(AND(G168&lt;&gt;"",M168="Yes",P168="",O168&lt;&gt;"Closed",O168&lt;&gt;"No Action Required",O168&lt;&gt;"Responded"),ROW(),"")</f>
        <v/>
      </c>
    </row>
    <row r="169" customFormat="false" ht="15" hidden="false" customHeight="false" outlineLevel="0" collapsed="false">
      <c r="A169" s="56" t="s">
        <v>1319</v>
      </c>
      <c r="B169" s="63"/>
      <c r="C169" s="61"/>
      <c r="D169" s="61"/>
      <c r="E169" s="60"/>
      <c r="F169" s="61"/>
      <c r="G169" s="60"/>
      <c r="H169" s="61"/>
      <c r="I169" s="61"/>
      <c r="J169" s="60"/>
      <c r="K169" s="60"/>
      <c r="L169" s="60"/>
      <c r="M169" s="61"/>
      <c r="N169" s="63"/>
      <c r="O169" s="61"/>
      <c r="P169" s="63"/>
      <c r="Q169" s="87" t="str">
        <f aca="false">IF(OR(B169="",P169=""),"",P169-B169)</f>
        <v/>
      </c>
      <c r="R169" s="62" t="str">
        <f aca="true">IF(OR(M169&lt;&gt;"Yes",P169&lt;&gt;"",O169="Closed",O169="No Action Required"),"",IF(N169="","Due date missing",IF(N169&lt;TODAY(),"OVERDUE",IF(N169-TODAY()&lt;=2,"Due ≤2d","Open"))))</f>
        <v/>
      </c>
      <c r="S169" s="61"/>
      <c r="T169" s="61"/>
      <c r="U169" s="60"/>
      <c r="V169" s="88" t="str">
        <f aca="false">IF(AND(G169&lt;&gt;"",M169="Yes",P169="",O169&lt;&gt;"Closed",O169&lt;&gt;"No Action Required",O169&lt;&gt;"Responded"),ROW(),"")</f>
        <v/>
      </c>
    </row>
    <row r="170" customFormat="false" ht="15" hidden="false" customHeight="false" outlineLevel="0" collapsed="false">
      <c r="A170" s="56" t="s">
        <v>1320</v>
      </c>
      <c r="B170" s="63"/>
      <c r="C170" s="61"/>
      <c r="D170" s="61"/>
      <c r="E170" s="60"/>
      <c r="F170" s="61"/>
      <c r="G170" s="60"/>
      <c r="H170" s="61"/>
      <c r="I170" s="61"/>
      <c r="J170" s="60"/>
      <c r="K170" s="60"/>
      <c r="L170" s="60"/>
      <c r="M170" s="61"/>
      <c r="N170" s="63"/>
      <c r="O170" s="61"/>
      <c r="P170" s="63"/>
      <c r="Q170" s="87" t="str">
        <f aca="false">IF(OR(B170="",P170=""),"",P170-B170)</f>
        <v/>
      </c>
      <c r="R170" s="62" t="str">
        <f aca="true">IF(OR(M170&lt;&gt;"Yes",P170&lt;&gt;"",O170="Closed",O170="No Action Required"),"",IF(N170="","Due date missing",IF(N170&lt;TODAY(),"OVERDUE",IF(N170-TODAY()&lt;=2,"Due ≤2d","Open"))))</f>
        <v/>
      </c>
      <c r="S170" s="61"/>
      <c r="T170" s="61"/>
      <c r="U170" s="60"/>
      <c r="V170" s="88" t="str">
        <f aca="false">IF(AND(G170&lt;&gt;"",M170="Yes",P170="",O170&lt;&gt;"Closed",O170&lt;&gt;"No Action Required",O170&lt;&gt;"Responded"),ROW(),"")</f>
        <v/>
      </c>
    </row>
    <row r="171" customFormat="false" ht="15" hidden="false" customHeight="false" outlineLevel="0" collapsed="false">
      <c r="A171" s="56" t="s">
        <v>1321</v>
      </c>
      <c r="B171" s="63"/>
      <c r="C171" s="61"/>
      <c r="D171" s="61"/>
      <c r="E171" s="60"/>
      <c r="F171" s="61"/>
      <c r="G171" s="60"/>
      <c r="H171" s="61"/>
      <c r="I171" s="61"/>
      <c r="J171" s="60"/>
      <c r="K171" s="60"/>
      <c r="L171" s="60"/>
      <c r="M171" s="61"/>
      <c r="N171" s="63"/>
      <c r="O171" s="61"/>
      <c r="P171" s="63"/>
      <c r="Q171" s="87" t="str">
        <f aca="false">IF(OR(B171="",P171=""),"",P171-B171)</f>
        <v/>
      </c>
      <c r="R171" s="62" t="str">
        <f aca="true">IF(OR(M171&lt;&gt;"Yes",P171&lt;&gt;"",O171="Closed",O171="No Action Required"),"",IF(N171="","Due date missing",IF(N171&lt;TODAY(),"OVERDUE",IF(N171-TODAY()&lt;=2,"Due ≤2d","Open"))))</f>
        <v/>
      </c>
      <c r="S171" s="61"/>
      <c r="T171" s="61"/>
      <c r="U171" s="60"/>
      <c r="V171" s="88" t="str">
        <f aca="false">IF(AND(G171&lt;&gt;"",M171="Yes",P171="",O171&lt;&gt;"Closed",O171&lt;&gt;"No Action Required",O171&lt;&gt;"Responded"),ROW(),"")</f>
        <v/>
      </c>
    </row>
    <row r="172" customFormat="false" ht="15" hidden="false" customHeight="false" outlineLevel="0" collapsed="false">
      <c r="A172" s="56" t="s">
        <v>1322</v>
      </c>
      <c r="B172" s="63"/>
      <c r="C172" s="61"/>
      <c r="D172" s="61"/>
      <c r="E172" s="60"/>
      <c r="F172" s="61"/>
      <c r="G172" s="60"/>
      <c r="H172" s="61"/>
      <c r="I172" s="61"/>
      <c r="J172" s="60"/>
      <c r="K172" s="60"/>
      <c r="L172" s="60"/>
      <c r="M172" s="61"/>
      <c r="N172" s="63"/>
      <c r="O172" s="61"/>
      <c r="P172" s="63"/>
      <c r="Q172" s="87" t="str">
        <f aca="false">IF(OR(B172="",P172=""),"",P172-B172)</f>
        <v/>
      </c>
      <c r="R172" s="62" t="str">
        <f aca="true">IF(OR(M172&lt;&gt;"Yes",P172&lt;&gt;"",O172="Closed",O172="No Action Required"),"",IF(N172="","Due date missing",IF(N172&lt;TODAY(),"OVERDUE",IF(N172-TODAY()&lt;=2,"Due ≤2d","Open"))))</f>
        <v/>
      </c>
      <c r="S172" s="61"/>
      <c r="T172" s="61"/>
      <c r="U172" s="60"/>
      <c r="V172" s="88" t="str">
        <f aca="false">IF(AND(G172&lt;&gt;"",M172="Yes",P172="",O172&lt;&gt;"Closed",O172&lt;&gt;"No Action Required",O172&lt;&gt;"Responded"),ROW(),"")</f>
        <v/>
      </c>
    </row>
    <row r="173" customFormat="false" ht="15" hidden="false" customHeight="false" outlineLevel="0" collapsed="false">
      <c r="A173" s="56" t="s">
        <v>1323</v>
      </c>
      <c r="B173" s="63"/>
      <c r="C173" s="61"/>
      <c r="D173" s="61"/>
      <c r="E173" s="60"/>
      <c r="F173" s="61"/>
      <c r="G173" s="60"/>
      <c r="H173" s="61"/>
      <c r="I173" s="61"/>
      <c r="J173" s="60"/>
      <c r="K173" s="60"/>
      <c r="L173" s="60"/>
      <c r="M173" s="61"/>
      <c r="N173" s="63"/>
      <c r="O173" s="61"/>
      <c r="P173" s="63"/>
      <c r="Q173" s="87" t="str">
        <f aca="false">IF(OR(B173="",P173=""),"",P173-B173)</f>
        <v/>
      </c>
      <c r="R173" s="62" t="str">
        <f aca="true">IF(OR(M173&lt;&gt;"Yes",P173&lt;&gt;"",O173="Closed",O173="No Action Required"),"",IF(N173="","Due date missing",IF(N173&lt;TODAY(),"OVERDUE",IF(N173-TODAY()&lt;=2,"Due ≤2d","Open"))))</f>
        <v/>
      </c>
      <c r="S173" s="61"/>
      <c r="T173" s="61"/>
      <c r="U173" s="60"/>
      <c r="V173" s="88" t="str">
        <f aca="false">IF(AND(G173&lt;&gt;"",M173="Yes",P173="",O173&lt;&gt;"Closed",O173&lt;&gt;"No Action Required",O173&lt;&gt;"Responded"),ROW(),"")</f>
        <v/>
      </c>
    </row>
    <row r="174" customFormat="false" ht="15" hidden="false" customHeight="false" outlineLevel="0" collapsed="false">
      <c r="A174" s="56" t="s">
        <v>1324</v>
      </c>
      <c r="B174" s="63"/>
      <c r="C174" s="61"/>
      <c r="D174" s="61"/>
      <c r="E174" s="60"/>
      <c r="F174" s="61"/>
      <c r="G174" s="60"/>
      <c r="H174" s="61"/>
      <c r="I174" s="61"/>
      <c r="J174" s="60"/>
      <c r="K174" s="60"/>
      <c r="L174" s="60"/>
      <c r="M174" s="61"/>
      <c r="N174" s="63"/>
      <c r="O174" s="61"/>
      <c r="P174" s="63"/>
      <c r="Q174" s="87" t="str">
        <f aca="false">IF(OR(B174="",P174=""),"",P174-B174)</f>
        <v/>
      </c>
      <c r="R174" s="62" t="str">
        <f aca="true">IF(OR(M174&lt;&gt;"Yes",P174&lt;&gt;"",O174="Closed",O174="No Action Required"),"",IF(N174="","Due date missing",IF(N174&lt;TODAY(),"OVERDUE",IF(N174-TODAY()&lt;=2,"Due ≤2d","Open"))))</f>
        <v/>
      </c>
      <c r="S174" s="61"/>
      <c r="T174" s="61"/>
      <c r="U174" s="60"/>
      <c r="V174" s="88" t="str">
        <f aca="false">IF(AND(G174&lt;&gt;"",M174="Yes",P174="",O174&lt;&gt;"Closed",O174&lt;&gt;"No Action Required",O174&lt;&gt;"Responded"),ROW(),"")</f>
        <v/>
      </c>
    </row>
    <row r="175" customFormat="false" ht="15" hidden="false" customHeight="false" outlineLevel="0" collapsed="false">
      <c r="A175" s="56" t="s">
        <v>1325</v>
      </c>
      <c r="B175" s="63"/>
      <c r="C175" s="61"/>
      <c r="D175" s="61"/>
      <c r="E175" s="60"/>
      <c r="F175" s="61"/>
      <c r="G175" s="60"/>
      <c r="H175" s="61"/>
      <c r="I175" s="61"/>
      <c r="J175" s="60"/>
      <c r="K175" s="60"/>
      <c r="L175" s="60"/>
      <c r="M175" s="61"/>
      <c r="N175" s="63"/>
      <c r="O175" s="61"/>
      <c r="P175" s="63"/>
      <c r="Q175" s="87" t="str">
        <f aca="false">IF(OR(B175="",P175=""),"",P175-B175)</f>
        <v/>
      </c>
      <c r="R175" s="62" t="str">
        <f aca="true">IF(OR(M175&lt;&gt;"Yes",P175&lt;&gt;"",O175="Closed",O175="No Action Required"),"",IF(N175="","Due date missing",IF(N175&lt;TODAY(),"OVERDUE",IF(N175-TODAY()&lt;=2,"Due ≤2d","Open"))))</f>
        <v/>
      </c>
      <c r="S175" s="61"/>
      <c r="T175" s="61"/>
      <c r="U175" s="60"/>
      <c r="V175" s="88" t="str">
        <f aca="false">IF(AND(G175&lt;&gt;"",M175="Yes",P175="",O175&lt;&gt;"Closed",O175&lt;&gt;"No Action Required",O175&lt;&gt;"Responded"),ROW(),"")</f>
        <v/>
      </c>
    </row>
    <row r="176" customFormat="false" ht="15" hidden="false" customHeight="false" outlineLevel="0" collapsed="false">
      <c r="A176" s="56" t="s">
        <v>1326</v>
      </c>
      <c r="B176" s="63"/>
      <c r="C176" s="61"/>
      <c r="D176" s="61"/>
      <c r="E176" s="60"/>
      <c r="F176" s="61"/>
      <c r="G176" s="60"/>
      <c r="H176" s="61"/>
      <c r="I176" s="61"/>
      <c r="J176" s="60"/>
      <c r="K176" s="60"/>
      <c r="L176" s="60"/>
      <c r="M176" s="61"/>
      <c r="N176" s="63"/>
      <c r="O176" s="61"/>
      <c r="P176" s="63"/>
      <c r="Q176" s="87" t="str">
        <f aca="false">IF(OR(B176="",P176=""),"",P176-B176)</f>
        <v/>
      </c>
      <c r="R176" s="62" t="str">
        <f aca="true">IF(OR(M176&lt;&gt;"Yes",P176&lt;&gt;"",O176="Closed",O176="No Action Required"),"",IF(N176="","Due date missing",IF(N176&lt;TODAY(),"OVERDUE",IF(N176-TODAY()&lt;=2,"Due ≤2d","Open"))))</f>
        <v/>
      </c>
      <c r="S176" s="61"/>
      <c r="T176" s="61"/>
      <c r="U176" s="60"/>
      <c r="V176" s="88" t="str">
        <f aca="false">IF(AND(G176&lt;&gt;"",M176="Yes",P176="",O176&lt;&gt;"Closed",O176&lt;&gt;"No Action Required",O176&lt;&gt;"Responded"),ROW(),"")</f>
        <v/>
      </c>
    </row>
    <row r="177" customFormat="false" ht="15" hidden="false" customHeight="false" outlineLevel="0" collapsed="false">
      <c r="A177" s="56" t="s">
        <v>1327</v>
      </c>
      <c r="B177" s="63"/>
      <c r="C177" s="61"/>
      <c r="D177" s="61"/>
      <c r="E177" s="60"/>
      <c r="F177" s="61"/>
      <c r="G177" s="60"/>
      <c r="H177" s="61"/>
      <c r="I177" s="61"/>
      <c r="J177" s="60"/>
      <c r="K177" s="60"/>
      <c r="L177" s="60"/>
      <c r="M177" s="61"/>
      <c r="N177" s="63"/>
      <c r="O177" s="61"/>
      <c r="P177" s="63"/>
      <c r="Q177" s="87" t="str">
        <f aca="false">IF(OR(B177="",P177=""),"",P177-B177)</f>
        <v/>
      </c>
      <c r="R177" s="62" t="str">
        <f aca="true">IF(OR(M177&lt;&gt;"Yes",P177&lt;&gt;"",O177="Closed",O177="No Action Required"),"",IF(N177="","Due date missing",IF(N177&lt;TODAY(),"OVERDUE",IF(N177-TODAY()&lt;=2,"Due ≤2d","Open"))))</f>
        <v/>
      </c>
      <c r="S177" s="61"/>
      <c r="T177" s="61"/>
      <c r="U177" s="60"/>
      <c r="V177" s="88" t="str">
        <f aca="false">IF(AND(G177&lt;&gt;"",M177="Yes",P177="",O177&lt;&gt;"Closed",O177&lt;&gt;"No Action Required",O177&lt;&gt;"Responded"),ROW(),"")</f>
        <v/>
      </c>
    </row>
    <row r="178" customFormat="false" ht="15" hidden="false" customHeight="false" outlineLevel="0" collapsed="false">
      <c r="A178" s="56" t="s">
        <v>1328</v>
      </c>
      <c r="B178" s="63"/>
      <c r="C178" s="61"/>
      <c r="D178" s="61"/>
      <c r="E178" s="60"/>
      <c r="F178" s="61"/>
      <c r="G178" s="60"/>
      <c r="H178" s="61"/>
      <c r="I178" s="61"/>
      <c r="J178" s="60"/>
      <c r="K178" s="60"/>
      <c r="L178" s="60"/>
      <c r="M178" s="61"/>
      <c r="N178" s="63"/>
      <c r="O178" s="61"/>
      <c r="P178" s="63"/>
      <c r="Q178" s="87" t="str">
        <f aca="false">IF(OR(B178="",P178=""),"",P178-B178)</f>
        <v/>
      </c>
      <c r="R178" s="62" t="str">
        <f aca="true">IF(OR(M178&lt;&gt;"Yes",P178&lt;&gt;"",O178="Closed",O178="No Action Required"),"",IF(N178="","Due date missing",IF(N178&lt;TODAY(),"OVERDUE",IF(N178-TODAY()&lt;=2,"Due ≤2d","Open"))))</f>
        <v/>
      </c>
      <c r="S178" s="61"/>
      <c r="T178" s="61"/>
      <c r="U178" s="60"/>
      <c r="V178" s="88" t="str">
        <f aca="false">IF(AND(G178&lt;&gt;"",M178="Yes",P178="",O178&lt;&gt;"Closed",O178&lt;&gt;"No Action Required",O178&lt;&gt;"Responded"),ROW(),"")</f>
        <v/>
      </c>
    </row>
    <row r="179" customFormat="false" ht="15" hidden="false" customHeight="false" outlineLevel="0" collapsed="false">
      <c r="A179" s="56" t="s">
        <v>1329</v>
      </c>
      <c r="B179" s="63"/>
      <c r="C179" s="61"/>
      <c r="D179" s="61"/>
      <c r="E179" s="60"/>
      <c r="F179" s="61"/>
      <c r="G179" s="60"/>
      <c r="H179" s="61"/>
      <c r="I179" s="61"/>
      <c r="J179" s="60"/>
      <c r="K179" s="60"/>
      <c r="L179" s="60"/>
      <c r="M179" s="61"/>
      <c r="N179" s="63"/>
      <c r="O179" s="61"/>
      <c r="P179" s="63"/>
      <c r="Q179" s="87" t="str">
        <f aca="false">IF(OR(B179="",P179=""),"",P179-B179)</f>
        <v/>
      </c>
      <c r="R179" s="62" t="str">
        <f aca="true">IF(OR(M179&lt;&gt;"Yes",P179&lt;&gt;"",O179="Closed",O179="No Action Required"),"",IF(N179="","Due date missing",IF(N179&lt;TODAY(),"OVERDUE",IF(N179-TODAY()&lt;=2,"Due ≤2d","Open"))))</f>
        <v/>
      </c>
      <c r="S179" s="61"/>
      <c r="T179" s="61"/>
      <c r="U179" s="60"/>
      <c r="V179" s="88" t="str">
        <f aca="false">IF(AND(G179&lt;&gt;"",M179="Yes",P179="",O179&lt;&gt;"Closed",O179&lt;&gt;"No Action Required",O179&lt;&gt;"Responded"),ROW(),"")</f>
        <v/>
      </c>
    </row>
    <row r="180" customFormat="false" ht="15" hidden="false" customHeight="false" outlineLevel="0" collapsed="false">
      <c r="A180" s="56" t="s">
        <v>1330</v>
      </c>
      <c r="B180" s="63"/>
      <c r="C180" s="61"/>
      <c r="D180" s="61"/>
      <c r="E180" s="60"/>
      <c r="F180" s="61"/>
      <c r="G180" s="60"/>
      <c r="H180" s="61"/>
      <c r="I180" s="61"/>
      <c r="J180" s="60"/>
      <c r="K180" s="60"/>
      <c r="L180" s="60"/>
      <c r="M180" s="61"/>
      <c r="N180" s="63"/>
      <c r="O180" s="61"/>
      <c r="P180" s="63"/>
      <c r="Q180" s="87" t="str">
        <f aca="false">IF(OR(B180="",P180=""),"",P180-B180)</f>
        <v/>
      </c>
      <c r="R180" s="62" t="str">
        <f aca="true">IF(OR(M180&lt;&gt;"Yes",P180&lt;&gt;"",O180="Closed",O180="No Action Required"),"",IF(N180="","Due date missing",IF(N180&lt;TODAY(),"OVERDUE",IF(N180-TODAY()&lt;=2,"Due ≤2d","Open"))))</f>
        <v/>
      </c>
      <c r="S180" s="61"/>
      <c r="T180" s="61"/>
      <c r="U180" s="60"/>
      <c r="V180" s="88" t="str">
        <f aca="false">IF(AND(G180&lt;&gt;"",M180="Yes",P180="",O180&lt;&gt;"Closed",O180&lt;&gt;"No Action Required",O180&lt;&gt;"Responded"),ROW(),"")</f>
        <v/>
      </c>
    </row>
    <row r="181" customFormat="false" ht="15" hidden="false" customHeight="false" outlineLevel="0" collapsed="false">
      <c r="A181" s="56" t="s">
        <v>1331</v>
      </c>
      <c r="B181" s="63"/>
      <c r="C181" s="61"/>
      <c r="D181" s="61"/>
      <c r="E181" s="60"/>
      <c r="F181" s="61"/>
      <c r="G181" s="60"/>
      <c r="H181" s="61"/>
      <c r="I181" s="61"/>
      <c r="J181" s="60"/>
      <c r="K181" s="60"/>
      <c r="L181" s="60"/>
      <c r="M181" s="61"/>
      <c r="N181" s="63"/>
      <c r="O181" s="61"/>
      <c r="P181" s="63"/>
      <c r="Q181" s="87" t="str">
        <f aca="false">IF(OR(B181="",P181=""),"",P181-B181)</f>
        <v/>
      </c>
      <c r="R181" s="62" t="str">
        <f aca="true">IF(OR(M181&lt;&gt;"Yes",P181&lt;&gt;"",O181="Closed",O181="No Action Required"),"",IF(N181="","Due date missing",IF(N181&lt;TODAY(),"OVERDUE",IF(N181-TODAY()&lt;=2,"Due ≤2d","Open"))))</f>
        <v/>
      </c>
      <c r="S181" s="61"/>
      <c r="T181" s="61"/>
      <c r="U181" s="60"/>
      <c r="V181" s="88" t="str">
        <f aca="false">IF(AND(G181&lt;&gt;"",M181="Yes",P181="",O181&lt;&gt;"Closed",O181&lt;&gt;"No Action Required",O181&lt;&gt;"Responded"),ROW(),"")</f>
        <v/>
      </c>
    </row>
    <row r="182" customFormat="false" ht="15" hidden="false" customHeight="false" outlineLevel="0" collapsed="false">
      <c r="A182" s="56" t="s">
        <v>1332</v>
      </c>
      <c r="B182" s="63"/>
      <c r="C182" s="61"/>
      <c r="D182" s="61"/>
      <c r="E182" s="60"/>
      <c r="F182" s="61"/>
      <c r="G182" s="60"/>
      <c r="H182" s="61"/>
      <c r="I182" s="61"/>
      <c r="J182" s="60"/>
      <c r="K182" s="60"/>
      <c r="L182" s="60"/>
      <c r="M182" s="61"/>
      <c r="N182" s="63"/>
      <c r="O182" s="61"/>
      <c r="P182" s="63"/>
      <c r="Q182" s="87" t="str">
        <f aca="false">IF(OR(B182="",P182=""),"",P182-B182)</f>
        <v/>
      </c>
      <c r="R182" s="62" t="str">
        <f aca="true">IF(OR(M182&lt;&gt;"Yes",P182&lt;&gt;"",O182="Closed",O182="No Action Required"),"",IF(N182="","Due date missing",IF(N182&lt;TODAY(),"OVERDUE",IF(N182-TODAY()&lt;=2,"Due ≤2d","Open"))))</f>
        <v/>
      </c>
      <c r="S182" s="61"/>
      <c r="T182" s="61"/>
      <c r="U182" s="60"/>
      <c r="V182" s="88" t="str">
        <f aca="false">IF(AND(G182&lt;&gt;"",M182="Yes",P182="",O182&lt;&gt;"Closed",O182&lt;&gt;"No Action Required",O182&lt;&gt;"Responded"),ROW(),"")</f>
        <v/>
      </c>
    </row>
    <row r="183" customFormat="false" ht="15" hidden="false" customHeight="false" outlineLevel="0" collapsed="false">
      <c r="A183" s="56" t="s">
        <v>1333</v>
      </c>
      <c r="B183" s="63"/>
      <c r="C183" s="61"/>
      <c r="D183" s="61"/>
      <c r="E183" s="60"/>
      <c r="F183" s="61"/>
      <c r="G183" s="60"/>
      <c r="H183" s="61"/>
      <c r="I183" s="61"/>
      <c r="J183" s="60"/>
      <c r="K183" s="60"/>
      <c r="L183" s="60"/>
      <c r="M183" s="61"/>
      <c r="N183" s="63"/>
      <c r="O183" s="61"/>
      <c r="P183" s="63"/>
      <c r="Q183" s="87" t="str">
        <f aca="false">IF(OR(B183="",P183=""),"",P183-B183)</f>
        <v/>
      </c>
      <c r="R183" s="62" t="str">
        <f aca="true">IF(OR(M183&lt;&gt;"Yes",P183&lt;&gt;"",O183="Closed",O183="No Action Required"),"",IF(N183="","Due date missing",IF(N183&lt;TODAY(),"OVERDUE",IF(N183-TODAY()&lt;=2,"Due ≤2d","Open"))))</f>
        <v/>
      </c>
      <c r="S183" s="61"/>
      <c r="T183" s="61"/>
      <c r="U183" s="60"/>
      <c r="V183" s="88" t="str">
        <f aca="false">IF(AND(G183&lt;&gt;"",M183="Yes",P183="",O183&lt;&gt;"Closed",O183&lt;&gt;"No Action Required",O183&lt;&gt;"Responded"),ROW(),"")</f>
        <v/>
      </c>
    </row>
    <row r="184" customFormat="false" ht="15" hidden="false" customHeight="false" outlineLevel="0" collapsed="false">
      <c r="A184" s="56" t="s">
        <v>1334</v>
      </c>
      <c r="B184" s="63"/>
      <c r="C184" s="61"/>
      <c r="D184" s="61"/>
      <c r="E184" s="60"/>
      <c r="F184" s="61"/>
      <c r="G184" s="60"/>
      <c r="H184" s="61"/>
      <c r="I184" s="61"/>
      <c r="J184" s="60"/>
      <c r="K184" s="60"/>
      <c r="L184" s="60"/>
      <c r="M184" s="61"/>
      <c r="N184" s="63"/>
      <c r="O184" s="61"/>
      <c r="P184" s="63"/>
      <c r="Q184" s="87" t="str">
        <f aca="false">IF(OR(B184="",P184=""),"",P184-B184)</f>
        <v/>
      </c>
      <c r="R184" s="62" t="str">
        <f aca="true">IF(OR(M184&lt;&gt;"Yes",P184&lt;&gt;"",O184="Closed",O184="No Action Required"),"",IF(N184="","Due date missing",IF(N184&lt;TODAY(),"OVERDUE",IF(N184-TODAY()&lt;=2,"Due ≤2d","Open"))))</f>
        <v/>
      </c>
      <c r="S184" s="61"/>
      <c r="T184" s="61"/>
      <c r="U184" s="60"/>
      <c r="V184" s="88" t="str">
        <f aca="false">IF(AND(G184&lt;&gt;"",M184="Yes",P184="",O184&lt;&gt;"Closed",O184&lt;&gt;"No Action Required",O184&lt;&gt;"Responded"),ROW(),"")</f>
        <v/>
      </c>
    </row>
    <row r="185" customFormat="false" ht="15" hidden="false" customHeight="false" outlineLevel="0" collapsed="false">
      <c r="A185" s="56" t="s">
        <v>1335</v>
      </c>
      <c r="B185" s="63"/>
      <c r="C185" s="61"/>
      <c r="D185" s="61"/>
      <c r="E185" s="60"/>
      <c r="F185" s="61"/>
      <c r="G185" s="60"/>
      <c r="H185" s="61"/>
      <c r="I185" s="61"/>
      <c r="J185" s="60"/>
      <c r="K185" s="60"/>
      <c r="L185" s="60"/>
      <c r="M185" s="61"/>
      <c r="N185" s="63"/>
      <c r="O185" s="61"/>
      <c r="P185" s="63"/>
      <c r="Q185" s="87" t="str">
        <f aca="false">IF(OR(B185="",P185=""),"",P185-B185)</f>
        <v/>
      </c>
      <c r="R185" s="62" t="str">
        <f aca="true">IF(OR(M185&lt;&gt;"Yes",P185&lt;&gt;"",O185="Closed",O185="No Action Required"),"",IF(N185="","Due date missing",IF(N185&lt;TODAY(),"OVERDUE",IF(N185-TODAY()&lt;=2,"Due ≤2d","Open"))))</f>
        <v/>
      </c>
      <c r="S185" s="61"/>
      <c r="T185" s="61"/>
      <c r="U185" s="60"/>
      <c r="V185" s="88" t="str">
        <f aca="false">IF(AND(G185&lt;&gt;"",M185="Yes",P185="",O185&lt;&gt;"Closed",O185&lt;&gt;"No Action Required",O185&lt;&gt;"Responded"),ROW(),"")</f>
        <v/>
      </c>
    </row>
    <row r="186" customFormat="false" ht="15" hidden="false" customHeight="false" outlineLevel="0" collapsed="false">
      <c r="A186" s="56" t="s">
        <v>1336</v>
      </c>
      <c r="B186" s="63"/>
      <c r="C186" s="61"/>
      <c r="D186" s="61"/>
      <c r="E186" s="60"/>
      <c r="F186" s="61"/>
      <c r="G186" s="60"/>
      <c r="H186" s="61"/>
      <c r="I186" s="61"/>
      <c r="J186" s="60"/>
      <c r="K186" s="60"/>
      <c r="L186" s="60"/>
      <c r="M186" s="61"/>
      <c r="N186" s="63"/>
      <c r="O186" s="61"/>
      <c r="P186" s="63"/>
      <c r="Q186" s="87" t="str">
        <f aca="false">IF(OR(B186="",P186=""),"",P186-B186)</f>
        <v/>
      </c>
      <c r="R186" s="62" t="str">
        <f aca="true">IF(OR(M186&lt;&gt;"Yes",P186&lt;&gt;"",O186="Closed",O186="No Action Required"),"",IF(N186="","Due date missing",IF(N186&lt;TODAY(),"OVERDUE",IF(N186-TODAY()&lt;=2,"Due ≤2d","Open"))))</f>
        <v/>
      </c>
      <c r="S186" s="61"/>
      <c r="T186" s="61"/>
      <c r="U186" s="60"/>
      <c r="V186" s="88" t="str">
        <f aca="false">IF(AND(G186&lt;&gt;"",M186="Yes",P186="",O186&lt;&gt;"Closed",O186&lt;&gt;"No Action Required",O186&lt;&gt;"Responded"),ROW(),"")</f>
        <v/>
      </c>
    </row>
    <row r="187" customFormat="false" ht="15" hidden="false" customHeight="false" outlineLevel="0" collapsed="false">
      <c r="A187" s="56" t="s">
        <v>1337</v>
      </c>
      <c r="B187" s="63"/>
      <c r="C187" s="61"/>
      <c r="D187" s="61"/>
      <c r="E187" s="60"/>
      <c r="F187" s="61"/>
      <c r="G187" s="60"/>
      <c r="H187" s="61"/>
      <c r="I187" s="61"/>
      <c r="J187" s="60"/>
      <c r="K187" s="60"/>
      <c r="L187" s="60"/>
      <c r="M187" s="61"/>
      <c r="N187" s="63"/>
      <c r="O187" s="61"/>
      <c r="P187" s="63"/>
      <c r="Q187" s="87" t="str">
        <f aca="false">IF(OR(B187="",P187=""),"",P187-B187)</f>
        <v/>
      </c>
      <c r="R187" s="62" t="str">
        <f aca="true">IF(OR(M187&lt;&gt;"Yes",P187&lt;&gt;"",O187="Closed",O187="No Action Required"),"",IF(N187="","Due date missing",IF(N187&lt;TODAY(),"OVERDUE",IF(N187-TODAY()&lt;=2,"Due ≤2d","Open"))))</f>
        <v/>
      </c>
      <c r="S187" s="61"/>
      <c r="T187" s="61"/>
      <c r="U187" s="60"/>
      <c r="V187" s="88" t="str">
        <f aca="false">IF(AND(G187&lt;&gt;"",M187="Yes",P187="",O187&lt;&gt;"Closed",O187&lt;&gt;"No Action Required",O187&lt;&gt;"Responded"),ROW(),"")</f>
        <v/>
      </c>
    </row>
    <row r="188" customFormat="false" ht="15" hidden="false" customHeight="false" outlineLevel="0" collapsed="false">
      <c r="A188" s="56" t="s">
        <v>1338</v>
      </c>
      <c r="B188" s="63"/>
      <c r="C188" s="61"/>
      <c r="D188" s="61"/>
      <c r="E188" s="60"/>
      <c r="F188" s="61"/>
      <c r="G188" s="60"/>
      <c r="H188" s="61"/>
      <c r="I188" s="61"/>
      <c r="J188" s="60"/>
      <c r="K188" s="60"/>
      <c r="L188" s="60"/>
      <c r="M188" s="61"/>
      <c r="N188" s="63"/>
      <c r="O188" s="61"/>
      <c r="P188" s="63"/>
      <c r="Q188" s="87" t="str">
        <f aca="false">IF(OR(B188="",P188=""),"",P188-B188)</f>
        <v/>
      </c>
      <c r="R188" s="62" t="str">
        <f aca="true">IF(OR(M188&lt;&gt;"Yes",P188&lt;&gt;"",O188="Closed",O188="No Action Required"),"",IF(N188="","Due date missing",IF(N188&lt;TODAY(),"OVERDUE",IF(N188-TODAY()&lt;=2,"Due ≤2d","Open"))))</f>
        <v/>
      </c>
      <c r="S188" s="61"/>
      <c r="T188" s="61"/>
      <c r="U188" s="60"/>
      <c r="V188" s="88" t="str">
        <f aca="false">IF(AND(G188&lt;&gt;"",M188="Yes",P188="",O188&lt;&gt;"Closed",O188&lt;&gt;"No Action Required",O188&lt;&gt;"Responded"),ROW(),"")</f>
        <v/>
      </c>
    </row>
    <row r="189" customFormat="false" ht="15" hidden="false" customHeight="false" outlineLevel="0" collapsed="false">
      <c r="A189" s="56" t="s">
        <v>1339</v>
      </c>
      <c r="B189" s="63"/>
      <c r="C189" s="61"/>
      <c r="D189" s="61"/>
      <c r="E189" s="60"/>
      <c r="F189" s="61"/>
      <c r="G189" s="60"/>
      <c r="H189" s="61"/>
      <c r="I189" s="61"/>
      <c r="J189" s="60"/>
      <c r="K189" s="60"/>
      <c r="L189" s="60"/>
      <c r="M189" s="61"/>
      <c r="N189" s="63"/>
      <c r="O189" s="61"/>
      <c r="P189" s="63"/>
      <c r="Q189" s="87" t="str">
        <f aca="false">IF(OR(B189="",P189=""),"",P189-B189)</f>
        <v/>
      </c>
      <c r="R189" s="62" t="str">
        <f aca="true">IF(OR(M189&lt;&gt;"Yes",P189&lt;&gt;"",O189="Closed",O189="No Action Required"),"",IF(N189="","Due date missing",IF(N189&lt;TODAY(),"OVERDUE",IF(N189-TODAY()&lt;=2,"Due ≤2d","Open"))))</f>
        <v/>
      </c>
      <c r="S189" s="61"/>
      <c r="T189" s="61"/>
      <c r="U189" s="60"/>
      <c r="V189" s="88" t="str">
        <f aca="false">IF(AND(G189&lt;&gt;"",M189="Yes",P189="",O189&lt;&gt;"Closed",O189&lt;&gt;"No Action Required",O189&lt;&gt;"Responded"),ROW(),"")</f>
        <v/>
      </c>
    </row>
    <row r="190" customFormat="false" ht="15" hidden="false" customHeight="false" outlineLevel="0" collapsed="false">
      <c r="A190" s="56" t="s">
        <v>1340</v>
      </c>
      <c r="B190" s="63"/>
      <c r="C190" s="61"/>
      <c r="D190" s="61"/>
      <c r="E190" s="60"/>
      <c r="F190" s="61"/>
      <c r="G190" s="60"/>
      <c r="H190" s="61"/>
      <c r="I190" s="61"/>
      <c r="J190" s="60"/>
      <c r="K190" s="60"/>
      <c r="L190" s="60"/>
      <c r="M190" s="61"/>
      <c r="N190" s="63"/>
      <c r="O190" s="61"/>
      <c r="P190" s="63"/>
      <c r="Q190" s="87" t="str">
        <f aca="false">IF(OR(B190="",P190=""),"",P190-B190)</f>
        <v/>
      </c>
      <c r="R190" s="62" t="str">
        <f aca="true">IF(OR(M190&lt;&gt;"Yes",P190&lt;&gt;"",O190="Closed",O190="No Action Required"),"",IF(N190="","Due date missing",IF(N190&lt;TODAY(),"OVERDUE",IF(N190-TODAY()&lt;=2,"Due ≤2d","Open"))))</f>
        <v/>
      </c>
      <c r="S190" s="61"/>
      <c r="T190" s="61"/>
      <c r="U190" s="60"/>
      <c r="V190" s="88" t="str">
        <f aca="false">IF(AND(G190&lt;&gt;"",M190="Yes",P190="",O190&lt;&gt;"Closed",O190&lt;&gt;"No Action Required",O190&lt;&gt;"Responded"),ROW(),"")</f>
        <v/>
      </c>
    </row>
    <row r="191" customFormat="false" ht="15" hidden="false" customHeight="false" outlineLevel="0" collapsed="false">
      <c r="A191" s="56" t="s">
        <v>1341</v>
      </c>
      <c r="B191" s="63"/>
      <c r="C191" s="61"/>
      <c r="D191" s="61"/>
      <c r="E191" s="60"/>
      <c r="F191" s="61"/>
      <c r="G191" s="60"/>
      <c r="H191" s="61"/>
      <c r="I191" s="61"/>
      <c r="J191" s="60"/>
      <c r="K191" s="60"/>
      <c r="L191" s="60"/>
      <c r="M191" s="61"/>
      <c r="N191" s="63"/>
      <c r="O191" s="61"/>
      <c r="P191" s="63"/>
      <c r="Q191" s="87" t="str">
        <f aca="false">IF(OR(B191="",P191=""),"",P191-B191)</f>
        <v/>
      </c>
      <c r="R191" s="62" t="str">
        <f aca="true">IF(OR(M191&lt;&gt;"Yes",P191&lt;&gt;"",O191="Closed",O191="No Action Required"),"",IF(N191="","Due date missing",IF(N191&lt;TODAY(),"OVERDUE",IF(N191-TODAY()&lt;=2,"Due ≤2d","Open"))))</f>
        <v/>
      </c>
      <c r="S191" s="61"/>
      <c r="T191" s="61"/>
      <c r="U191" s="60"/>
      <c r="V191" s="88" t="str">
        <f aca="false">IF(AND(G191&lt;&gt;"",M191="Yes",P191="",O191&lt;&gt;"Closed",O191&lt;&gt;"No Action Required",O191&lt;&gt;"Responded"),ROW(),"")</f>
        <v/>
      </c>
    </row>
    <row r="192" customFormat="false" ht="15" hidden="false" customHeight="false" outlineLevel="0" collapsed="false">
      <c r="A192" s="56" t="s">
        <v>1342</v>
      </c>
      <c r="B192" s="63"/>
      <c r="C192" s="61"/>
      <c r="D192" s="61"/>
      <c r="E192" s="60"/>
      <c r="F192" s="61"/>
      <c r="G192" s="60"/>
      <c r="H192" s="61"/>
      <c r="I192" s="61"/>
      <c r="J192" s="60"/>
      <c r="K192" s="60"/>
      <c r="L192" s="60"/>
      <c r="M192" s="61"/>
      <c r="N192" s="63"/>
      <c r="O192" s="61"/>
      <c r="P192" s="63"/>
      <c r="Q192" s="87" t="str">
        <f aca="false">IF(OR(B192="",P192=""),"",P192-B192)</f>
        <v/>
      </c>
      <c r="R192" s="62" t="str">
        <f aca="true">IF(OR(M192&lt;&gt;"Yes",P192&lt;&gt;"",O192="Closed",O192="No Action Required"),"",IF(N192="","Due date missing",IF(N192&lt;TODAY(),"OVERDUE",IF(N192-TODAY()&lt;=2,"Due ≤2d","Open"))))</f>
        <v/>
      </c>
      <c r="S192" s="61"/>
      <c r="T192" s="61"/>
      <c r="U192" s="60"/>
      <c r="V192" s="88" t="str">
        <f aca="false">IF(AND(G192&lt;&gt;"",M192="Yes",P192="",O192&lt;&gt;"Closed",O192&lt;&gt;"No Action Required",O192&lt;&gt;"Responded"),ROW(),"")</f>
        <v/>
      </c>
    </row>
    <row r="193" customFormat="false" ht="15" hidden="false" customHeight="false" outlineLevel="0" collapsed="false">
      <c r="A193" s="56" t="s">
        <v>1343</v>
      </c>
      <c r="B193" s="63"/>
      <c r="C193" s="61"/>
      <c r="D193" s="61"/>
      <c r="E193" s="60"/>
      <c r="F193" s="61"/>
      <c r="G193" s="60"/>
      <c r="H193" s="61"/>
      <c r="I193" s="61"/>
      <c r="J193" s="60"/>
      <c r="K193" s="60"/>
      <c r="L193" s="60"/>
      <c r="M193" s="61"/>
      <c r="N193" s="63"/>
      <c r="O193" s="61"/>
      <c r="P193" s="63"/>
      <c r="Q193" s="87" t="str">
        <f aca="false">IF(OR(B193="",P193=""),"",P193-B193)</f>
        <v/>
      </c>
      <c r="R193" s="62" t="str">
        <f aca="true">IF(OR(M193&lt;&gt;"Yes",P193&lt;&gt;"",O193="Closed",O193="No Action Required"),"",IF(N193="","Due date missing",IF(N193&lt;TODAY(),"OVERDUE",IF(N193-TODAY()&lt;=2,"Due ≤2d","Open"))))</f>
        <v/>
      </c>
      <c r="S193" s="61"/>
      <c r="T193" s="61"/>
      <c r="U193" s="60"/>
      <c r="V193" s="88" t="str">
        <f aca="false">IF(AND(G193&lt;&gt;"",M193="Yes",P193="",O193&lt;&gt;"Closed",O193&lt;&gt;"No Action Required",O193&lt;&gt;"Responded"),ROW(),"")</f>
        <v/>
      </c>
    </row>
    <row r="194" customFormat="false" ht="15" hidden="false" customHeight="false" outlineLevel="0" collapsed="false">
      <c r="A194" s="56" t="s">
        <v>1344</v>
      </c>
      <c r="B194" s="63"/>
      <c r="C194" s="61"/>
      <c r="D194" s="61"/>
      <c r="E194" s="60"/>
      <c r="F194" s="61"/>
      <c r="G194" s="60"/>
      <c r="H194" s="61"/>
      <c r="I194" s="61"/>
      <c r="J194" s="60"/>
      <c r="K194" s="60"/>
      <c r="L194" s="60"/>
      <c r="M194" s="61"/>
      <c r="N194" s="63"/>
      <c r="O194" s="61"/>
      <c r="P194" s="63"/>
      <c r="Q194" s="87" t="str">
        <f aca="false">IF(OR(B194="",P194=""),"",P194-B194)</f>
        <v/>
      </c>
      <c r="R194" s="62" t="str">
        <f aca="true">IF(OR(M194&lt;&gt;"Yes",P194&lt;&gt;"",O194="Closed",O194="No Action Required"),"",IF(N194="","Due date missing",IF(N194&lt;TODAY(),"OVERDUE",IF(N194-TODAY()&lt;=2,"Due ≤2d","Open"))))</f>
        <v/>
      </c>
      <c r="S194" s="61"/>
      <c r="T194" s="61"/>
      <c r="U194" s="60"/>
      <c r="V194" s="88" t="str">
        <f aca="false">IF(AND(G194&lt;&gt;"",M194="Yes",P194="",O194&lt;&gt;"Closed",O194&lt;&gt;"No Action Required",O194&lt;&gt;"Responded"),ROW(),"")</f>
        <v/>
      </c>
    </row>
    <row r="195" customFormat="false" ht="15" hidden="false" customHeight="false" outlineLevel="0" collapsed="false">
      <c r="A195" s="56" t="s">
        <v>1345</v>
      </c>
      <c r="B195" s="63"/>
      <c r="C195" s="61"/>
      <c r="D195" s="61"/>
      <c r="E195" s="60"/>
      <c r="F195" s="61"/>
      <c r="G195" s="60"/>
      <c r="H195" s="61"/>
      <c r="I195" s="61"/>
      <c r="J195" s="60"/>
      <c r="K195" s="60"/>
      <c r="L195" s="60"/>
      <c r="M195" s="61"/>
      <c r="N195" s="63"/>
      <c r="O195" s="61"/>
      <c r="P195" s="63"/>
      <c r="Q195" s="87" t="str">
        <f aca="false">IF(OR(B195="",P195=""),"",P195-B195)</f>
        <v/>
      </c>
      <c r="R195" s="62" t="str">
        <f aca="true">IF(OR(M195&lt;&gt;"Yes",P195&lt;&gt;"",O195="Closed",O195="No Action Required"),"",IF(N195="","Due date missing",IF(N195&lt;TODAY(),"OVERDUE",IF(N195-TODAY()&lt;=2,"Due ≤2d","Open"))))</f>
        <v/>
      </c>
      <c r="S195" s="61"/>
      <c r="T195" s="61"/>
      <c r="U195" s="60"/>
      <c r="V195" s="88" t="str">
        <f aca="false">IF(AND(G195&lt;&gt;"",M195="Yes",P195="",O195&lt;&gt;"Closed",O195&lt;&gt;"No Action Required",O195&lt;&gt;"Responded"),ROW(),"")</f>
        <v/>
      </c>
    </row>
    <row r="196" customFormat="false" ht="15" hidden="false" customHeight="false" outlineLevel="0" collapsed="false">
      <c r="A196" s="56" t="s">
        <v>1346</v>
      </c>
      <c r="B196" s="63"/>
      <c r="C196" s="61"/>
      <c r="D196" s="61"/>
      <c r="E196" s="60"/>
      <c r="F196" s="61"/>
      <c r="G196" s="60"/>
      <c r="H196" s="61"/>
      <c r="I196" s="61"/>
      <c r="J196" s="60"/>
      <c r="K196" s="60"/>
      <c r="L196" s="60"/>
      <c r="M196" s="61"/>
      <c r="N196" s="63"/>
      <c r="O196" s="61"/>
      <c r="P196" s="63"/>
      <c r="Q196" s="87" t="str">
        <f aca="false">IF(OR(B196="",P196=""),"",P196-B196)</f>
        <v/>
      </c>
      <c r="R196" s="62" t="str">
        <f aca="true">IF(OR(M196&lt;&gt;"Yes",P196&lt;&gt;"",O196="Closed",O196="No Action Required"),"",IF(N196="","Due date missing",IF(N196&lt;TODAY(),"OVERDUE",IF(N196-TODAY()&lt;=2,"Due ≤2d","Open"))))</f>
        <v/>
      </c>
      <c r="S196" s="61"/>
      <c r="T196" s="61"/>
      <c r="U196" s="60"/>
      <c r="V196" s="88" t="str">
        <f aca="false">IF(AND(G196&lt;&gt;"",M196="Yes",P196="",O196&lt;&gt;"Closed",O196&lt;&gt;"No Action Required",O196&lt;&gt;"Responded"),ROW(),"")</f>
        <v/>
      </c>
    </row>
    <row r="197" customFormat="false" ht="15" hidden="false" customHeight="false" outlineLevel="0" collapsed="false">
      <c r="A197" s="56" t="s">
        <v>1347</v>
      </c>
      <c r="B197" s="63"/>
      <c r="C197" s="61"/>
      <c r="D197" s="61"/>
      <c r="E197" s="60"/>
      <c r="F197" s="61"/>
      <c r="G197" s="60"/>
      <c r="H197" s="61"/>
      <c r="I197" s="61"/>
      <c r="J197" s="60"/>
      <c r="K197" s="60"/>
      <c r="L197" s="60"/>
      <c r="M197" s="61"/>
      <c r="N197" s="63"/>
      <c r="O197" s="61"/>
      <c r="P197" s="63"/>
      <c r="Q197" s="87" t="str">
        <f aca="false">IF(OR(B197="",P197=""),"",P197-B197)</f>
        <v/>
      </c>
      <c r="R197" s="62" t="str">
        <f aca="true">IF(OR(M197&lt;&gt;"Yes",P197&lt;&gt;"",O197="Closed",O197="No Action Required"),"",IF(N197="","Due date missing",IF(N197&lt;TODAY(),"OVERDUE",IF(N197-TODAY()&lt;=2,"Due ≤2d","Open"))))</f>
        <v/>
      </c>
      <c r="S197" s="61"/>
      <c r="T197" s="61"/>
      <c r="U197" s="60"/>
      <c r="V197" s="88" t="str">
        <f aca="false">IF(AND(G197&lt;&gt;"",M197="Yes",P197="",O197&lt;&gt;"Closed",O197&lt;&gt;"No Action Required",O197&lt;&gt;"Responded"),ROW(),"")</f>
        <v/>
      </c>
    </row>
    <row r="198" customFormat="false" ht="15" hidden="false" customHeight="false" outlineLevel="0" collapsed="false">
      <c r="A198" s="56" t="s">
        <v>1348</v>
      </c>
      <c r="B198" s="63"/>
      <c r="C198" s="61"/>
      <c r="D198" s="61"/>
      <c r="E198" s="60"/>
      <c r="F198" s="61"/>
      <c r="G198" s="60"/>
      <c r="H198" s="61"/>
      <c r="I198" s="61"/>
      <c r="J198" s="60"/>
      <c r="K198" s="60"/>
      <c r="L198" s="60"/>
      <c r="M198" s="61"/>
      <c r="N198" s="63"/>
      <c r="O198" s="61"/>
      <c r="P198" s="63"/>
      <c r="Q198" s="87" t="str">
        <f aca="false">IF(OR(B198="",P198=""),"",P198-B198)</f>
        <v/>
      </c>
      <c r="R198" s="62" t="str">
        <f aca="true">IF(OR(M198&lt;&gt;"Yes",P198&lt;&gt;"",O198="Closed",O198="No Action Required"),"",IF(N198="","Due date missing",IF(N198&lt;TODAY(),"OVERDUE",IF(N198-TODAY()&lt;=2,"Due ≤2d","Open"))))</f>
        <v/>
      </c>
      <c r="S198" s="61"/>
      <c r="T198" s="61"/>
      <c r="U198" s="60"/>
      <c r="V198" s="88" t="str">
        <f aca="false">IF(AND(G198&lt;&gt;"",M198="Yes",P198="",O198&lt;&gt;"Closed",O198&lt;&gt;"No Action Required",O198&lt;&gt;"Responded"),ROW(),"")</f>
        <v/>
      </c>
    </row>
    <row r="199" customFormat="false" ht="15" hidden="false" customHeight="false" outlineLevel="0" collapsed="false">
      <c r="A199" s="56" t="s">
        <v>1349</v>
      </c>
      <c r="B199" s="63"/>
      <c r="C199" s="61"/>
      <c r="D199" s="61"/>
      <c r="E199" s="60"/>
      <c r="F199" s="61"/>
      <c r="G199" s="60"/>
      <c r="H199" s="61"/>
      <c r="I199" s="61"/>
      <c r="J199" s="60"/>
      <c r="K199" s="60"/>
      <c r="L199" s="60"/>
      <c r="M199" s="61"/>
      <c r="N199" s="63"/>
      <c r="O199" s="61"/>
      <c r="P199" s="63"/>
      <c r="Q199" s="87" t="str">
        <f aca="false">IF(OR(B199="",P199=""),"",P199-B199)</f>
        <v/>
      </c>
      <c r="R199" s="62" t="str">
        <f aca="true">IF(OR(M199&lt;&gt;"Yes",P199&lt;&gt;"",O199="Closed",O199="No Action Required"),"",IF(N199="","Due date missing",IF(N199&lt;TODAY(),"OVERDUE",IF(N199-TODAY()&lt;=2,"Due ≤2d","Open"))))</f>
        <v/>
      </c>
      <c r="S199" s="61"/>
      <c r="T199" s="61"/>
      <c r="U199" s="60"/>
      <c r="V199" s="88" t="str">
        <f aca="false">IF(AND(G199&lt;&gt;"",M199="Yes",P199="",O199&lt;&gt;"Closed",O199&lt;&gt;"No Action Required",O199&lt;&gt;"Responded"),ROW(),"")</f>
        <v/>
      </c>
    </row>
    <row r="200" customFormat="false" ht="15" hidden="false" customHeight="false" outlineLevel="0" collapsed="false">
      <c r="A200" s="56" t="s">
        <v>1350</v>
      </c>
      <c r="B200" s="63"/>
      <c r="C200" s="61"/>
      <c r="D200" s="61"/>
      <c r="E200" s="60"/>
      <c r="F200" s="61"/>
      <c r="G200" s="60"/>
      <c r="H200" s="61"/>
      <c r="I200" s="61"/>
      <c r="J200" s="60"/>
      <c r="K200" s="60"/>
      <c r="L200" s="60"/>
      <c r="M200" s="61"/>
      <c r="N200" s="63"/>
      <c r="O200" s="61"/>
      <c r="P200" s="63"/>
      <c r="Q200" s="87" t="str">
        <f aca="false">IF(OR(B200="",P200=""),"",P200-B200)</f>
        <v/>
      </c>
      <c r="R200" s="62" t="str">
        <f aca="true">IF(OR(M200&lt;&gt;"Yes",P200&lt;&gt;"",O200="Closed",O200="No Action Required"),"",IF(N200="","Due date missing",IF(N200&lt;TODAY(),"OVERDUE",IF(N200-TODAY()&lt;=2,"Due ≤2d","Open"))))</f>
        <v/>
      </c>
      <c r="S200" s="61"/>
      <c r="T200" s="61"/>
      <c r="U200" s="60"/>
      <c r="V200" s="88" t="str">
        <f aca="false">IF(AND(G200&lt;&gt;"",M200="Yes",P200="",O200&lt;&gt;"Closed",O200&lt;&gt;"No Action Required",O200&lt;&gt;"Responded"),ROW(),"")</f>
        <v/>
      </c>
    </row>
    <row r="201" customFormat="false" ht="15" hidden="false" customHeight="false" outlineLevel="0" collapsed="false">
      <c r="A201" s="56" t="s">
        <v>1351</v>
      </c>
      <c r="B201" s="63"/>
      <c r="C201" s="61"/>
      <c r="D201" s="61"/>
      <c r="E201" s="60"/>
      <c r="F201" s="61"/>
      <c r="G201" s="60"/>
      <c r="H201" s="61"/>
      <c r="I201" s="61"/>
      <c r="J201" s="60"/>
      <c r="K201" s="60"/>
      <c r="L201" s="60"/>
      <c r="M201" s="61"/>
      <c r="N201" s="63"/>
      <c r="O201" s="61"/>
      <c r="P201" s="63"/>
      <c r="Q201" s="87" t="str">
        <f aca="false">IF(OR(B201="",P201=""),"",P201-B201)</f>
        <v/>
      </c>
      <c r="R201" s="62" t="str">
        <f aca="true">IF(OR(M201&lt;&gt;"Yes",P201&lt;&gt;"",O201="Closed",O201="No Action Required"),"",IF(N201="","Due date missing",IF(N201&lt;TODAY(),"OVERDUE",IF(N201-TODAY()&lt;=2,"Due ≤2d","Open"))))</f>
        <v/>
      </c>
      <c r="S201" s="61"/>
      <c r="T201" s="61"/>
      <c r="U201" s="60"/>
      <c r="V201" s="88" t="str">
        <f aca="false">IF(AND(G201&lt;&gt;"",M201="Yes",P201="",O201&lt;&gt;"Closed",O201&lt;&gt;"No Action Required",O201&lt;&gt;"Responded"),ROW(),"")</f>
        <v/>
      </c>
    </row>
    <row r="202" customFormat="false" ht="15" hidden="false" customHeight="false" outlineLevel="0" collapsed="false">
      <c r="A202" s="56" t="s">
        <v>1352</v>
      </c>
      <c r="B202" s="63"/>
      <c r="C202" s="61"/>
      <c r="D202" s="61"/>
      <c r="E202" s="60"/>
      <c r="F202" s="61"/>
      <c r="G202" s="60"/>
      <c r="H202" s="61"/>
      <c r="I202" s="61"/>
      <c r="J202" s="60"/>
      <c r="K202" s="60"/>
      <c r="L202" s="60"/>
      <c r="M202" s="61"/>
      <c r="N202" s="63"/>
      <c r="O202" s="61"/>
      <c r="P202" s="63"/>
      <c r="Q202" s="87" t="str">
        <f aca="false">IF(OR(B202="",P202=""),"",P202-B202)</f>
        <v/>
      </c>
      <c r="R202" s="62" t="str">
        <f aca="true">IF(OR(M202&lt;&gt;"Yes",P202&lt;&gt;"",O202="Closed",O202="No Action Required"),"",IF(N202="","Due date missing",IF(N202&lt;TODAY(),"OVERDUE",IF(N202-TODAY()&lt;=2,"Due ≤2d","Open"))))</f>
        <v/>
      </c>
      <c r="S202" s="61"/>
      <c r="T202" s="61"/>
      <c r="U202" s="60"/>
      <c r="V202" s="88" t="str">
        <f aca="false">IF(AND(G202&lt;&gt;"",M202="Yes",P202="",O202&lt;&gt;"Closed",O202&lt;&gt;"No Action Required",O202&lt;&gt;"Responded"),ROW(),"")</f>
        <v/>
      </c>
    </row>
    <row r="203" customFormat="false" ht="15" hidden="false" customHeight="false" outlineLevel="0" collapsed="false">
      <c r="A203" s="56" t="s">
        <v>1353</v>
      </c>
      <c r="B203" s="63"/>
      <c r="C203" s="61"/>
      <c r="D203" s="61"/>
      <c r="E203" s="60"/>
      <c r="F203" s="61"/>
      <c r="G203" s="60"/>
      <c r="H203" s="61"/>
      <c r="I203" s="61"/>
      <c r="J203" s="60"/>
      <c r="K203" s="60"/>
      <c r="L203" s="60"/>
      <c r="M203" s="61"/>
      <c r="N203" s="63"/>
      <c r="O203" s="61"/>
      <c r="P203" s="63"/>
      <c r="Q203" s="87" t="str">
        <f aca="false">IF(OR(B203="",P203=""),"",P203-B203)</f>
        <v/>
      </c>
      <c r="R203" s="62" t="str">
        <f aca="true">IF(OR(M203&lt;&gt;"Yes",P203&lt;&gt;"",O203="Closed",O203="No Action Required"),"",IF(N203="","Due date missing",IF(N203&lt;TODAY(),"OVERDUE",IF(N203-TODAY()&lt;=2,"Due ≤2d","Open"))))</f>
        <v/>
      </c>
      <c r="S203" s="61"/>
      <c r="T203" s="61"/>
      <c r="U203" s="60"/>
      <c r="V203" s="88" t="str">
        <f aca="false">IF(AND(G203&lt;&gt;"",M203="Yes",P203="",O203&lt;&gt;"Closed",O203&lt;&gt;"No Action Required",O203&lt;&gt;"Responded"),ROW(),"")</f>
        <v/>
      </c>
    </row>
    <row r="204" customFormat="false" ht="15" hidden="false" customHeight="false" outlineLevel="0" collapsed="false">
      <c r="A204" s="56" t="s">
        <v>1354</v>
      </c>
      <c r="B204" s="63"/>
      <c r="C204" s="61"/>
      <c r="D204" s="61"/>
      <c r="E204" s="60"/>
      <c r="F204" s="61"/>
      <c r="G204" s="60"/>
      <c r="H204" s="61"/>
      <c r="I204" s="61"/>
      <c r="J204" s="60"/>
      <c r="K204" s="60"/>
      <c r="L204" s="60"/>
      <c r="M204" s="61"/>
      <c r="N204" s="63"/>
      <c r="O204" s="61"/>
      <c r="P204" s="63"/>
      <c r="Q204" s="87" t="str">
        <f aca="false">IF(OR(B204="",P204=""),"",P204-B204)</f>
        <v/>
      </c>
      <c r="R204" s="62" t="str">
        <f aca="true">IF(OR(M204&lt;&gt;"Yes",P204&lt;&gt;"",O204="Closed",O204="No Action Required"),"",IF(N204="","Due date missing",IF(N204&lt;TODAY(),"OVERDUE",IF(N204-TODAY()&lt;=2,"Due ≤2d","Open"))))</f>
        <v/>
      </c>
      <c r="S204" s="61"/>
      <c r="T204" s="61"/>
      <c r="U204" s="60"/>
      <c r="V204" s="88" t="str">
        <f aca="false">IF(AND(G204&lt;&gt;"",M204="Yes",P204="",O204&lt;&gt;"Closed",O204&lt;&gt;"No Action Required",O204&lt;&gt;"Responded"),ROW(),"")</f>
        <v/>
      </c>
    </row>
    <row r="205" customFormat="false" ht="15" hidden="false" customHeight="false" outlineLevel="0" collapsed="false">
      <c r="A205" s="56" t="s">
        <v>1355</v>
      </c>
      <c r="B205" s="63"/>
      <c r="C205" s="61"/>
      <c r="D205" s="61"/>
      <c r="E205" s="60"/>
      <c r="F205" s="61"/>
      <c r="G205" s="60"/>
      <c r="H205" s="61"/>
      <c r="I205" s="61"/>
      <c r="J205" s="60"/>
      <c r="K205" s="60"/>
      <c r="L205" s="60"/>
      <c r="M205" s="61"/>
      <c r="N205" s="63"/>
      <c r="O205" s="61"/>
      <c r="P205" s="63"/>
      <c r="Q205" s="87" t="str">
        <f aca="false">IF(OR(B205="",P205=""),"",P205-B205)</f>
        <v/>
      </c>
      <c r="R205" s="62" t="str">
        <f aca="true">IF(OR(M205&lt;&gt;"Yes",P205&lt;&gt;"",O205="Closed",O205="No Action Required"),"",IF(N205="","Due date missing",IF(N205&lt;TODAY(),"OVERDUE",IF(N205-TODAY()&lt;=2,"Due ≤2d","Open"))))</f>
        <v/>
      </c>
      <c r="S205" s="61"/>
      <c r="T205" s="61"/>
      <c r="U205" s="60"/>
      <c r="V205" s="88" t="str">
        <f aca="false">IF(AND(G205&lt;&gt;"",M205="Yes",P205="",O205&lt;&gt;"Closed",O205&lt;&gt;"No Action Required",O205&lt;&gt;"Responded"),ROW(),"")</f>
        <v/>
      </c>
    </row>
    <row r="206" customFormat="false" ht="15" hidden="false" customHeight="false" outlineLevel="0" collapsed="false">
      <c r="A206" s="56" t="s">
        <v>1356</v>
      </c>
      <c r="B206" s="63"/>
      <c r="C206" s="61"/>
      <c r="D206" s="61"/>
      <c r="E206" s="60"/>
      <c r="F206" s="61"/>
      <c r="G206" s="60"/>
      <c r="H206" s="61"/>
      <c r="I206" s="61"/>
      <c r="J206" s="60"/>
      <c r="K206" s="60"/>
      <c r="L206" s="60"/>
      <c r="M206" s="61"/>
      <c r="N206" s="63"/>
      <c r="O206" s="61"/>
      <c r="P206" s="63"/>
      <c r="Q206" s="87" t="str">
        <f aca="false">IF(OR(B206="",P206=""),"",P206-B206)</f>
        <v/>
      </c>
      <c r="R206" s="62" t="str">
        <f aca="true">IF(OR(M206&lt;&gt;"Yes",P206&lt;&gt;"",O206="Closed",O206="No Action Required"),"",IF(N206="","Due date missing",IF(N206&lt;TODAY(),"OVERDUE",IF(N206-TODAY()&lt;=2,"Due ≤2d","Open"))))</f>
        <v/>
      </c>
      <c r="S206" s="61"/>
      <c r="T206" s="61"/>
      <c r="U206" s="60"/>
      <c r="V206" s="88" t="str">
        <f aca="false">IF(AND(G206&lt;&gt;"",M206="Yes",P206="",O206&lt;&gt;"Closed",O206&lt;&gt;"No Action Required",O206&lt;&gt;"Responded"),ROW(),"")</f>
        <v/>
      </c>
    </row>
    <row r="207" customFormat="false" ht="15" hidden="false" customHeight="false" outlineLevel="0" collapsed="false">
      <c r="A207" s="56" t="s">
        <v>1357</v>
      </c>
      <c r="B207" s="63"/>
      <c r="C207" s="61"/>
      <c r="D207" s="61"/>
      <c r="E207" s="60"/>
      <c r="F207" s="61"/>
      <c r="G207" s="60"/>
      <c r="H207" s="61"/>
      <c r="I207" s="61"/>
      <c r="J207" s="60"/>
      <c r="K207" s="60"/>
      <c r="L207" s="60"/>
      <c r="M207" s="61"/>
      <c r="N207" s="63"/>
      <c r="O207" s="61"/>
      <c r="P207" s="63"/>
      <c r="Q207" s="87" t="str">
        <f aca="false">IF(OR(B207="",P207=""),"",P207-B207)</f>
        <v/>
      </c>
      <c r="R207" s="62" t="str">
        <f aca="true">IF(OR(M207&lt;&gt;"Yes",P207&lt;&gt;"",O207="Closed",O207="No Action Required"),"",IF(N207="","Due date missing",IF(N207&lt;TODAY(),"OVERDUE",IF(N207-TODAY()&lt;=2,"Due ≤2d","Open"))))</f>
        <v/>
      </c>
      <c r="S207" s="61"/>
      <c r="T207" s="61"/>
      <c r="U207" s="60"/>
      <c r="V207" s="88" t="str">
        <f aca="false">IF(AND(G207&lt;&gt;"",M207="Yes",P207="",O207&lt;&gt;"Closed",O207&lt;&gt;"No Action Required",O207&lt;&gt;"Responded"),ROW(),"")</f>
        <v/>
      </c>
    </row>
    <row r="208" customFormat="false" ht="15" hidden="false" customHeight="false" outlineLevel="0" collapsed="false">
      <c r="A208" s="56" t="s">
        <v>1358</v>
      </c>
      <c r="B208" s="63"/>
      <c r="C208" s="61"/>
      <c r="D208" s="61"/>
      <c r="E208" s="60"/>
      <c r="F208" s="61"/>
      <c r="G208" s="60"/>
      <c r="H208" s="61"/>
      <c r="I208" s="61"/>
      <c r="J208" s="60"/>
      <c r="K208" s="60"/>
      <c r="L208" s="60"/>
      <c r="M208" s="61"/>
      <c r="N208" s="63"/>
      <c r="O208" s="61"/>
      <c r="P208" s="63"/>
      <c r="Q208" s="87" t="str">
        <f aca="false">IF(OR(B208="",P208=""),"",P208-B208)</f>
        <v/>
      </c>
      <c r="R208" s="62" t="str">
        <f aca="true">IF(OR(M208&lt;&gt;"Yes",P208&lt;&gt;"",O208="Closed",O208="No Action Required"),"",IF(N208="","Due date missing",IF(N208&lt;TODAY(),"OVERDUE",IF(N208-TODAY()&lt;=2,"Due ≤2d","Open"))))</f>
        <v/>
      </c>
      <c r="S208" s="61"/>
      <c r="T208" s="61"/>
      <c r="U208" s="60"/>
      <c r="V208" s="88" t="str">
        <f aca="false">IF(AND(G208&lt;&gt;"",M208="Yes",P208="",O208&lt;&gt;"Closed",O208&lt;&gt;"No Action Required",O208&lt;&gt;"Responded"),ROW(),"")</f>
        <v/>
      </c>
    </row>
    <row r="209" customFormat="false" ht="15" hidden="false" customHeight="false" outlineLevel="0" collapsed="false">
      <c r="A209" s="56" t="s">
        <v>1359</v>
      </c>
      <c r="B209" s="63"/>
      <c r="C209" s="61"/>
      <c r="D209" s="61"/>
      <c r="E209" s="60"/>
      <c r="F209" s="61"/>
      <c r="G209" s="60"/>
      <c r="H209" s="61"/>
      <c r="I209" s="61"/>
      <c r="J209" s="60"/>
      <c r="K209" s="60"/>
      <c r="L209" s="60"/>
      <c r="M209" s="61"/>
      <c r="N209" s="63"/>
      <c r="O209" s="61"/>
      <c r="P209" s="63"/>
      <c r="Q209" s="87" t="str">
        <f aca="false">IF(OR(B209="",P209=""),"",P209-B209)</f>
        <v/>
      </c>
      <c r="R209" s="62" t="str">
        <f aca="true">IF(OR(M209&lt;&gt;"Yes",P209&lt;&gt;"",O209="Closed",O209="No Action Required"),"",IF(N209="","Due date missing",IF(N209&lt;TODAY(),"OVERDUE",IF(N209-TODAY()&lt;=2,"Due ≤2d","Open"))))</f>
        <v/>
      </c>
      <c r="S209" s="61"/>
      <c r="T209" s="61"/>
      <c r="U209" s="60"/>
      <c r="V209" s="88" t="str">
        <f aca="false">IF(AND(G209&lt;&gt;"",M209="Yes",P209="",O209&lt;&gt;"Closed",O209&lt;&gt;"No Action Required",O209&lt;&gt;"Responded"),ROW(),"")</f>
        <v/>
      </c>
    </row>
    <row r="210" customFormat="false" ht="15" hidden="false" customHeight="false" outlineLevel="0" collapsed="false">
      <c r="A210" s="56" t="s">
        <v>1360</v>
      </c>
      <c r="B210" s="63"/>
      <c r="C210" s="61"/>
      <c r="D210" s="61"/>
      <c r="E210" s="60"/>
      <c r="F210" s="61"/>
      <c r="G210" s="60"/>
      <c r="H210" s="61"/>
      <c r="I210" s="61"/>
      <c r="J210" s="60"/>
      <c r="K210" s="60"/>
      <c r="L210" s="60"/>
      <c r="M210" s="61"/>
      <c r="N210" s="63"/>
      <c r="O210" s="61"/>
      <c r="P210" s="63"/>
      <c r="Q210" s="87" t="str">
        <f aca="false">IF(OR(B210="",P210=""),"",P210-B210)</f>
        <v/>
      </c>
      <c r="R210" s="62" t="str">
        <f aca="true">IF(OR(M210&lt;&gt;"Yes",P210&lt;&gt;"",O210="Closed",O210="No Action Required"),"",IF(N210="","Due date missing",IF(N210&lt;TODAY(),"OVERDUE",IF(N210-TODAY()&lt;=2,"Due ≤2d","Open"))))</f>
        <v/>
      </c>
      <c r="S210" s="61"/>
      <c r="T210" s="61"/>
      <c r="U210" s="60"/>
      <c r="V210" s="88" t="str">
        <f aca="false">IF(AND(G210&lt;&gt;"",M210="Yes",P210="",O210&lt;&gt;"Closed",O210&lt;&gt;"No Action Required",O210&lt;&gt;"Responded"),ROW(),"")</f>
        <v/>
      </c>
    </row>
    <row r="211" customFormat="false" ht="15" hidden="false" customHeight="false" outlineLevel="0" collapsed="false">
      <c r="A211" s="56" t="s">
        <v>1361</v>
      </c>
      <c r="B211" s="63"/>
      <c r="C211" s="61"/>
      <c r="D211" s="61"/>
      <c r="E211" s="60"/>
      <c r="F211" s="61"/>
      <c r="G211" s="60"/>
      <c r="H211" s="61"/>
      <c r="I211" s="61"/>
      <c r="J211" s="60"/>
      <c r="K211" s="60"/>
      <c r="L211" s="60"/>
      <c r="M211" s="61"/>
      <c r="N211" s="63"/>
      <c r="O211" s="61"/>
      <c r="P211" s="63"/>
      <c r="Q211" s="87" t="str">
        <f aca="false">IF(OR(B211="",P211=""),"",P211-B211)</f>
        <v/>
      </c>
      <c r="R211" s="62" t="str">
        <f aca="true">IF(OR(M211&lt;&gt;"Yes",P211&lt;&gt;"",O211="Closed",O211="No Action Required"),"",IF(N211="","Due date missing",IF(N211&lt;TODAY(),"OVERDUE",IF(N211-TODAY()&lt;=2,"Due ≤2d","Open"))))</f>
        <v/>
      </c>
      <c r="S211" s="61"/>
      <c r="T211" s="61"/>
      <c r="U211" s="60"/>
      <c r="V211" s="88" t="str">
        <f aca="false">IF(AND(G211&lt;&gt;"",M211="Yes",P211="",O211&lt;&gt;"Closed",O211&lt;&gt;"No Action Required",O211&lt;&gt;"Responded"),ROW(),"")</f>
        <v/>
      </c>
    </row>
    <row r="212" customFormat="false" ht="15" hidden="false" customHeight="false" outlineLevel="0" collapsed="false">
      <c r="A212" s="56" t="s">
        <v>1362</v>
      </c>
      <c r="B212" s="63"/>
      <c r="C212" s="61"/>
      <c r="D212" s="61"/>
      <c r="E212" s="60"/>
      <c r="F212" s="61"/>
      <c r="G212" s="60"/>
      <c r="H212" s="61"/>
      <c r="I212" s="61"/>
      <c r="J212" s="60"/>
      <c r="K212" s="60"/>
      <c r="L212" s="60"/>
      <c r="M212" s="61"/>
      <c r="N212" s="63"/>
      <c r="O212" s="61"/>
      <c r="P212" s="63"/>
      <c r="Q212" s="87" t="str">
        <f aca="false">IF(OR(B212="",P212=""),"",P212-B212)</f>
        <v/>
      </c>
      <c r="R212" s="62" t="str">
        <f aca="true">IF(OR(M212&lt;&gt;"Yes",P212&lt;&gt;"",O212="Closed",O212="No Action Required"),"",IF(N212="","Due date missing",IF(N212&lt;TODAY(),"OVERDUE",IF(N212-TODAY()&lt;=2,"Due ≤2d","Open"))))</f>
        <v/>
      </c>
      <c r="S212" s="61"/>
      <c r="T212" s="61"/>
      <c r="U212" s="60"/>
      <c r="V212" s="88" t="str">
        <f aca="false">IF(AND(G212&lt;&gt;"",M212="Yes",P212="",O212&lt;&gt;"Closed",O212&lt;&gt;"No Action Required",O212&lt;&gt;"Responded"),ROW(),"")</f>
        <v/>
      </c>
    </row>
    <row r="213" customFormat="false" ht="15" hidden="false" customHeight="false" outlineLevel="0" collapsed="false">
      <c r="A213" s="56" t="s">
        <v>1363</v>
      </c>
      <c r="B213" s="63"/>
      <c r="C213" s="61"/>
      <c r="D213" s="61"/>
      <c r="E213" s="60"/>
      <c r="F213" s="61"/>
      <c r="G213" s="60"/>
      <c r="H213" s="61"/>
      <c r="I213" s="61"/>
      <c r="J213" s="60"/>
      <c r="K213" s="60"/>
      <c r="L213" s="60"/>
      <c r="M213" s="61"/>
      <c r="N213" s="63"/>
      <c r="O213" s="61"/>
      <c r="P213" s="63"/>
      <c r="Q213" s="87" t="str">
        <f aca="false">IF(OR(B213="",P213=""),"",P213-B213)</f>
        <v/>
      </c>
      <c r="R213" s="62" t="str">
        <f aca="true">IF(OR(M213&lt;&gt;"Yes",P213&lt;&gt;"",O213="Closed",O213="No Action Required"),"",IF(N213="","Due date missing",IF(N213&lt;TODAY(),"OVERDUE",IF(N213-TODAY()&lt;=2,"Due ≤2d","Open"))))</f>
        <v/>
      </c>
      <c r="S213" s="61"/>
      <c r="T213" s="61"/>
      <c r="U213" s="60"/>
      <c r="V213" s="88" t="str">
        <f aca="false">IF(AND(G213&lt;&gt;"",M213="Yes",P213="",O213&lt;&gt;"Closed",O213&lt;&gt;"No Action Required",O213&lt;&gt;"Responded"),ROW(),"")</f>
        <v/>
      </c>
    </row>
    <row r="214" customFormat="false" ht="15" hidden="false" customHeight="false" outlineLevel="0" collapsed="false">
      <c r="A214" s="56" t="s">
        <v>1364</v>
      </c>
      <c r="B214" s="63"/>
      <c r="C214" s="61"/>
      <c r="D214" s="61"/>
      <c r="E214" s="60"/>
      <c r="F214" s="61"/>
      <c r="G214" s="60"/>
      <c r="H214" s="61"/>
      <c r="I214" s="61"/>
      <c r="J214" s="60"/>
      <c r="K214" s="60"/>
      <c r="L214" s="60"/>
      <c r="M214" s="61"/>
      <c r="N214" s="63"/>
      <c r="O214" s="61"/>
      <c r="P214" s="63"/>
      <c r="Q214" s="87" t="str">
        <f aca="false">IF(OR(B214="",P214=""),"",P214-B214)</f>
        <v/>
      </c>
      <c r="R214" s="62" t="str">
        <f aca="true">IF(OR(M214&lt;&gt;"Yes",P214&lt;&gt;"",O214="Closed",O214="No Action Required"),"",IF(N214="","Due date missing",IF(N214&lt;TODAY(),"OVERDUE",IF(N214-TODAY()&lt;=2,"Due ≤2d","Open"))))</f>
        <v/>
      </c>
      <c r="S214" s="61"/>
      <c r="T214" s="61"/>
      <c r="U214" s="60"/>
      <c r="V214" s="88" t="str">
        <f aca="false">IF(AND(G214&lt;&gt;"",M214="Yes",P214="",O214&lt;&gt;"Closed",O214&lt;&gt;"No Action Required",O214&lt;&gt;"Responded"),ROW(),"")</f>
        <v/>
      </c>
    </row>
    <row r="215" customFormat="false" ht="15" hidden="false" customHeight="false" outlineLevel="0" collapsed="false">
      <c r="A215" s="56" t="s">
        <v>1365</v>
      </c>
      <c r="B215" s="63"/>
      <c r="C215" s="61"/>
      <c r="D215" s="61"/>
      <c r="E215" s="60"/>
      <c r="F215" s="61"/>
      <c r="G215" s="60"/>
      <c r="H215" s="61"/>
      <c r="I215" s="61"/>
      <c r="J215" s="60"/>
      <c r="K215" s="60"/>
      <c r="L215" s="60"/>
      <c r="M215" s="61"/>
      <c r="N215" s="63"/>
      <c r="O215" s="61"/>
      <c r="P215" s="63"/>
      <c r="Q215" s="87" t="str">
        <f aca="false">IF(OR(B215="",P215=""),"",P215-B215)</f>
        <v/>
      </c>
      <c r="R215" s="62" t="str">
        <f aca="true">IF(OR(M215&lt;&gt;"Yes",P215&lt;&gt;"",O215="Closed",O215="No Action Required"),"",IF(N215="","Due date missing",IF(N215&lt;TODAY(),"OVERDUE",IF(N215-TODAY()&lt;=2,"Due ≤2d","Open"))))</f>
        <v/>
      </c>
      <c r="S215" s="61"/>
      <c r="T215" s="61"/>
      <c r="U215" s="60"/>
      <c r="V215" s="88" t="str">
        <f aca="false">IF(AND(G215&lt;&gt;"",M215="Yes",P215="",O215&lt;&gt;"Closed",O215&lt;&gt;"No Action Required",O215&lt;&gt;"Responded"),ROW(),"")</f>
        <v/>
      </c>
    </row>
    <row r="216" customFormat="false" ht="15" hidden="false" customHeight="false" outlineLevel="0" collapsed="false">
      <c r="A216" s="56" t="s">
        <v>1366</v>
      </c>
      <c r="B216" s="63"/>
      <c r="C216" s="61"/>
      <c r="D216" s="61"/>
      <c r="E216" s="60"/>
      <c r="F216" s="61"/>
      <c r="G216" s="60"/>
      <c r="H216" s="61"/>
      <c r="I216" s="61"/>
      <c r="J216" s="60"/>
      <c r="K216" s="60"/>
      <c r="L216" s="60"/>
      <c r="M216" s="61"/>
      <c r="N216" s="63"/>
      <c r="O216" s="61"/>
      <c r="P216" s="63"/>
      <c r="Q216" s="87" t="str">
        <f aca="false">IF(OR(B216="",P216=""),"",P216-B216)</f>
        <v/>
      </c>
      <c r="R216" s="62" t="str">
        <f aca="true">IF(OR(M216&lt;&gt;"Yes",P216&lt;&gt;"",O216="Closed",O216="No Action Required"),"",IF(N216="","Due date missing",IF(N216&lt;TODAY(),"OVERDUE",IF(N216-TODAY()&lt;=2,"Due ≤2d","Open"))))</f>
        <v/>
      </c>
      <c r="S216" s="61"/>
      <c r="T216" s="61"/>
      <c r="U216" s="60"/>
      <c r="V216" s="88" t="str">
        <f aca="false">IF(AND(G216&lt;&gt;"",M216="Yes",P216="",O216&lt;&gt;"Closed",O216&lt;&gt;"No Action Required",O216&lt;&gt;"Responded"),ROW(),"")</f>
        <v/>
      </c>
    </row>
    <row r="217" customFormat="false" ht="15" hidden="false" customHeight="false" outlineLevel="0" collapsed="false">
      <c r="A217" s="56" t="s">
        <v>1367</v>
      </c>
      <c r="B217" s="63"/>
      <c r="C217" s="61"/>
      <c r="D217" s="61"/>
      <c r="E217" s="60"/>
      <c r="F217" s="61"/>
      <c r="G217" s="60"/>
      <c r="H217" s="61"/>
      <c r="I217" s="61"/>
      <c r="J217" s="60"/>
      <c r="K217" s="60"/>
      <c r="L217" s="60"/>
      <c r="M217" s="61"/>
      <c r="N217" s="63"/>
      <c r="O217" s="61"/>
      <c r="P217" s="63"/>
      <c r="Q217" s="87" t="str">
        <f aca="false">IF(OR(B217="",P217=""),"",P217-B217)</f>
        <v/>
      </c>
      <c r="R217" s="62" t="str">
        <f aca="true">IF(OR(M217&lt;&gt;"Yes",P217&lt;&gt;"",O217="Closed",O217="No Action Required"),"",IF(N217="","Due date missing",IF(N217&lt;TODAY(),"OVERDUE",IF(N217-TODAY()&lt;=2,"Due ≤2d","Open"))))</f>
        <v/>
      </c>
      <c r="S217" s="61"/>
      <c r="T217" s="61"/>
      <c r="U217" s="60"/>
      <c r="V217" s="88" t="str">
        <f aca="false">IF(AND(G217&lt;&gt;"",M217="Yes",P217="",O217&lt;&gt;"Closed",O217&lt;&gt;"No Action Required",O217&lt;&gt;"Responded"),ROW(),"")</f>
        <v/>
      </c>
    </row>
    <row r="218" customFormat="false" ht="15" hidden="false" customHeight="false" outlineLevel="0" collapsed="false">
      <c r="A218" s="56" t="s">
        <v>1368</v>
      </c>
      <c r="B218" s="63"/>
      <c r="C218" s="61"/>
      <c r="D218" s="61"/>
      <c r="E218" s="60"/>
      <c r="F218" s="61"/>
      <c r="G218" s="60"/>
      <c r="H218" s="61"/>
      <c r="I218" s="61"/>
      <c r="J218" s="60"/>
      <c r="K218" s="60"/>
      <c r="L218" s="60"/>
      <c r="M218" s="61"/>
      <c r="N218" s="63"/>
      <c r="O218" s="61"/>
      <c r="P218" s="63"/>
      <c r="Q218" s="87" t="str">
        <f aca="false">IF(OR(B218="",P218=""),"",P218-B218)</f>
        <v/>
      </c>
      <c r="R218" s="62" t="str">
        <f aca="true">IF(OR(M218&lt;&gt;"Yes",P218&lt;&gt;"",O218="Closed",O218="No Action Required"),"",IF(N218="","Due date missing",IF(N218&lt;TODAY(),"OVERDUE",IF(N218-TODAY()&lt;=2,"Due ≤2d","Open"))))</f>
        <v/>
      </c>
      <c r="S218" s="61"/>
      <c r="T218" s="61"/>
      <c r="U218" s="60"/>
      <c r="V218" s="88" t="str">
        <f aca="false">IF(AND(G218&lt;&gt;"",M218="Yes",P218="",O218&lt;&gt;"Closed",O218&lt;&gt;"No Action Required",O218&lt;&gt;"Responded"),ROW(),"")</f>
        <v/>
      </c>
    </row>
    <row r="219" customFormat="false" ht="15" hidden="false" customHeight="false" outlineLevel="0" collapsed="false">
      <c r="A219" s="56" t="s">
        <v>1369</v>
      </c>
      <c r="B219" s="63"/>
      <c r="C219" s="61"/>
      <c r="D219" s="61"/>
      <c r="E219" s="60"/>
      <c r="F219" s="61"/>
      <c r="G219" s="60"/>
      <c r="H219" s="61"/>
      <c r="I219" s="61"/>
      <c r="J219" s="60"/>
      <c r="K219" s="60"/>
      <c r="L219" s="60"/>
      <c r="M219" s="61"/>
      <c r="N219" s="63"/>
      <c r="O219" s="61"/>
      <c r="P219" s="63"/>
      <c r="Q219" s="87" t="str">
        <f aca="false">IF(OR(B219="",P219=""),"",P219-B219)</f>
        <v/>
      </c>
      <c r="R219" s="62" t="str">
        <f aca="true">IF(OR(M219&lt;&gt;"Yes",P219&lt;&gt;"",O219="Closed",O219="No Action Required"),"",IF(N219="","Due date missing",IF(N219&lt;TODAY(),"OVERDUE",IF(N219-TODAY()&lt;=2,"Due ≤2d","Open"))))</f>
        <v/>
      </c>
      <c r="S219" s="61"/>
      <c r="T219" s="61"/>
      <c r="U219" s="60"/>
      <c r="V219" s="88" t="str">
        <f aca="false">IF(AND(G219&lt;&gt;"",M219="Yes",P219="",O219&lt;&gt;"Closed",O219&lt;&gt;"No Action Required",O219&lt;&gt;"Responded"),ROW(),"")</f>
        <v/>
      </c>
    </row>
    <row r="220" customFormat="false" ht="15" hidden="false" customHeight="false" outlineLevel="0" collapsed="false">
      <c r="A220" s="56" t="s">
        <v>1370</v>
      </c>
      <c r="B220" s="63"/>
      <c r="C220" s="61"/>
      <c r="D220" s="61"/>
      <c r="E220" s="60"/>
      <c r="F220" s="61"/>
      <c r="G220" s="60"/>
      <c r="H220" s="61"/>
      <c r="I220" s="61"/>
      <c r="J220" s="60"/>
      <c r="K220" s="60"/>
      <c r="L220" s="60"/>
      <c r="M220" s="61"/>
      <c r="N220" s="63"/>
      <c r="O220" s="61"/>
      <c r="P220" s="63"/>
      <c r="Q220" s="87" t="str">
        <f aca="false">IF(OR(B220="",P220=""),"",P220-B220)</f>
        <v/>
      </c>
      <c r="R220" s="62" t="str">
        <f aca="true">IF(OR(M220&lt;&gt;"Yes",P220&lt;&gt;"",O220="Closed",O220="No Action Required"),"",IF(N220="","Due date missing",IF(N220&lt;TODAY(),"OVERDUE",IF(N220-TODAY()&lt;=2,"Due ≤2d","Open"))))</f>
        <v/>
      </c>
      <c r="S220" s="61"/>
      <c r="T220" s="61"/>
      <c r="U220" s="60"/>
      <c r="V220" s="88" t="str">
        <f aca="false">IF(AND(G220&lt;&gt;"",M220="Yes",P220="",O220&lt;&gt;"Closed",O220&lt;&gt;"No Action Required",O220&lt;&gt;"Responded"),ROW(),"")</f>
        <v/>
      </c>
    </row>
    <row r="221" customFormat="false" ht="15" hidden="false" customHeight="false" outlineLevel="0" collapsed="false">
      <c r="A221" s="56" t="s">
        <v>1371</v>
      </c>
      <c r="B221" s="63"/>
      <c r="C221" s="61"/>
      <c r="D221" s="61"/>
      <c r="E221" s="60"/>
      <c r="F221" s="61"/>
      <c r="G221" s="60"/>
      <c r="H221" s="61"/>
      <c r="I221" s="61"/>
      <c r="J221" s="60"/>
      <c r="K221" s="60"/>
      <c r="L221" s="60"/>
      <c r="M221" s="61"/>
      <c r="N221" s="63"/>
      <c r="O221" s="61"/>
      <c r="P221" s="63"/>
      <c r="Q221" s="87" t="str">
        <f aca="false">IF(OR(B221="",P221=""),"",P221-B221)</f>
        <v/>
      </c>
      <c r="R221" s="62" t="str">
        <f aca="true">IF(OR(M221&lt;&gt;"Yes",P221&lt;&gt;"",O221="Closed",O221="No Action Required"),"",IF(N221="","Due date missing",IF(N221&lt;TODAY(),"OVERDUE",IF(N221-TODAY()&lt;=2,"Due ≤2d","Open"))))</f>
        <v/>
      </c>
      <c r="S221" s="61"/>
      <c r="T221" s="61"/>
      <c r="U221" s="60"/>
      <c r="V221" s="88" t="str">
        <f aca="false">IF(AND(G221&lt;&gt;"",M221="Yes",P221="",O221&lt;&gt;"Closed",O221&lt;&gt;"No Action Required",O221&lt;&gt;"Responded"),ROW(),"")</f>
        <v/>
      </c>
    </row>
    <row r="222" customFormat="false" ht="15" hidden="false" customHeight="false" outlineLevel="0" collapsed="false">
      <c r="A222" s="56" t="s">
        <v>1372</v>
      </c>
      <c r="B222" s="63"/>
      <c r="C222" s="61"/>
      <c r="D222" s="61"/>
      <c r="E222" s="60"/>
      <c r="F222" s="61"/>
      <c r="G222" s="60"/>
      <c r="H222" s="61"/>
      <c r="I222" s="61"/>
      <c r="J222" s="60"/>
      <c r="K222" s="60"/>
      <c r="L222" s="60"/>
      <c r="M222" s="61"/>
      <c r="N222" s="63"/>
      <c r="O222" s="61"/>
      <c r="P222" s="63"/>
      <c r="Q222" s="87" t="str">
        <f aca="false">IF(OR(B222="",P222=""),"",P222-B222)</f>
        <v/>
      </c>
      <c r="R222" s="62" t="str">
        <f aca="true">IF(OR(M222&lt;&gt;"Yes",P222&lt;&gt;"",O222="Closed",O222="No Action Required"),"",IF(N222="","Due date missing",IF(N222&lt;TODAY(),"OVERDUE",IF(N222-TODAY()&lt;=2,"Due ≤2d","Open"))))</f>
        <v/>
      </c>
      <c r="S222" s="61"/>
      <c r="T222" s="61"/>
      <c r="U222" s="60"/>
      <c r="V222" s="88" t="str">
        <f aca="false">IF(AND(G222&lt;&gt;"",M222="Yes",P222="",O222&lt;&gt;"Closed",O222&lt;&gt;"No Action Required",O222&lt;&gt;"Responded"),ROW(),"")</f>
        <v/>
      </c>
    </row>
    <row r="223" customFormat="false" ht="15" hidden="false" customHeight="false" outlineLevel="0" collapsed="false">
      <c r="A223" s="56" t="s">
        <v>1373</v>
      </c>
      <c r="B223" s="63"/>
      <c r="C223" s="61"/>
      <c r="D223" s="61"/>
      <c r="E223" s="60"/>
      <c r="F223" s="61"/>
      <c r="G223" s="60"/>
      <c r="H223" s="61"/>
      <c r="I223" s="61"/>
      <c r="J223" s="60"/>
      <c r="K223" s="60"/>
      <c r="L223" s="60"/>
      <c r="M223" s="61"/>
      <c r="N223" s="63"/>
      <c r="O223" s="61"/>
      <c r="P223" s="63"/>
      <c r="Q223" s="87" t="str">
        <f aca="false">IF(OR(B223="",P223=""),"",P223-B223)</f>
        <v/>
      </c>
      <c r="R223" s="62" t="str">
        <f aca="true">IF(OR(M223&lt;&gt;"Yes",P223&lt;&gt;"",O223="Closed",O223="No Action Required"),"",IF(N223="","Due date missing",IF(N223&lt;TODAY(),"OVERDUE",IF(N223-TODAY()&lt;=2,"Due ≤2d","Open"))))</f>
        <v/>
      </c>
      <c r="S223" s="61"/>
      <c r="T223" s="61"/>
      <c r="U223" s="60"/>
      <c r="V223" s="88" t="str">
        <f aca="false">IF(AND(G223&lt;&gt;"",M223="Yes",P223="",O223&lt;&gt;"Closed",O223&lt;&gt;"No Action Required",O223&lt;&gt;"Responded"),ROW(),"")</f>
        <v/>
      </c>
    </row>
    <row r="224" customFormat="false" ht="15" hidden="false" customHeight="false" outlineLevel="0" collapsed="false">
      <c r="A224" s="56" t="s">
        <v>1374</v>
      </c>
      <c r="B224" s="63"/>
      <c r="C224" s="61"/>
      <c r="D224" s="61"/>
      <c r="E224" s="60"/>
      <c r="F224" s="61"/>
      <c r="G224" s="60"/>
      <c r="H224" s="61"/>
      <c r="I224" s="61"/>
      <c r="J224" s="60"/>
      <c r="K224" s="60"/>
      <c r="L224" s="60"/>
      <c r="M224" s="61"/>
      <c r="N224" s="63"/>
      <c r="O224" s="61"/>
      <c r="P224" s="63"/>
      <c r="Q224" s="87" t="str">
        <f aca="false">IF(OR(B224="",P224=""),"",P224-B224)</f>
        <v/>
      </c>
      <c r="R224" s="62" t="str">
        <f aca="true">IF(OR(M224&lt;&gt;"Yes",P224&lt;&gt;"",O224="Closed",O224="No Action Required"),"",IF(N224="","Due date missing",IF(N224&lt;TODAY(),"OVERDUE",IF(N224-TODAY()&lt;=2,"Due ≤2d","Open"))))</f>
        <v/>
      </c>
      <c r="S224" s="61"/>
      <c r="T224" s="61"/>
      <c r="U224" s="60"/>
      <c r="V224" s="88" t="str">
        <f aca="false">IF(AND(G224&lt;&gt;"",M224="Yes",P224="",O224&lt;&gt;"Closed",O224&lt;&gt;"No Action Required",O224&lt;&gt;"Responded"),ROW(),"")</f>
        <v/>
      </c>
    </row>
    <row r="225" customFormat="false" ht="15" hidden="false" customHeight="false" outlineLevel="0" collapsed="false">
      <c r="A225" s="56" t="s">
        <v>1375</v>
      </c>
      <c r="B225" s="63"/>
      <c r="C225" s="61"/>
      <c r="D225" s="61"/>
      <c r="E225" s="60"/>
      <c r="F225" s="61"/>
      <c r="G225" s="60"/>
      <c r="H225" s="61"/>
      <c r="I225" s="61"/>
      <c r="J225" s="60"/>
      <c r="K225" s="60"/>
      <c r="L225" s="60"/>
      <c r="M225" s="61"/>
      <c r="N225" s="63"/>
      <c r="O225" s="61"/>
      <c r="P225" s="63"/>
      <c r="Q225" s="87" t="str">
        <f aca="false">IF(OR(B225="",P225=""),"",P225-B225)</f>
        <v/>
      </c>
      <c r="R225" s="62" t="str">
        <f aca="true">IF(OR(M225&lt;&gt;"Yes",P225&lt;&gt;"",O225="Closed",O225="No Action Required"),"",IF(N225="","Due date missing",IF(N225&lt;TODAY(),"OVERDUE",IF(N225-TODAY()&lt;=2,"Due ≤2d","Open"))))</f>
        <v/>
      </c>
      <c r="S225" s="61"/>
      <c r="T225" s="61"/>
      <c r="U225" s="60"/>
      <c r="V225" s="88" t="str">
        <f aca="false">IF(AND(G225&lt;&gt;"",M225="Yes",P225="",O225&lt;&gt;"Closed",O225&lt;&gt;"No Action Required",O225&lt;&gt;"Responded"),ROW(),"")</f>
        <v/>
      </c>
    </row>
    <row r="226" customFormat="false" ht="15" hidden="false" customHeight="false" outlineLevel="0" collapsed="false">
      <c r="A226" s="56" t="s">
        <v>1376</v>
      </c>
      <c r="B226" s="63"/>
      <c r="C226" s="61"/>
      <c r="D226" s="61"/>
      <c r="E226" s="60"/>
      <c r="F226" s="61"/>
      <c r="G226" s="60"/>
      <c r="H226" s="61"/>
      <c r="I226" s="61"/>
      <c r="J226" s="60"/>
      <c r="K226" s="60"/>
      <c r="L226" s="60"/>
      <c r="M226" s="61"/>
      <c r="N226" s="63"/>
      <c r="O226" s="61"/>
      <c r="P226" s="63"/>
      <c r="Q226" s="87" t="str">
        <f aca="false">IF(OR(B226="",P226=""),"",P226-B226)</f>
        <v/>
      </c>
      <c r="R226" s="62" t="str">
        <f aca="true">IF(OR(M226&lt;&gt;"Yes",P226&lt;&gt;"",O226="Closed",O226="No Action Required"),"",IF(N226="","Due date missing",IF(N226&lt;TODAY(),"OVERDUE",IF(N226-TODAY()&lt;=2,"Due ≤2d","Open"))))</f>
        <v/>
      </c>
      <c r="S226" s="61"/>
      <c r="T226" s="61"/>
      <c r="U226" s="60"/>
      <c r="V226" s="88" t="str">
        <f aca="false">IF(AND(G226&lt;&gt;"",M226="Yes",P226="",O226&lt;&gt;"Closed",O226&lt;&gt;"No Action Required",O226&lt;&gt;"Responded"),ROW(),"")</f>
        <v/>
      </c>
    </row>
    <row r="227" customFormat="false" ht="15" hidden="false" customHeight="false" outlineLevel="0" collapsed="false">
      <c r="A227" s="56" t="s">
        <v>1377</v>
      </c>
      <c r="B227" s="63"/>
      <c r="C227" s="61"/>
      <c r="D227" s="61"/>
      <c r="E227" s="60"/>
      <c r="F227" s="61"/>
      <c r="G227" s="60"/>
      <c r="H227" s="61"/>
      <c r="I227" s="61"/>
      <c r="J227" s="60"/>
      <c r="K227" s="60"/>
      <c r="L227" s="60"/>
      <c r="M227" s="61"/>
      <c r="N227" s="63"/>
      <c r="O227" s="61"/>
      <c r="P227" s="63"/>
      <c r="Q227" s="87" t="str">
        <f aca="false">IF(OR(B227="",P227=""),"",P227-B227)</f>
        <v/>
      </c>
      <c r="R227" s="62" t="str">
        <f aca="true">IF(OR(M227&lt;&gt;"Yes",P227&lt;&gt;"",O227="Closed",O227="No Action Required"),"",IF(N227="","Due date missing",IF(N227&lt;TODAY(),"OVERDUE",IF(N227-TODAY()&lt;=2,"Due ≤2d","Open"))))</f>
        <v/>
      </c>
      <c r="S227" s="61"/>
      <c r="T227" s="61"/>
      <c r="U227" s="60"/>
      <c r="V227" s="88" t="str">
        <f aca="false">IF(AND(G227&lt;&gt;"",M227="Yes",P227="",O227&lt;&gt;"Closed",O227&lt;&gt;"No Action Required",O227&lt;&gt;"Responded"),ROW(),"")</f>
        <v/>
      </c>
    </row>
    <row r="228" customFormat="false" ht="15" hidden="false" customHeight="false" outlineLevel="0" collapsed="false">
      <c r="A228" s="56" t="s">
        <v>1378</v>
      </c>
      <c r="B228" s="63"/>
      <c r="C228" s="61"/>
      <c r="D228" s="61"/>
      <c r="E228" s="60"/>
      <c r="F228" s="61"/>
      <c r="G228" s="60"/>
      <c r="H228" s="61"/>
      <c r="I228" s="61"/>
      <c r="J228" s="60"/>
      <c r="K228" s="60"/>
      <c r="L228" s="60"/>
      <c r="M228" s="61"/>
      <c r="N228" s="63"/>
      <c r="O228" s="61"/>
      <c r="P228" s="63"/>
      <c r="Q228" s="87" t="str">
        <f aca="false">IF(OR(B228="",P228=""),"",P228-B228)</f>
        <v/>
      </c>
      <c r="R228" s="62" t="str">
        <f aca="true">IF(OR(M228&lt;&gt;"Yes",P228&lt;&gt;"",O228="Closed",O228="No Action Required"),"",IF(N228="","Due date missing",IF(N228&lt;TODAY(),"OVERDUE",IF(N228-TODAY()&lt;=2,"Due ≤2d","Open"))))</f>
        <v/>
      </c>
      <c r="S228" s="61"/>
      <c r="T228" s="61"/>
      <c r="U228" s="60"/>
      <c r="V228" s="88" t="str">
        <f aca="false">IF(AND(G228&lt;&gt;"",M228="Yes",P228="",O228&lt;&gt;"Closed",O228&lt;&gt;"No Action Required",O228&lt;&gt;"Responded"),ROW(),"")</f>
        <v/>
      </c>
    </row>
    <row r="229" customFormat="false" ht="15" hidden="false" customHeight="false" outlineLevel="0" collapsed="false">
      <c r="A229" s="56" t="s">
        <v>1379</v>
      </c>
      <c r="B229" s="63"/>
      <c r="C229" s="61"/>
      <c r="D229" s="61"/>
      <c r="E229" s="60"/>
      <c r="F229" s="61"/>
      <c r="G229" s="60"/>
      <c r="H229" s="61"/>
      <c r="I229" s="61"/>
      <c r="J229" s="60"/>
      <c r="K229" s="60"/>
      <c r="L229" s="60"/>
      <c r="M229" s="61"/>
      <c r="N229" s="63"/>
      <c r="O229" s="61"/>
      <c r="P229" s="63"/>
      <c r="Q229" s="87" t="str">
        <f aca="false">IF(OR(B229="",P229=""),"",P229-B229)</f>
        <v/>
      </c>
      <c r="R229" s="62" t="str">
        <f aca="true">IF(OR(M229&lt;&gt;"Yes",P229&lt;&gt;"",O229="Closed",O229="No Action Required"),"",IF(N229="","Due date missing",IF(N229&lt;TODAY(),"OVERDUE",IF(N229-TODAY()&lt;=2,"Due ≤2d","Open"))))</f>
        <v/>
      </c>
      <c r="S229" s="61"/>
      <c r="T229" s="61"/>
      <c r="U229" s="60"/>
      <c r="V229" s="88" t="str">
        <f aca="false">IF(AND(G229&lt;&gt;"",M229="Yes",P229="",O229&lt;&gt;"Closed",O229&lt;&gt;"No Action Required",O229&lt;&gt;"Responded"),ROW(),"")</f>
        <v/>
      </c>
    </row>
    <row r="230" customFormat="false" ht="15" hidden="false" customHeight="false" outlineLevel="0" collapsed="false">
      <c r="A230" s="56" t="s">
        <v>1380</v>
      </c>
      <c r="B230" s="63"/>
      <c r="C230" s="61"/>
      <c r="D230" s="61"/>
      <c r="E230" s="60"/>
      <c r="F230" s="61"/>
      <c r="G230" s="60"/>
      <c r="H230" s="61"/>
      <c r="I230" s="61"/>
      <c r="J230" s="60"/>
      <c r="K230" s="60"/>
      <c r="L230" s="60"/>
      <c r="M230" s="61"/>
      <c r="N230" s="63"/>
      <c r="O230" s="61"/>
      <c r="P230" s="63"/>
      <c r="Q230" s="87" t="str">
        <f aca="false">IF(OR(B230="",P230=""),"",P230-B230)</f>
        <v/>
      </c>
      <c r="R230" s="62" t="str">
        <f aca="true">IF(OR(M230&lt;&gt;"Yes",P230&lt;&gt;"",O230="Closed",O230="No Action Required"),"",IF(N230="","Due date missing",IF(N230&lt;TODAY(),"OVERDUE",IF(N230-TODAY()&lt;=2,"Due ≤2d","Open"))))</f>
        <v/>
      </c>
      <c r="S230" s="61"/>
      <c r="T230" s="61"/>
      <c r="U230" s="60"/>
      <c r="V230" s="88" t="str">
        <f aca="false">IF(AND(G230&lt;&gt;"",M230="Yes",P230="",O230&lt;&gt;"Closed",O230&lt;&gt;"No Action Required",O230&lt;&gt;"Responded"),ROW(),"")</f>
        <v/>
      </c>
    </row>
    <row r="231" customFormat="false" ht="15" hidden="false" customHeight="false" outlineLevel="0" collapsed="false">
      <c r="A231" s="56" t="s">
        <v>1381</v>
      </c>
      <c r="B231" s="63"/>
      <c r="C231" s="61"/>
      <c r="D231" s="61"/>
      <c r="E231" s="60"/>
      <c r="F231" s="61"/>
      <c r="G231" s="60"/>
      <c r="H231" s="61"/>
      <c r="I231" s="61"/>
      <c r="J231" s="60"/>
      <c r="K231" s="60"/>
      <c r="L231" s="60"/>
      <c r="M231" s="61"/>
      <c r="N231" s="63"/>
      <c r="O231" s="61"/>
      <c r="P231" s="63"/>
      <c r="Q231" s="87" t="str">
        <f aca="false">IF(OR(B231="",P231=""),"",P231-B231)</f>
        <v/>
      </c>
      <c r="R231" s="62" t="str">
        <f aca="true">IF(OR(M231&lt;&gt;"Yes",P231&lt;&gt;"",O231="Closed",O231="No Action Required"),"",IF(N231="","Due date missing",IF(N231&lt;TODAY(),"OVERDUE",IF(N231-TODAY()&lt;=2,"Due ≤2d","Open"))))</f>
        <v/>
      </c>
      <c r="S231" s="61"/>
      <c r="T231" s="61"/>
      <c r="U231" s="60"/>
      <c r="V231" s="88" t="str">
        <f aca="false">IF(AND(G231&lt;&gt;"",M231="Yes",P231="",O231&lt;&gt;"Closed",O231&lt;&gt;"No Action Required",O231&lt;&gt;"Responded"),ROW(),"")</f>
        <v/>
      </c>
    </row>
    <row r="232" customFormat="false" ht="15" hidden="false" customHeight="false" outlineLevel="0" collapsed="false">
      <c r="A232" s="56" t="s">
        <v>1382</v>
      </c>
      <c r="B232" s="63"/>
      <c r="C232" s="61"/>
      <c r="D232" s="61"/>
      <c r="E232" s="60"/>
      <c r="F232" s="61"/>
      <c r="G232" s="60"/>
      <c r="H232" s="61"/>
      <c r="I232" s="61"/>
      <c r="J232" s="60"/>
      <c r="K232" s="60"/>
      <c r="L232" s="60"/>
      <c r="M232" s="61"/>
      <c r="N232" s="63"/>
      <c r="O232" s="61"/>
      <c r="P232" s="63"/>
      <c r="Q232" s="87" t="str">
        <f aca="false">IF(OR(B232="",P232=""),"",P232-B232)</f>
        <v/>
      </c>
      <c r="R232" s="62" t="str">
        <f aca="true">IF(OR(M232&lt;&gt;"Yes",P232&lt;&gt;"",O232="Closed",O232="No Action Required"),"",IF(N232="","Due date missing",IF(N232&lt;TODAY(),"OVERDUE",IF(N232-TODAY()&lt;=2,"Due ≤2d","Open"))))</f>
        <v/>
      </c>
      <c r="S232" s="61"/>
      <c r="T232" s="61"/>
      <c r="U232" s="60"/>
      <c r="V232" s="88" t="str">
        <f aca="false">IF(AND(G232&lt;&gt;"",M232="Yes",P232="",O232&lt;&gt;"Closed",O232&lt;&gt;"No Action Required",O232&lt;&gt;"Responded"),ROW(),"")</f>
        <v/>
      </c>
    </row>
    <row r="233" customFormat="false" ht="15" hidden="false" customHeight="false" outlineLevel="0" collapsed="false">
      <c r="A233" s="56" t="s">
        <v>1383</v>
      </c>
      <c r="B233" s="63"/>
      <c r="C233" s="61"/>
      <c r="D233" s="61"/>
      <c r="E233" s="60"/>
      <c r="F233" s="61"/>
      <c r="G233" s="60"/>
      <c r="H233" s="61"/>
      <c r="I233" s="61"/>
      <c r="J233" s="60"/>
      <c r="K233" s="60"/>
      <c r="L233" s="60"/>
      <c r="M233" s="61"/>
      <c r="N233" s="63"/>
      <c r="O233" s="61"/>
      <c r="P233" s="63"/>
      <c r="Q233" s="87" t="str">
        <f aca="false">IF(OR(B233="",P233=""),"",P233-B233)</f>
        <v/>
      </c>
      <c r="R233" s="62" t="str">
        <f aca="true">IF(OR(M233&lt;&gt;"Yes",P233&lt;&gt;"",O233="Closed",O233="No Action Required"),"",IF(N233="","Due date missing",IF(N233&lt;TODAY(),"OVERDUE",IF(N233-TODAY()&lt;=2,"Due ≤2d","Open"))))</f>
        <v/>
      </c>
      <c r="S233" s="61"/>
      <c r="T233" s="61"/>
      <c r="U233" s="60"/>
      <c r="V233" s="88" t="str">
        <f aca="false">IF(AND(G233&lt;&gt;"",M233="Yes",P233="",O233&lt;&gt;"Closed",O233&lt;&gt;"No Action Required",O233&lt;&gt;"Responded"),ROW(),"")</f>
        <v/>
      </c>
    </row>
    <row r="234" customFormat="false" ht="15" hidden="false" customHeight="false" outlineLevel="0" collapsed="false">
      <c r="A234" s="56" t="s">
        <v>1384</v>
      </c>
      <c r="B234" s="63"/>
      <c r="C234" s="61"/>
      <c r="D234" s="61"/>
      <c r="E234" s="60"/>
      <c r="F234" s="61"/>
      <c r="G234" s="60"/>
      <c r="H234" s="61"/>
      <c r="I234" s="61"/>
      <c r="J234" s="60"/>
      <c r="K234" s="60"/>
      <c r="L234" s="60"/>
      <c r="M234" s="61"/>
      <c r="N234" s="63"/>
      <c r="O234" s="61"/>
      <c r="P234" s="63"/>
      <c r="Q234" s="87" t="str">
        <f aca="false">IF(OR(B234="",P234=""),"",P234-B234)</f>
        <v/>
      </c>
      <c r="R234" s="62" t="str">
        <f aca="true">IF(OR(M234&lt;&gt;"Yes",P234&lt;&gt;"",O234="Closed",O234="No Action Required"),"",IF(N234="","Due date missing",IF(N234&lt;TODAY(),"OVERDUE",IF(N234-TODAY()&lt;=2,"Due ≤2d","Open"))))</f>
        <v/>
      </c>
      <c r="S234" s="61"/>
      <c r="T234" s="61"/>
      <c r="U234" s="60"/>
      <c r="V234" s="88" t="str">
        <f aca="false">IF(AND(G234&lt;&gt;"",M234="Yes",P234="",O234&lt;&gt;"Closed",O234&lt;&gt;"No Action Required",O234&lt;&gt;"Responded"),ROW(),"")</f>
        <v/>
      </c>
    </row>
    <row r="235" customFormat="false" ht="15" hidden="false" customHeight="false" outlineLevel="0" collapsed="false">
      <c r="A235" s="56" t="s">
        <v>1385</v>
      </c>
      <c r="B235" s="63"/>
      <c r="C235" s="61"/>
      <c r="D235" s="61"/>
      <c r="E235" s="60"/>
      <c r="F235" s="61"/>
      <c r="G235" s="60"/>
      <c r="H235" s="61"/>
      <c r="I235" s="61"/>
      <c r="J235" s="60"/>
      <c r="K235" s="60"/>
      <c r="L235" s="60"/>
      <c r="M235" s="61"/>
      <c r="N235" s="63"/>
      <c r="O235" s="61"/>
      <c r="P235" s="63"/>
      <c r="Q235" s="87" t="str">
        <f aca="false">IF(OR(B235="",P235=""),"",P235-B235)</f>
        <v/>
      </c>
      <c r="R235" s="62" t="str">
        <f aca="true">IF(OR(M235&lt;&gt;"Yes",P235&lt;&gt;"",O235="Closed",O235="No Action Required"),"",IF(N235="","Due date missing",IF(N235&lt;TODAY(),"OVERDUE",IF(N235-TODAY()&lt;=2,"Due ≤2d","Open"))))</f>
        <v/>
      </c>
      <c r="S235" s="61"/>
      <c r="T235" s="61"/>
      <c r="U235" s="60"/>
      <c r="V235" s="88" t="str">
        <f aca="false">IF(AND(G235&lt;&gt;"",M235="Yes",P235="",O235&lt;&gt;"Closed",O235&lt;&gt;"No Action Required",O235&lt;&gt;"Responded"),ROW(),"")</f>
        <v/>
      </c>
    </row>
    <row r="236" customFormat="false" ht="15" hidden="false" customHeight="false" outlineLevel="0" collapsed="false">
      <c r="A236" s="56" t="s">
        <v>1386</v>
      </c>
      <c r="B236" s="63"/>
      <c r="C236" s="61"/>
      <c r="D236" s="61"/>
      <c r="E236" s="60"/>
      <c r="F236" s="61"/>
      <c r="G236" s="60"/>
      <c r="H236" s="61"/>
      <c r="I236" s="61"/>
      <c r="J236" s="60"/>
      <c r="K236" s="60"/>
      <c r="L236" s="60"/>
      <c r="M236" s="61"/>
      <c r="N236" s="63"/>
      <c r="O236" s="61"/>
      <c r="P236" s="63"/>
      <c r="Q236" s="87" t="str">
        <f aca="false">IF(OR(B236="",P236=""),"",P236-B236)</f>
        <v/>
      </c>
      <c r="R236" s="62" t="str">
        <f aca="true">IF(OR(M236&lt;&gt;"Yes",P236&lt;&gt;"",O236="Closed",O236="No Action Required"),"",IF(N236="","Due date missing",IF(N236&lt;TODAY(),"OVERDUE",IF(N236-TODAY()&lt;=2,"Due ≤2d","Open"))))</f>
        <v/>
      </c>
      <c r="S236" s="61"/>
      <c r="T236" s="61"/>
      <c r="U236" s="60"/>
      <c r="V236" s="88" t="str">
        <f aca="false">IF(AND(G236&lt;&gt;"",M236="Yes",P236="",O236&lt;&gt;"Closed",O236&lt;&gt;"No Action Required",O236&lt;&gt;"Responded"),ROW(),"")</f>
        <v/>
      </c>
    </row>
    <row r="237" customFormat="false" ht="15" hidden="false" customHeight="false" outlineLevel="0" collapsed="false">
      <c r="A237" s="56" t="s">
        <v>1387</v>
      </c>
      <c r="B237" s="63"/>
      <c r="C237" s="61"/>
      <c r="D237" s="61"/>
      <c r="E237" s="60"/>
      <c r="F237" s="61"/>
      <c r="G237" s="60"/>
      <c r="H237" s="61"/>
      <c r="I237" s="61"/>
      <c r="J237" s="60"/>
      <c r="K237" s="60"/>
      <c r="L237" s="60"/>
      <c r="M237" s="61"/>
      <c r="N237" s="63"/>
      <c r="O237" s="61"/>
      <c r="P237" s="63"/>
      <c r="Q237" s="87" t="str">
        <f aca="false">IF(OR(B237="",P237=""),"",P237-B237)</f>
        <v/>
      </c>
      <c r="R237" s="62" t="str">
        <f aca="true">IF(OR(M237&lt;&gt;"Yes",P237&lt;&gt;"",O237="Closed",O237="No Action Required"),"",IF(N237="","Due date missing",IF(N237&lt;TODAY(),"OVERDUE",IF(N237-TODAY()&lt;=2,"Due ≤2d","Open"))))</f>
        <v/>
      </c>
      <c r="S237" s="61"/>
      <c r="T237" s="61"/>
      <c r="U237" s="60"/>
      <c r="V237" s="88" t="str">
        <f aca="false">IF(AND(G237&lt;&gt;"",M237="Yes",P237="",O237&lt;&gt;"Closed",O237&lt;&gt;"No Action Required",O237&lt;&gt;"Responded"),ROW(),"")</f>
        <v/>
      </c>
    </row>
    <row r="238" customFormat="false" ht="15" hidden="false" customHeight="false" outlineLevel="0" collapsed="false">
      <c r="A238" s="56" t="s">
        <v>1388</v>
      </c>
      <c r="B238" s="63"/>
      <c r="C238" s="61"/>
      <c r="D238" s="61"/>
      <c r="E238" s="60"/>
      <c r="F238" s="61"/>
      <c r="G238" s="60"/>
      <c r="H238" s="61"/>
      <c r="I238" s="61"/>
      <c r="J238" s="60"/>
      <c r="K238" s="60"/>
      <c r="L238" s="60"/>
      <c r="M238" s="61"/>
      <c r="N238" s="63"/>
      <c r="O238" s="61"/>
      <c r="P238" s="63"/>
      <c r="Q238" s="87" t="str">
        <f aca="false">IF(OR(B238="",P238=""),"",P238-B238)</f>
        <v/>
      </c>
      <c r="R238" s="62" t="str">
        <f aca="true">IF(OR(M238&lt;&gt;"Yes",P238&lt;&gt;"",O238="Closed",O238="No Action Required"),"",IF(N238="","Due date missing",IF(N238&lt;TODAY(),"OVERDUE",IF(N238-TODAY()&lt;=2,"Due ≤2d","Open"))))</f>
        <v/>
      </c>
      <c r="S238" s="61"/>
      <c r="T238" s="61"/>
      <c r="U238" s="60"/>
      <c r="V238" s="88" t="str">
        <f aca="false">IF(AND(G238&lt;&gt;"",M238="Yes",P238="",O238&lt;&gt;"Closed",O238&lt;&gt;"No Action Required",O238&lt;&gt;"Responded"),ROW(),"")</f>
        <v/>
      </c>
    </row>
    <row r="239" customFormat="false" ht="15" hidden="false" customHeight="false" outlineLevel="0" collapsed="false">
      <c r="A239" s="56" t="s">
        <v>1389</v>
      </c>
      <c r="B239" s="63"/>
      <c r="C239" s="61"/>
      <c r="D239" s="61"/>
      <c r="E239" s="60"/>
      <c r="F239" s="61"/>
      <c r="G239" s="60"/>
      <c r="H239" s="61"/>
      <c r="I239" s="61"/>
      <c r="J239" s="60"/>
      <c r="K239" s="60"/>
      <c r="L239" s="60"/>
      <c r="M239" s="61"/>
      <c r="N239" s="63"/>
      <c r="O239" s="61"/>
      <c r="P239" s="63"/>
      <c r="Q239" s="87" t="str">
        <f aca="false">IF(OR(B239="",P239=""),"",P239-B239)</f>
        <v/>
      </c>
      <c r="R239" s="62" t="str">
        <f aca="true">IF(OR(M239&lt;&gt;"Yes",P239&lt;&gt;"",O239="Closed",O239="No Action Required"),"",IF(N239="","Due date missing",IF(N239&lt;TODAY(),"OVERDUE",IF(N239-TODAY()&lt;=2,"Due ≤2d","Open"))))</f>
        <v/>
      </c>
      <c r="S239" s="61"/>
      <c r="T239" s="61"/>
      <c r="U239" s="60"/>
      <c r="V239" s="88" t="str">
        <f aca="false">IF(AND(G239&lt;&gt;"",M239="Yes",P239="",O239&lt;&gt;"Closed",O239&lt;&gt;"No Action Required",O239&lt;&gt;"Responded"),ROW(),"")</f>
        <v/>
      </c>
    </row>
    <row r="240" customFormat="false" ht="15" hidden="false" customHeight="false" outlineLevel="0" collapsed="false">
      <c r="A240" s="56" t="s">
        <v>1390</v>
      </c>
      <c r="B240" s="63"/>
      <c r="C240" s="61"/>
      <c r="D240" s="61"/>
      <c r="E240" s="60"/>
      <c r="F240" s="61"/>
      <c r="G240" s="60"/>
      <c r="H240" s="61"/>
      <c r="I240" s="61"/>
      <c r="J240" s="60"/>
      <c r="K240" s="60"/>
      <c r="L240" s="60"/>
      <c r="M240" s="61"/>
      <c r="N240" s="63"/>
      <c r="O240" s="61"/>
      <c r="P240" s="63"/>
      <c r="Q240" s="87" t="str">
        <f aca="false">IF(OR(B240="",P240=""),"",P240-B240)</f>
        <v/>
      </c>
      <c r="R240" s="62" t="str">
        <f aca="true">IF(OR(M240&lt;&gt;"Yes",P240&lt;&gt;"",O240="Closed",O240="No Action Required"),"",IF(N240="","Due date missing",IF(N240&lt;TODAY(),"OVERDUE",IF(N240-TODAY()&lt;=2,"Due ≤2d","Open"))))</f>
        <v/>
      </c>
      <c r="S240" s="61"/>
      <c r="T240" s="61"/>
      <c r="U240" s="60"/>
      <c r="V240" s="88" t="str">
        <f aca="false">IF(AND(G240&lt;&gt;"",M240="Yes",P240="",O240&lt;&gt;"Closed",O240&lt;&gt;"No Action Required",O240&lt;&gt;"Responded"),ROW(),"")</f>
        <v/>
      </c>
    </row>
    <row r="241" customFormat="false" ht="15" hidden="false" customHeight="false" outlineLevel="0" collapsed="false">
      <c r="A241" s="56" t="s">
        <v>1391</v>
      </c>
      <c r="B241" s="63"/>
      <c r="C241" s="61"/>
      <c r="D241" s="61"/>
      <c r="E241" s="60"/>
      <c r="F241" s="61"/>
      <c r="G241" s="60"/>
      <c r="H241" s="61"/>
      <c r="I241" s="61"/>
      <c r="J241" s="60"/>
      <c r="K241" s="60"/>
      <c r="L241" s="60"/>
      <c r="M241" s="61"/>
      <c r="N241" s="63"/>
      <c r="O241" s="61"/>
      <c r="P241" s="63"/>
      <c r="Q241" s="87" t="str">
        <f aca="false">IF(OR(B241="",P241=""),"",P241-B241)</f>
        <v/>
      </c>
      <c r="R241" s="62" t="str">
        <f aca="true">IF(OR(M241&lt;&gt;"Yes",P241&lt;&gt;"",O241="Closed",O241="No Action Required"),"",IF(N241="","Due date missing",IF(N241&lt;TODAY(),"OVERDUE",IF(N241-TODAY()&lt;=2,"Due ≤2d","Open"))))</f>
        <v/>
      </c>
      <c r="S241" s="61"/>
      <c r="T241" s="61"/>
      <c r="U241" s="60"/>
      <c r="V241" s="88" t="str">
        <f aca="false">IF(AND(G241&lt;&gt;"",M241="Yes",P241="",O241&lt;&gt;"Closed",O241&lt;&gt;"No Action Required",O241&lt;&gt;"Responded"),ROW(),"")</f>
        <v/>
      </c>
    </row>
    <row r="242" customFormat="false" ht="15" hidden="false" customHeight="false" outlineLevel="0" collapsed="false">
      <c r="A242" s="56" t="s">
        <v>1392</v>
      </c>
      <c r="B242" s="63"/>
      <c r="C242" s="61"/>
      <c r="D242" s="61"/>
      <c r="E242" s="60"/>
      <c r="F242" s="61"/>
      <c r="G242" s="60"/>
      <c r="H242" s="61"/>
      <c r="I242" s="61"/>
      <c r="J242" s="60"/>
      <c r="K242" s="60"/>
      <c r="L242" s="60"/>
      <c r="M242" s="61"/>
      <c r="N242" s="63"/>
      <c r="O242" s="61"/>
      <c r="P242" s="63"/>
      <c r="Q242" s="87" t="str">
        <f aca="false">IF(OR(B242="",P242=""),"",P242-B242)</f>
        <v/>
      </c>
      <c r="R242" s="62" t="str">
        <f aca="true">IF(OR(M242&lt;&gt;"Yes",P242&lt;&gt;"",O242="Closed",O242="No Action Required"),"",IF(N242="","Due date missing",IF(N242&lt;TODAY(),"OVERDUE",IF(N242-TODAY()&lt;=2,"Due ≤2d","Open"))))</f>
        <v/>
      </c>
      <c r="S242" s="61"/>
      <c r="T242" s="61"/>
      <c r="U242" s="60"/>
      <c r="V242" s="88" t="str">
        <f aca="false">IF(AND(G242&lt;&gt;"",M242="Yes",P242="",O242&lt;&gt;"Closed",O242&lt;&gt;"No Action Required",O242&lt;&gt;"Responded"),ROW(),"")</f>
        <v/>
      </c>
    </row>
    <row r="243" customFormat="false" ht="15" hidden="false" customHeight="false" outlineLevel="0" collapsed="false">
      <c r="A243" s="56" t="s">
        <v>1393</v>
      </c>
      <c r="B243" s="63"/>
      <c r="C243" s="61"/>
      <c r="D243" s="61"/>
      <c r="E243" s="60"/>
      <c r="F243" s="61"/>
      <c r="G243" s="60"/>
      <c r="H243" s="61"/>
      <c r="I243" s="61"/>
      <c r="J243" s="60"/>
      <c r="K243" s="60"/>
      <c r="L243" s="60"/>
      <c r="M243" s="61"/>
      <c r="N243" s="63"/>
      <c r="O243" s="61"/>
      <c r="P243" s="63"/>
      <c r="Q243" s="87" t="str">
        <f aca="false">IF(OR(B243="",P243=""),"",P243-B243)</f>
        <v/>
      </c>
      <c r="R243" s="62" t="str">
        <f aca="true">IF(OR(M243&lt;&gt;"Yes",P243&lt;&gt;"",O243="Closed",O243="No Action Required"),"",IF(N243="","Due date missing",IF(N243&lt;TODAY(),"OVERDUE",IF(N243-TODAY()&lt;=2,"Due ≤2d","Open"))))</f>
        <v/>
      </c>
      <c r="S243" s="61"/>
      <c r="T243" s="61"/>
      <c r="U243" s="60"/>
      <c r="V243" s="88" t="str">
        <f aca="false">IF(AND(G243&lt;&gt;"",M243="Yes",P243="",O243&lt;&gt;"Closed",O243&lt;&gt;"No Action Required",O243&lt;&gt;"Responded"),ROW(),"")</f>
        <v/>
      </c>
    </row>
    <row r="244" customFormat="false" ht="15" hidden="false" customHeight="false" outlineLevel="0" collapsed="false">
      <c r="A244" s="56" t="s">
        <v>1394</v>
      </c>
      <c r="B244" s="63"/>
      <c r="C244" s="61"/>
      <c r="D244" s="61"/>
      <c r="E244" s="60"/>
      <c r="F244" s="61"/>
      <c r="G244" s="60"/>
      <c r="H244" s="61"/>
      <c r="I244" s="61"/>
      <c r="J244" s="60"/>
      <c r="K244" s="60"/>
      <c r="L244" s="60"/>
      <c r="M244" s="61"/>
      <c r="N244" s="63"/>
      <c r="O244" s="61"/>
      <c r="P244" s="63"/>
      <c r="Q244" s="87" t="str">
        <f aca="false">IF(OR(B244="",P244=""),"",P244-B244)</f>
        <v/>
      </c>
      <c r="R244" s="62" t="str">
        <f aca="true">IF(OR(M244&lt;&gt;"Yes",P244&lt;&gt;"",O244="Closed",O244="No Action Required"),"",IF(N244="","Due date missing",IF(N244&lt;TODAY(),"OVERDUE",IF(N244-TODAY()&lt;=2,"Due ≤2d","Open"))))</f>
        <v/>
      </c>
      <c r="S244" s="61"/>
      <c r="T244" s="61"/>
      <c r="U244" s="60"/>
      <c r="V244" s="88" t="str">
        <f aca="false">IF(AND(G244&lt;&gt;"",M244="Yes",P244="",O244&lt;&gt;"Closed",O244&lt;&gt;"No Action Required",O244&lt;&gt;"Responded"),ROW(),"")</f>
        <v/>
      </c>
    </row>
    <row r="245" customFormat="false" ht="15" hidden="false" customHeight="false" outlineLevel="0" collapsed="false">
      <c r="A245" s="56" t="s">
        <v>1395</v>
      </c>
      <c r="B245" s="63"/>
      <c r="C245" s="61"/>
      <c r="D245" s="61"/>
      <c r="E245" s="60"/>
      <c r="F245" s="61"/>
      <c r="G245" s="60"/>
      <c r="H245" s="61"/>
      <c r="I245" s="61"/>
      <c r="J245" s="60"/>
      <c r="K245" s="60"/>
      <c r="L245" s="60"/>
      <c r="M245" s="61"/>
      <c r="N245" s="63"/>
      <c r="O245" s="61"/>
      <c r="P245" s="63"/>
      <c r="Q245" s="87" t="str">
        <f aca="false">IF(OR(B245="",P245=""),"",P245-B245)</f>
        <v/>
      </c>
      <c r="R245" s="62" t="str">
        <f aca="true">IF(OR(M245&lt;&gt;"Yes",P245&lt;&gt;"",O245="Closed",O245="No Action Required"),"",IF(N245="","Due date missing",IF(N245&lt;TODAY(),"OVERDUE",IF(N245-TODAY()&lt;=2,"Due ≤2d","Open"))))</f>
        <v/>
      </c>
      <c r="S245" s="61"/>
      <c r="T245" s="61"/>
      <c r="U245" s="60"/>
      <c r="V245" s="88" t="str">
        <f aca="false">IF(AND(G245&lt;&gt;"",M245="Yes",P245="",O245&lt;&gt;"Closed",O245&lt;&gt;"No Action Required",O245&lt;&gt;"Responded"),ROW(),"")</f>
        <v/>
      </c>
    </row>
    <row r="246" customFormat="false" ht="15" hidden="false" customHeight="false" outlineLevel="0" collapsed="false">
      <c r="A246" s="56" t="s">
        <v>1396</v>
      </c>
      <c r="B246" s="63"/>
      <c r="C246" s="61"/>
      <c r="D246" s="61"/>
      <c r="E246" s="60"/>
      <c r="F246" s="61"/>
      <c r="G246" s="60"/>
      <c r="H246" s="61"/>
      <c r="I246" s="61"/>
      <c r="J246" s="60"/>
      <c r="K246" s="60"/>
      <c r="L246" s="60"/>
      <c r="M246" s="61"/>
      <c r="N246" s="63"/>
      <c r="O246" s="61"/>
      <c r="P246" s="63"/>
      <c r="Q246" s="87" t="str">
        <f aca="false">IF(OR(B246="",P246=""),"",P246-B246)</f>
        <v/>
      </c>
      <c r="R246" s="62" t="str">
        <f aca="true">IF(OR(M246&lt;&gt;"Yes",P246&lt;&gt;"",O246="Closed",O246="No Action Required"),"",IF(N246="","Due date missing",IF(N246&lt;TODAY(),"OVERDUE",IF(N246-TODAY()&lt;=2,"Due ≤2d","Open"))))</f>
        <v/>
      </c>
      <c r="S246" s="61"/>
      <c r="T246" s="61"/>
      <c r="U246" s="60"/>
      <c r="V246" s="88" t="str">
        <f aca="false">IF(AND(G246&lt;&gt;"",M246="Yes",P246="",O246&lt;&gt;"Closed",O246&lt;&gt;"No Action Required",O246&lt;&gt;"Responded"),ROW(),"")</f>
        <v/>
      </c>
    </row>
    <row r="247" customFormat="false" ht="15" hidden="false" customHeight="false" outlineLevel="0" collapsed="false">
      <c r="A247" s="56" t="s">
        <v>1397</v>
      </c>
      <c r="B247" s="63"/>
      <c r="C247" s="61"/>
      <c r="D247" s="61"/>
      <c r="E247" s="60"/>
      <c r="F247" s="61"/>
      <c r="G247" s="60"/>
      <c r="H247" s="61"/>
      <c r="I247" s="61"/>
      <c r="J247" s="60"/>
      <c r="K247" s="60"/>
      <c r="L247" s="60"/>
      <c r="M247" s="61"/>
      <c r="N247" s="63"/>
      <c r="O247" s="61"/>
      <c r="P247" s="63"/>
      <c r="Q247" s="87" t="str">
        <f aca="false">IF(OR(B247="",P247=""),"",P247-B247)</f>
        <v/>
      </c>
      <c r="R247" s="62" t="str">
        <f aca="true">IF(OR(M247&lt;&gt;"Yes",P247&lt;&gt;"",O247="Closed",O247="No Action Required"),"",IF(N247="","Due date missing",IF(N247&lt;TODAY(),"OVERDUE",IF(N247-TODAY()&lt;=2,"Due ≤2d","Open"))))</f>
        <v/>
      </c>
      <c r="S247" s="61"/>
      <c r="T247" s="61"/>
      <c r="U247" s="60"/>
      <c r="V247" s="88" t="str">
        <f aca="false">IF(AND(G247&lt;&gt;"",M247="Yes",P247="",O247&lt;&gt;"Closed",O247&lt;&gt;"No Action Required",O247&lt;&gt;"Responded"),ROW(),"")</f>
        <v/>
      </c>
    </row>
    <row r="248" customFormat="false" ht="15" hidden="false" customHeight="false" outlineLevel="0" collapsed="false">
      <c r="A248" s="56" t="s">
        <v>1398</v>
      </c>
      <c r="B248" s="63"/>
      <c r="C248" s="61"/>
      <c r="D248" s="61"/>
      <c r="E248" s="60"/>
      <c r="F248" s="61"/>
      <c r="G248" s="60"/>
      <c r="H248" s="61"/>
      <c r="I248" s="61"/>
      <c r="J248" s="60"/>
      <c r="K248" s="60"/>
      <c r="L248" s="60"/>
      <c r="M248" s="61"/>
      <c r="N248" s="63"/>
      <c r="O248" s="61"/>
      <c r="P248" s="63"/>
      <c r="Q248" s="87" t="str">
        <f aca="false">IF(OR(B248="",P248=""),"",P248-B248)</f>
        <v/>
      </c>
      <c r="R248" s="62" t="str">
        <f aca="true">IF(OR(M248&lt;&gt;"Yes",P248&lt;&gt;"",O248="Closed",O248="No Action Required"),"",IF(N248="","Due date missing",IF(N248&lt;TODAY(),"OVERDUE",IF(N248-TODAY()&lt;=2,"Due ≤2d","Open"))))</f>
        <v/>
      </c>
      <c r="S248" s="61"/>
      <c r="T248" s="61"/>
      <c r="U248" s="60"/>
      <c r="V248" s="88" t="str">
        <f aca="false">IF(AND(G248&lt;&gt;"",M248="Yes",P248="",O248&lt;&gt;"Closed",O248&lt;&gt;"No Action Required",O248&lt;&gt;"Responded"),ROW(),"")</f>
        <v/>
      </c>
    </row>
    <row r="249" customFormat="false" ht="15" hidden="false" customHeight="false" outlineLevel="0" collapsed="false">
      <c r="A249" s="56" t="s">
        <v>1399</v>
      </c>
      <c r="B249" s="63"/>
      <c r="C249" s="61"/>
      <c r="D249" s="61"/>
      <c r="E249" s="60"/>
      <c r="F249" s="61"/>
      <c r="G249" s="60"/>
      <c r="H249" s="61"/>
      <c r="I249" s="61"/>
      <c r="J249" s="60"/>
      <c r="K249" s="60"/>
      <c r="L249" s="60"/>
      <c r="M249" s="61"/>
      <c r="N249" s="63"/>
      <c r="O249" s="61"/>
      <c r="P249" s="63"/>
      <c r="Q249" s="87" t="str">
        <f aca="false">IF(OR(B249="",P249=""),"",P249-B249)</f>
        <v/>
      </c>
      <c r="R249" s="62" t="str">
        <f aca="true">IF(OR(M249&lt;&gt;"Yes",P249&lt;&gt;"",O249="Closed",O249="No Action Required"),"",IF(N249="","Due date missing",IF(N249&lt;TODAY(),"OVERDUE",IF(N249-TODAY()&lt;=2,"Due ≤2d","Open"))))</f>
        <v/>
      </c>
      <c r="S249" s="61"/>
      <c r="T249" s="61"/>
      <c r="U249" s="60"/>
      <c r="V249" s="88" t="str">
        <f aca="false">IF(AND(G249&lt;&gt;"",M249="Yes",P249="",O249&lt;&gt;"Closed",O249&lt;&gt;"No Action Required",O249&lt;&gt;"Responded"),ROW(),"")</f>
        <v/>
      </c>
    </row>
    <row r="250" customFormat="false" ht="15" hidden="false" customHeight="false" outlineLevel="0" collapsed="false">
      <c r="A250" s="56" t="s">
        <v>1400</v>
      </c>
      <c r="B250" s="63"/>
      <c r="C250" s="61"/>
      <c r="D250" s="61"/>
      <c r="E250" s="60"/>
      <c r="F250" s="61"/>
      <c r="G250" s="60"/>
      <c r="H250" s="61"/>
      <c r="I250" s="61"/>
      <c r="J250" s="60"/>
      <c r="K250" s="60"/>
      <c r="L250" s="60"/>
      <c r="M250" s="61"/>
      <c r="N250" s="63"/>
      <c r="O250" s="61"/>
      <c r="P250" s="63"/>
      <c r="Q250" s="87" t="str">
        <f aca="false">IF(OR(B250="",P250=""),"",P250-B250)</f>
        <v/>
      </c>
      <c r="R250" s="62" t="str">
        <f aca="true">IF(OR(M250&lt;&gt;"Yes",P250&lt;&gt;"",O250="Closed",O250="No Action Required"),"",IF(N250="","Due date missing",IF(N250&lt;TODAY(),"OVERDUE",IF(N250-TODAY()&lt;=2,"Due ≤2d","Open"))))</f>
        <v/>
      </c>
      <c r="S250" s="61"/>
      <c r="T250" s="61"/>
      <c r="U250" s="60"/>
      <c r="V250" s="88" t="str">
        <f aca="false">IF(AND(G250&lt;&gt;"",M250="Yes",P250="",O250&lt;&gt;"Closed",O250&lt;&gt;"No Action Required",O250&lt;&gt;"Responded"),ROW(),"")</f>
        <v/>
      </c>
    </row>
    <row r="251" customFormat="false" ht="15" hidden="false" customHeight="false" outlineLevel="0" collapsed="false">
      <c r="A251" s="56" t="s">
        <v>1401</v>
      </c>
      <c r="B251" s="63"/>
      <c r="C251" s="61"/>
      <c r="D251" s="61"/>
      <c r="E251" s="60"/>
      <c r="F251" s="61"/>
      <c r="G251" s="60"/>
      <c r="H251" s="61"/>
      <c r="I251" s="61"/>
      <c r="J251" s="60"/>
      <c r="K251" s="60"/>
      <c r="L251" s="60"/>
      <c r="M251" s="61"/>
      <c r="N251" s="63"/>
      <c r="O251" s="61"/>
      <c r="P251" s="63"/>
      <c r="Q251" s="87" t="str">
        <f aca="false">IF(OR(B251="",P251=""),"",P251-B251)</f>
        <v/>
      </c>
      <c r="R251" s="62" t="str">
        <f aca="true">IF(OR(M251&lt;&gt;"Yes",P251&lt;&gt;"",O251="Closed",O251="No Action Required"),"",IF(N251="","Due date missing",IF(N251&lt;TODAY(),"OVERDUE",IF(N251-TODAY()&lt;=2,"Due ≤2d","Open"))))</f>
        <v/>
      </c>
      <c r="S251" s="61"/>
      <c r="T251" s="61"/>
      <c r="U251" s="60"/>
      <c r="V251" s="88" t="str">
        <f aca="false">IF(AND(G251&lt;&gt;"",M251="Yes",P251="",O251&lt;&gt;"Closed",O251&lt;&gt;"No Action Required",O251&lt;&gt;"Responded"),ROW(),"")</f>
        <v/>
      </c>
    </row>
    <row r="252" customFormat="false" ht="15" hidden="false" customHeight="false" outlineLevel="0" collapsed="false">
      <c r="A252" s="56" t="s">
        <v>1402</v>
      </c>
      <c r="B252" s="63"/>
      <c r="C252" s="61"/>
      <c r="D252" s="61"/>
      <c r="E252" s="60"/>
      <c r="F252" s="61"/>
      <c r="G252" s="60"/>
      <c r="H252" s="61"/>
      <c r="I252" s="61"/>
      <c r="J252" s="60"/>
      <c r="K252" s="60"/>
      <c r="L252" s="60"/>
      <c r="M252" s="61"/>
      <c r="N252" s="63"/>
      <c r="O252" s="61"/>
      <c r="P252" s="63"/>
      <c r="Q252" s="87" t="str">
        <f aca="false">IF(OR(B252="",P252=""),"",P252-B252)</f>
        <v/>
      </c>
      <c r="R252" s="62" t="str">
        <f aca="true">IF(OR(M252&lt;&gt;"Yes",P252&lt;&gt;"",O252="Closed",O252="No Action Required"),"",IF(N252="","Due date missing",IF(N252&lt;TODAY(),"OVERDUE",IF(N252-TODAY()&lt;=2,"Due ≤2d","Open"))))</f>
        <v/>
      </c>
      <c r="S252" s="61"/>
      <c r="T252" s="61"/>
      <c r="U252" s="60"/>
      <c r="V252" s="88" t="str">
        <f aca="false">IF(AND(G252&lt;&gt;"",M252="Yes",P252="",O252&lt;&gt;"Closed",O252&lt;&gt;"No Action Required",O252&lt;&gt;"Responded"),ROW(),"")</f>
        <v/>
      </c>
    </row>
    <row r="253" customFormat="false" ht="15" hidden="false" customHeight="false" outlineLevel="0" collapsed="false">
      <c r="A253" s="56" t="s">
        <v>1403</v>
      </c>
      <c r="B253" s="63"/>
      <c r="C253" s="61"/>
      <c r="D253" s="61"/>
      <c r="E253" s="60"/>
      <c r="F253" s="61"/>
      <c r="G253" s="60"/>
      <c r="H253" s="61"/>
      <c r="I253" s="61"/>
      <c r="J253" s="60"/>
      <c r="K253" s="60"/>
      <c r="L253" s="60"/>
      <c r="M253" s="61"/>
      <c r="N253" s="63"/>
      <c r="O253" s="61"/>
      <c r="P253" s="63"/>
      <c r="Q253" s="87" t="str">
        <f aca="false">IF(OR(B253="",P253=""),"",P253-B253)</f>
        <v/>
      </c>
      <c r="R253" s="62" t="str">
        <f aca="true">IF(OR(M253&lt;&gt;"Yes",P253&lt;&gt;"",O253="Closed",O253="No Action Required"),"",IF(N253="","Due date missing",IF(N253&lt;TODAY(),"OVERDUE",IF(N253-TODAY()&lt;=2,"Due ≤2d","Open"))))</f>
        <v/>
      </c>
      <c r="S253" s="61"/>
      <c r="T253" s="61"/>
      <c r="U253" s="60"/>
      <c r="V253" s="88" t="str">
        <f aca="false">IF(AND(G253&lt;&gt;"",M253="Yes",P253="",O253&lt;&gt;"Closed",O253&lt;&gt;"No Action Required",O253&lt;&gt;"Responded"),ROW(),"")</f>
        <v/>
      </c>
    </row>
    <row r="254" customFormat="false" ht="15" hidden="false" customHeight="false" outlineLevel="0" collapsed="false">
      <c r="A254" s="56" t="s">
        <v>1404</v>
      </c>
      <c r="B254" s="63"/>
      <c r="C254" s="61"/>
      <c r="D254" s="61"/>
      <c r="E254" s="60"/>
      <c r="F254" s="61"/>
      <c r="G254" s="60"/>
      <c r="H254" s="61"/>
      <c r="I254" s="61"/>
      <c r="J254" s="60"/>
      <c r="K254" s="60"/>
      <c r="L254" s="60"/>
      <c r="M254" s="61"/>
      <c r="N254" s="63"/>
      <c r="O254" s="61"/>
      <c r="P254" s="63"/>
      <c r="Q254" s="87" t="str">
        <f aca="false">IF(OR(B254="",P254=""),"",P254-B254)</f>
        <v/>
      </c>
      <c r="R254" s="62" t="str">
        <f aca="true">IF(OR(M254&lt;&gt;"Yes",P254&lt;&gt;"",O254="Closed",O254="No Action Required"),"",IF(N254="","Due date missing",IF(N254&lt;TODAY(),"OVERDUE",IF(N254-TODAY()&lt;=2,"Due ≤2d","Open"))))</f>
        <v/>
      </c>
      <c r="S254" s="61"/>
      <c r="T254" s="61"/>
      <c r="U254" s="60"/>
      <c r="V254" s="88" t="str">
        <f aca="false">IF(AND(G254&lt;&gt;"",M254="Yes",P254="",O254&lt;&gt;"Closed",O254&lt;&gt;"No Action Required",O254&lt;&gt;"Responded"),ROW(),"")</f>
        <v/>
      </c>
    </row>
    <row r="255" customFormat="false" ht="15" hidden="false" customHeight="false" outlineLevel="0" collapsed="false">
      <c r="A255" s="56" t="s">
        <v>1405</v>
      </c>
      <c r="B255" s="63"/>
      <c r="C255" s="61"/>
      <c r="D255" s="61"/>
      <c r="E255" s="60"/>
      <c r="F255" s="61"/>
      <c r="G255" s="60"/>
      <c r="H255" s="61"/>
      <c r="I255" s="61"/>
      <c r="J255" s="60"/>
      <c r="K255" s="60"/>
      <c r="L255" s="60"/>
      <c r="M255" s="61"/>
      <c r="N255" s="63"/>
      <c r="O255" s="61"/>
      <c r="P255" s="63"/>
      <c r="Q255" s="87" t="str">
        <f aca="false">IF(OR(B255="",P255=""),"",P255-B255)</f>
        <v/>
      </c>
      <c r="R255" s="62" t="str">
        <f aca="true">IF(OR(M255&lt;&gt;"Yes",P255&lt;&gt;"",O255="Closed",O255="No Action Required"),"",IF(N255="","Due date missing",IF(N255&lt;TODAY(),"OVERDUE",IF(N255-TODAY()&lt;=2,"Due ≤2d","Open"))))</f>
        <v/>
      </c>
      <c r="S255" s="61"/>
      <c r="T255" s="61"/>
      <c r="U255" s="60"/>
      <c r="V255" s="88" t="str">
        <f aca="false">IF(AND(G255&lt;&gt;"",M255="Yes",P255="",O255&lt;&gt;"Closed",O255&lt;&gt;"No Action Required",O255&lt;&gt;"Responded"),ROW(),"")</f>
        <v/>
      </c>
    </row>
    <row r="256" customFormat="false" ht="15" hidden="false" customHeight="false" outlineLevel="0" collapsed="false">
      <c r="A256" s="56" t="s">
        <v>1406</v>
      </c>
      <c r="B256" s="63"/>
      <c r="C256" s="61"/>
      <c r="D256" s="61"/>
      <c r="E256" s="60"/>
      <c r="F256" s="61"/>
      <c r="G256" s="60"/>
      <c r="H256" s="61"/>
      <c r="I256" s="61"/>
      <c r="J256" s="60"/>
      <c r="K256" s="60"/>
      <c r="L256" s="60"/>
      <c r="M256" s="61"/>
      <c r="N256" s="63"/>
      <c r="O256" s="61"/>
      <c r="P256" s="63"/>
      <c r="Q256" s="87" t="str">
        <f aca="false">IF(OR(B256="",P256=""),"",P256-B256)</f>
        <v/>
      </c>
      <c r="R256" s="62" t="str">
        <f aca="true">IF(OR(M256&lt;&gt;"Yes",P256&lt;&gt;"",O256="Closed",O256="No Action Required"),"",IF(N256="","Due date missing",IF(N256&lt;TODAY(),"OVERDUE",IF(N256-TODAY()&lt;=2,"Due ≤2d","Open"))))</f>
        <v/>
      </c>
      <c r="S256" s="61"/>
      <c r="T256" s="61"/>
      <c r="U256" s="60"/>
      <c r="V256" s="88" t="str">
        <f aca="false">IF(AND(G256&lt;&gt;"",M256="Yes",P256="",O256&lt;&gt;"Closed",O256&lt;&gt;"No Action Required",O256&lt;&gt;"Responded"),ROW(),"")</f>
        <v/>
      </c>
    </row>
    <row r="257" customFormat="false" ht="15" hidden="false" customHeight="false" outlineLevel="0" collapsed="false">
      <c r="A257" s="56" t="s">
        <v>1407</v>
      </c>
      <c r="B257" s="63"/>
      <c r="C257" s="61"/>
      <c r="D257" s="61"/>
      <c r="E257" s="60"/>
      <c r="F257" s="61"/>
      <c r="G257" s="60"/>
      <c r="H257" s="61"/>
      <c r="I257" s="61"/>
      <c r="J257" s="60"/>
      <c r="K257" s="60"/>
      <c r="L257" s="60"/>
      <c r="M257" s="61"/>
      <c r="N257" s="63"/>
      <c r="O257" s="61"/>
      <c r="P257" s="63"/>
      <c r="Q257" s="87" t="str">
        <f aca="false">IF(OR(B257="",P257=""),"",P257-B257)</f>
        <v/>
      </c>
      <c r="R257" s="62" t="str">
        <f aca="true">IF(OR(M257&lt;&gt;"Yes",P257&lt;&gt;"",O257="Closed",O257="No Action Required"),"",IF(N257="","Due date missing",IF(N257&lt;TODAY(),"OVERDUE",IF(N257-TODAY()&lt;=2,"Due ≤2d","Open"))))</f>
        <v/>
      </c>
      <c r="S257" s="61"/>
      <c r="T257" s="61"/>
      <c r="U257" s="60"/>
      <c r="V257" s="88" t="str">
        <f aca="false">IF(AND(G257&lt;&gt;"",M257="Yes",P257="",O257&lt;&gt;"Closed",O257&lt;&gt;"No Action Required",O257&lt;&gt;"Responded"),ROW(),"")</f>
        <v/>
      </c>
    </row>
    <row r="258" customFormat="false" ht="15" hidden="false" customHeight="false" outlineLevel="0" collapsed="false">
      <c r="A258" s="56" t="s">
        <v>1408</v>
      </c>
      <c r="B258" s="63"/>
      <c r="C258" s="61"/>
      <c r="D258" s="61"/>
      <c r="E258" s="60"/>
      <c r="F258" s="61"/>
      <c r="G258" s="60"/>
      <c r="H258" s="61"/>
      <c r="I258" s="61"/>
      <c r="J258" s="60"/>
      <c r="K258" s="60"/>
      <c r="L258" s="60"/>
      <c r="M258" s="61"/>
      <c r="N258" s="63"/>
      <c r="O258" s="61"/>
      <c r="P258" s="63"/>
      <c r="Q258" s="87" t="str">
        <f aca="false">IF(OR(B258="",P258=""),"",P258-B258)</f>
        <v/>
      </c>
      <c r="R258" s="62" t="str">
        <f aca="true">IF(OR(M258&lt;&gt;"Yes",P258&lt;&gt;"",O258="Closed",O258="No Action Required"),"",IF(N258="","Due date missing",IF(N258&lt;TODAY(),"OVERDUE",IF(N258-TODAY()&lt;=2,"Due ≤2d","Open"))))</f>
        <v/>
      </c>
      <c r="S258" s="61"/>
      <c r="T258" s="61"/>
      <c r="U258" s="60"/>
      <c r="V258" s="88" t="str">
        <f aca="false">IF(AND(G258&lt;&gt;"",M258="Yes",P258="",O258&lt;&gt;"Closed",O258&lt;&gt;"No Action Required",O258&lt;&gt;"Responded"),ROW(),"")</f>
        <v/>
      </c>
    </row>
    <row r="259" customFormat="false" ht="15" hidden="false" customHeight="false" outlineLevel="0" collapsed="false">
      <c r="A259" s="56" t="s">
        <v>1409</v>
      </c>
      <c r="B259" s="63"/>
      <c r="C259" s="61"/>
      <c r="D259" s="61"/>
      <c r="E259" s="60"/>
      <c r="F259" s="61"/>
      <c r="G259" s="60"/>
      <c r="H259" s="61"/>
      <c r="I259" s="61"/>
      <c r="J259" s="60"/>
      <c r="K259" s="60"/>
      <c r="L259" s="60"/>
      <c r="M259" s="61"/>
      <c r="N259" s="63"/>
      <c r="O259" s="61"/>
      <c r="P259" s="63"/>
      <c r="Q259" s="87" t="str">
        <f aca="false">IF(OR(B259="",P259=""),"",P259-B259)</f>
        <v/>
      </c>
      <c r="R259" s="62" t="str">
        <f aca="true">IF(OR(M259&lt;&gt;"Yes",P259&lt;&gt;"",O259="Closed",O259="No Action Required"),"",IF(N259="","Due date missing",IF(N259&lt;TODAY(),"OVERDUE",IF(N259-TODAY()&lt;=2,"Due ≤2d","Open"))))</f>
        <v/>
      </c>
      <c r="S259" s="61"/>
      <c r="T259" s="61"/>
      <c r="U259" s="60"/>
      <c r="V259" s="88" t="str">
        <f aca="false">IF(AND(G259&lt;&gt;"",M259="Yes",P259="",O259&lt;&gt;"Closed",O259&lt;&gt;"No Action Required",O259&lt;&gt;"Responded"),ROW(),"")</f>
        <v/>
      </c>
    </row>
    <row r="260" customFormat="false" ht="15" hidden="false" customHeight="false" outlineLevel="0" collapsed="false">
      <c r="A260" s="56" t="s">
        <v>1410</v>
      </c>
      <c r="B260" s="63"/>
      <c r="C260" s="61"/>
      <c r="D260" s="61"/>
      <c r="E260" s="60"/>
      <c r="F260" s="61"/>
      <c r="G260" s="60"/>
      <c r="H260" s="61"/>
      <c r="I260" s="61"/>
      <c r="J260" s="60"/>
      <c r="K260" s="60"/>
      <c r="L260" s="60"/>
      <c r="M260" s="61"/>
      <c r="N260" s="63"/>
      <c r="O260" s="61"/>
      <c r="P260" s="63"/>
      <c r="Q260" s="87" t="str">
        <f aca="false">IF(OR(B260="",P260=""),"",P260-B260)</f>
        <v/>
      </c>
      <c r="R260" s="62" t="str">
        <f aca="true">IF(OR(M260&lt;&gt;"Yes",P260&lt;&gt;"",O260="Closed",O260="No Action Required"),"",IF(N260="","Due date missing",IF(N260&lt;TODAY(),"OVERDUE",IF(N260-TODAY()&lt;=2,"Due ≤2d","Open"))))</f>
        <v/>
      </c>
      <c r="S260" s="61"/>
      <c r="T260" s="61"/>
      <c r="U260" s="60"/>
      <c r="V260" s="88" t="str">
        <f aca="false">IF(AND(G260&lt;&gt;"",M260="Yes",P260="",O260&lt;&gt;"Closed",O260&lt;&gt;"No Action Required",O260&lt;&gt;"Responded"),ROW(),"")</f>
        <v/>
      </c>
    </row>
    <row r="261" customFormat="false" ht="15" hidden="false" customHeight="false" outlineLevel="0" collapsed="false">
      <c r="A261" s="56" t="s">
        <v>1411</v>
      </c>
      <c r="B261" s="63"/>
      <c r="C261" s="61"/>
      <c r="D261" s="61"/>
      <c r="E261" s="60"/>
      <c r="F261" s="61"/>
      <c r="G261" s="60"/>
      <c r="H261" s="61"/>
      <c r="I261" s="61"/>
      <c r="J261" s="60"/>
      <c r="K261" s="60"/>
      <c r="L261" s="60"/>
      <c r="M261" s="61"/>
      <c r="N261" s="63"/>
      <c r="O261" s="61"/>
      <c r="P261" s="63"/>
      <c r="Q261" s="87" t="str">
        <f aca="false">IF(OR(B261="",P261=""),"",P261-B261)</f>
        <v/>
      </c>
      <c r="R261" s="62" t="str">
        <f aca="true">IF(OR(M261&lt;&gt;"Yes",P261&lt;&gt;"",O261="Closed",O261="No Action Required"),"",IF(N261="","Due date missing",IF(N261&lt;TODAY(),"OVERDUE",IF(N261-TODAY()&lt;=2,"Due ≤2d","Open"))))</f>
        <v/>
      </c>
      <c r="S261" s="61"/>
      <c r="T261" s="61"/>
      <c r="U261" s="60"/>
      <c r="V261" s="88" t="str">
        <f aca="false">IF(AND(G261&lt;&gt;"",M261="Yes",P261="",O261&lt;&gt;"Closed",O261&lt;&gt;"No Action Required",O261&lt;&gt;"Responded"),ROW(),"")</f>
        <v/>
      </c>
    </row>
    <row r="262" customFormat="false" ht="15" hidden="false" customHeight="false" outlineLevel="0" collapsed="false">
      <c r="A262" s="56" t="s">
        <v>1412</v>
      </c>
      <c r="B262" s="63"/>
      <c r="C262" s="61"/>
      <c r="D262" s="61"/>
      <c r="E262" s="60"/>
      <c r="F262" s="61"/>
      <c r="G262" s="60"/>
      <c r="H262" s="61"/>
      <c r="I262" s="61"/>
      <c r="J262" s="60"/>
      <c r="K262" s="60"/>
      <c r="L262" s="60"/>
      <c r="M262" s="61"/>
      <c r="N262" s="63"/>
      <c r="O262" s="61"/>
      <c r="P262" s="63"/>
      <c r="Q262" s="87" t="str">
        <f aca="false">IF(OR(B262="",P262=""),"",P262-B262)</f>
        <v/>
      </c>
      <c r="R262" s="62" t="str">
        <f aca="true">IF(OR(M262&lt;&gt;"Yes",P262&lt;&gt;"",O262="Closed",O262="No Action Required"),"",IF(N262="","Due date missing",IF(N262&lt;TODAY(),"OVERDUE",IF(N262-TODAY()&lt;=2,"Due ≤2d","Open"))))</f>
        <v/>
      </c>
      <c r="S262" s="61"/>
      <c r="T262" s="61"/>
      <c r="U262" s="60"/>
      <c r="V262" s="88" t="str">
        <f aca="false">IF(AND(G262&lt;&gt;"",M262="Yes",P262="",O262&lt;&gt;"Closed",O262&lt;&gt;"No Action Required",O262&lt;&gt;"Responded"),ROW(),"")</f>
        <v/>
      </c>
    </row>
    <row r="263" customFormat="false" ht="15" hidden="false" customHeight="false" outlineLevel="0" collapsed="false">
      <c r="A263" s="56" t="s">
        <v>1413</v>
      </c>
      <c r="B263" s="63"/>
      <c r="C263" s="61"/>
      <c r="D263" s="61"/>
      <c r="E263" s="60"/>
      <c r="F263" s="61"/>
      <c r="G263" s="60"/>
      <c r="H263" s="61"/>
      <c r="I263" s="61"/>
      <c r="J263" s="60"/>
      <c r="K263" s="60"/>
      <c r="L263" s="60"/>
      <c r="M263" s="61"/>
      <c r="N263" s="63"/>
      <c r="O263" s="61"/>
      <c r="P263" s="63"/>
      <c r="Q263" s="87" t="str">
        <f aca="false">IF(OR(B263="",P263=""),"",P263-B263)</f>
        <v/>
      </c>
      <c r="R263" s="62" t="str">
        <f aca="true">IF(OR(M263&lt;&gt;"Yes",P263&lt;&gt;"",O263="Closed",O263="No Action Required"),"",IF(N263="","Due date missing",IF(N263&lt;TODAY(),"OVERDUE",IF(N263-TODAY()&lt;=2,"Due ≤2d","Open"))))</f>
        <v/>
      </c>
      <c r="S263" s="61"/>
      <c r="T263" s="61"/>
      <c r="U263" s="60"/>
      <c r="V263" s="88" t="str">
        <f aca="false">IF(AND(G263&lt;&gt;"",M263="Yes",P263="",O263&lt;&gt;"Closed",O263&lt;&gt;"No Action Required",O263&lt;&gt;"Responded"),ROW(),"")</f>
        <v/>
      </c>
    </row>
    <row r="264" customFormat="false" ht="15" hidden="false" customHeight="false" outlineLevel="0" collapsed="false">
      <c r="A264" s="56" t="s">
        <v>1414</v>
      </c>
      <c r="B264" s="63"/>
      <c r="C264" s="61"/>
      <c r="D264" s="61"/>
      <c r="E264" s="60"/>
      <c r="F264" s="61"/>
      <c r="G264" s="60"/>
      <c r="H264" s="61"/>
      <c r="I264" s="61"/>
      <c r="J264" s="60"/>
      <c r="K264" s="60"/>
      <c r="L264" s="60"/>
      <c r="M264" s="61"/>
      <c r="N264" s="63"/>
      <c r="O264" s="61"/>
      <c r="P264" s="63"/>
      <c r="Q264" s="87" t="str">
        <f aca="false">IF(OR(B264="",P264=""),"",P264-B264)</f>
        <v/>
      </c>
      <c r="R264" s="62" t="str">
        <f aca="true">IF(OR(M264&lt;&gt;"Yes",P264&lt;&gt;"",O264="Closed",O264="No Action Required"),"",IF(N264="","Due date missing",IF(N264&lt;TODAY(),"OVERDUE",IF(N264-TODAY()&lt;=2,"Due ≤2d","Open"))))</f>
        <v/>
      </c>
      <c r="S264" s="61"/>
      <c r="T264" s="61"/>
      <c r="U264" s="60"/>
      <c r="V264" s="88" t="str">
        <f aca="false">IF(AND(G264&lt;&gt;"",M264="Yes",P264="",O264&lt;&gt;"Closed",O264&lt;&gt;"No Action Required",O264&lt;&gt;"Responded"),ROW(),"")</f>
        <v/>
      </c>
    </row>
    <row r="265" customFormat="false" ht="15" hidden="false" customHeight="false" outlineLevel="0" collapsed="false">
      <c r="A265" s="56" t="s">
        <v>1415</v>
      </c>
      <c r="B265" s="63"/>
      <c r="C265" s="61"/>
      <c r="D265" s="61"/>
      <c r="E265" s="60"/>
      <c r="F265" s="61"/>
      <c r="G265" s="60"/>
      <c r="H265" s="61"/>
      <c r="I265" s="61"/>
      <c r="J265" s="60"/>
      <c r="K265" s="60"/>
      <c r="L265" s="60"/>
      <c r="M265" s="61"/>
      <c r="N265" s="63"/>
      <c r="O265" s="61"/>
      <c r="P265" s="63"/>
      <c r="Q265" s="87" t="str">
        <f aca="false">IF(OR(B265="",P265=""),"",P265-B265)</f>
        <v/>
      </c>
      <c r="R265" s="62" t="str">
        <f aca="true">IF(OR(M265&lt;&gt;"Yes",P265&lt;&gt;"",O265="Closed",O265="No Action Required"),"",IF(N265="","Due date missing",IF(N265&lt;TODAY(),"OVERDUE",IF(N265-TODAY()&lt;=2,"Due ≤2d","Open"))))</f>
        <v/>
      </c>
      <c r="S265" s="61"/>
      <c r="T265" s="61"/>
      <c r="U265" s="60"/>
      <c r="V265" s="88" t="str">
        <f aca="false">IF(AND(G265&lt;&gt;"",M265="Yes",P265="",O265&lt;&gt;"Closed",O265&lt;&gt;"No Action Required",O265&lt;&gt;"Responded"),ROW(),"")</f>
        <v/>
      </c>
    </row>
    <row r="266" customFormat="false" ht="15" hidden="false" customHeight="false" outlineLevel="0" collapsed="false">
      <c r="A266" s="56" t="s">
        <v>1416</v>
      </c>
      <c r="B266" s="63"/>
      <c r="C266" s="61"/>
      <c r="D266" s="61"/>
      <c r="E266" s="60"/>
      <c r="F266" s="61"/>
      <c r="G266" s="60"/>
      <c r="H266" s="61"/>
      <c r="I266" s="61"/>
      <c r="J266" s="60"/>
      <c r="K266" s="60"/>
      <c r="L266" s="60"/>
      <c r="M266" s="61"/>
      <c r="N266" s="63"/>
      <c r="O266" s="61"/>
      <c r="P266" s="63"/>
      <c r="Q266" s="87" t="str">
        <f aca="false">IF(OR(B266="",P266=""),"",P266-B266)</f>
        <v/>
      </c>
      <c r="R266" s="62" t="str">
        <f aca="true">IF(OR(M266&lt;&gt;"Yes",P266&lt;&gt;"",O266="Closed",O266="No Action Required"),"",IF(N266="","Due date missing",IF(N266&lt;TODAY(),"OVERDUE",IF(N266-TODAY()&lt;=2,"Due ≤2d","Open"))))</f>
        <v/>
      </c>
      <c r="S266" s="61"/>
      <c r="T266" s="61"/>
      <c r="U266" s="60"/>
      <c r="V266" s="88" t="str">
        <f aca="false">IF(AND(G266&lt;&gt;"",M266="Yes",P266="",O266&lt;&gt;"Closed",O266&lt;&gt;"No Action Required",O266&lt;&gt;"Responded"),ROW(),"")</f>
        <v/>
      </c>
    </row>
    <row r="267" customFormat="false" ht="15" hidden="false" customHeight="false" outlineLevel="0" collapsed="false">
      <c r="A267" s="56" t="s">
        <v>1417</v>
      </c>
      <c r="B267" s="63"/>
      <c r="C267" s="61"/>
      <c r="D267" s="61"/>
      <c r="E267" s="60"/>
      <c r="F267" s="61"/>
      <c r="G267" s="60"/>
      <c r="H267" s="61"/>
      <c r="I267" s="61"/>
      <c r="J267" s="60"/>
      <c r="K267" s="60"/>
      <c r="L267" s="60"/>
      <c r="M267" s="61"/>
      <c r="N267" s="63"/>
      <c r="O267" s="61"/>
      <c r="P267" s="63"/>
      <c r="Q267" s="87" t="str">
        <f aca="false">IF(OR(B267="",P267=""),"",P267-B267)</f>
        <v/>
      </c>
      <c r="R267" s="62" t="str">
        <f aca="true">IF(OR(M267&lt;&gt;"Yes",P267&lt;&gt;"",O267="Closed",O267="No Action Required"),"",IF(N267="","Due date missing",IF(N267&lt;TODAY(),"OVERDUE",IF(N267-TODAY()&lt;=2,"Due ≤2d","Open"))))</f>
        <v/>
      </c>
      <c r="S267" s="61"/>
      <c r="T267" s="61"/>
      <c r="U267" s="60"/>
      <c r="V267" s="88" t="str">
        <f aca="false">IF(AND(G267&lt;&gt;"",M267="Yes",P267="",O267&lt;&gt;"Closed",O267&lt;&gt;"No Action Required",O267&lt;&gt;"Responded"),ROW(),"")</f>
        <v/>
      </c>
    </row>
    <row r="268" customFormat="false" ht="15" hidden="false" customHeight="false" outlineLevel="0" collapsed="false">
      <c r="A268" s="56" t="s">
        <v>1418</v>
      </c>
      <c r="B268" s="63"/>
      <c r="C268" s="61"/>
      <c r="D268" s="61"/>
      <c r="E268" s="60"/>
      <c r="F268" s="61"/>
      <c r="G268" s="60"/>
      <c r="H268" s="61"/>
      <c r="I268" s="61"/>
      <c r="J268" s="60"/>
      <c r="K268" s="60"/>
      <c r="L268" s="60"/>
      <c r="M268" s="61"/>
      <c r="N268" s="63"/>
      <c r="O268" s="61"/>
      <c r="P268" s="63"/>
      <c r="Q268" s="87" t="str">
        <f aca="false">IF(OR(B268="",P268=""),"",P268-B268)</f>
        <v/>
      </c>
      <c r="R268" s="62" t="str">
        <f aca="true">IF(OR(M268&lt;&gt;"Yes",P268&lt;&gt;"",O268="Closed",O268="No Action Required"),"",IF(N268="","Due date missing",IF(N268&lt;TODAY(),"OVERDUE",IF(N268-TODAY()&lt;=2,"Due ≤2d","Open"))))</f>
        <v/>
      </c>
      <c r="S268" s="61"/>
      <c r="T268" s="61"/>
      <c r="U268" s="60"/>
      <c r="V268" s="88" t="str">
        <f aca="false">IF(AND(G268&lt;&gt;"",M268="Yes",P268="",O268&lt;&gt;"Closed",O268&lt;&gt;"No Action Required",O268&lt;&gt;"Responded"),ROW(),"")</f>
        <v/>
      </c>
    </row>
    <row r="269" customFormat="false" ht="15" hidden="false" customHeight="false" outlineLevel="0" collapsed="false">
      <c r="A269" s="56" t="s">
        <v>1419</v>
      </c>
      <c r="B269" s="63"/>
      <c r="C269" s="61"/>
      <c r="D269" s="61"/>
      <c r="E269" s="60"/>
      <c r="F269" s="61"/>
      <c r="G269" s="60"/>
      <c r="H269" s="61"/>
      <c r="I269" s="61"/>
      <c r="J269" s="60"/>
      <c r="K269" s="60"/>
      <c r="L269" s="60"/>
      <c r="M269" s="61"/>
      <c r="N269" s="63"/>
      <c r="O269" s="61"/>
      <c r="P269" s="63"/>
      <c r="Q269" s="87" t="str">
        <f aca="false">IF(OR(B269="",P269=""),"",P269-B269)</f>
        <v/>
      </c>
      <c r="R269" s="62" t="str">
        <f aca="true">IF(OR(M269&lt;&gt;"Yes",P269&lt;&gt;"",O269="Closed",O269="No Action Required"),"",IF(N269="","Due date missing",IF(N269&lt;TODAY(),"OVERDUE",IF(N269-TODAY()&lt;=2,"Due ≤2d","Open"))))</f>
        <v/>
      </c>
      <c r="S269" s="61"/>
      <c r="T269" s="61"/>
      <c r="U269" s="60"/>
      <c r="V269" s="88" t="str">
        <f aca="false">IF(AND(G269&lt;&gt;"",M269="Yes",P269="",O269&lt;&gt;"Closed",O269&lt;&gt;"No Action Required",O269&lt;&gt;"Responded"),ROW(),"")</f>
        <v/>
      </c>
    </row>
    <row r="270" customFormat="false" ht="15" hidden="false" customHeight="false" outlineLevel="0" collapsed="false">
      <c r="A270" s="56" t="s">
        <v>1420</v>
      </c>
      <c r="B270" s="63"/>
      <c r="C270" s="61"/>
      <c r="D270" s="61"/>
      <c r="E270" s="60"/>
      <c r="F270" s="61"/>
      <c r="G270" s="60"/>
      <c r="H270" s="61"/>
      <c r="I270" s="61"/>
      <c r="J270" s="60"/>
      <c r="K270" s="60"/>
      <c r="L270" s="60"/>
      <c r="M270" s="61"/>
      <c r="N270" s="63"/>
      <c r="O270" s="61"/>
      <c r="P270" s="63"/>
      <c r="Q270" s="87" t="str">
        <f aca="false">IF(OR(B270="",P270=""),"",P270-B270)</f>
        <v/>
      </c>
      <c r="R270" s="62" t="str">
        <f aca="true">IF(OR(M270&lt;&gt;"Yes",P270&lt;&gt;"",O270="Closed",O270="No Action Required"),"",IF(N270="","Due date missing",IF(N270&lt;TODAY(),"OVERDUE",IF(N270-TODAY()&lt;=2,"Due ≤2d","Open"))))</f>
        <v/>
      </c>
      <c r="S270" s="61"/>
      <c r="T270" s="61"/>
      <c r="U270" s="60"/>
      <c r="V270" s="88" t="str">
        <f aca="false">IF(AND(G270&lt;&gt;"",M270="Yes",P270="",O270&lt;&gt;"Closed",O270&lt;&gt;"No Action Required",O270&lt;&gt;"Responded"),ROW(),"")</f>
        <v/>
      </c>
    </row>
    <row r="271" customFormat="false" ht="15" hidden="false" customHeight="false" outlineLevel="0" collapsed="false">
      <c r="A271" s="56" t="s">
        <v>1421</v>
      </c>
      <c r="B271" s="63"/>
      <c r="C271" s="61"/>
      <c r="D271" s="61"/>
      <c r="E271" s="60"/>
      <c r="F271" s="61"/>
      <c r="G271" s="60"/>
      <c r="H271" s="61"/>
      <c r="I271" s="61"/>
      <c r="J271" s="60"/>
      <c r="K271" s="60"/>
      <c r="L271" s="60"/>
      <c r="M271" s="61"/>
      <c r="N271" s="63"/>
      <c r="O271" s="61"/>
      <c r="P271" s="63"/>
      <c r="Q271" s="87" t="str">
        <f aca="false">IF(OR(B271="",P271=""),"",P271-B271)</f>
        <v/>
      </c>
      <c r="R271" s="62" t="str">
        <f aca="true">IF(OR(M271&lt;&gt;"Yes",P271&lt;&gt;"",O271="Closed",O271="No Action Required"),"",IF(N271="","Due date missing",IF(N271&lt;TODAY(),"OVERDUE",IF(N271-TODAY()&lt;=2,"Due ≤2d","Open"))))</f>
        <v/>
      </c>
      <c r="S271" s="61"/>
      <c r="T271" s="61"/>
      <c r="U271" s="60"/>
      <c r="V271" s="88" t="str">
        <f aca="false">IF(AND(G271&lt;&gt;"",M271="Yes",P271="",O271&lt;&gt;"Closed",O271&lt;&gt;"No Action Required",O271&lt;&gt;"Responded"),ROW(),"")</f>
        <v/>
      </c>
    </row>
    <row r="272" customFormat="false" ht="15" hidden="false" customHeight="false" outlineLevel="0" collapsed="false">
      <c r="A272" s="56" t="s">
        <v>1422</v>
      </c>
      <c r="B272" s="63"/>
      <c r="C272" s="61"/>
      <c r="D272" s="61"/>
      <c r="E272" s="60"/>
      <c r="F272" s="61"/>
      <c r="G272" s="60"/>
      <c r="H272" s="61"/>
      <c r="I272" s="61"/>
      <c r="J272" s="60"/>
      <c r="K272" s="60"/>
      <c r="L272" s="60"/>
      <c r="M272" s="61"/>
      <c r="N272" s="63"/>
      <c r="O272" s="61"/>
      <c r="P272" s="63"/>
      <c r="Q272" s="87" t="str">
        <f aca="false">IF(OR(B272="",P272=""),"",P272-B272)</f>
        <v/>
      </c>
      <c r="R272" s="62" t="str">
        <f aca="true">IF(OR(M272&lt;&gt;"Yes",P272&lt;&gt;"",O272="Closed",O272="No Action Required"),"",IF(N272="","Due date missing",IF(N272&lt;TODAY(),"OVERDUE",IF(N272-TODAY()&lt;=2,"Due ≤2d","Open"))))</f>
        <v/>
      </c>
      <c r="S272" s="61"/>
      <c r="T272" s="61"/>
      <c r="U272" s="60"/>
      <c r="V272" s="88" t="str">
        <f aca="false">IF(AND(G272&lt;&gt;"",M272="Yes",P272="",O272&lt;&gt;"Closed",O272&lt;&gt;"No Action Required",O272&lt;&gt;"Responded"),ROW(),"")</f>
        <v/>
      </c>
    </row>
    <row r="273" customFormat="false" ht="15" hidden="false" customHeight="false" outlineLevel="0" collapsed="false">
      <c r="A273" s="56" t="s">
        <v>1423</v>
      </c>
      <c r="B273" s="63"/>
      <c r="C273" s="61"/>
      <c r="D273" s="61"/>
      <c r="E273" s="60"/>
      <c r="F273" s="61"/>
      <c r="G273" s="60"/>
      <c r="H273" s="61"/>
      <c r="I273" s="61"/>
      <c r="J273" s="60"/>
      <c r="K273" s="60"/>
      <c r="L273" s="60"/>
      <c r="M273" s="61"/>
      <c r="N273" s="63"/>
      <c r="O273" s="61"/>
      <c r="P273" s="63"/>
      <c r="Q273" s="87" t="str">
        <f aca="false">IF(OR(B273="",P273=""),"",P273-B273)</f>
        <v/>
      </c>
      <c r="R273" s="62" t="str">
        <f aca="true">IF(OR(M273&lt;&gt;"Yes",P273&lt;&gt;"",O273="Closed",O273="No Action Required"),"",IF(N273="","Due date missing",IF(N273&lt;TODAY(),"OVERDUE",IF(N273-TODAY()&lt;=2,"Due ≤2d","Open"))))</f>
        <v/>
      </c>
      <c r="S273" s="61"/>
      <c r="T273" s="61"/>
      <c r="U273" s="60"/>
      <c r="V273" s="88" t="str">
        <f aca="false">IF(AND(G273&lt;&gt;"",M273="Yes",P273="",O273&lt;&gt;"Closed",O273&lt;&gt;"No Action Required",O273&lt;&gt;"Responded"),ROW(),"")</f>
        <v/>
      </c>
    </row>
    <row r="274" customFormat="false" ht="15" hidden="false" customHeight="false" outlineLevel="0" collapsed="false">
      <c r="A274" s="56" t="s">
        <v>1424</v>
      </c>
      <c r="B274" s="63"/>
      <c r="C274" s="61"/>
      <c r="D274" s="61"/>
      <c r="E274" s="60"/>
      <c r="F274" s="61"/>
      <c r="G274" s="60"/>
      <c r="H274" s="61"/>
      <c r="I274" s="61"/>
      <c r="J274" s="60"/>
      <c r="K274" s="60"/>
      <c r="L274" s="60"/>
      <c r="M274" s="61"/>
      <c r="N274" s="63"/>
      <c r="O274" s="61"/>
      <c r="P274" s="63"/>
      <c r="Q274" s="87" t="str">
        <f aca="false">IF(OR(B274="",P274=""),"",P274-B274)</f>
        <v/>
      </c>
      <c r="R274" s="62" t="str">
        <f aca="true">IF(OR(M274&lt;&gt;"Yes",P274&lt;&gt;"",O274="Closed",O274="No Action Required"),"",IF(N274="","Due date missing",IF(N274&lt;TODAY(),"OVERDUE",IF(N274-TODAY()&lt;=2,"Due ≤2d","Open"))))</f>
        <v/>
      </c>
      <c r="S274" s="61"/>
      <c r="T274" s="61"/>
      <c r="U274" s="60"/>
      <c r="V274" s="88" t="str">
        <f aca="false">IF(AND(G274&lt;&gt;"",M274="Yes",P274="",O274&lt;&gt;"Closed",O274&lt;&gt;"No Action Required",O274&lt;&gt;"Responded"),ROW(),"")</f>
        <v/>
      </c>
    </row>
    <row r="275" customFormat="false" ht="15" hidden="false" customHeight="false" outlineLevel="0" collapsed="false">
      <c r="A275" s="56" t="s">
        <v>1425</v>
      </c>
      <c r="B275" s="63"/>
      <c r="C275" s="61"/>
      <c r="D275" s="61"/>
      <c r="E275" s="60"/>
      <c r="F275" s="61"/>
      <c r="G275" s="60"/>
      <c r="H275" s="61"/>
      <c r="I275" s="61"/>
      <c r="J275" s="60"/>
      <c r="K275" s="60"/>
      <c r="L275" s="60"/>
      <c r="M275" s="61"/>
      <c r="N275" s="63"/>
      <c r="O275" s="61"/>
      <c r="P275" s="63"/>
      <c r="Q275" s="87" t="str">
        <f aca="false">IF(OR(B275="",P275=""),"",P275-B275)</f>
        <v/>
      </c>
      <c r="R275" s="62" t="str">
        <f aca="true">IF(OR(M275&lt;&gt;"Yes",P275&lt;&gt;"",O275="Closed",O275="No Action Required"),"",IF(N275="","Due date missing",IF(N275&lt;TODAY(),"OVERDUE",IF(N275-TODAY()&lt;=2,"Due ≤2d","Open"))))</f>
        <v/>
      </c>
      <c r="S275" s="61"/>
      <c r="T275" s="61"/>
      <c r="U275" s="60"/>
      <c r="V275" s="88" t="str">
        <f aca="false">IF(AND(G275&lt;&gt;"",M275="Yes",P275="",O275&lt;&gt;"Closed",O275&lt;&gt;"No Action Required",O275&lt;&gt;"Responded"),ROW(),"")</f>
        <v/>
      </c>
    </row>
    <row r="276" customFormat="false" ht="15" hidden="false" customHeight="false" outlineLevel="0" collapsed="false">
      <c r="A276" s="56" t="s">
        <v>1426</v>
      </c>
      <c r="B276" s="63"/>
      <c r="C276" s="61"/>
      <c r="D276" s="61"/>
      <c r="E276" s="60"/>
      <c r="F276" s="61"/>
      <c r="G276" s="60"/>
      <c r="H276" s="61"/>
      <c r="I276" s="61"/>
      <c r="J276" s="60"/>
      <c r="K276" s="60"/>
      <c r="L276" s="60"/>
      <c r="M276" s="61"/>
      <c r="N276" s="63"/>
      <c r="O276" s="61"/>
      <c r="P276" s="63"/>
      <c r="Q276" s="87" t="str">
        <f aca="false">IF(OR(B276="",P276=""),"",P276-B276)</f>
        <v/>
      </c>
      <c r="R276" s="62" t="str">
        <f aca="true">IF(OR(M276&lt;&gt;"Yes",P276&lt;&gt;"",O276="Closed",O276="No Action Required"),"",IF(N276="","Due date missing",IF(N276&lt;TODAY(),"OVERDUE",IF(N276-TODAY()&lt;=2,"Due ≤2d","Open"))))</f>
        <v/>
      </c>
      <c r="S276" s="61"/>
      <c r="T276" s="61"/>
      <c r="U276" s="60"/>
      <c r="V276" s="88" t="str">
        <f aca="false">IF(AND(G276&lt;&gt;"",M276="Yes",P276="",O276&lt;&gt;"Closed",O276&lt;&gt;"No Action Required",O276&lt;&gt;"Responded"),ROW(),"")</f>
        <v/>
      </c>
    </row>
    <row r="277" customFormat="false" ht="15" hidden="false" customHeight="false" outlineLevel="0" collapsed="false">
      <c r="A277" s="56" t="s">
        <v>1427</v>
      </c>
      <c r="B277" s="63"/>
      <c r="C277" s="61"/>
      <c r="D277" s="61"/>
      <c r="E277" s="60"/>
      <c r="F277" s="61"/>
      <c r="G277" s="60"/>
      <c r="H277" s="61"/>
      <c r="I277" s="61"/>
      <c r="J277" s="60"/>
      <c r="K277" s="60"/>
      <c r="L277" s="60"/>
      <c r="M277" s="61"/>
      <c r="N277" s="63"/>
      <c r="O277" s="61"/>
      <c r="P277" s="63"/>
      <c r="Q277" s="87" t="str">
        <f aca="false">IF(OR(B277="",P277=""),"",P277-B277)</f>
        <v/>
      </c>
      <c r="R277" s="62" t="str">
        <f aca="true">IF(OR(M277&lt;&gt;"Yes",P277&lt;&gt;"",O277="Closed",O277="No Action Required"),"",IF(N277="","Due date missing",IF(N277&lt;TODAY(),"OVERDUE",IF(N277-TODAY()&lt;=2,"Due ≤2d","Open"))))</f>
        <v/>
      </c>
      <c r="S277" s="61"/>
      <c r="T277" s="61"/>
      <c r="U277" s="60"/>
      <c r="V277" s="88" t="str">
        <f aca="false">IF(AND(G277&lt;&gt;"",M277="Yes",P277="",O277&lt;&gt;"Closed",O277&lt;&gt;"No Action Required",O277&lt;&gt;"Responded"),ROW(),"")</f>
        <v/>
      </c>
    </row>
    <row r="278" customFormat="false" ht="15" hidden="false" customHeight="false" outlineLevel="0" collapsed="false">
      <c r="A278" s="56" t="s">
        <v>1428</v>
      </c>
      <c r="B278" s="63"/>
      <c r="C278" s="61"/>
      <c r="D278" s="61"/>
      <c r="E278" s="60"/>
      <c r="F278" s="61"/>
      <c r="G278" s="60"/>
      <c r="H278" s="61"/>
      <c r="I278" s="61"/>
      <c r="J278" s="60"/>
      <c r="K278" s="60"/>
      <c r="L278" s="60"/>
      <c r="M278" s="61"/>
      <c r="N278" s="63"/>
      <c r="O278" s="61"/>
      <c r="P278" s="63"/>
      <c r="Q278" s="87" t="str">
        <f aca="false">IF(OR(B278="",P278=""),"",P278-B278)</f>
        <v/>
      </c>
      <c r="R278" s="62" t="str">
        <f aca="true">IF(OR(M278&lt;&gt;"Yes",P278&lt;&gt;"",O278="Closed",O278="No Action Required"),"",IF(N278="","Due date missing",IF(N278&lt;TODAY(),"OVERDUE",IF(N278-TODAY()&lt;=2,"Due ≤2d","Open"))))</f>
        <v/>
      </c>
      <c r="S278" s="61"/>
      <c r="T278" s="61"/>
      <c r="U278" s="60"/>
      <c r="V278" s="88" t="str">
        <f aca="false">IF(AND(G278&lt;&gt;"",M278="Yes",P278="",O278&lt;&gt;"Closed",O278&lt;&gt;"No Action Required",O278&lt;&gt;"Responded"),ROW(),"")</f>
        <v/>
      </c>
    </row>
    <row r="279" customFormat="false" ht="15" hidden="false" customHeight="false" outlineLevel="0" collapsed="false">
      <c r="A279" s="56" t="s">
        <v>1429</v>
      </c>
      <c r="B279" s="63"/>
      <c r="C279" s="61"/>
      <c r="D279" s="61"/>
      <c r="E279" s="60"/>
      <c r="F279" s="61"/>
      <c r="G279" s="60"/>
      <c r="H279" s="61"/>
      <c r="I279" s="61"/>
      <c r="J279" s="60"/>
      <c r="K279" s="60"/>
      <c r="L279" s="60"/>
      <c r="M279" s="61"/>
      <c r="N279" s="63"/>
      <c r="O279" s="61"/>
      <c r="P279" s="63"/>
      <c r="Q279" s="87" t="str">
        <f aca="false">IF(OR(B279="",P279=""),"",P279-B279)</f>
        <v/>
      </c>
      <c r="R279" s="62" t="str">
        <f aca="true">IF(OR(M279&lt;&gt;"Yes",P279&lt;&gt;"",O279="Closed",O279="No Action Required"),"",IF(N279="","Due date missing",IF(N279&lt;TODAY(),"OVERDUE",IF(N279-TODAY()&lt;=2,"Due ≤2d","Open"))))</f>
        <v/>
      </c>
      <c r="S279" s="61"/>
      <c r="T279" s="61"/>
      <c r="U279" s="60"/>
      <c r="V279" s="88" t="str">
        <f aca="false">IF(AND(G279&lt;&gt;"",M279="Yes",P279="",O279&lt;&gt;"Closed",O279&lt;&gt;"No Action Required",O279&lt;&gt;"Responded"),ROW(),"")</f>
        <v/>
      </c>
    </row>
    <row r="280" customFormat="false" ht="15" hidden="false" customHeight="false" outlineLevel="0" collapsed="false">
      <c r="A280" s="56" t="s">
        <v>1430</v>
      </c>
      <c r="B280" s="63"/>
      <c r="C280" s="61"/>
      <c r="D280" s="61"/>
      <c r="E280" s="60"/>
      <c r="F280" s="61"/>
      <c r="G280" s="60"/>
      <c r="H280" s="61"/>
      <c r="I280" s="61"/>
      <c r="J280" s="60"/>
      <c r="K280" s="60"/>
      <c r="L280" s="60"/>
      <c r="M280" s="61"/>
      <c r="N280" s="63"/>
      <c r="O280" s="61"/>
      <c r="P280" s="63"/>
      <c r="Q280" s="87" t="str">
        <f aca="false">IF(OR(B280="",P280=""),"",P280-B280)</f>
        <v/>
      </c>
      <c r="R280" s="62" t="str">
        <f aca="true">IF(OR(M280&lt;&gt;"Yes",P280&lt;&gt;"",O280="Closed",O280="No Action Required"),"",IF(N280="","Due date missing",IF(N280&lt;TODAY(),"OVERDUE",IF(N280-TODAY()&lt;=2,"Due ≤2d","Open"))))</f>
        <v/>
      </c>
      <c r="S280" s="61"/>
      <c r="T280" s="61"/>
      <c r="U280" s="60"/>
      <c r="V280" s="88" t="str">
        <f aca="false">IF(AND(G280&lt;&gt;"",M280="Yes",P280="",O280&lt;&gt;"Closed",O280&lt;&gt;"No Action Required",O280&lt;&gt;"Responded"),ROW(),"")</f>
        <v/>
      </c>
    </row>
    <row r="281" customFormat="false" ht="15" hidden="false" customHeight="false" outlineLevel="0" collapsed="false">
      <c r="A281" s="56" t="s">
        <v>1431</v>
      </c>
      <c r="B281" s="63"/>
      <c r="C281" s="61"/>
      <c r="D281" s="61"/>
      <c r="E281" s="60"/>
      <c r="F281" s="61"/>
      <c r="G281" s="60"/>
      <c r="H281" s="61"/>
      <c r="I281" s="61"/>
      <c r="J281" s="60"/>
      <c r="K281" s="60"/>
      <c r="L281" s="60"/>
      <c r="M281" s="61"/>
      <c r="N281" s="63"/>
      <c r="O281" s="61"/>
      <c r="P281" s="63"/>
      <c r="Q281" s="87" t="str">
        <f aca="false">IF(OR(B281="",P281=""),"",P281-B281)</f>
        <v/>
      </c>
      <c r="R281" s="62" t="str">
        <f aca="true">IF(OR(M281&lt;&gt;"Yes",P281&lt;&gt;"",O281="Closed",O281="No Action Required"),"",IF(N281="","Due date missing",IF(N281&lt;TODAY(),"OVERDUE",IF(N281-TODAY()&lt;=2,"Due ≤2d","Open"))))</f>
        <v/>
      </c>
      <c r="S281" s="61"/>
      <c r="T281" s="61"/>
      <c r="U281" s="60"/>
      <c r="V281" s="88" t="str">
        <f aca="false">IF(AND(G281&lt;&gt;"",M281="Yes",P281="",O281&lt;&gt;"Closed",O281&lt;&gt;"No Action Required",O281&lt;&gt;"Responded"),ROW(),"")</f>
        <v/>
      </c>
    </row>
    <row r="282" customFormat="false" ht="15" hidden="false" customHeight="false" outlineLevel="0" collapsed="false">
      <c r="A282" s="56" t="s">
        <v>1432</v>
      </c>
      <c r="B282" s="63"/>
      <c r="C282" s="61"/>
      <c r="D282" s="61"/>
      <c r="E282" s="60"/>
      <c r="F282" s="61"/>
      <c r="G282" s="60"/>
      <c r="H282" s="61"/>
      <c r="I282" s="61"/>
      <c r="J282" s="60"/>
      <c r="K282" s="60"/>
      <c r="L282" s="60"/>
      <c r="M282" s="61"/>
      <c r="N282" s="63"/>
      <c r="O282" s="61"/>
      <c r="P282" s="63"/>
      <c r="Q282" s="87" t="str">
        <f aca="false">IF(OR(B282="",P282=""),"",P282-B282)</f>
        <v/>
      </c>
      <c r="R282" s="62" t="str">
        <f aca="true">IF(OR(M282&lt;&gt;"Yes",P282&lt;&gt;"",O282="Closed",O282="No Action Required"),"",IF(N282="","Due date missing",IF(N282&lt;TODAY(),"OVERDUE",IF(N282-TODAY()&lt;=2,"Due ≤2d","Open"))))</f>
        <v/>
      </c>
      <c r="S282" s="61"/>
      <c r="T282" s="61"/>
      <c r="U282" s="60"/>
      <c r="V282" s="88" t="str">
        <f aca="false">IF(AND(G282&lt;&gt;"",M282="Yes",P282="",O282&lt;&gt;"Closed",O282&lt;&gt;"No Action Required",O282&lt;&gt;"Responded"),ROW(),"")</f>
        <v/>
      </c>
    </row>
    <row r="283" customFormat="false" ht="15" hidden="false" customHeight="false" outlineLevel="0" collapsed="false">
      <c r="A283" s="56" t="s">
        <v>1433</v>
      </c>
      <c r="B283" s="63"/>
      <c r="C283" s="61"/>
      <c r="D283" s="61"/>
      <c r="E283" s="60"/>
      <c r="F283" s="61"/>
      <c r="G283" s="60"/>
      <c r="H283" s="61"/>
      <c r="I283" s="61"/>
      <c r="J283" s="60"/>
      <c r="K283" s="60"/>
      <c r="L283" s="60"/>
      <c r="M283" s="61"/>
      <c r="N283" s="63"/>
      <c r="O283" s="61"/>
      <c r="P283" s="63"/>
      <c r="Q283" s="87" t="str">
        <f aca="false">IF(OR(B283="",P283=""),"",P283-B283)</f>
        <v/>
      </c>
      <c r="R283" s="62" t="str">
        <f aca="true">IF(OR(M283&lt;&gt;"Yes",P283&lt;&gt;"",O283="Closed",O283="No Action Required"),"",IF(N283="","Due date missing",IF(N283&lt;TODAY(),"OVERDUE",IF(N283-TODAY()&lt;=2,"Due ≤2d","Open"))))</f>
        <v/>
      </c>
      <c r="S283" s="61"/>
      <c r="T283" s="61"/>
      <c r="U283" s="60"/>
      <c r="V283" s="88" t="str">
        <f aca="false">IF(AND(G283&lt;&gt;"",M283="Yes",P283="",O283&lt;&gt;"Closed",O283&lt;&gt;"No Action Required",O283&lt;&gt;"Responded"),ROW(),"")</f>
        <v/>
      </c>
    </row>
    <row r="284" customFormat="false" ht="15" hidden="false" customHeight="false" outlineLevel="0" collapsed="false">
      <c r="A284" s="56" t="s">
        <v>1434</v>
      </c>
      <c r="B284" s="63"/>
      <c r="C284" s="61"/>
      <c r="D284" s="61"/>
      <c r="E284" s="60"/>
      <c r="F284" s="61"/>
      <c r="G284" s="60"/>
      <c r="H284" s="61"/>
      <c r="I284" s="61"/>
      <c r="J284" s="60"/>
      <c r="K284" s="60"/>
      <c r="L284" s="60"/>
      <c r="M284" s="61"/>
      <c r="N284" s="63"/>
      <c r="O284" s="61"/>
      <c r="P284" s="63"/>
      <c r="Q284" s="87" t="str">
        <f aca="false">IF(OR(B284="",P284=""),"",P284-B284)</f>
        <v/>
      </c>
      <c r="R284" s="62" t="str">
        <f aca="true">IF(OR(M284&lt;&gt;"Yes",P284&lt;&gt;"",O284="Closed",O284="No Action Required"),"",IF(N284="","Due date missing",IF(N284&lt;TODAY(),"OVERDUE",IF(N284-TODAY()&lt;=2,"Due ≤2d","Open"))))</f>
        <v/>
      </c>
      <c r="S284" s="61"/>
      <c r="T284" s="61"/>
      <c r="U284" s="60"/>
      <c r="V284" s="88" t="str">
        <f aca="false">IF(AND(G284&lt;&gt;"",M284="Yes",P284="",O284&lt;&gt;"Closed",O284&lt;&gt;"No Action Required",O284&lt;&gt;"Responded"),ROW(),"")</f>
        <v/>
      </c>
    </row>
    <row r="285" customFormat="false" ht="15" hidden="false" customHeight="false" outlineLevel="0" collapsed="false">
      <c r="A285" s="56" t="s">
        <v>1435</v>
      </c>
      <c r="B285" s="63"/>
      <c r="C285" s="61"/>
      <c r="D285" s="61"/>
      <c r="E285" s="60"/>
      <c r="F285" s="61"/>
      <c r="G285" s="60"/>
      <c r="H285" s="61"/>
      <c r="I285" s="61"/>
      <c r="J285" s="60"/>
      <c r="K285" s="60"/>
      <c r="L285" s="60"/>
      <c r="M285" s="61"/>
      <c r="N285" s="63"/>
      <c r="O285" s="61"/>
      <c r="P285" s="63"/>
      <c r="Q285" s="87" t="str">
        <f aca="false">IF(OR(B285="",P285=""),"",P285-B285)</f>
        <v/>
      </c>
      <c r="R285" s="62" t="str">
        <f aca="true">IF(OR(M285&lt;&gt;"Yes",P285&lt;&gt;"",O285="Closed",O285="No Action Required"),"",IF(N285="","Due date missing",IF(N285&lt;TODAY(),"OVERDUE",IF(N285-TODAY()&lt;=2,"Due ≤2d","Open"))))</f>
        <v/>
      </c>
      <c r="S285" s="61"/>
      <c r="T285" s="61"/>
      <c r="U285" s="60"/>
      <c r="V285" s="88" t="str">
        <f aca="false">IF(AND(G285&lt;&gt;"",M285="Yes",P285="",O285&lt;&gt;"Closed",O285&lt;&gt;"No Action Required",O285&lt;&gt;"Responded"),ROW(),"")</f>
        <v/>
      </c>
    </row>
    <row r="286" customFormat="false" ht="15" hidden="false" customHeight="false" outlineLevel="0" collapsed="false">
      <c r="A286" s="56" t="s">
        <v>1436</v>
      </c>
      <c r="B286" s="63"/>
      <c r="C286" s="61"/>
      <c r="D286" s="61"/>
      <c r="E286" s="60"/>
      <c r="F286" s="61"/>
      <c r="G286" s="60"/>
      <c r="H286" s="61"/>
      <c r="I286" s="61"/>
      <c r="J286" s="60"/>
      <c r="K286" s="60"/>
      <c r="L286" s="60"/>
      <c r="M286" s="61"/>
      <c r="N286" s="63"/>
      <c r="O286" s="61"/>
      <c r="P286" s="63"/>
      <c r="Q286" s="87" t="str">
        <f aca="false">IF(OR(B286="",P286=""),"",P286-B286)</f>
        <v/>
      </c>
      <c r="R286" s="62" t="str">
        <f aca="true">IF(OR(M286&lt;&gt;"Yes",P286&lt;&gt;"",O286="Closed",O286="No Action Required"),"",IF(N286="","Due date missing",IF(N286&lt;TODAY(),"OVERDUE",IF(N286-TODAY()&lt;=2,"Due ≤2d","Open"))))</f>
        <v/>
      </c>
      <c r="S286" s="61"/>
      <c r="T286" s="61"/>
      <c r="U286" s="60"/>
      <c r="V286" s="88" t="str">
        <f aca="false">IF(AND(G286&lt;&gt;"",M286="Yes",P286="",O286&lt;&gt;"Closed",O286&lt;&gt;"No Action Required",O286&lt;&gt;"Responded"),ROW(),"")</f>
        <v/>
      </c>
    </row>
    <row r="287" customFormat="false" ht="15" hidden="false" customHeight="false" outlineLevel="0" collapsed="false">
      <c r="A287" s="56" t="s">
        <v>1437</v>
      </c>
      <c r="B287" s="63"/>
      <c r="C287" s="61"/>
      <c r="D287" s="61"/>
      <c r="E287" s="60"/>
      <c r="F287" s="61"/>
      <c r="G287" s="60"/>
      <c r="H287" s="61"/>
      <c r="I287" s="61"/>
      <c r="J287" s="60"/>
      <c r="K287" s="60"/>
      <c r="L287" s="60"/>
      <c r="M287" s="61"/>
      <c r="N287" s="63"/>
      <c r="O287" s="61"/>
      <c r="P287" s="63"/>
      <c r="Q287" s="87" t="str">
        <f aca="false">IF(OR(B287="",P287=""),"",P287-B287)</f>
        <v/>
      </c>
      <c r="R287" s="62" t="str">
        <f aca="true">IF(OR(M287&lt;&gt;"Yes",P287&lt;&gt;"",O287="Closed",O287="No Action Required"),"",IF(N287="","Due date missing",IF(N287&lt;TODAY(),"OVERDUE",IF(N287-TODAY()&lt;=2,"Due ≤2d","Open"))))</f>
        <v/>
      </c>
      <c r="S287" s="61"/>
      <c r="T287" s="61"/>
      <c r="U287" s="60"/>
      <c r="V287" s="88" t="str">
        <f aca="false">IF(AND(G287&lt;&gt;"",M287="Yes",P287="",O287&lt;&gt;"Closed",O287&lt;&gt;"No Action Required",O287&lt;&gt;"Responded"),ROW(),"")</f>
        <v/>
      </c>
    </row>
    <row r="288" customFormat="false" ht="15" hidden="false" customHeight="false" outlineLevel="0" collapsed="false">
      <c r="A288" s="56" t="s">
        <v>1438</v>
      </c>
      <c r="B288" s="63"/>
      <c r="C288" s="61"/>
      <c r="D288" s="61"/>
      <c r="E288" s="60"/>
      <c r="F288" s="61"/>
      <c r="G288" s="60"/>
      <c r="H288" s="61"/>
      <c r="I288" s="61"/>
      <c r="J288" s="60"/>
      <c r="K288" s="60"/>
      <c r="L288" s="60"/>
      <c r="M288" s="61"/>
      <c r="N288" s="63"/>
      <c r="O288" s="61"/>
      <c r="P288" s="63"/>
      <c r="Q288" s="87" t="str">
        <f aca="false">IF(OR(B288="",P288=""),"",P288-B288)</f>
        <v/>
      </c>
      <c r="R288" s="62" t="str">
        <f aca="true">IF(OR(M288&lt;&gt;"Yes",P288&lt;&gt;"",O288="Closed",O288="No Action Required"),"",IF(N288="","Due date missing",IF(N288&lt;TODAY(),"OVERDUE",IF(N288-TODAY()&lt;=2,"Due ≤2d","Open"))))</f>
        <v/>
      </c>
      <c r="S288" s="61"/>
      <c r="T288" s="61"/>
      <c r="U288" s="60"/>
      <c r="V288" s="88" t="str">
        <f aca="false">IF(AND(G288&lt;&gt;"",M288="Yes",P288="",O288&lt;&gt;"Closed",O288&lt;&gt;"No Action Required",O288&lt;&gt;"Responded"),ROW(),"")</f>
        <v/>
      </c>
    </row>
    <row r="289" customFormat="false" ht="15" hidden="false" customHeight="false" outlineLevel="0" collapsed="false">
      <c r="A289" s="56" t="s">
        <v>1439</v>
      </c>
      <c r="B289" s="63"/>
      <c r="C289" s="61"/>
      <c r="D289" s="61"/>
      <c r="E289" s="60"/>
      <c r="F289" s="61"/>
      <c r="G289" s="60"/>
      <c r="H289" s="61"/>
      <c r="I289" s="61"/>
      <c r="J289" s="60"/>
      <c r="K289" s="60"/>
      <c r="L289" s="60"/>
      <c r="M289" s="61"/>
      <c r="N289" s="63"/>
      <c r="O289" s="61"/>
      <c r="P289" s="63"/>
      <c r="Q289" s="87" t="str">
        <f aca="false">IF(OR(B289="",P289=""),"",P289-B289)</f>
        <v/>
      </c>
      <c r="R289" s="62" t="str">
        <f aca="true">IF(OR(M289&lt;&gt;"Yes",P289&lt;&gt;"",O289="Closed",O289="No Action Required"),"",IF(N289="","Due date missing",IF(N289&lt;TODAY(),"OVERDUE",IF(N289-TODAY()&lt;=2,"Due ≤2d","Open"))))</f>
        <v/>
      </c>
      <c r="S289" s="61"/>
      <c r="T289" s="61"/>
      <c r="U289" s="60"/>
      <c r="V289" s="88" t="str">
        <f aca="false">IF(AND(G289&lt;&gt;"",M289="Yes",P289="",O289&lt;&gt;"Closed",O289&lt;&gt;"No Action Required",O289&lt;&gt;"Responded"),ROW(),"")</f>
        <v/>
      </c>
    </row>
    <row r="290" customFormat="false" ht="15" hidden="false" customHeight="false" outlineLevel="0" collapsed="false">
      <c r="A290" s="56" t="s">
        <v>1440</v>
      </c>
      <c r="B290" s="63"/>
      <c r="C290" s="61"/>
      <c r="D290" s="61"/>
      <c r="E290" s="60"/>
      <c r="F290" s="61"/>
      <c r="G290" s="60"/>
      <c r="H290" s="61"/>
      <c r="I290" s="61"/>
      <c r="J290" s="60"/>
      <c r="K290" s="60"/>
      <c r="L290" s="60"/>
      <c r="M290" s="61"/>
      <c r="N290" s="63"/>
      <c r="O290" s="61"/>
      <c r="P290" s="63"/>
      <c r="Q290" s="87" t="str">
        <f aca="false">IF(OR(B290="",P290=""),"",P290-B290)</f>
        <v/>
      </c>
      <c r="R290" s="62" t="str">
        <f aca="true">IF(OR(M290&lt;&gt;"Yes",P290&lt;&gt;"",O290="Closed",O290="No Action Required"),"",IF(N290="","Due date missing",IF(N290&lt;TODAY(),"OVERDUE",IF(N290-TODAY()&lt;=2,"Due ≤2d","Open"))))</f>
        <v/>
      </c>
      <c r="S290" s="61"/>
      <c r="T290" s="61"/>
      <c r="U290" s="60"/>
      <c r="V290" s="88" t="str">
        <f aca="false">IF(AND(G290&lt;&gt;"",M290="Yes",P290="",O290&lt;&gt;"Closed",O290&lt;&gt;"No Action Required",O290&lt;&gt;"Responded"),ROW(),"")</f>
        <v/>
      </c>
    </row>
    <row r="291" customFormat="false" ht="15" hidden="false" customHeight="false" outlineLevel="0" collapsed="false">
      <c r="A291" s="56" t="s">
        <v>1441</v>
      </c>
      <c r="B291" s="63"/>
      <c r="C291" s="61"/>
      <c r="D291" s="61"/>
      <c r="E291" s="60"/>
      <c r="F291" s="61"/>
      <c r="G291" s="60"/>
      <c r="H291" s="61"/>
      <c r="I291" s="61"/>
      <c r="J291" s="60"/>
      <c r="K291" s="60"/>
      <c r="L291" s="60"/>
      <c r="M291" s="61"/>
      <c r="N291" s="63"/>
      <c r="O291" s="61"/>
      <c r="P291" s="63"/>
      <c r="Q291" s="87" t="str">
        <f aca="false">IF(OR(B291="",P291=""),"",P291-B291)</f>
        <v/>
      </c>
      <c r="R291" s="62" t="str">
        <f aca="true">IF(OR(M291&lt;&gt;"Yes",P291&lt;&gt;"",O291="Closed",O291="No Action Required"),"",IF(N291="","Due date missing",IF(N291&lt;TODAY(),"OVERDUE",IF(N291-TODAY()&lt;=2,"Due ≤2d","Open"))))</f>
        <v/>
      </c>
      <c r="S291" s="61"/>
      <c r="T291" s="61"/>
      <c r="U291" s="60"/>
      <c r="V291" s="88" t="str">
        <f aca="false">IF(AND(G291&lt;&gt;"",M291="Yes",P291="",O291&lt;&gt;"Closed",O291&lt;&gt;"No Action Required",O291&lt;&gt;"Responded"),ROW(),"")</f>
        <v/>
      </c>
    </row>
    <row r="292" customFormat="false" ht="15" hidden="false" customHeight="false" outlineLevel="0" collapsed="false">
      <c r="A292" s="56" t="s">
        <v>1442</v>
      </c>
      <c r="B292" s="63"/>
      <c r="C292" s="61"/>
      <c r="D292" s="61"/>
      <c r="E292" s="60"/>
      <c r="F292" s="61"/>
      <c r="G292" s="60"/>
      <c r="H292" s="61"/>
      <c r="I292" s="61"/>
      <c r="J292" s="60"/>
      <c r="K292" s="60"/>
      <c r="L292" s="60"/>
      <c r="M292" s="61"/>
      <c r="N292" s="63"/>
      <c r="O292" s="61"/>
      <c r="P292" s="63"/>
      <c r="Q292" s="87" t="str">
        <f aca="false">IF(OR(B292="",P292=""),"",P292-B292)</f>
        <v/>
      </c>
      <c r="R292" s="62" t="str">
        <f aca="true">IF(OR(M292&lt;&gt;"Yes",P292&lt;&gt;"",O292="Closed",O292="No Action Required"),"",IF(N292="","Due date missing",IF(N292&lt;TODAY(),"OVERDUE",IF(N292-TODAY()&lt;=2,"Due ≤2d","Open"))))</f>
        <v/>
      </c>
      <c r="S292" s="61"/>
      <c r="T292" s="61"/>
      <c r="U292" s="60"/>
      <c r="V292" s="88" t="str">
        <f aca="false">IF(AND(G292&lt;&gt;"",M292="Yes",P292="",O292&lt;&gt;"Closed",O292&lt;&gt;"No Action Required",O292&lt;&gt;"Responded"),ROW(),"")</f>
        <v/>
      </c>
    </row>
    <row r="293" customFormat="false" ht="15" hidden="false" customHeight="false" outlineLevel="0" collapsed="false">
      <c r="A293" s="56" t="s">
        <v>1443</v>
      </c>
      <c r="B293" s="63"/>
      <c r="C293" s="61"/>
      <c r="D293" s="61"/>
      <c r="E293" s="60"/>
      <c r="F293" s="61"/>
      <c r="G293" s="60"/>
      <c r="H293" s="61"/>
      <c r="I293" s="61"/>
      <c r="J293" s="60"/>
      <c r="K293" s="60"/>
      <c r="L293" s="60"/>
      <c r="M293" s="61"/>
      <c r="N293" s="63"/>
      <c r="O293" s="61"/>
      <c r="P293" s="63"/>
      <c r="Q293" s="87" t="str">
        <f aca="false">IF(OR(B293="",P293=""),"",P293-B293)</f>
        <v/>
      </c>
      <c r="R293" s="62" t="str">
        <f aca="true">IF(OR(M293&lt;&gt;"Yes",P293&lt;&gt;"",O293="Closed",O293="No Action Required"),"",IF(N293="","Due date missing",IF(N293&lt;TODAY(),"OVERDUE",IF(N293-TODAY()&lt;=2,"Due ≤2d","Open"))))</f>
        <v/>
      </c>
      <c r="S293" s="61"/>
      <c r="T293" s="61"/>
      <c r="U293" s="60"/>
      <c r="V293" s="88" t="str">
        <f aca="false">IF(AND(G293&lt;&gt;"",M293="Yes",P293="",O293&lt;&gt;"Closed",O293&lt;&gt;"No Action Required",O293&lt;&gt;"Responded"),ROW(),"")</f>
        <v/>
      </c>
    </row>
    <row r="294" customFormat="false" ht="15" hidden="false" customHeight="false" outlineLevel="0" collapsed="false">
      <c r="A294" s="56" t="s">
        <v>1444</v>
      </c>
      <c r="B294" s="63"/>
      <c r="C294" s="61"/>
      <c r="D294" s="61"/>
      <c r="E294" s="60"/>
      <c r="F294" s="61"/>
      <c r="G294" s="60"/>
      <c r="H294" s="61"/>
      <c r="I294" s="61"/>
      <c r="J294" s="60"/>
      <c r="K294" s="60"/>
      <c r="L294" s="60"/>
      <c r="M294" s="61"/>
      <c r="N294" s="63"/>
      <c r="O294" s="61"/>
      <c r="P294" s="63"/>
      <c r="Q294" s="87" t="str">
        <f aca="false">IF(OR(B294="",P294=""),"",P294-B294)</f>
        <v/>
      </c>
      <c r="R294" s="62" t="str">
        <f aca="true">IF(OR(M294&lt;&gt;"Yes",P294&lt;&gt;"",O294="Closed",O294="No Action Required"),"",IF(N294="","Due date missing",IF(N294&lt;TODAY(),"OVERDUE",IF(N294-TODAY()&lt;=2,"Due ≤2d","Open"))))</f>
        <v/>
      </c>
      <c r="S294" s="61"/>
      <c r="T294" s="61"/>
      <c r="U294" s="60"/>
      <c r="V294" s="88" t="str">
        <f aca="false">IF(AND(G294&lt;&gt;"",M294="Yes",P294="",O294&lt;&gt;"Closed",O294&lt;&gt;"No Action Required",O294&lt;&gt;"Responded"),ROW(),"")</f>
        <v/>
      </c>
    </row>
    <row r="295" customFormat="false" ht="15" hidden="false" customHeight="false" outlineLevel="0" collapsed="false">
      <c r="A295" s="56" t="s">
        <v>1445</v>
      </c>
      <c r="B295" s="63"/>
      <c r="C295" s="61"/>
      <c r="D295" s="61"/>
      <c r="E295" s="60"/>
      <c r="F295" s="61"/>
      <c r="G295" s="60"/>
      <c r="H295" s="61"/>
      <c r="I295" s="61"/>
      <c r="J295" s="60"/>
      <c r="K295" s="60"/>
      <c r="L295" s="60"/>
      <c r="M295" s="61"/>
      <c r="N295" s="63"/>
      <c r="O295" s="61"/>
      <c r="P295" s="63"/>
      <c r="Q295" s="87" t="str">
        <f aca="false">IF(OR(B295="",P295=""),"",P295-B295)</f>
        <v/>
      </c>
      <c r="R295" s="62" t="str">
        <f aca="true">IF(OR(M295&lt;&gt;"Yes",P295&lt;&gt;"",O295="Closed",O295="No Action Required"),"",IF(N295="","Due date missing",IF(N295&lt;TODAY(),"OVERDUE",IF(N295-TODAY()&lt;=2,"Due ≤2d","Open"))))</f>
        <v/>
      </c>
      <c r="S295" s="61"/>
      <c r="T295" s="61"/>
      <c r="U295" s="60"/>
      <c r="V295" s="88" t="str">
        <f aca="false">IF(AND(G295&lt;&gt;"",M295="Yes",P295="",O295&lt;&gt;"Closed",O295&lt;&gt;"No Action Required",O295&lt;&gt;"Responded"),ROW(),"")</f>
        <v/>
      </c>
    </row>
    <row r="296" customFormat="false" ht="15" hidden="false" customHeight="false" outlineLevel="0" collapsed="false">
      <c r="A296" s="56" t="s">
        <v>1446</v>
      </c>
      <c r="B296" s="63"/>
      <c r="C296" s="61"/>
      <c r="D296" s="61"/>
      <c r="E296" s="60"/>
      <c r="F296" s="61"/>
      <c r="G296" s="60"/>
      <c r="H296" s="61"/>
      <c r="I296" s="61"/>
      <c r="J296" s="60"/>
      <c r="K296" s="60"/>
      <c r="L296" s="60"/>
      <c r="M296" s="61"/>
      <c r="N296" s="63"/>
      <c r="O296" s="61"/>
      <c r="P296" s="63"/>
      <c r="Q296" s="87" t="str">
        <f aca="false">IF(OR(B296="",P296=""),"",P296-B296)</f>
        <v/>
      </c>
      <c r="R296" s="62" t="str">
        <f aca="true">IF(OR(M296&lt;&gt;"Yes",P296&lt;&gt;"",O296="Closed",O296="No Action Required"),"",IF(N296="","Due date missing",IF(N296&lt;TODAY(),"OVERDUE",IF(N296-TODAY()&lt;=2,"Due ≤2d","Open"))))</f>
        <v/>
      </c>
      <c r="S296" s="61"/>
      <c r="T296" s="61"/>
      <c r="U296" s="60"/>
      <c r="V296" s="88" t="str">
        <f aca="false">IF(AND(G296&lt;&gt;"",M296="Yes",P296="",O296&lt;&gt;"Closed",O296&lt;&gt;"No Action Required",O296&lt;&gt;"Responded"),ROW(),"")</f>
        <v/>
      </c>
    </row>
    <row r="297" customFormat="false" ht="15" hidden="false" customHeight="false" outlineLevel="0" collapsed="false">
      <c r="A297" s="56" t="s">
        <v>1447</v>
      </c>
      <c r="B297" s="63"/>
      <c r="C297" s="61"/>
      <c r="D297" s="61"/>
      <c r="E297" s="60"/>
      <c r="F297" s="61"/>
      <c r="G297" s="60"/>
      <c r="H297" s="61"/>
      <c r="I297" s="61"/>
      <c r="J297" s="60"/>
      <c r="K297" s="60"/>
      <c r="L297" s="60"/>
      <c r="M297" s="61"/>
      <c r="N297" s="63"/>
      <c r="O297" s="61"/>
      <c r="P297" s="63"/>
      <c r="Q297" s="87" t="str">
        <f aca="false">IF(OR(B297="",P297=""),"",P297-B297)</f>
        <v/>
      </c>
      <c r="R297" s="62" t="str">
        <f aca="true">IF(OR(M297&lt;&gt;"Yes",P297&lt;&gt;"",O297="Closed",O297="No Action Required"),"",IF(N297="","Due date missing",IF(N297&lt;TODAY(),"OVERDUE",IF(N297-TODAY()&lt;=2,"Due ≤2d","Open"))))</f>
        <v/>
      </c>
      <c r="S297" s="61"/>
      <c r="T297" s="61"/>
      <c r="U297" s="60"/>
      <c r="V297" s="88" t="str">
        <f aca="false">IF(AND(G297&lt;&gt;"",M297="Yes",P297="",O297&lt;&gt;"Closed",O297&lt;&gt;"No Action Required",O297&lt;&gt;"Responded"),ROW(),"")</f>
        <v/>
      </c>
    </row>
    <row r="298" customFormat="false" ht="15" hidden="false" customHeight="false" outlineLevel="0" collapsed="false">
      <c r="A298" s="56" t="s">
        <v>1448</v>
      </c>
      <c r="B298" s="63"/>
      <c r="C298" s="61"/>
      <c r="D298" s="61"/>
      <c r="E298" s="60"/>
      <c r="F298" s="61"/>
      <c r="G298" s="60"/>
      <c r="H298" s="61"/>
      <c r="I298" s="61"/>
      <c r="J298" s="60"/>
      <c r="K298" s="60"/>
      <c r="L298" s="60"/>
      <c r="M298" s="61"/>
      <c r="N298" s="63"/>
      <c r="O298" s="61"/>
      <c r="P298" s="63"/>
      <c r="Q298" s="87" t="str">
        <f aca="false">IF(OR(B298="",P298=""),"",P298-B298)</f>
        <v/>
      </c>
      <c r="R298" s="62" t="str">
        <f aca="true">IF(OR(M298&lt;&gt;"Yes",P298&lt;&gt;"",O298="Closed",O298="No Action Required"),"",IF(N298="","Due date missing",IF(N298&lt;TODAY(),"OVERDUE",IF(N298-TODAY()&lt;=2,"Due ≤2d","Open"))))</f>
        <v/>
      </c>
      <c r="S298" s="61"/>
      <c r="T298" s="61"/>
      <c r="U298" s="60"/>
      <c r="V298" s="88" t="str">
        <f aca="false">IF(AND(G298&lt;&gt;"",M298="Yes",P298="",O298&lt;&gt;"Closed",O298&lt;&gt;"No Action Required",O298&lt;&gt;"Responded"),ROW(),"")</f>
        <v/>
      </c>
    </row>
    <row r="299" customFormat="false" ht="15" hidden="false" customHeight="false" outlineLevel="0" collapsed="false">
      <c r="A299" s="56" t="s">
        <v>1449</v>
      </c>
      <c r="B299" s="63"/>
      <c r="C299" s="61"/>
      <c r="D299" s="61"/>
      <c r="E299" s="60"/>
      <c r="F299" s="61"/>
      <c r="G299" s="60"/>
      <c r="H299" s="61"/>
      <c r="I299" s="61"/>
      <c r="J299" s="60"/>
      <c r="K299" s="60"/>
      <c r="L299" s="60"/>
      <c r="M299" s="61"/>
      <c r="N299" s="63"/>
      <c r="O299" s="61"/>
      <c r="P299" s="63"/>
      <c r="Q299" s="87" t="str">
        <f aca="false">IF(OR(B299="",P299=""),"",P299-B299)</f>
        <v/>
      </c>
      <c r="R299" s="62" t="str">
        <f aca="true">IF(OR(M299&lt;&gt;"Yes",P299&lt;&gt;"",O299="Closed",O299="No Action Required"),"",IF(N299="","Due date missing",IF(N299&lt;TODAY(),"OVERDUE",IF(N299-TODAY()&lt;=2,"Due ≤2d","Open"))))</f>
        <v/>
      </c>
      <c r="S299" s="61"/>
      <c r="T299" s="61"/>
      <c r="U299" s="60"/>
      <c r="V299" s="88" t="str">
        <f aca="false">IF(AND(G299&lt;&gt;"",M299="Yes",P299="",O299&lt;&gt;"Closed",O299&lt;&gt;"No Action Required",O299&lt;&gt;"Responded"),ROW(),"")</f>
        <v/>
      </c>
    </row>
    <row r="300" customFormat="false" ht="15" hidden="false" customHeight="false" outlineLevel="0" collapsed="false">
      <c r="A300" s="56" t="s">
        <v>1450</v>
      </c>
      <c r="B300" s="63"/>
      <c r="C300" s="61"/>
      <c r="D300" s="61"/>
      <c r="E300" s="60"/>
      <c r="F300" s="61"/>
      <c r="G300" s="60"/>
      <c r="H300" s="61"/>
      <c r="I300" s="61"/>
      <c r="J300" s="60"/>
      <c r="K300" s="60"/>
      <c r="L300" s="60"/>
      <c r="M300" s="61"/>
      <c r="N300" s="63"/>
      <c r="O300" s="61"/>
      <c r="P300" s="63"/>
      <c r="Q300" s="87" t="str">
        <f aca="false">IF(OR(B300="",P300=""),"",P300-B300)</f>
        <v/>
      </c>
      <c r="R300" s="62" t="str">
        <f aca="true">IF(OR(M300&lt;&gt;"Yes",P300&lt;&gt;"",O300="Closed",O300="No Action Required"),"",IF(N300="","Due date missing",IF(N300&lt;TODAY(),"OVERDUE",IF(N300-TODAY()&lt;=2,"Due ≤2d","Open"))))</f>
        <v/>
      </c>
      <c r="S300" s="61"/>
      <c r="T300" s="61"/>
      <c r="U300" s="60"/>
      <c r="V300" s="88" t="str">
        <f aca="false">IF(AND(G300&lt;&gt;"",M300="Yes",P300="",O300&lt;&gt;"Closed",O300&lt;&gt;"No Action Required",O300&lt;&gt;"Responded"),ROW(),"")</f>
        <v/>
      </c>
    </row>
    <row r="301" customFormat="false" ht="15" hidden="false" customHeight="false" outlineLevel="0" collapsed="false">
      <c r="A301" s="56" t="s">
        <v>1451</v>
      </c>
      <c r="B301" s="63"/>
      <c r="C301" s="61"/>
      <c r="D301" s="61"/>
      <c r="E301" s="60"/>
      <c r="F301" s="61"/>
      <c r="G301" s="60"/>
      <c r="H301" s="61"/>
      <c r="I301" s="61"/>
      <c r="J301" s="60"/>
      <c r="K301" s="60"/>
      <c r="L301" s="60"/>
      <c r="M301" s="61"/>
      <c r="N301" s="63"/>
      <c r="O301" s="61"/>
      <c r="P301" s="63"/>
      <c r="Q301" s="87" t="str">
        <f aca="false">IF(OR(B301="",P301=""),"",P301-B301)</f>
        <v/>
      </c>
      <c r="R301" s="62" t="str">
        <f aca="true">IF(OR(M301&lt;&gt;"Yes",P301&lt;&gt;"",O301="Closed",O301="No Action Required"),"",IF(N301="","Due date missing",IF(N301&lt;TODAY(),"OVERDUE",IF(N301-TODAY()&lt;=2,"Due ≤2d","Open"))))</f>
        <v/>
      </c>
      <c r="S301" s="61"/>
      <c r="T301" s="61"/>
      <c r="U301" s="60"/>
      <c r="V301" s="88" t="str">
        <f aca="false">IF(AND(G301&lt;&gt;"",M301="Yes",P301="",O301&lt;&gt;"Closed",O301&lt;&gt;"No Action Required",O301&lt;&gt;"Responded"),ROW(),"")</f>
        <v/>
      </c>
    </row>
    <row r="302" customFormat="false" ht="15" hidden="false" customHeight="false" outlineLevel="0" collapsed="false">
      <c r="A302" s="56" t="s">
        <v>1452</v>
      </c>
      <c r="B302" s="63"/>
      <c r="C302" s="61"/>
      <c r="D302" s="61"/>
      <c r="E302" s="60"/>
      <c r="F302" s="61"/>
      <c r="G302" s="60"/>
      <c r="H302" s="61"/>
      <c r="I302" s="61"/>
      <c r="J302" s="60"/>
      <c r="K302" s="60"/>
      <c r="L302" s="60"/>
      <c r="M302" s="61"/>
      <c r="N302" s="63"/>
      <c r="O302" s="61"/>
      <c r="P302" s="63"/>
      <c r="Q302" s="87" t="str">
        <f aca="false">IF(OR(B302="",P302=""),"",P302-B302)</f>
        <v/>
      </c>
      <c r="R302" s="62" t="str">
        <f aca="true">IF(OR(M302&lt;&gt;"Yes",P302&lt;&gt;"",O302="Closed",O302="No Action Required"),"",IF(N302="","Due date missing",IF(N302&lt;TODAY(),"OVERDUE",IF(N302-TODAY()&lt;=2,"Due ≤2d","Open"))))</f>
        <v/>
      </c>
      <c r="S302" s="61"/>
      <c r="T302" s="61"/>
      <c r="U302" s="60"/>
      <c r="V302" s="88" t="str">
        <f aca="false">IF(AND(G302&lt;&gt;"",M302="Yes",P302="",O302&lt;&gt;"Closed",O302&lt;&gt;"No Action Required",O302&lt;&gt;"Responded"),ROW(),"")</f>
        <v/>
      </c>
    </row>
    <row r="303" customFormat="false" ht="15" hidden="false" customHeight="false" outlineLevel="0" collapsed="false">
      <c r="A303" s="56" t="s">
        <v>1453</v>
      </c>
      <c r="B303" s="63"/>
      <c r="C303" s="61"/>
      <c r="D303" s="61"/>
      <c r="E303" s="60"/>
      <c r="F303" s="61"/>
      <c r="G303" s="60"/>
      <c r="H303" s="61"/>
      <c r="I303" s="61"/>
      <c r="J303" s="60"/>
      <c r="K303" s="60"/>
      <c r="L303" s="60"/>
      <c r="M303" s="61"/>
      <c r="N303" s="63"/>
      <c r="O303" s="61"/>
      <c r="P303" s="63"/>
      <c r="Q303" s="87" t="str">
        <f aca="false">IF(OR(B303="",P303=""),"",P303-B303)</f>
        <v/>
      </c>
      <c r="R303" s="62" t="str">
        <f aca="true">IF(OR(M303&lt;&gt;"Yes",P303&lt;&gt;"",O303="Closed",O303="No Action Required"),"",IF(N303="","Due date missing",IF(N303&lt;TODAY(),"OVERDUE",IF(N303-TODAY()&lt;=2,"Due ≤2d","Open"))))</f>
        <v/>
      </c>
      <c r="S303" s="61"/>
      <c r="T303" s="61"/>
      <c r="U303" s="60"/>
      <c r="V303" s="88" t="str">
        <f aca="false">IF(AND(G303&lt;&gt;"",M303="Yes",P303="",O303&lt;&gt;"Closed",O303&lt;&gt;"No Action Required",O303&lt;&gt;"Responded"),ROW(),"")</f>
        <v/>
      </c>
    </row>
    <row r="304" customFormat="false" ht="15" hidden="false" customHeight="false" outlineLevel="0" collapsed="false">
      <c r="A304" s="56" t="s">
        <v>1454</v>
      </c>
      <c r="B304" s="63"/>
      <c r="C304" s="61"/>
      <c r="D304" s="61"/>
      <c r="E304" s="60"/>
      <c r="F304" s="61"/>
      <c r="G304" s="60"/>
      <c r="H304" s="61"/>
      <c r="I304" s="61"/>
      <c r="J304" s="60"/>
      <c r="K304" s="60"/>
      <c r="L304" s="60"/>
      <c r="M304" s="61"/>
      <c r="N304" s="63"/>
      <c r="O304" s="61"/>
      <c r="P304" s="63"/>
      <c r="Q304" s="87" t="str">
        <f aca="false">IF(OR(B304="",P304=""),"",P304-B304)</f>
        <v/>
      </c>
      <c r="R304" s="62" t="str">
        <f aca="true">IF(OR(M304&lt;&gt;"Yes",P304&lt;&gt;"",O304="Closed",O304="No Action Required"),"",IF(N304="","Due date missing",IF(N304&lt;TODAY(),"OVERDUE",IF(N304-TODAY()&lt;=2,"Due ≤2d","Open"))))</f>
        <v/>
      </c>
      <c r="S304" s="61"/>
      <c r="T304" s="61"/>
      <c r="U304" s="60"/>
      <c r="V304" s="88" t="str">
        <f aca="false">IF(AND(G304&lt;&gt;"",M304="Yes",P304="",O304&lt;&gt;"Closed",O304&lt;&gt;"No Action Required",O304&lt;&gt;"Responded"),ROW(),"")</f>
        <v/>
      </c>
    </row>
  </sheetData>
  <autoFilter ref="A4:U304"/>
  <conditionalFormatting sqref="R5:R304">
    <cfRule type="cellIs" priority="2" operator="equal" aboveAverage="0" equalAverage="0" bottom="0" percent="0" rank="0" text="" dxfId="13">
      <formula>"OVERDUE"</formula>
    </cfRule>
    <cfRule type="cellIs" priority="3" operator="equal" aboveAverage="0" equalAverage="0" bottom="0" percent="0" rank="0" text="" dxfId="13">
      <formula>"SLA BREACH"</formula>
    </cfRule>
    <cfRule type="expression" priority="4" aboveAverage="0" equalAverage="0" bottom="0" percent="0" rank="0" text="" dxfId="23">
      <formula>LEFT(R5,3)="Due"</formula>
    </cfRule>
    <cfRule type="cellIs" priority="5" operator="equal" aboveAverage="0" equalAverage="0" bottom="0" percent="0" rank="0" text="" dxfId="3">
      <formula>"Closed Late"</formula>
    </cfRule>
    <cfRule type="cellIs" priority="6" operator="equal" aboveAverage="0" equalAverage="0" bottom="0" percent="0" rank="0" text="" dxfId="3">
      <formula>"Date missing"</formula>
    </cfRule>
    <cfRule type="cellIs" priority="7" operator="equal" aboveAverage="0" equalAverage="0" bottom="0" percent="0" rank="0" text="" dxfId="3">
      <formula>"Due date missing"</formula>
    </cfRule>
    <cfRule type="cellIs" priority="8" operator="equal" aboveAverage="0" equalAverage="0" bottom="0" percent="0" rank="0" text="" dxfId="1">
      <formula>"Met"</formula>
    </cfRule>
    <cfRule type="cellIs" priority="9" operator="equal" aboveAverage="0" equalAverage="0" bottom="0" percent="0" rank="0" text="" dxfId="1">
      <formula>"Done"</formula>
    </cfRule>
    <cfRule type="cellIs" priority="10" operator="equal" aboveAverage="0" equalAverage="0" bottom="0" percent="0" rank="0" text="" dxfId="1">
      <formula>"Within SLA"</formula>
    </cfRule>
    <cfRule type="cellIs" priority="11" operator="equal" aboveAverage="0" equalAverage="0" bottom="0" percent="0" rank="0" text="" dxfId="1">
      <formula>"On Schedule"</formula>
    </cfRule>
    <cfRule type="cellIs" priority="12" operator="equal" aboveAverage="0" equalAverage="0" bottom="0" percent="0" rank="0" text="" dxfId="1">
      <formula>"Scheduled"</formula>
    </cfRule>
  </conditionalFormatting>
  <conditionalFormatting sqref="O5:O304">
    <cfRule type="cellIs" priority="13" operator="equal" aboveAverage="0" equalAverage="0" bottom="0" percent="0" rank="0" text="" dxfId="1">
      <formula>"Completed"</formula>
    </cfRule>
    <cfRule type="cellIs" priority="14" operator="equal" aboveAverage="0" equalAverage="0" bottom="0" percent="0" rank="0" text="" dxfId="1">
      <formula>"Achieved"</formula>
    </cfRule>
    <cfRule type="cellIs" priority="15" operator="equal" aboveAverage="0" equalAverage="0" bottom="0" percent="0" rank="0" text="" dxfId="1">
      <formula>"Remediated"</formula>
    </cfRule>
    <cfRule type="cellIs" priority="16" operator="equal" aboveAverage="0" equalAverage="0" bottom="0" percent="0" rank="0" text="" dxfId="1">
      <formula>"Responded"</formula>
    </cfRule>
    <cfRule type="cellIs" priority="17" operator="equal" aboveAverage="0" equalAverage="0" bottom="0" percent="0" rank="0" text="" dxfId="1">
      <formula>"Closed"</formula>
    </cfRule>
    <cfRule type="cellIs" priority="18" operator="equal" aboveAverage="0" equalAverage="0" bottom="0" percent="0" rank="0" text="" dxfId="1">
      <formula>"Decided"</formula>
    </cfRule>
    <cfRule type="cellIs" priority="19" operator="equal" aboveAverage="0" equalAverage="0" bottom="0" percent="0" rank="0" text="" dxfId="2">
      <formula>"In Progress"</formula>
    </cfRule>
    <cfRule type="cellIs" priority="20" operator="equal" aboveAverage="0" equalAverage="0" bottom="0" percent="0" rank="0" text="" dxfId="2">
      <formula>"Remediation In Progress"</formula>
    </cfRule>
    <cfRule type="cellIs" priority="21" operator="equal" aboveAverage="0" equalAverage="0" bottom="0" percent="0" rank="0" text="" dxfId="2">
      <formula>"At Risk"</formula>
    </cfRule>
    <cfRule type="cellIs" priority="22" operator="equal" aboveAverage="0" equalAverage="0" bottom="0" percent="0" rank="0" text="" dxfId="2">
      <formula>"Validating"</formula>
    </cfRule>
    <cfRule type="cellIs" priority="23" operator="equal" aboveAverage="0" equalAverage="0" bottom="0" percent="0" rank="0" text="" dxfId="2">
      <formula>"Awaiting Response"</formula>
    </cfRule>
    <cfRule type="cellIs" priority="24" operator="equal" aboveAverage="0" equalAverage="0" bottom="0" percent="0" rank="0" text="" dxfId="2">
      <formula>"Open"</formula>
    </cfRule>
    <cfRule type="cellIs" priority="25" operator="equal" aboveAverage="0" equalAverage="0" bottom="0" percent="0" rank="0" text="" dxfId="3">
      <formula>"Blocked"</formula>
    </cfRule>
    <cfRule type="cellIs" priority="26" operator="equal" aboveAverage="0" equalAverage="0" bottom="0" percent="0" rank="0" text="" dxfId="3">
      <formula>"Off Track"</formula>
    </cfRule>
    <cfRule type="cellIs" priority="27" operator="equal" aboveAverage="0" equalAverage="0" bottom="0" percent="0" rank="0" text="" dxfId="3">
      <formula>"Escalated"</formula>
    </cfRule>
    <cfRule type="cellIs" priority="28" operator="equal" aboveAverage="0" equalAverage="0" bottom="0" percent="0" rank="0" text="" dxfId="3">
      <formula>"Confirmed"</formula>
    </cfRule>
    <cfRule type="cellIs" priority="29" operator="equal" aboveAverage="0" equalAverage="0" bottom="0" percent="0" rank="0" text="" dxfId="3">
      <formula>"Delayed"</formula>
    </cfRule>
    <cfRule type="cellIs" priority="30" operator="equal" aboveAverage="0" equalAverage="0" bottom="0" percent="0" rank="0" text="" dxfId="4">
      <formula>"Cancelled"</formula>
    </cfRule>
    <cfRule type="cellIs" priority="31" operator="equal" aboveAverage="0" equalAverage="0" bottom="0" percent="0" rank="0" text="" dxfId="4">
      <formula>"False Positive"</formula>
    </cfRule>
    <cfRule type="cellIs" priority="32" operator="equal" aboveAverage="0" equalAverage="0" bottom="0" percent="0" rank="0" text="" dxfId="4">
      <formula>"Deferred"</formula>
    </cfRule>
    <cfRule type="cellIs" priority="33" operator="equal" aboveAverage="0" equalAverage="0" bottom="0" percent="0" rank="0" text="" dxfId="4">
      <formula>"On Hold"</formula>
    </cfRule>
    <cfRule type="cellIs" priority="34" operator="equal" aboveAverage="0" equalAverage="0" bottom="0" percent="0" rank="0" text="" dxfId="4">
      <formula>"Withdrawn"</formula>
    </cfRule>
  </conditionalFormatting>
  <dataValidations count="9">
    <dataValidation allowBlank="true" error="Enter a valid date (e.g. 19-Oct-2026)." errorStyle="stop" operator="greaterThan" showDropDown="false" showErrorMessage="true" showInputMessage="false" sqref="B5:B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C5:C304" type="list">
      <formula1>Lists!$I$4:$I$5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F5:F304" type="list">
      <formula1>Lists!$H$4:$H$8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H5:H304" type="list">
      <formula1>Lists!$J$4:$J$11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I5:I304" type="list">
      <formula1>Lists!$G$4:$G$14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M5:M304" type="list">
      <formula1>Lists!$A$4:$A$5</formula1>
      <formula2>0</formula2>
    </dataValidation>
    <dataValidation allowBlank="true" error="Enter a valid date (e.g. 19-Oct-2026)." errorStyle="stop" operator="greaterThan" showDropDown="false" showErrorMessage="true" showInputMessage="false" sqref="N5:N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O5:O304" type="list">
      <formula1>Lists!$K$4:$K$8</formula1>
      <formula2>0</formula2>
    </dataValidation>
    <dataValidation allowBlank="true" error="Enter a valid date (e.g. 19-Oct-2026)." errorStyle="stop" operator="greaterThan" showDropDown="false" showErrorMessage="true" showInputMessage="false" sqref="P5:P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AD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10" min="9" style="0" width="10"/>
    <col collapsed="false" customWidth="true" hidden="false" outlineLevel="0" max="14" min="11" style="0" width="13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36"/>
    <col collapsed="false" customWidth="true" hidden="false" outlineLevel="0" max="19" min="19" style="0" width="22"/>
    <col collapsed="false" customWidth="true" hidden="false" outlineLevel="0" max="20" min="20" style="0" width="13"/>
    <col collapsed="false" customWidth="true" hidden="false" outlineLevel="0" max="21" min="21" style="0" width="30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3"/>
    <col collapsed="false" customWidth="true" hidden="false" outlineLevel="0" max="25" min="25" style="0" width="30"/>
    <col collapsed="false" customWidth="true" hidden="true" outlineLevel="1" max="30" min="26" style="0" width="8"/>
  </cols>
  <sheetData>
    <row r="1" customFormat="false" ht="19.7" hidden="false" customHeight="false" outlineLevel="0" collapsed="false">
      <c r="A1" s="53" t="s">
        <v>1455</v>
      </c>
    </row>
    <row r="2" customFormat="false" ht="15" hidden="false" customHeight="false" outlineLevel="0" collapsed="false">
      <c r="A2" s="2" t="s">
        <v>1456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1457</v>
      </c>
      <c r="B4" s="55" t="s">
        <v>1458</v>
      </c>
      <c r="C4" s="55" t="s">
        <v>1459</v>
      </c>
      <c r="D4" s="55" t="s">
        <v>1460</v>
      </c>
      <c r="E4" s="55" t="s">
        <v>142</v>
      </c>
      <c r="F4" s="55" t="s">
        <v>1461</v>
      </c>
      <c r="G4" s="55" t="s">
        <v>1462</v>
      </c>
      <c r="H4" s="55" t="s">
        <v>143</v>
      </c>
      <c r="I4" s="55" t="s">
        <v>1463</v>
      </c>
      <c r="J4" s="55" t="s">
        <v>173</v>
      </c>
      <c r="K4" s="55" t="s">
        <v>94</v>
      </c>
      <c r="L4" s="55" t="s">
        <v>1464</v>
      </c>
      <c r="M4" s="55" t="s">
        <v>1465</v>
      </c>
      <c r="N4" s="55" t="s">
        <v>1466</v>
      </c>
      <c r="O4" s="55" t="s">
        <v>1467</v>
      </c>
      <c r="P4" s="55" t="s">
        <v>1468</v>
      </c>
      <c r="Q4" s="55" t="s">
        <v>1469</v>
      </c>
      <c r="R4" s="55" t="s">
        <v>1470</v>
      </c>
      <c r="S4" s="55" t="s">
        <v>1471</v>
      </c>
      <c r="T4" s="55" t="s">
        <v>1472</v>
      </c>
      <c r="U4" s="55" t="s">
        <v>1473</v>
      </c>
      <c r="V4" s="55" t="s">
        <v>1474</v>
      </c>
      <c r="W4" s="55" t="s">
        <v>1475</v>
      </c>
      <c r="X4" s="55" t="s">
        <v>1476</v>
      </c>
      <c r="Y4" s="55" t="s">
        <v>232</v>
      </c>
      <c r="Z4" s="84" t="s">
        <v>1477</v>
      </c>
      <c r="AA4" s="84" t="s">
        <v>1478</v>
      </c>
      <c r="AB4" s="84" t="s">
        <v>1479</v>
      </c>
      <c r="AC4" s="84" t="s">
        <v>1480</v>
      </c>
      <c r="AD4" s="84" t="s">
        <v>1481</v>
      </c>
    </row>
    <row r="5" customFormat="false" ht="35.05" hidden="false" customHeight="false" outlineLevel="0" collapsed="false">
      <c r="A5" s="56" t="s">
        <v>820</v>
      </c>
      <c r="B5" s="57" t="n">
        <v>46310</v>
      </c>
      <c r="C5" s="58" t="s">
        <v>165</v>
      </c>
      <c r="D5" s="58" t="s">
        <v>810</v>
      </c>
      <c r="E5" s="58" t="s">
        <v>482</v>
      </c>
      <c r="F5" s="59" t="s">
        <v>1482</v>
      </c>
      <c r="G5" s="58" t="s">
        <v>480</v>
      </c>
      <c r="H5" s="58" t="s">
        <v>486</v>
      </c>
      <c r="I5" s="58" t="s">
        <v>1483</v>
      </c>
      <c r="J5" s="58" t="s">
        <v>362</v>
      </c>
      <c r="K5" s="58" t="s">
        <v>352</v>
      </c>
      <c r="L5" s="57" t="n">
        <v>46311</v>
      </c>
      <c r="M5" s="57" t="n">
        <v>46332</v>
      </c>
      <c r="N5" s="63"/>
      <c r="O5" s="93" t="n">
        <v>0.25</v>
      </c>
      <c r="P5" s="58" t="s">
        <v>821</v>
      </c>
      <c r="Q5" s="57" t="n">
        <v>46314</v>
      </c>
      <c r="R5" s="59" t="s">
        <v>1484</v>
      </c>
      <c r="S5" s="59" t="s">
        <v>1485</v>
      </c>
      <c r="T5" s="57" t="n">
        <v>46318</v>
      </c>
      <c r="U5" s="59" t="s">
        <v>1486</v>
      </c>
      <c r="V5" s="60"/>
      <c r="W5" s="87" t="n">
        <f aca="true">IF(B5="","",IF(N5&lt;&gt;"",N5-B5,TODAY()-B5))</f>
        <v>5</v>
      </c>
      <c r="X5" s="62" t="str">
        <f aca="true">IF(OR(M5="",K5="Completed",K5="Cancelled"),"",IF(M5&lt;TODAY(),"OVERDUE",IF(M5-TODAY()&lt;=7,"Due ≤7d","On Schedule")))</f>
        <v>On Schedule</v>
      </c>
      <c r="Y5" s="60"/>
      <c r="Z5" s="88" t="str">
        <f aca="false">IF(AND(N5&lt;&gt;"",N5&gt;='Weekly Report'!$F$4,N5&lt;='Weekly Report'!$F$5),ROW(),"")</f>
        <v/>
      </c>
      <c r="AA5" s="88" t="n">
        <f aca="false">IF(AND(AND(Q5&lt;&gt;"",Q5&gt;='Weekly Report'!$F$4,Q5&lt;='Weekly Report'!$F$5),AND(F5&lt;&gt;"",K5&lt;&gt;"Completed",K5&lt;&gt;"Cancelled")),ROW(),"")</f>
        <v>5</v>
      </c>
      <c r="AB5" s="88" t="n">
        <f aca="false">IF(AND(F5&lt;&gt;"",K5="In Progress"),ROW(),"")</f>
        <v>5</v>
      </c>
      <c r="AC5" s="88" t="n">
        <f aca="false">IF(AND(AND(F5&lt;&gt;"",K5&lt;&gt;"Completed",K5&lt;&gt;"Cancelled"),OR(K5="Blocked",S5&lt;&gt;"")),ROW(),"")</f>
        <v>5</v>
      </c>
      <c r="AD5" s="88" t="n">
        <f aca="false">IF(AND(AND(F5&lt;&gt;"",K5&lt;&gt;"Completed",K5&lt;&gt;"Cancelled"),OR(P5="Yes",AND(M5&lt;&gt;"",M5&lt;='Weekly Report'!$F$7),AND(L5&lt;&gt;"",L5&gt;='Weekly Report'!$F$6,L5&lt;='Weekly Report'!$F$7))),ROW(),"")</f>
        <v>5</v>
      </c>
    </row>
    <row r="6" customFormat="false" ht="15" hidden="false" customHeight="false" outlineLevel="0" collapsed="false">
      <c r="A6" s="56" t="s">
        <v>1487</v>
      </c>
      <c r="B6" s="63"/>
      <c r="C6" s="61"/>
      <c r="D6" s="61"/>
      <c r="E6" s="61"/>
      <c r="F6" s="60"/>
      <c r="G6" s="61"/>
      <c r="H6" s="61"/>
      <c r="I6" s="61"/>
      <c r="J6" s="61"/>
      <c r="K6" s="61"/>
      <c r="L6" s="63"/>
      <c r="M6" s="63"/>
      <c r="N6" s="63"/>
      <c r="O6" s="94"/>
      <c r="P6" s="61"/>
      <c r="Q6" s="63"/>
      <c r="R6" s="60"/>
      <c r="S6" s="60"/>
      <c r="T6" s="63"/>
      <c r="U6" s="60"/>
      <c r="V6" s="60"/>
      <c r="W6" s="87" t="str">
        <f aca="true">IF(B6="","",IF(N6&lt;&gt;"",N6-B6,TODAY()-B6))</f>
        <v/>
      </c>
      <c r="X6" s="62" t="str">
        <f aca="true">IF(OR(M6="",K6="Completed",K6="Cancelled"),"",IF(M6&lt;TODAY(),"OVERDUE",IF(M6-TODAY()&lt;=7,"Due ≤7d","On Schedule")))</f>
        <v/>
      </c>
      <c r="Y6" s="60"/>
      <c r="Z6" s="88" t="str">
        <f aca="false">IF(AND(N6&lt;&gt;"",N6&gt;='Weekly Report'!$F$4,N6&lt;='Weekly Report'!$F$5),ROW(),"")</f>
        <v/>
      </c>
      <c r="AA6" s="88" t="str">
        <f aca="false">IF(AND(AND(Q6&lt;&gt;"",Q6&gt;='Weekly Report'!$F$4,Q6&lt;='Weekly Report'!$F$5),AND(F6&lt;&gt;"",K6&lt;&gt;"Completed",K6&lt;&gt;"Cancelled")),ROW(),"")</f>
        <v/>
      </c>
      <c r="AB6" s="88" t="str">
        <f aca="false">IF(AND(F6&lt;&gt;"",K6="In Progress"),ROW(),"")</f>
        <v/>
      </c>
      <c r="AC6" s="88" t="str">
        <f aca="false">IF(AND(AND(F6&lt;&gt;"",K6&lt;&gt;"Completed",K6&lt;&gt;"Cancelled"),OR(K6="Blocked",S6&lt;&gt;"")),ROW(),"")</f>
        <v/>
      </c>
      <c r="AD6" s="88" t="str">
        <f aca="false">IF(AND(AND(F6&lt;&gt;"",K6&lt;&gt;"Completed",K6&lt;&gt;"Cancelled"),OR(P6="Yes",AND(M6&lt;&gt;"",M6&lt;='Weekly Report'!$F$7),AND(L6&lt;&gt;"",L6&gt;='Weekly Report'!$F$6,L6&lt;='Weekly Report'!$F$7))),ROW(),"")</f>
        <v/>
      </c>
    </row>
    <row r="7" customFormat="false" ht="15" hidden="false" customHeight="false" outlineLevel="0" collapsed="false">
      <c r="A7" s="56" t="s">
        <v>1488</v>
      </c>
      <c r="B7" s="63"/>
      <c r="C7" s="61"/>
      <c r="D7" s="61"/>
      <c r="E7" s="61"/>
      <c r="F7" s="60"/>
      <c r="G7" s="61"/>
      <c r="H7" s="61"/>
      <c r="I7" s="61"/>
      <c r="J7" s="61"/>
      <c r="K7" s="61"/>
      <c r="L7" s="63"/>
      <c r="M7" s="63"/>
      <c r="N7" s="63"/>
      <c r="O7" s="94"/>
      <c r="P7" s="61"/>
      <c r="Q7" s="63"/>
      <c r="R7" s="60"/>
      <c r="S7" s="60"/>
      <c r="T7" s="63"/>
      <c r="U7" s="60"/>
      <c r="V7" s="60"/>
      <c r="W7" s="87" t="str">
        <f aca="true">IF(B7="","",IF(N7&lt;&gt;"",N7-B7,TODAY()-B7))</f>
        <v/>
      </c>
      <c r="X7" s="62" t="str">
        <f aca="true">IF(OR(M7="",K7="Completed",K7="Cancelled"),"",IF(M7&lt;TODAY(),"OVERDUE",IF(M7-TODAY()&lt;=7,"Due ≤7d","On Schedule")))</f>
        <v/>
      </c>
      <c r="Y7" s="60"/>
      <c r="Z7" s="88" t="str">
        <f aca="false">IF(AND(N7&lt;&gt;"",N7&gt;='Weekly Report'!$F$4,N7&lt;='Weekly Report'!$F$5),ROW(),"")</f>
        <v/>
      </c>
      <c r="AA7" s="88" t="str">
        <f aca="false">IF(AND(AND(Q7&lt;&gt;"",Q7&gt;='Weekly Report'!$F$4,Q7&lt;='Weekly Report'!$F$5),AND(F7&lt;&gt;"",K7&lt;&gt;"Completed",K7&lt;&gt;"Cancelled")),ROW(),"")</f>
        <v/>
      </c>
      <c r="AB7" s="88" t="str">
        <f aca="false">IF(AND(F7&lt;&gt;"",K7="In Progress"),ROW(),"")</f>
        <v/>
      </c>
      <c r="AC7" s="88" t="str">
        <f aca="false">IF(AND(AND(F7&lt;&gt;"",K7&lt;&gt;"Completed",K7&lt;&gt;"Cancelled"),OR(K7="Blocked",S7&lt;&gt;"")),ROW(),"")</f>
        <v/>
      </c>
      <c r="AD7" s="88" t="str">
        <f aca="false">IF(AND(AND(F7&lt;&gt;"",K7&lt;&gt;"Completed",K7&lt;&gt;"Cancelled"),OR(P7="Yes",AND(M7&lt;&gt;"",M7&lt;='Weekly Report'!$F$7),AND(L7&lt;&gt;"",L7&gt;='Weekly Report'!$F$6,L7&lt;='Weekly Report'!$F$7))),ROW(),"")</f>
        <v/>
      </c>
    </row>
    <row r="8" customFormat="false" ht="15" hidden="false" customHeight="false" outlineLevel="0" collapsed="false">
      <c r="A8" s="56" t="s">
        <v>1489</v>
      </c>
      <c r="B8" s="63"/>
      <c r="C8" s="61"/>
      <c r="D8" s="61"/>
      <c r="E8" s="61"/>
      <c r="F8" s="60"/>
      <c r="G8" s="61"/>
      <c r="H8" s="61"/>
      <c r="I8" s="61"/>
      <c r="J8" s="61"/>
      <c r="K8" s="61"/>
      <c r="L8" s="63"/>
      <c r="M8" s="63"/>
      <c r="N8" s="63"/>
      <c r="O8" s="94"/>
      <c r="P8" s="61"/>
      <c r="Q8" s="63"/>
      <c r="R8" s="60"/>
      <c r="S8" s="60"/>
      <c r="T8" s="63"/>
      <c r="U8" s="60"/>
      <c r="V8" s="60"/>
      <c r="W8" s="87" t="str">
        <f aca="true">IF(B8="","",IF(N8&lt;&gt;"",N8-B8,TODAY()-B8))</f>
        <v/>
      </c>
      <c r="X8" s="62" t="str">
        <f aca="true">IF(OR(M8="",K8="Completed",K8="Cancelled"),"",IF(M8&lt;TODAY(),"OVERDUE",IF(M8-TODAY()&lt;=7,"Due ≤7d","On Schedule")))</f>
        <v/>
      </c>
      <c r="Y8" s="60"/>
      <c r="Z8" s="88" t="str">
        <f aca="false">IF(AND(N8&lt;&gt;"",N8&gt;='Weekly Report'!$F$4,N8&lt;='Weekly Report'!$F$5),ROW(),"")</f>
        <v/>
      </c>
      <c r="AA8" s="88" t="str">
        <f aca="false">IF(AND(AND(Q8&lt;&gt;"",Q8&gt;='Weekly Report'!$F$4,Q8&lt;='Weekly Report'!$F$5),AND(F8&lt;&gt;"",K8&lt;&gt;"Completed",K8&lt;&gt;"Cancelled")),ROW(),"")</f>
        <v/>
      </c>
      <c r="AB8" s="88" t="str">
        <f aca="false">IF(AND(F8&lt;&gt;"",K8="In Progress"),ROW(),"")</f>
        <v/>
      </c>
      <c r="AC8" s="88" t="str">
        <f aca="false">IF(AND(AND(F8&lt;&gt;"",K8&lt;&gt;"Completed",K8&lt;&gt;"Cancelled"),OR(K8="Blocked",S8&lt;&gt;"")),ROW(),"")</f>
        <v/>
      </c>
      <c r="AD8" s="88" t="str">
        <f aca="false">IF(AND(AND(F8&lt;&gt;"",K8&lt;&gt;"Completed",K8&lt;&gt;"Cancelled"),OR(P8="Yes",AND(M8&lt;&gt;"",M8&lt;='Weekly Report'!$F$7),AND(L8&lt;&gt;"",L8&gt;='Weekly Report'!$F$6,L8&lt;='Weekly Report'!$F$7))),ROW(),"")</f>
        <v/>
      </c>
    </row>
    <row r="9" customFormat="false" ht="15" hidden="false" customHeight="false" outlineLevel="0" collapsed="false">
      <c r="A9" s="56" t="s">
        <v>1490</v>
      </c>
      <c r="B9" s="63"/>
      <c r="C9" s="61"/>
      <c r="D9" s="61"/>
      <c r="E9" s="61"/>
      <c r="F9" s="60"/>
      <c r="G9" s="61"/>
      <c r="H9" s="61"/>
      <c r="I9" s="61"/>
      <c r="J9" s="61"/>
      <c r="K9" s="61"/>
      <c r="L9" s="63"/>
      <c r="M9" s="63"/>
      <c r="N9" s="63"/>
      <c r="O9" s="94"/>
      <c r="P9" s="61"/>
      <c r="Q9" s="63"/>
      <c r="R9" s="60"/>
      <c r="S9" s="60"/>
      <c r="T9" s="63"/>
      <c r="U9" s="60"/>
      <c r="V9" s="60"/>
      <c r="W9" s="87" t="str">
        <f aca="true">IF(B9="","",IF(N9&lt;&gt;"",N9-B9,TODAY()-B9))</f>
        <v/>
      </c>
      <c r="X9" s="62" t="str">
        <f aca="true">IF(OR(M9="",K9="Completed",K9="Cancelled"),"",IF(M9&lt;TODAY(),"OVERDUE",IF(M9-TODAY()&lt;=7,"Due ≤7d","On Schedule")))</f>
        <v/>
      </c>
      <c r="Y9" s="60"/>
      <c r="Z9" s="88" t="str">
        <f aca="false">IF(AND(N9&lt;&gt;"",N9&gt;='Weekly Report'!$F$4,N9&lt;='Weekly Report'!$F$5),ROW(),"")</f>
        <v/>
      </c>
      <c r="AA9" s="88" t="str">
        <f aca="false">IF(AND(AND(Q9&lt;&gt;"",Q9&gt;='Weekly Report'!$F$4,Q9&lt;='Weekly Report'!$F$5),AND(F9&lt;&gt;"",K9&lt;&gt;"Completed",K9&lt;&gt;"Cancelled")),ROW(),"")</f>
        <v/>
      </c>
      <c r="AB9" s="88" t="str">
        <f aca="false">IF(AND(F9&lt;&gt;"",K9="In Progress"),ROW(),"")</f>
        <v/>
      </c>
      <c r="AC9" s="88" t="str">
        <f aca="false">IF(AND(AND(F9&lt;&gt;"",K9&lt;&gt;"Completed",K9&lt;&gt;"Cancelled"),OR(K9="Blocked",S9&lt;&gt;"")),ROW(),"")</f>
        <v/>
      </c>
      <c r="AD9" s="88" t="str">
        <f aca="false">IF(AND(AND(F9&lt;&gt;"",K9&lt;&gt;"Completed",K9&lt;&gt;"Cancelled"),OR(P9="Yes",AND(M9&lt;&gt;"",M9&lt;='Weekly Report'!$F$7),AND(L9&lt;&gt;"",L9&gt;='Weekly Report'!$F$6,L9&lt;='Weekly Report'!$F$7))),ROW(),"")</f>
        <v/>
      </c>
    </row>
    <row r="10" customFormat="false" ht="15" hidden="false" customHeight="false" outlineLevel="0" collapsed="false">
      <c r="A10" s="56" t="s">
        <v>1491</v>
      </c>
      <c r="B10" s="63"/>
      <c r="C10" s="61"/>
      <c r="D10" s="61"/>
      <c r="E10" s="61"/>
      <c r="F10" s="60"/>
      <c r="G10" s="61"/>
      <c r="H10" s="61"/>
      <c r="I10" s="61"/>
      <c r="J10" s="61"/>
      <c r="K10" s="61"/>
      <c r="L10" s="63"/>
      <c r="M10" s="63"/>
      <c r="N10" s="63"/>
      <c r="O10" s="94"/>
      <c r="P10" s="61"/>
      <c r="Q10" s="63"/>
      <c r="R10" s="60"/>
      <c r="S10" s="60"/>
      <c r="T10" s="63"/>
      <c r="U10" s="60"/>
      <c r="V10" s="60"/>
      <c r="W10" s="87" t="str">
        <f aca="true">IF(B10="","",IF(N10&lt;&gt;"",N10-B10,TODAY()-B10))</f>
        <v/>
      </c>
      <c r="X10" s="62" t="str">
        <f aca="true">IF(OR(M10="",K10="Completed",K10="Cancelled"),"",IF(M10&lt;TODAY(),"OVERDUE",IF(M10-TODAY()&lt;=7,"Due ≤7d","On Schedule")))</f>
        <v/>
      </c>
      <c r="Y10" s="60"/>
      <c r="Z10" s="88" t="str">
        <f aca="false">IF(AND(N10&lt;&gt;"",N10&gt;='Weekly Report'!$F$4,N10&lt;='Weekly Report'!$F$5),ROW(),"")</f>
        <v/>
      </c>
      <c r="AA10" s="88" t="str">
        <f aca="false">IF(AND(AND(Q10&lt;&gt;"",Q10&gt;='Weekly Report'!$F$4,Q10&lt;='Weekly Report'!$F$5),AND(F10&lt;&gt;"",K10&lt;&gt;"Completed",K10&lt;&gt;"Cancelled")),ROW(),"")</f>
        <v/>
      </c>
      <c r="AB10" s="88" t="str">
        <f aca="false">IF(AND(F10&lt;&gt;"",K10="In Progress"),ROW(),"")</f>
        <v/>
      </c>
      <c r="AC10" s="88" t="str">
        <f aca="false">IF(AND(AND(F10&lt;&gt;"",K10&lt;&gt;"Completed",K10&lt;&gt;"Cancelled"),OR(K10="Blocked",S10&lt;&gt;"")),ROW(),"")</f>
        <v/>
      </c>
      <c r="AD10" s="88" t="str">
        <f aca="false">IF(AND(AND(F10&lt;&gt;"",K10&lt;&gt;"Completed",K10&lt;&gt;"Cancelled"),OR(P10="Yes",AND(M10&lt;&gt;"",M10&lt;='Weekly Report'!$F$7),AND(L10&lt;&gt;"",L10&gt;='Weekly Report'!$F$6,L10&lt;='Weekly Report'!$F$7))),ROW(),"")</f>
        <v/>
      </c>
    </row>
    <row r="11" customFormat="false" ht="15" hidden="false" customHeight="false" outlineLevel="0" collapsed="false">
      <c r="A11" s="56" t="s">
        <v>1492</v>
      </c>
      <c r="B11" s="63"/>
      <c r="C11" s="61"/>
      <c r="D11" s="61"/>
      <c r="E11" s="61"/>
      <c r="F11" s="60"/>
      <c r="G11" s="61"/>
      <c r="H11" s="61"/>
      <c r="I11" s="61"/>
      <c r="J11" s="61"/>
      <c r="K11" s="61"/>
      <c r="L11" s="63"/>
      <c r="M11" s="63"/>
      <c r="N11" s="63"/>
      <c r="O11" s="94"/>
      <c r="P11" s="61"/>
      <c r="Q11" s="63"/>
      <c r="R11" s="60"/>
      <c r="S11" s="60"/>
      <c r="T11" s="63"/>
      <c r="U11" s="60"/>
      <c r="V11" s="60"/>
      <c r="W11" s="87" t="str">
        <f aca="true">IF(B11="","",IF(N11&lt;&gt;"",N11-B11,TODAY()-B11))</f>
        <v/>
      </c>
      <c r="X11" s="62" t="str">
        <f aca="true">IF(OR(M11="",K11="Completed",K11="Cancelled"),"",IF(M11&lt;TODAY(),"OVERDUE",IF(M11-TODAY()&lt;=7,"Due ≤7d","On Schedule")))</f>
        <v/>
      </c>
      <c r="Y11" s="60"/>
      <c r="Z11" s="88" t="str">
        <f aca="false">IF(AND(N11&lt;&gt;"",N11&gt;='Weekly Report'!$F$4,N11&lt;='Weekly Report'!$F$5),ROW(),"")</f>
        <v/>
      </c>
      <c r="AA11" s="88" t="str">
        <f aca="false">IF(AND(AND(Q11&lt;&gt;"",Q11&gt;='Weekly Report'!$F$4,Q11&lt;='Weekly Report'!$F$5),AND(F11&lt;&gt;"",K11&lt;&gt;"Completed",K11&lt;&gt;"Cancelled")),ROW(),"")</f>
        <v/>
      </c>
      <c r="AB11" s="88" t="str">
        <f aca="false">IF(AND(F11&lt;&gt;"",K11="In Progress"),ROW(),"")</f>
        <v/>
      </c>
      <c r="AC11" s="88" t="str">
        <f aca="false">IF(AND(AND(F11&lt;&gt;"",K11&lt;&gt;"Completed",K11&lt;&gt;"Cancelled"),OR(K11="Blocked",S11&lt;&gt;"")),ROW(),"")</f>
        <v/>
      </c>
      <c r="AD11" s="88" t="str">
        <f aca="false">IF(AND(AND(F11&lt;&gt;"",K11&lt;&gt;"Completed",K11&lt;&gt;"Cancelled"),OR(P11="Yes",AND(M11&lt;&gt;"",M11&lt;='Weekly Report'!$F$7),AND(L11&lt;&gt;"",L11&gt;='Weekly Report'!$F$6,L11&lt;='Weekly Report'!$F$7))),ROW(),"")</f>
        <v/>
      </c>
    </row>
    <row r="12" customFormat="false" ht="15" hidden="false" customHeight="false" outlineLevel="0" collapsed="false">
      <c r="A12" s="56" t="s">
        <v>1493</v>
      </c>
      <c r="B12" s="63"/>
      <c r="C12" s="61"/>
      <c r="D12" s="61"/>
      <c r="E12" s="61"/>
      <c r="F12" s="60"/>
      <c r="G12" s="61"/>
      <c r="H12" s="61"/>
      <c r="I12" s="61"/>
      <c r="J12" s="61"/>
      <c r="K12" s="61"/>
      <c r="L12" s="63"/>
      <c r="M12" s="63"/>
      <c r="N12" s="63"/>
      <c r="O12" s="94"/>
      <c r="P12" s="61"/>
      <c r="Q12" s="63"/>
      <c r="R12" s="60"/>
      <c r="S12" s="60"/>
      <c r="T12" s="63"/>
      <c r="U12" s="60"/>
      <c r="V12" s="60"/>
      <c r="W12" s="87" t="str">
        <f aca="true">IF(B12="","",IF(N12&lt;&gt;"",N12-B12,TODAY()-B12))</f>
        <v/>
      </c>
      <c r="X12" s="62" t="str">
        <f aca="true">IF(OR(M12="",K12="Completed",K12="Cancelled"),"",IF(M12&lt;TODAY(),"OVERDUE",IF(M12-TODAY()&lt;=7,"Due ≤7d","On Schedule")))</f>
        <v/>
      </c>
      <c r="Y12" s="60"/>
      <c r="Z12" s="88" t="str">
        <f aca="false">IF(AND(N12&lt;&gt;"",N12&gt;='Weekly Report'!$F$4,N12&lt;='Weekly Report'!$F$5),ROW(),"")</f>
        <v/>
      </c>
      <c r="AA12" s="88" t="str">
        <f aca="false">IF(AND(AND(Q12&lt;&gt;"",Q12&gt;='Weekly Report'!$F$4,Q12&lt;='Weekly Report'!$F$5),AND(F12&lt;&gt;"",K12&lt;&gt;"Completed",K12&lt;&gt;"Cancelled")),ROW(),"")</f>
        <v/>
      </c>
      <c r="AB12" s="88" t="str">
        <f aca="false">IF(AND(F12&lt;&gt;"",K12="In Progress"),ROW(),"")</f>
        <v/>
      </c>
      <c r="AC12" s="88" t="str">
        <f aca="false">IF(AND(AND(F12&lt;&gt;"",K12&lt;&gt;"Completed",K12&lt;&gt;"Cancelled"),OR(K12="Blocked",S12&lt;&gt;"")),ROW(),"")</f>
        <v/>
      </c>
      <c r="AD12" s="88" t="str">
        <f aca="false">IF(AND(AND(F12&lt;&gt;"",K12&lt;&gt;"Completed",K12&lt;&gt;"Cancelled"),OR(P12="Yes",AND(M12&lt;&gt;"",M12&lt;='Weekly Report'!$F$7),AND(L12&lt;&gt;"",L12&gt;='Weekly Report'!$F$6,L12&lt;='Weekly Report'!$F$7))),ROW(),"")</f>
        <v/>
      </c>
    </row>
    <row r="13" customFormat="false" ht="15" hidden="false" customHeight="false" outlineLevel="0" collapsed="false">
      <c r="A13" s="56" t="s">
        <v>1494</v>
      </c>
      <c r="B13" s="63"/>
      <c r="C13" s="61"/>
      <c r="D13" s="61"/>
      <c r="E13" s="61"/>
      <c r="F13" s="60"/>
      <c r="G13" s="61"/>
      <c r="H13" s="61"/>
      <c r="I13" s="61"/>
      <c r="J13" s="61"/>
      <c r="K13" s="61"/>
      <c r="L13" s="63"/>
      <c r="M13" s="63"/>
      <c r="N13" s="63"/>
      <c r="O13" s="94"/>
      <c r="P13" s="61"/>
      <c r="Q13" s="63"/>
      <c r="R13" s="60"/>
      <c r="S13" s="60"/>
      <c r="T13" s="63"/>
      <c r="U13" s="60"/>
      <c r="V13" s="60"/>
      <c r="W13" s="87" t="str">
        <f aca="true">IF(B13="","",IF(N13&lt;&gt;"",N13-B13,TODAY()-B13))</f>
        <v/>
      </c>
      <c r="X13" s="62" t="str">
        <f aca="true">IF(OR(M13="",K13="Completed",K13="Cancelled"),"",IF(M13&lt;TODAY(),"OVERDUE",IF(M13-TODAY()&lt;=7,"Due ≤7d","On Schedule")))</f>
        <v/>
      </c>
      <c r="Y13" s="60"/>
      <c r="Z13" s="88" t="str">
        <f aca="false">IF(AND(N13&lt;&gt;"",N13&gt;='Weekly Report'!$F$4,N13&lt;='Weekly Report'!$F$5),ROW(),"")</f>
        <v/>
      </c>
      <c r="AA13" s="88" t="str">
        <f aca="false">IF(AND(AND(Q13&lt;&gt;"",Q13&gt;='Weekly Report'!$F$4,Q13&lt;='Weekly Report'!$F$5),AND(F13&lt;&gt;"",K13&lt;&gt;"Completed",K13&lt;&gt;"Cancelled")),ROW(),"")</f>
        <v/>
      </c>
      <c r="AB13" s="88" t="str">
        <f aca="false">IF(AND(F13&lt;&gt;"",K13="In Progress"),ROW(),"")</f>
        <v/>
      </c>
      <c r="AC13" s="88" t="str">
        <f aca="false">IF(AND(AND(F13&lt;&gt;"",K13&lt;&gt;"Completed",K13&lt;&gt;"Cancelled"),OR(K13="Blocked",S13&lt;&gt;"")),ROW(),"")</f>
        <v/>
      </c>
      <c r="AD13" s="88" t="str">
        <f aca="false">IF(AND(AND(F13&lt;&gt;"",K13&lt;&gt;"Completed",K13&lt;&gt;"Cancelled"),OR(P13="Yes",AND(M13&lt;&gt;"",M13&lt;='Weekly Report'!$F$7),AND(L13&lt;&gt;"",L13&gt;='Weekly Report'!$F$6,L13&lt;='Weekly Report'!$F$7))),ROW(),"")</f>
        <v/>
      </c>
    </row>
    <row r="14" customFormat="false" ht="15" hidden="false" customHeight="false" outlineLevel="0" collapsed="false">
      <c r="A14" s="56" t="s">
        <v>1495</v>
      </c>
      <c r="B14" s="63"/>
      <c r="C14" s="61"/>
      <c r="D14" s="61"/>
      <c r="E14" s="61"/>
      <c r="F14" s="60"/>
      <c r="G14" s="61"/>
      <c r="H14" s="61"/>
      <c r="I14" s="61"/>
      <c r="J14" s="61"/>
      <c r="K14" s="61"/>
      <c r="L14" s="63"/>
      <c r="M14" s="63"/>
      <c r="N14" s="63"/>
      <c r="O14" s="94"/>
      <c r="P14" s="61"/>
      <c r="Q14" s="63"/>
      <c r="R14" s="60"/>
      <c r="S14" s="60"/>
      <c r="T14" s="63"/>
      <c r="U14" s="60"/>
      <c r="V14" s="60"/>
      <c r="W14" s="87" t="str">
        <f aca="true">IF(B14="","",IF(N14&lt;&gt;"",N14-B14,TODAY()-B14))</f>
        <v/>
      </c>
      <c r="X14" s="62" t="str">
        <f aca="true">IF(OR(M14="",K14="Completed",K14="Cancelled"),"",IF(M14&lt;TODAY(),"OVERDUE",IF(M14-TODAY()&lt;=7,"Due ≤7d","On Schedule")))</f>
        <v/>
      </c>
      <c r="Y14" s="60"/>
      <c r="Z14" s="88" t="str">
        <f aca="false">IF(AND(N14&lt;&gt;"",N14&gt;='Weekly Report'!$F$4,N14&lt;='Weekly Report'!$F$5),ROW(),"")</f>
        <v/>
      </c>
      <c r="AA14" s="88" t="str">
        <f aca="false">IF(AND(AND(Q14&lt;&gt;"",Q14&gt;='Weekly Report'!$F$4,Q14&lt;='Weekly Report'!$F$5),AND(F14&lt;&gt;"",K14&lt;&gt;"Completed",K14&lt;&gt;"Cancelled")),ROW(),"")</f>
        <v/>
      </c>
      <c r="AB14" s="88" t="str">
        <f aca="false">IF(AND(F14&lt;&gt;"",K14="In Progress"),ROW(),"")</f>
        <v/>
      </c>
      <c r="AC14" s="88" t="str">
        <f aca="false">IF(AND(AND(F14&lt;&gt;"",K14&lt;&gt;"Completed",K14&lt;&gt;"Cancelled"),OR(K14="Blocked",S14&lt;&gt;"")),ROW(),"")</f>
        <v/>
      </c>
      <c r="AD14" s="88" t="str">
        <f aca="false">IF(AND(AND(F14&lt;&gt;"",K14&lt;&gt;"Completed",K14&lt;&gt;"Cancelled"),OR(P14="Yes",AND(M14&lt;&gt;"",M14&lt;='Weekly Report'!$F$7),AND(L14&lt;&gt;"",L14&gt;='Weekly Report'!$F$6,L14&lt;='Weekly Report'!$F$7))),ROW(),"")</f>
        <v/>
      </c>
    </row>
    <row r="15" customFormat="false" ht="15" hidden="false" customHeight="false" outlineLevel="0" collapsed="false">
      <c r="A15" s="56" t="s">
        <v>1496</v>
      </c>
      <c r="B15" s="63"/>
      <c r="C15" s="61"/>
      <c r="D15" s="61"/>
      <c r="E15" s="61"/>
      <c r="F15" s="60"/>
      <c r="G15" s="61"/>
      <c r="H15" s="61"/>
      <c r="I15" s="61"/>
      <c r="J15" s="61"/>
      <c r="K15" s="61"/>
      <c r="L15" s="63"/>
      <c r="M15" s="63"/>
      <c r="N15" s="63"/>
      <c r="O15" s="94"/>
      <c r="P15" s="61"/>
      <c r="Q15" s="63"/>
      <c r="R15" s="60"/>
      <c r="S15" s="60"/>
      <c r="T15" s="63"/>
      <c r="U15" s="60"/>
      <c r="V15" s="60"/>
      <c r="W15" s="87" t="str">
        <f aca="true">IF(B15="","",IF(N15&lt;&gt;"",N15-B15,TODAY()-B15))</f>
        <v/>
      </c>
      <c r="X15" s="62" t="str">
        <f aca="true">IF(OR(M15="",K15="Completed",K15="Cancelled"),"",IF(M15&lt;TODAY(),"OVERDUE",IF(M15-TODAY()&lt;=7,"Due ≤7d","On Schedule")))</f>
        <v/>
      </c>
      <c r="Y15" s="60"/>
      <c r="Z15" s="88" t="str">
        <f aca="false">IF(AND(N15&lt;&gt;"",N15&gt;='Weekly Report'!$F$4,N15&lt;='Weekly Report'!$F$5),ROW(),"")</f>
        <v/>
      </c>
      <c r="AA15" s="88" t="str">
        <f aca="false">IF(AND(AND(Q15&lt;&gt;"",Q15&gt;='Weekly Report'!$F$4,Q15&lt;='Weekly Report'!$F$5),AND(F15&lt;&gt;"",K15&lt;&gt;"Completed",K15&lt;&gt;"Cancelled")),ROW(),"")</f>
        <v/>
      </c>
      <c r="AB15" s="88" t="str">
        <f aca="false">IF(AND(F15&lt;&gt;"",K15="In Progress"),ROW(),"")</f>
        <v/>
      </c>
      <c r="AC15" s="88" t="str">
        <f aca="false">IF(AND(AND(F15&lt;&gt;"",K15&lt;&gt;"Completed",K15&lt;&gt;"Cancelled"),OR(K15="Blocked",S15&lt;&gt;"")),ROW(),"")</f>
        <v/>
      </c>
      <c r="AD15" s="88" t="str">
        <f aca="false">IF(AND(AND(F15&lt;&gt;"",K15&lt;&gt;"Completed",K15&lt;&gt;"Cancelled"),OR(P15="Yes",AND(M15&lt;&gt;"",M15&lt;='Weekly Report'!$F$7),AND(L15&lt;&gt;"",L15&gt;='Weekly Report'!$F$6,L15&lt;='Weekly Report'!$F$7))),ROW(),"")</f>
        <v/>
      </c>
    </row>
    <row r="16" customFormat="false" ht="15" hidden="false" customHeight="false" outlineLevel="0" collapsed="false">
      <c r="A16" s="56" t="s">
        <v>1497</v>
      </c>
      <c r="B16" s="63"/>
      <c r="C16" s="61"/>
      <c r="D16" s="61"/>
      <c r="E16" s="61"/>
      <c r="F16" s="60"/>
      <c r="G16" s="61"/>
      <c r="H16" s="61"/>
      <c r="I16" s="61"/>
      <c r="J16" s="61"/>
      <c r="K16" s="61"/>
      <c r="L16" s="63"/>
      <c r="M16" s="63"/>
      <c r="N16" s="63"/>
      <c r="O16" s="94"/>
      <c r="P16" s="61"/>
      <c r="Q16" s="63"/>
      <c r="R16" s="60"/>
      <c r="S16" s="60"/>
      <c r="T16" s="63"/>
      <c r="U16" s="60"/>
      <c r="V16" s="60"/>
      <c r="W16" s="87" t="str">
        <f aca="true">IF(B16="","",IF(N16&lt;&gt;"",N16-B16,TODAY()-B16))</f>
        <v/>
      </c>
      <c r="X16" s="62" t="str">
        <f aca="true">IF(OR(M16="",K16="Completed",K16="Cancelled"),"",IF(M16&lt;TODAY(),"OVERDUE",IF(M16-TODAY()&lt;=7,"Due ≤7d","On Schedule")))</f>
        <v/>
      </c>
      <c r="Y16" s="60"/>
      <c r="Z16" s="88" t="str">
        <f aca="false">IF(AND(N16&lt;&gt;"",N16&gt;='Weekly Report'!$F$4,N16&lt;='Weekly Report'!$F$5),ROW(),"")</f>
        <v/>
      </c>
      <c r="AA16" s="88" t="str">
        <f aca="false">IF(AND(AND(Q16&lt;&gt;"",Q16&gt;='Weekly Report'!$F$4,Q16&lt;='Weekly Report'!$F$5),AND(F16&lt;&gt;"",K16&lt;&gt;"Completed",K16&lt;&gt;"Cancelled")),ROW(),"")</f>
        <v/>
      </c>
      <c r="AB16" s="88" t="str">
        <f aca="false">IF(AND(F16&lt;&gt;"",K16="In Progress"),ROW(),"")</f>
        <v/>
      </c>
      <c r="AC16" s="88" t="str">
        <f aca="false">IF(AND(AND(F16&lt;&gt;"",K16&lt;&gt;"Completed",K16&lt;&gt;"Cancelled"),OR(K16="Blocked",S16&lt;&gt;"")),ROW(),"")</f>
        <v/>
      </c>
      <c r="AD16" s="88" t="str">
        <f aca="false">IF(AND(AND(F16&lt;&gt;"",K16&lt;&gt;"Completed",K16&lt;&gt;"Cancelled"),OR(P16="Yes",AND(M16&lt;&gt;"",M16&lt;='Weekly Report'!$F$7),AND(L16&lt;&gt;"",L16&gt;='Weekly Report'!$F$6,L16&lt;='Weekly Report'!$F$7))),ROW(),"")</f>
        <v/>
      </c>
    </row>
    <row r="17" customFormat="false" ht="15" hidden="false" customHeight="false" outlineLevel="0" collapsed="false">
      <c r="A17" s="56" t="s">
        <v>1498</v>
      </c>
      <c r="B17" s="63"/>
      <c r="C17" s="61"/>
      <c r="D17" s="61"/>
      <c r="E17" s="61"/>
      <c r="F17" s="60"/>
      <c r="G17" s="61"/>
      <c r="H17" s="61"/>
      <c r="I17" s="61"/>
      <c r="J17" s="61"/>
      <c r="K17" s="61"/>
      <c r="L17" s="63"/>
      <c r="M17" s="63"/>
      <c r="N17" s="63"/>
      <c r="O17" s="94"/>
      <c r="P17" s="61"/>
      <c r="Q17" s="63"/>
      <c r="R17" s="60"/>
      <c r="S17" s="60"/>
      <c r="T17" s="63"/>
      <c r="U17" s="60"/>
      <c r="V17" s="60"/>
      <c r="W17" s="87" t="str">
        <f aca="true">IF(B17="","",IF(N17&lt;&gt;"",N17-B17,TODAY()-B17))</f>
        <v/>
      </c>
      <c r="X17" s="62" t="str">
        <f aca="true">IF(OR(M17="",K17="Completed",K17="Cancelled"),"",IF(M17&lt;TODAY(),"OVERDUE",IF(M17-TODAY()&lt;=7,"Due ≤7d","On Schedule")))</f>
        <v/>
      </c>
      <c r="Y17" s="60"/>
      <c r="Z17" s="88" t="str">
        <f aca="false">IF(AND(N17&lt;&gt;"",N17&gt;='Weekly Report'!$F$4,N17&lt;='Weekly Report'!$F$5),ROW(),"")</f>
        <v/>
      </c>
      <c r="AA17" s="88" t="str">
        <f aca="false">IF(AND(AND(Q17&lt;&gt;"",Q17&gt;='Weekly Report'!$F$4,Q17&lt;='Weekly Report'!$F$5),AND(F17&lt;&gt;"",K17&lt;&gt;"Completed",K17&lt;&gt;"Cancelled")),ROW(),"")</f>
        <v/>
      </c>
      <c r="AB17" s="88" t="str">
        <f aca="false">IF(AND(F17&lt;&gt;"",K17="In Progress"),ROW(),"")</f>
        <v/>
      </c>
      <c r="AC17" s="88" t="str">
        <f aca="false">IF(AND(AND(F17&lt;&gt;"",K17&lt;&gt;"Completed",K17&lt;&gt;"Cancelled"),OR(K17="Blocked",S17&lt;&gt;"")),ROW(),"")</f>
        <v/>
      </c>
      <c r="AD17" s="88" t="str">
        <f aca="false">IF(AND(AND(F17&lt;&gt;"",K17&lt;&gt;"Completed",K17&lt;&gt;"Cancelled"),OR(P17="Yes",AND(M17&lt;&gt;"",M17&lt;='Weekly Report'!$F$7),AND(L17&lt;&gt;"",L17&gt;='Weekly Report'!$F$6,L17&lt;='Weekly Report'!$F$7))),ROW(),"")</f>
        <v/>
      </c>
    </row>
    <row r="18" customFormat="false" ht="15" hidden="false" customHeight="false" outlineLevel="0" collapsed="false">
      <c r="A18" s="56" t="s">
        <v>1499</v>
      </c>
      <c r="B18" s="63"/>
      <c r="C18" s="61"/>
      <c r="D18" s="61"/>
      <c r="E18" s="61"/>
      <c r="F18" s="60"/>
      <c r="G18" s="61"/>
      <c r="H18" s="61"/>
      <c r="I18" s="61"/>
      <c r="J18" s="61"/>
      <c r="K18" s="61"/>
      <c r="L18" s="63"/>
      <c r="M18" s="63"/>
      <c r="N18" s="63"/>
      <c r="O18" s="94"/>
      <c r="P18" s="61"/>
      <c r="Q18" s="63"/>
      <c r="R18" s="60"/>
      <c r="S18" s="60"/>
      <c r="T18" s="63"/>
      <c r="U18" s="60"/>
      <c r="V18" s="60"/>
      <c r="W18" s="87" t="str">
        <f aca="true">IF(B18="","",IF(N18&lt;&gt;"",N18-B18,TODAY()-B18))</f>
        <v/>
      </c>
      <c r="X18" s="62" t="str">
        <f aca="true">IF(OR(M18="",K18="Completed",K18="Cancelled"),"",IF(M18&lt;TODAY(),"OVERDUE",IF(M18-TODAY()&lt;=7,"Due ≤7d","On Schedule")))</f>
        <v/>
      </c>
      <c r="Y18" s="60"/>
      <c r="Z18" s="88" t="str">
        <f aca="false">IF(AND(N18&lt;&gt;"",N18&gt;='Weekly Report'!$F$4,N18&lt;='Weekly Report'!$F$5),ROW(),"")</f>
        <v/>
      </c>
      <c r="AA18" s="88" t="str">
        <f aca="false">IF(AND(AND(Q18&lt;&gt;"",Q18&gt;='Weekly Report'!$F$4,Q18&lt;='Weekly Report'!$F$5),AND(F18&lt;&gt;"",K18&lt;&gt;"Completed",K18&lt;&gt;"Cancelled")),ROW(),"")</f>
        <v/>
      </c>
      <c r="AB18" s="88" t="str">
        <f aca="false">IF(AND(F18&lt;&gt;"",K18="In Progress"),ROW(),"")</f>
        <v/>
      </c>
      <c r="AC18" s="88" t="str">
        <f aca="false">IF(AND(AND(F18&lt;&gt;"",K18&lt;&gt;"Completed",K18&lt;&gt;"Cancelled"),OR(K18="Blocked",S18&lt;&gt;"")),ROW(),"")</f>
        <v/>
      </c>
      <c r="AD18" s="88" t="str">
        <f aca="false">IF(AND(AND(F18&lt;&gt;"",K18&lt;&gt;"Completed",K18&lt;&gt;"Cancelled"),OR(P18="Yes",AND(M18&lt;&gt;"",M18&lt;='Weekly Report'!$F$7),AND(L18&lt;&gt;"",L18&gt;='Weekly Report'!$F$6,L18&lt;='Weekly Report'!$F$7))),ROW(),"")</f>
        <v/>
      </c>
    </row>
    <row r="19" customFormat="false" ht="15" hidden="false" customHeight="false" outlineLevel="0" collapsed="false">
      <c r="A19" s="56" t="s">
        <v>1500</v>
      </c>
      <c r="B19" s="63"/>
      <c r="C19" s="61"/>
      <c r="D19" s="61"/>
      <c r="E19" s="61"/>
      <c r="F19" s="60"/>
      <c r="G19" s="61"/>
      <c r="H19" s="61"/>
      <c r="I19" s="61"/>
      <c r="J19" s="61"/>
      <c r="K19" s="61"/>
      <c r="L19" s="63"/>
      <c r="M19" s="63"/>
      <c r="N19" s="63"/>
      <c r="O19" s="94"/>
      <c r="P19" s="61"/>
      <c r="Q19" s="63"/>
      <c r="R19" s="60"/>
      <c r="S19" s="60"/>
      <c r="T19" s="63"/>
      <c r="U19" s="60"/>
      <c r="V19" s="60"/>
      <c r="W19" s="87" t="str">
        <f aca="true">IF(B19="","",IF(N19&lt;&gt;"",N19-B19,TODAY()-B19))</f>
        <v/>
      </c>
      <c r="X19" s="62" t="str">
        <f aca="true">IF(OR(M19="",K19="Completed",K19="Cancelled"),"",IF(M19&lt;TODAY(),"OVERDUE",IF(M19-TODAY()&lt;=7,"Due ≤7d","On Schedule")))</f>
        <v/>
      </c>
      <c r="Y19" s="60"/>
      <c r="Z19" s="88" t="str">
        <f aca="false">IF(AND(N19&lt;&gt;"",N19&gt;='Weekly Report'!$F$4,N19&lt;='Weekly Report'!$F$5),ROW(),"")</f>
        <v/>
      </c>
      <c r="AA19" s="88" t="str">
        <f aca="false">IF(AND(AND(Q19&lt;&gt;"",Q19&gt;='Weekly Report'!$F$4,Q19&lt;='Weekly Report'!$F$5),AND(F19&lt;&gt;"",K19&lt;&gt;"Completed",K19&lt;&gt;"Cancelled")),ROW(),"")</f>
        <v/>
      </c>
      <c r="AB19" s="88" t="str">
        <f aca="false">IF(AND(F19&lt;&gt;"",K19="In Progress"),ROW(),"")</f>
        <v/>
      </c>
      <c r="AC19" s="88" t="str">
        <f aca="false">IF(AND(AND(F19&lt;&gt;"",K19&lt;&gt;"Completed",K19&lt;&gt;"Cancelled"),OR(K19="Blocked",S19&lt;&gt;"")),ROW(),"")</f>
        <v/>
      </c>
      <c r="AD19" s="88" t="str">
        <f aca="false">IF(AND(AND(F19&lt;&gt;"",K19&lt;&gt;"Completed",K19&lt;&gt;"Cancelled"),OR(P19="Yes",AND(M19&lt;&gt;"",M19&lt;='Weekly Report'!$F$7),AND(L19&lt;&gt;"",L19&gt;='Weekly Report'!$F$6,L19&lt;='Weekly Report'!$F$7))),ROW(),"")</f>
        <v/>
      </c>
    </row>
    <row r="20" customFormat="false" ht="15" hidden="false" customHeight="false" outlineLevel="0" collapsed="false">
      <c r="A20" s="56" t="s">
        <v>1501</v>
      </c>
      <c r="B20" s="63"/>
      <c r="C20" s="61"/>
      <c r="D20" s="61"/>
      <c r="E20" s="61"/>
      <c r="F20" s="60"/>
      <c r="G20" s="61"/>
      <c r="H20" s="61"/>
      <c r="I20" s="61"/>
      <c r="J20" s="61"/>
      <c r="K20" s="61"/>
      <c r="L20" s="63"/>
      <c r="M20" s="63"/>
      <c r="N20" s="63"/>
      <c r="O20" s="94"/>
      <c r="P20" s="61"/>
      <c r="Q20" s="63"/>
      <c r="R20" s="60"/>
      <c r="S20" s="60"/>
      <c r="T20" s="63"/>
      <c r="U20" s="60"/>
      <c r="V20" s="60"/>
      <c r="W20" s="87" t="str">
        <f aca="true">IF(B20="","",IF(N20&lt;&gt;"",N20-B20,TODAY()-B20))</f>
        <v/>
      </c>
      <c r="X20" s="62" t="str">
        <f aca="true">IF(OR(M20="",K20="Completed",K20="Cancelled"),"",IF(M20&lt;TODAY(),"OVERDUE",IF(M20-TODAY()&lt;=7,"Due ≤7d","On Schedule")))</f>
        <v/>
      </c>
      <c r="Y20" s="60"/>
      <c r="Z20" s="88" t="str">
        <f aca="false">IF(AND(N20&lt;&gt;"",N20&gt;='Weekly Report'!$F$4,N20&lt;='Weekly Report'!$F$5),ROW(),"")</f>
        <v/>
      </c>
      <c r="AA20" s="88" t="str">
        <f aca="false">IF(AND(AND(Q20&lt;&gt;"",Q20&gt;='Weekly Report'!$F$4,Q20&lt;='Weekly Report'!$F$5),AND(F20&lt;&gt;"",K20&lt;&gt;"Completed",K20&lt;&gt;"Cancelled")),ROW(),"")</f>
        <v/>
      </c>
      <c r="AB20" s="88" t="str">
        <f aca="false">IF(AND(F20&lt;&gt;"",K20="In Progress"),ROW(),"")</f>
        <v/>
      </c>
      <c r="AC20" s="88" t="str">
        <f aca="false">IF(AND(AND(F20&lt;&gt;"",K20&lt;&gt;"Completed",K20&lt;&gt;"Cancelled"),OR(K20="Blocked",S20&lt;&gt;"")),ROW(),"")</f>
        <v/>
      </c>
      <c r="AD20" s="88" t="str">
        <f aca="false">IF(AND(AND(F20&lt;&gt;"",K20&lt;&gt;"Completed",K20&lt;&gt;"Cancelled"),OR(P20="Yes",AND(M20&lt;&gt;"",M20&lt;='Weekly Report'!$F$7),AND(L20&lt;&gt;"",L20&gt;='Weekly Report'!$F$6,L20&lt;='Weekly Report'!$F$7))),ROW(),"")</f>
        <v/>
      </c>
    </row>
    <row r="21" customFormat="false" ht="15" hidden="false" customHeight="false" outlineLevel="0" collapsed="false">
      <c r="A21" s="56" t="s">
        <v>1502</v>
      </c>
      <c r="B21" s="63"/>
      <c r="C21" s="61"/>
      <c r="D21" s="61"/>
      <c r="E21" s="61"/>
      <c r="F21" s="60"/>
      <c r="G21" s="61"/>
      <c r="H21" s="61"/>
      <c r="I21" s="61"/>
      <c r="J21" s="61"/>
      <c r="K21" s="61"/>
      <c r="L21" s="63"/>
      <c r="M21" s="63"/>
      <c r="N21" s="63"/>
      <c r="O21" s="94"/>
      <c r="P21" s="61"/>
      <c r="Q21" s="63"/>
      <c r="R21" s="60"/>
      <c r="S21" s="60"/>
      <c r="T21" s="63"/>
      <c r="U21" s="60"/>
      <c r="V21" s="60"/>
      <c r="W21" s="87" t="str">
        <f aca="true">IF(B21="","",IF(N21&lt;&gt;"",N21-B21,TODAY()-B21))</f>
        <v/>
      </c>
      <c r="X21" s="62" t="str">
        <f aca="true">IF(OR(M21="",K21="Completed",K21="Cancelled"),"",IF(M21&lt;TODAY(),"OVERDUE",IF(M21-TODAY()&lt;=7,"Due ≤7d","On Schedule")))</f>
        <v/>
      </c>
      <c r="Y21" s="60"/>
      <c r="Z21" s="88" t="str">
        <f aca="false">IF(AND(N21&lt;&gt;"",N21&gt;='Weekly Report'!$F$4,N21&lt;='Weekly Report'!$F$5),ROW(),"")</f>
        <v/>
      </c>
      <c r="AA21" s="88" t="str">
        <f aca="false">IF(AND(AND(Q21&lt;&gt;"",Q21&gt;='Weekly Report'!$F$4,Q21&lt;='Weekly Report'!$F$5),AND(F21&lt;&gt;"",K21&lt;&gt;"Completed",K21&lt;&gt;"Cancelled")),ROW(),"")</f>
        <v/>
      </c>
      <c r="AB21" s="88" t="str">
        <f aca="false">IF(AND(F21&lt;&gt;"",K21="In Progress"),ROW(),"")</f>
        <v/>
      </c>
      <c r="AC21" s="88" t="str">
        <f aca="false">IF(AND(AND(F21&lt;&gt;"",K21&lt;&gt;"Completed",K21&lt;&gt;"Cancelled"),OR(K21="Blocked",S21&lt;&gt;"")),ROW(),"")</f>
        <v/>
      </c>
      <c r="AD21" s="88" t="str">
        <f aca="false">IF(AND(AND(F21&lt;&gt;"",K21&lt;&gt;"Completed",K21&lt;&gt;"Cancelled"),OR(P21="Yes",AND(M21&lt;&gt;"",M21&lt;='Weekly Report'!$F$7),AND(L21&lt;&gt;"",L21&gt;='Weekly Report'!$F$6,L21&lt;='Weekly Report'!$F$7))),ROW(),"")</f>
        <v/>
      </c>
    </row>
    <row r="22" customFormat="false" ht="15" hidden="false" customHeight="false" outlineLevel="0" collapsed="false">
      <c r="A22" s="56" t="s">
        <v>1503</v>
      </c>
      <c r="B22" s="63"/>
      <c r="C22" s="61"/>
      <c r="D22" s="61"/>
      <c r="E22" s="61"/>
      <c r="F22" s="60"/>
      <c r="G22" s="61"/>
      <c r="H22" s="61"/>
      <c r="I22" s="61"/>
      <c r="J22" s="61"/>
      <c r="K22" s="61"/>
      <c r="L22" s="63"/>
      <c r="M22" s="63"/>
      <c r="N22" s="63"/>
      <c r="O22" s="94"/>
      <c r="P22" s="61"/>
      <c r="Q22" s="63"/>
      <c r="R22" s="60"/>
      <c r="S22" s="60"/>
      <c r="T22" s="63"/>
      <c r="U22" s="60"/>
      <c r="V22" s="60"/>
      <c r="W22" s="87" t="str">
        <f aca="true">IF(B22="","",IF(N22&lt;&gt;"",N22-B22,TODAY()-B22))</f>
        <v/>
      </c>
      <c r="X22" s="62" t="str">
        <f aca="true">IF(OR(M22="",K22="Completed",K22="Cancelled"),"",IF(M22&lt;TODAY(),"OVERDUE",IF(M22-TODAY()&lt;=7,"Due ≤7d","On Schedule")))</f>
        <v/>
      </c>
      <c r="Y22" s="60"/>
      <c r="Z22" s="88" t="str">
        <f aca="false">IF(AND(N22&lt;&gt;"",N22&gt;='Weekly Report'!$F$4,N22&lt;='Weekly Report'!$F$5),ROW(),"")</f>
        <v/>
      </c>
      <c r="AA22" s="88" t="str">
        <f aca="false">IF(AND(AND(Q22&lt;&gt;"",Q22&gt;='Weekly Report'!$F$4,Q22&lt;='Weekly Report'!$F$5),AND(F22&lt;&gt;"",K22&lt;&gt;"Completed",K22&lt;&gt;"Cancelled")),ROW(),"")</f>
        <v/>
      </c>
      <c r="AB22" s="88" t="str">
        <f aca="false">IF(AND(F22&lt;&gt;"",K22="In Progress"),ROW(),"")</f>
        <v/>
      </c>
      <c r="AC22" s="88" t="str">
        <f aca="false">IF(AND(AND(F22&lt;&gt;"",K22&lt;&gt;"Completed",K22&lt;&gt;"Cancelled"),OR(K22="Blocked",S22&lt;&gt;"")),ROW(),"")</f>
        <v/>
      </c>
      <c r="AD22" s="88" t="str">
        <f aca="false">IF(AND(AND(F22&lt;&gt;"",K22&lt;&gt;"Completed",K22&lt;&gt;"Cancelled"),OR(P22="Yes",AND(M22&lt;&gt;"",M22&lt;='Weekly Report'!$F$7),AND(L22&lt;&gt;"",L22&gt;='Weekly Report'!$F$6,L22&lt;='Weekly Report'!$F$7))),ROW(),"")</f>
        <v/>
      </c>
    </row>
    <row r="23" customFormat="false" ht="15" hidden="false" customHeight="false" outlineLevel="0" collapsed="false">
      <c r="A23" s="56" t="s">
        <v>1504</v>
      </c>
      <c r="B23" s="63"/>
      <c r="C23" s="61"/>
      <c r="D23" s="61"/>
      <c r="E23" s="61"/>
      <c r="F23" s="60"/>
      <c r="G23" s="61"/>
      <c r="H23" s="61"/>
      <c r="I23" s="61"/>
      <c r="J23" s="61"/>
      <c r="K23" s="61"/>
      <c r="L23" s="63"/>
      <c r="M23" s="63"/>
      <c r="N23" s="63"/>
      <c r="O23" s="94"/>
      <c r="P23" s="61"/>
      <c r="Q23" s="63"/>
      <c r="R23" s="60"/>
      <c r="S23" s="60"/>
      <c r="T23" s="63"/>
      <c r="U23" s="60"/>
      <c r="V23" s="60"/>
      <c r="W23" s="87" t="str">
        <f aca="true">IF(B23="","",IF(N23&lt;&gt;"",N23-B23,TODAY()-B23))</f>
        <v/>
      </c>
      <c r="X23" s="62" t="str">
        <f aca="true">IF(OR(M23="",K23="Completed",K23="Cancelled"),"",IF(M23&lt;TODAY(),"OVERDUE",IF(M23-TODAY()&lt;=7,"Due ≤7d","On Schedule")))</f>
        <v/>
      </c>
      <c r="Y23" s="60"/>
      <c r="Z23" s="88" t="str">
        <f aca="false">IF(AND(N23&lt;&gt;"",N23&gt;='Weekly Report'!$F$4,N23&lt;='Weekly Report'!$F$5),ROW(),"")</f>
        <v/>
      </c>
      <c r="AA23" s="88" t="str">
        <f aca="false">IF(AND(AND(Q23&lt;&gt;"",Q23&gt;='Weekly Report'!$F$4,Q23&lt;='Weekly Report'!$F$5),AND(F23&lt;&gt;"",K23&lt;&gt;"Completed",K23&lt;&gt;"Cancelled")),ROW(),"")</f>
        <v/>
      </c>
      <c r="AB23" s="88" t="str">
        <f aca="false">IF(AND(F23&lt;&gt;"",K23="In Progress"),ROW(),"")</f>
        <v/>
      </c>
      <c r="AC23" s="88" t="str">
        <f aca="false">IF(AND(AND(F23&lt;&gt;"",K23&lt;&gt;"Completed",K23&lt;&gt;"Cancelled"),OR(K23="Blocked",S23&lt;&gt;"")),ROW(),"")</f>
        <v/>
      </c>
      <c r="AD23" s="88" t="str">
        <f aca="false">IF(AND(AND(F23&lt;&gt;"",K23&lt;&gt;"Completed",K23&lt;&gt;"Cancelled"),OR(P23="Yes",AND(M23&lt;&gt;"",M23&lt;='Weekly Report'!$F$7),AND(L23&lt;&gt;"",L23&gt;='Weekly Report'!$F$6,L23&lt;='Weekly Report'!$F$7))),ROW(),"")</f>
        <v/>
      </c>
    </row>
    <row r="24" customFormat="false" ht="15" hidden="false" customHeight="false" outlineLevel="0" collapsed="false">
      <c r="A24" s="56" t="s">
        <v>1505</v>
      </c>
      <c r="B24" s="63"/>
      <c r="C24" s="61"/>
      <c r="D24" s="61"/>
      <c r="E24" s="61"/>
      <c r="F24" s="60"/>
      <c r="G24" s="61"/>
      <c r="H24" s="61"/>
      <c r="I24" s="61"/>
      <c r="J24" s="61"/>
      <c r="K24" s="61"/>
      <c r="L24" s="63"/>
      <c r="M24" s="63"/>
      <c r="N24" s="63"/>
      <c r="O24" s="94"/>
      <c r="P24" s="61"/>
      <c r="Q24" s="63"/>
      <c r="R24" s="60"/>
      <c r="S24" s="60"/>
      <c r="T24" s="63"/>
      <c r="U24" s="60"/>
      <c r="V24" s="60"/>
      <c r="W24" s="87" t="str">
        <f aca="true">IF(B24="","",IF(N24&lt;&gt;"",N24-B24,TODAY()-B24))</f>
        <v/>
      </c>
      <c r="X24" s="62" t="str">
        <f aca="true">IF(OR(M24="",K24="Completed",K24="Cancelled"),"",IF(M24&lt;TODAY(),"OVERDUE",IF(M24-TODAY()&lt;=7,"Due ≤7d","On Schedule")))</f>
        <v/>
      </c>
      <c r="Y24" s="60"/>
      <c r="Z24" s="88" t="str">
        <f aca="false">IF(AND(N24&lt;&gt;"",N24&gt;='Weekly Report'!$F$4,N24&lt;='Weekly Report'!$F$5),ROW(),"")</f>
        <v/>
      </c>
      <c r="AA24" s="88" t="str">
        <f aca="false">IF(AND(AND(Q24&lt;&gt;"",Q24&gt;='Weekly Report'!$F$4,Q24&lt;='Weekly Report'!$F$5),AND(F24&lt;&gt;"",K24&lt;&gt;"Completed",K24&lt;&gt;"Cancelled")),ROW(),"")</f>
        <v/>
      </c>
      <c r="AB24" s="88" t="str">
        <f aca="false">IF(AND(F24&lt;&gt;"",K24="In Progress"),ROW(),"")</f>
        <v/>
      </c>
      <c r="AC24" s="88" t="str">
        <f aca="false">IF(AND(AND(F24&lt;&gt;"",K24&lt;&gt;"Completed",K24&lt;&gt;"Cancelled"),OR(K24="Blocked",S24&lt;&gt;"")),ROW(),"")</f>
        <v/>
      </c>
      <c r="AD24" s="88" t="str">
        <f aca="false">IF(AND(AND(F24&lt;&gt;"",K24&lt;&gt;"Completed",K24&lt;&gt;"Cancelled"),OR(P24="Yes",AND(M24&lt;&gt;"",M24&lt;='Weekly Report'!$F$7),AND(L24&lt;&gt;"",L24&gt;='Weekly Report'!$F$6,L24&lt;='Weekly Report'!$F$7))),ROW(),"")</f>
        <v/>
      </c>
    </row>
    <row r="25" customFormat="false" ht="15" hidden="false" customHeight="false" outlineLevel="0" collapsed="false">
      <c r="A25" s="56" t="s">
        <v>1506</v>
      </c>
      <c r="B25" s="63"/>
      <c r="C25" s="61"/>
      <c r="D25" s="61"/>
      <c r="E25" s="61"/>
      <c r="F25" s="60"/>
      <c r="G25" s="61"/>
      <c r="H25" s="61"/>
      <c r="I25" s="61"/>
      <c r="J25" s="61"/>
      <c r="K25" s="61"/>
      <c r="L25" s="63"/>
      <c r="M25" s="63"/>
      <c r="N25" s="63"/>
      <c r="O25" s="94"/>
      <c r="P25" s="61"/>
      <c r="Q25" s="63"/>
      <c r="R25" s="60"/>
      <c r="S25" s="60"/>
      <c r="T25" s="63"/>
      <c r="U25" s="60"/>
      <c r="V25" s="60"/>
      <c r="W25" s="87" t="str">
        <f aca="true">IF(B25="","",IF(N25&lt;&gt;"",N25-B25,TODAY()-B25))</f>
        <v/>
      </c>
      <c r="X25" s="62" t="str">
        <f aca="true">IF(OR(M25="",K25="Completed",K25="Cancelled"),"",IF(M25&lt;TODAY(),"OVERDUE",IF(M25-TODAY()&lt;=7,"Due ≤7d","On Schedule")))</f>
        <v/>
      </c>
      <c r="Y25" s="60"/>
      <c r="Z25" s="88" t="str">
        <f aca="false">IF(AND(N25&lt;&gt;"",N25&gt;='Weekly Report'!$F$4,N25&lt;='Weekly Report'!$F$5),ROW(),"")</f>
        <v/>
      </c>
      <c r="AA25" s="88" t="str">
        <f aca="false">IF(AND(AND(Q25&lt;&gt;"",Q25&gt;='Weekly Report'!$F$4,Q25&lt;='Weekly Report'!$F$5),AND(F25&lt;&gt;"",K25&lt;&gt;"Completed",K25&lt;&gt;"Cancelled")),ROW(),"")</f>
        <v/>
      </c>
      <c r="AB25" s="88" t="str">
        <f aca="false">IF(AND(F25&lt;&gt;"",K25="In Progress"),ROW(),"")</f>
        <v/>
      </c>
      <c r="AC25" s="88" t="str">
        <f aca="false">IF(AND(AND(F25&lt;&gt;"",K25&lt;&gt;"Completed",K25&lt;&gt;"Cancelled"),OR(K25="Blocked",S25&lt;&gt;"")),ROW(),"")</f>
        <v/>
      </c>
      <c r="AD25" s="88" t="str">
        <f aca="false">IF(AND(AND(F25&lt;&gt;"",K25&lt;&gt;"Completed",K25&lt;&gt;"Cancelled"),OR(P25="Yes",AND(M25&lt;&gt;"",M25&lt;='Weekly Report'!$F$7),AND(L25&lt;&gt;"",L25&gt;='Weekly Report'!$F$6,L25&lt;='Weekly Report'!$F$7))),ROW(),"")</f>
        <v/>
      </c>
    </row>
    <row r="26" customFormat="false" ht="15" hidden="false" customHeight="false" outlineLevel="0" collapsed="false">
      <c r="A26" s="56" t="s">
        <v>1507</v>
      </c>
      <c r="B26" s="63"/>
      <c r="C26" s="61"/>
      <c r="D26" s="61"/>
      <c r="E26" s="61"/>
      <c r="F26" s="60"/>
      <c r="G26" s="61"/>
      <c r="H26" s="61"/>
      <c r="I26" s="61"/>
      <c r="J26" s="61"/>
      <c r="K26" s="61"/>
      <c r="L26" s="63"/>
      <c r="M26" s="63"/>
      <c r="N26" s="63"/>
      <c r="O26" s="94"/>
      <c r="P26" s="61"/>
      <c r="Q26" s="63"/>
      <c r="R26" s="60"/>
      <c r="S26" s="60"/>
      <c r="T26" s="63"/>
      <c r="U26" s="60"/>
      <c r="V26" s="60"/>
      <c r="W26" s="87" t="str">
        <f aca="true">IF(B26="","",IF(N26&lt;&gt;"",N26-B26,TODAY()-B26))</f>
        <v/>
      </c>
      <c r="X26" s="62" t="str">
        <f aca="true">IF(OR(M26="",K26="Completed",K26="Cancelled"),"",IF(M26&lt;TODAY(),"OVERDUE",IF(M26-TODAY()&lt;=7,"Due ≤7d","On Schedule")))</f>
        <v/>
      </c>
      <c r="Y26" s="60"/>
      <c r="Z26" s="88" t="str">
        <f aca="false">IF(AND(N26&lt;&gt;"",N26&gt;='Weekly Report'!$F$4,N26&lt;='Weekly Report'!$F$5),ROW(),"")</f>
        <v/>
      </c>
      <c r="AA26" s="88" t="str">
        <f aca="false">IF(AND(AND(Q26&lt;&gt;"",Q26&gt;='Weekly Report'!$F$4,Q26&lt;='Weekly Report'!$F$5),AND(F26&lt;&gt;"",K26&lt;&gt;"Completed",K26&lt;&gt;"Cancelled")),ROW(),"")</f>
        <v/>
      </c>
      <c r="AB26" s="88" t="str">
        <f aca="false">IF(AND(F26&lt;&gt;"",K26="In Progress"),ROW(),"")</f>
        <v/>
      </c>
      <c r="AC26" s="88" t="str">
        <f aca="false">IF(AND(AND(F26&lt;&gt;"",K26&lt;&gt;"Completed",K26&lt;&gt;"Cancelled"),OR(K26="Blocked",S26&lt;&gt;"")),ROW(),"")</f>
        <v/>
      </c>
      <c r="AD26" s="88" t="str">
        <f aca="false">IF(AND(AND(F26&lt;&gt;"",K26&lt;&gt;"Completed",K26&lt;&gt;"Cancelled"),OR(P26="Yes",AND(M26&lt;&gt;"",M26&lt;='Weekly Report'!$F$7),AND(L26&lt;&gt;"",L26&gt;='Weekly Report'!$F$6,L26&lt;='Weekly Report'!$F$7))),ROW(),"")</f>
        <v/>
      </c>
    </row>
    <row r="27" customFormat="false" ht="15" hidden="false" customHeight="false" outlineLevel="0" collapsed="false">
      <c r="A27" s="56" t="s">
        <v>1508</v>
      </c>
      <c r="B27" s="63"/>
      <c r="C27" s="61"/>
      <c r="D27" s="61"/>
      <c r="E27" s="61"/>
      <c r="F27" s="60"/>
      <c r="G27" s="61"/>
      <c r="H27" s="61"/>
      <c r="I27" s="61"/>
      <c r="J27" s="61"/>
      <c r="K27" s="61"/>
      <c r="L27" s="63"/>
      <c r="M27" s="63"/>
      <c r="N27" s="63"/>
      <c r="O27" s="94"/>
      <c r="P27" s="61"/>
      <c r="Q27" s="63"/>
      <c r="R27" s="60"/>
      <c r="S27" s="60"/>
      <c r="T27" s="63"/>
      <c r="U27" s="60"/>
      <c r="V27" s="60"/>
      <c r="W27" s="87" t="str">
        <f aca="true">IF(B27="","",IF(N27&lt;&gt;"",N27-B27,TODAY()-B27))</f>
        <v/>
      </c>
      <c r="X27" s="62" t="str">
        <f aca="true">IF(OR(M27="",K27="Completed",K27="Cancelled"),"",IF(M27&lt;TODAY(),"OVERDUE",IF(M27-TODAY()&lt;=7,"Due ≤7d","On Schedule")))</f>
        <v/>
      </c>
      <c r="Y27" s="60"/>
      <c r="Z27" s="88" t="str">
        <f aca="false">IF(AND(N27&lt;&gt;"",N27&gt;='Weekly Report'!$F$4,N27&lt;='Weekly Report'!$F$5),ROW(),"")</f>
        <v/>
      </c>
      <c r="AA27" s="88" t="str">
        <f aca="false">IF(AND(AND(Q27&lt;&gt;"",Q27&gt;='Weekly Report'!$F$4,Q27&lt;='Weekly Report'!$F$5),AND(F27&lt;&gt;"",K27&lt;&gt;"Completed",K27&lt;&gt;"Cancelled")),ROW(),"")</f>
        <v/>
      </c>
      <c r="AB27" s="88" t="str">
        <f aca="false">IF(AND(F27&lt;&gt;"",K27="In Progress"),ROW(),"")</f>
        <v/>
      </c>
      <c r="AC27" s="88" t="str">
        <f aca="false">IF(AND(AND(F27&lt;&gt;"",K27&lt;&gt;"Completed",K27&lt;&gt;"Cancelled"),OR(K27="Blocked",S27&lt;&gt;"")),ROW(),"")</f>
        <v/>
      </c>
      <c r="AD27" s="88" t="str">
        <f aca="false">IF(AND(AND(F27&lt;&gt;"",K27&lt;&gt;"Completed",K27&lt;&gt;"Cancelled"),OR(P27="Yes",AND(M27&lt;&gt;"",M27&lt;='Weekly Report'!$F$7),AND(L27&lt;&gt;"",L27&gt;='Weekly Report'!$F$6,L27&lt;='Weekly Report'!$F$7))),ROW(),"")</f>
        <v/>
      </c>
    </row>
    <row r="28" customFormat="false" ht="15" hidden="false" customHeight="false" outlineLevel="0" collapsed="false">
      <c r="A28" s="56" t="s">
        <v>1509</v>
      </c>
      <c r="B28" s="63"/>
      <c r="C28" s="61"/>
      <c r="D28" s="61"/>
      <c r="E28" s="61"/>
      <c r="F28" s="60"/>
      <c r="G28" s="61"/>
      <c r="H28" s="61"/>
      <c r="I28" s="61"/>
      <c r="J28" s="61"/>
      <c r="K28" s="61"/>
      <c r="L28" s="63"/>
      <c r="M28" s="63"/>
      <c r="N28" s="63"/>
      <c r="O28" s="94"/>
      <c r="P28" s="61"/>
      <c r="Q28" s="63"/>
      <c r="R28" s="60"/>
      <c r="S28" s="60"/>
      <c r="T28" s="63"/>
      <c r="U28" s="60"/>
      <c r="V28" s="60"/>
      <c r="W28" s="87" t="str">
        <f aca="true">IF(B28="","",IF(N28&lt;&gt;"",N28-B28,TODAY()-B28))</f>
        <v/>
      </c>
      <c r="X28" s="62" t="str">
        <f aca="true">IF(OR(M28="",K28="Completed",K28="Cancelled"),"",IF(M28&lt;TODAY(),"OVERDUE",IF(M28-TODAY()&lt;=7,"Due ≤7d","On Schedule")))</f>
        <v/>
      </c>
      <c r="Y28" s="60"/>
      <c r="Z28" s="88" t="str">
        <f aca="false">IF(AND(N28&lt;&gt;"",N28&gt;='Weekly Report'!$F$4,N28&lt;='Weekly Report'!$F$5),ROW(),"")</f>
        <v/>
      </c>
      <c r="AA28" s="88" t="str">
        <f aca="false">IF(AND(AND(Q28&lt;&gt;"",Q28&gt;='Weekly Report'!$F$4,Q28&lt;='Weekly Report'!$F$5),AND(F28&lt;&gt;"",K28&lt;&gt;"Completed",K28&lt;&gt;"Cancelled")),ROW(),"")</f>
        <v/>
      </c>
      <c r="AB28" s="88" t="str">
        <f aca="false">IF(AND(F28&lt;&gt;"",K28="In Progress"),ROW(),"")</f>
        <v/>
      </c>
      <c r="AC28" s="88" t="str">
        <f aca="false">IF(AND(AND(F28&lt;&gt;"",K28&lt;&gt;"Completed",K28&lt;&gt;"Cancelled"),OR(K28="Blocked",S28&lt;&gt;"")),ROW(),"")</f>
        <v/>
      </c>
      <c r="AD28" s="88" t="str">
        <f aca="false">IF(AND(AND(F28&lt;&gt;"",K28&lt;&gt;"Completed",K28&lt;&gt;"Cancelled"),OR(P28="Yes",AND(M28&lt;&gt;"",M28&lt;='Weekly Report'!$F$7),AND(L28&lt;&gt;"",L28&gt;='Weekly Report'!$F$6,L28&lt;='Weekly Report'!$F$7))),ROW(),"")</f>
        <v/>
      </c>
    </row>
    <row r="29" customFormat="false" ht="15" hidden="false" customHeight="false" outlineLevel="0" collapsed="false">
      <c r="A29" s="56" t="s">
        <v>1510</v>
      </c>
      <c r="B29" s="63"/>
      <c r="C29" s="61"/>
      <c r="D29" s="61"/>
      <c r="E29" s="61"/>
      <c r="F29" s="60"/>
      <c r="G29" s="61"/>
      <c r="H29" s="61"/>
      <c r="I29" s="61"/>
      <c r="J29" s="61"/>
      <c r="K29" s="61"/>
      <c r="L29" s="63"/>
      <c r="M29" s="63"/>
      <c r="N29" s="63"/>
      <c r="O29" s="94"/>
      <c r="P29" s="61"/>
      <c r="Q29" s="63"/>
      <c r="R29" s="60"/>
      <c r="S29" s="60"/>
      <c r="T29" s="63"/>
      <c r="U29" s="60"/>
      <c r="V29" s="60"/>
      <c r="W29" s="87" t="str">
        <f aca="true">IF(B29="","",IF(N29&lt;&gt;"",N29-B29,TODAY()-B29))</f>
        <v/>
      </c>
      <c r="X29" s="62" t="str">
        <f aca="true">IF(OR(M29="",K29="Completed",K29="Cancelled"),"",IF(M29&lt;TODAY(),"OVERDUE",IF(M29-TODAY()&lt;=7,"Due ≤7d","On Schedule")))</f>
        <v/>
      </c>
      <c r="Y29" s="60"/>
      <c r="Z29" s="88" t="str">
        <f aca="false">IF(AND(N29&lt;&gt;"",N29&gt;='Weekly Report'!$F$4,N29&lt;='Weekly Report'!$F$5),ROW(),"")</f>
        <v/>
      </c>
      <c r="AA29" s="88" t="str">
        <f aca="false">IF(AND(AND(Q29&lt;&gt;"",Q29&gt;='Weekly Report'!$F$4,Q29&lt;='Weekly Report'!$F$5),AND(F29&lt;&gt;"",K29&lt;&gt;"Completed",K29&lt;&gt;"Cancelled")),ROW(),"")</f>
        <v/>
      </c>
      <c r="AB29" s="88" t="str">
        <f aca="false">IF(AND(F29&lt;&gt;"",K29="In Progress"),ROW(),"")</f>
        <v/>
      </c>
      <c r="AC29" s="88" t="str">
        <f aca="false">IF(AND(AND(F29&lt;&gt;"",K29&lt;&gt;"Completed",K29&lt;&gt;"Cancelled"),OR(K29="Blocked",S29&lt;&gt;"")),ROW(),"")</f>
        <v/>
      </c>
      <c r="AD29" s="88" t="str">
        <f aca="false">IF(AND(AND(F29&lt;&gt;"",K29&lt;&gt;"Completed",K29&lt;&gt;"Cancelled"),OR(P29="Yes",AND(M29&lt;&gt;"",M29&lt;='Weekly Report'!$F$7),AND(L29&lt;&gt;"",L29&gt;='Weekly Report'!$F$6,L29&lt;='Weekly Report'!$F$7))),ROW(),"")</f>
        <v/>
      </c>
    </row>
    <row r="30" customFormat="false" ht="15" hidden="false" customHeight="false" outlineLevel="0" collapsed="false">
      <c r="A30" s="56" t="s">
        <v>1511</v>
      </c>
      <c r="B30" s="63"/>
      <c r="C30" s="61"/>
      <c r="D30" s="61"/>
      <c r="E30" s="61"/>
      <c r="F30" s="60"/>
      <c r="G30" s="61"/>
      <c r="H30" s="61"/>
      <c r="I30" s="61"/>
      <c r="J30" s="61"/>
      <c r="K30" s="61"/>
      <c r="L30" s="63"/>
      <c r="M30" s="63"/>
      <c r="N30" s="63"/>
      <c r="O30" s="94"/>
      <c r="P30" s="61"/>
      <c r="Q30" s="63"/>
      <c r="R30" s="60"/>
      <c r="S30" s="60"/>
      <c r="T30" s="63"/>
      <c r="U30" s="60"/>
      <c r="V30" s="60"/>
      <c r="W30" s="87" t="str">
        <f aca="true">IF(B30="","",IF(N30&lt;&gt;"",N30-B30,TODAY()-B30))</f>
        <v/>
      </c>
      <c r="X30" s="62" t="str">
        <f aca="true">IF(OR(M30="",K30="Completed",K30="Cancelled"),"",IF(M30&lt;TODAY(),"OVERDUE",IF(M30-TODAY()&lt;=7,"Due ≤7d","On Schedule")))</f>
        <v/>
      </c>
      <c r="Y30" s="60"/>
      <c r="Z30" s="88" t="str">
        <f aca="false">IF(AND(N30&lt;&gt;"",N30&gt;='Weekly Report'!$F$4,N30&lt;='Weekly Report'!$F$5),ROW(),"")</f>
        <v/>
      </c>
      <c r="AA30" s="88" t="str">
        <f aca="false">IF(AND(AND(Q30&lt;&gt;"",Q30&gt;='Weekly Report'!$F$4,Q30&lt;='Weekly Report'!$F$5),AND(F30&lt;&gt;"",K30&lt;&gt;"Completed",K30&lt;&gt;"Cancelled")),ROW(),"")</f>
        <v/>
      </c>
      <c r="AB30" s="88" t="str">
        <f aca="false">IF(AND(F30&lt;&gt;"",K30="In Progress"),ROW(),"")</f>
        <v/>
      </c>
      <c r="AC30" s="88" t="str">
        <f aca="false">IF(AND(AND(F30&lt;&gt;"",K30&lt;&gt;"Completed",K30&lt;&gt;"Cancelled"),OR(K30="Blocked",S30&lt;&gt;"")),ROW(),"")</f>
        <v/>
      </c>
      <c r="AD30" s="88" t="str">
        <f aca="false">IF(AND(AND(F30&lt;&gt;"",K30&lt;&gt;"Completed",K30&lt;&gt;"Cancelled"),OR(P30="Yes",AND(M30&lt;&gt;"",M30&lt;='Weekly Report'!$F$7),AND(L30&lt;&gt;"",L30&gt;='Weekly Report'!$F$6,L30&lt;='Weekly Report'!$F$7))),ROW(),"")</f>
        <v/>
      </c>
    </row>
    <row r="31" customFormat="false" ht="15" hidden="false" customHeight="false" outlineLevel="0" collapsed="false">
      <c r="A31" s="56" t="s">
        <v>1512</v>
      </c>
      <c r="B31" s="63"/>
      <c r="C31" s="61"/>
      <c r="D31" s="61"/>
      <c r="E31" s="61"/>
      <c r="F31" s="60"/>
      <c r="G31" s="61"/>
      <c r="H31" s="61"/>
      <c r="I31" s="61"/>
      <c r="J31" s="61"/>
      <c r="K31" s="61"/>
      <c r="L31" s="63"/>
      <c r="M31" s="63"/>
      <c r="N31" s="63"/>
      <c r="O31" s="94"/>
      <c r="P31" s="61"/>
      <c r="Q31" s="63"/>
      <c r="R31" s="60"/>
      <c r="S31" s="60"/>
      <c r="T31" s="63"/>
      <c r="U31" s="60"/>
      <c r="V31" s="60"/>
      <c r="W31" s="87" t="str">
        <f aca="true">IF(B31="","",IF(N31&lt;&gt;"",N31-B31,TODAY()-B31))</f>
        <v/>
      </c>
      <c r="X31" s="62" t="str">
        <f aca="true">IF(OR(M31="",K31="Completed",K31="Cancelled"),"",IF(M31&lt;TODAY(),"OVERDUE",IF(M31-TODAY()&lt;=7,"Due ≤7d","On Schedule")))</f>
        <v/>
      </c>
      <c r="Y31" s="60"/>
      <c r="Z31" s="88" t="str">
        <f aca="false">IF(AND(N31&lt;&gt;"",N31&gt;='Weekly Report'!$F$4,N31&lt;='Weekly Report'!$F$5),ROW(),"")</f>
        <v/>
      </c>
      <c r="AA31" s="88" t="str">
        <f aca="false">IF(AND(AND(Q31&lt;&gt;"",Q31&gt;='Weekly Report'!$F$4,Q31&lt;='Weekly Report'!$F$5),AND(F31&lt;&gt;"",K31&lt;&gt;"Completed",K31&lt;&gt;"Cancelled")),ROW(),"")</f>
        <v/>
      </c>
      <c r="AB31" s="88" t="str">
        <f aca="false">IF(AND(F31&lt;&gt;"",K31="In Progress"),ROW(),"")</f>
        <v/>
      </c>
      <c r="AC31" s="88" t="str">
        <f aca="false">IF(AND(AND(F31&lt;&gt;"",K31&lt;&gt;"Completed",K31&lt;&gt;"Cancelled"),OR(K31="Blocked",S31&lt;&gt;"")),ROW(),"")</f>
        <v/>
      </c>
      <c r="AD31" s="88" t="str">
        <f aca="false">IF(AND(AND(F31&lt;&gt;"",K31&lt;&gt;"Completed",K31&lt;&gt;"Cancelled"),OR(P31="Yes",AND(M31&lt;&gt;"",M31&lt;='Weekly Report'!$F$7),AND(L31&lt;&gt;"",L31&gt;='Weekly Report'!$F$6,L31&lt;='Weekly Report'!$F$7))),ROW(),"")</f>
        <v/>
      </c>
    </row>
    <row r="32" customFormat="false" ht="15" hidden="false" customHeight="false" outlineLevel="0" collapsed="false">
      <c r="A32" s="56" t="s">
        <v>1513</v>
      </c>
      <c r="B32" s="63"/>
      <c r="C32" s="61"/>
      <c r="D32" s="61"/>
      <c r="E32" s="61"/>
      <c r="F32" s="60"/>
      <c r="G32" s="61"/>
      <c r="H32" s="61"/>
      <c r="I32" s="61"/>
      <c r="J32" s="61"/>
      <c r="K32" s="61"/>
      <c r="L32" s="63"/>
      <c r="M32" s="63"/>
      <c r="N32" s="63"/>
      <c r="O32" s="94"/>
      <c r="P32" s="61"/>
      <c r="Q32" s="63"/>
      <c r="R32" s="60"/>
      <c r="S32" s="60"/>
      <c r="T32" s="63"/>
      <c r="U32" s="60"/>
      <c r="V32" s="60"/>
      <c r="W32" s="87" t="str">
        <f aca="true">IF(B32="","",IF(N32&lt;&gt;"",N32-B32,TODAY()-B32))</f>
        <v/>
      </c>
      <c r="X32" s="62" t="str">
        <f aca="true">IF(OR(M32="",K32="Completed",K32="Cancelled"),"",IF(M32&lt;TODAY(),"OVERDUE",IF(M32-TODAY()&lt;=7,"Due ≤7d","On Schedule")))</f>
        <v/>
      </c>
      <c r="Y32" s="60"/>
      <c r="Z32" s="88" t="str">
        <f aca="false">IF(AND(N32&lt;&gt;"",N32&gt;='Weekly Report'!$F$4,N32&lt;='Weekly Report'!$F$5),ROW(),"")</f>
        <v/>
      </c>
      <c r="AA32" s="88" t="str">
        <f aca="false">IF(AND(AND(Q32&lt;&gt;"",Q32&gt;='Weekly Report'!$F$4,Q32&lt;='Weekly Report'!$F$5),AND(F32&lt;&gt;"",K32&lt;&gt;"Completed",K32&lt;&gt;"Cancelled")),ROW(),"")</f>
        <v/>
      </c>
      <c r="AB32" s="88" t="str">
        <f aca="false">IF(AND(F32&lt;&gt;"",K32="In Progress"),ROW(),"")</f>
        <v/>
      </c>
      <c r="AC32" s="88" t="str">
        <f aca="false">IF(AND(AND(F32&lt;&gt;"",K32&lt;&gt;"Completed",K32&lt;&gt;"Cancelled"),OR(K32="Blocked",S32&lt;&gt;"")),ROW(),"")</f>
        <v/>
      </c>
      <c r="AD32" s="88" t="str">
        <f aca="false">IF(AND(AND(F32&lt;&gt;"",K32&lt;&gt;"Completed",K32&lt;&gt;"Cancelled"),OR(P32="Yes",AND(M32&lt;&gt;"",M32&lt;='Weekly Report'!$F$7),AND(L32&lt;&gt;"",L32&gt;='Weekly Report'!$F$6,L32&lt;='Weekly Report'!$F$7))),ROW(),"")</f>
        <v/>
      </c>
    </row>
    <row r="33" customFormat="false" ht="15" hidden="false" customHeight="false" outlineLevel="0" collapsed="false">
      <c r="A33" s="56" t="s">
        <v>1514</v>
      </c>
      <c r="B33" s="63"/>
      <c r="C33" s="61"/>
      <c r="D33" s="61"/>
      <c r="E33" s="61"/>
      <c r="F33" s="60"/>
      <c r="G33" s="61"/>
      <c r="H33" s="61"/>
      <c r="I33" s="61"/>
      <c r="J33" s="61"/>
      <c r="K33" s="61"/>
      <c r="L33" s="63"/>
      <c r="M33" s="63"/>
      <c r="N33" s="63"/>
      <c r="O33" s="94"/>
      <c r="P33" s="61"/>
      <c r="Q33" s="63"/>
      <c r="R33" s="60"/>
      <c r="S33" s="60"/>
      <c r="T33" s="63"/>
      <c r="U33" s="60"/>
      <c r="V33" s="60"/>
      <c r="W33" s="87" t="str">
        <f aca="true">IF(B33="","",IF(N33&lt;&gt;"",N33-B33,TODAY()-B33))</f>
        <v/>
      </c>
      <c r="X33" s="62" t="str">
        <f aca="true">IF(OR(M33="",K33="Completed",K33="Cancelled"),"",IF(M33&lt;TODAY(),"OVERDUE",IF(M33-TODAY()&lt;=7,"Due ≤7d","On Schedule")))</f>
        <v/>
      </c>
      <c r="Y33" s="60"/>
      <c r="Z33" s="88" t="str">
        <f aca="false">IF(AND(N33&lt;&gt;"",N33&gt;='Weekly Report'!$F$4,N33&lt;='Weekly Report'!$F$5),ROW(),"")</f>
        <v/>
      </c>
      <c r="AA33" s="88" t="str">
        <f aca="false">IF(AND(AND(Q33&lt;&gt;"",Q33&gt;='Weekly Report'!$F$4,Q33&lt;='Weekly Report'!$F$5),AND(F33&lt;&gt;"",K33&lt;&gt;"Completed",K33&lt;&gt;"Cancelled")),ROW(),"")</f>
        <v/>
      </c>
      <c r="AB33" s="88" t="str">
        <f aca="false">IF(AND(F33&lt;&gt;"",K33="In Progress"),ROW(),"")</f>
        <v/>
      </c>
      <c r="AC33" s="88" t="str">
        <f aca="false">IF(AND(AND(F33&lt;&gt;"",K33&lt;&gt;"Completed",K33&lt;&gt;"Cancelled"),OR(K33="Blocked",S33&lt;&gt;"")),ROW(),"")</f>
        <v/>
      </c>
      <c r="AD33" s="88" t="str">
        <f aca="false">IF(AND(AND(F33&lt;&gt;"",K33&lt;&gt;"Completed",K33&lt;&gt;"Cancelled"),OR(P33="Yes",AND(M33&lt;&gt;"",M33&lt;='Weekly Report'!$F$7),AND(L33&lt;&gt;"",L33&gt;='Weekly Report'!$F$6,L33&lt;='Weekly Report'!$F$7))),ROW(),"")</f>
        <v/>
      </c>
    </row>
    <row r="34" customFormat="false" ht="15" hidden="false" customHeight="false" outlineLevel="0" collapsed="false">
      <c r="A34" s="56" t="s">
        <v>1515</v>
      </c>
      <c r="B34" s="63"/>
      <c r="C34" s="61"/>
      <c r="D34" s="61"/>
      <c r="E34" s="61"/>
      <c r="F34" s="60"/>
      <c r="G34" s="61"/>
      <c r="H34" s="61"/>
      <c r="I34" s="61"/>
      <c r="J34" s="61"/>
      <c r="K34" s="61"/>
      <c r="L34" s="63"/>
      <c r="M34" s="63"/>
      <c r="N34" s="63"/>
      <c r="O34" s="94"/>
      <c r="P34" s="61"/>
      <c r="Q34" s="63"/>
      <c r="R34" s="60"/>
      <c r="S34" s="60"/>
      <c r="T34" s="63"/>
      <c r="U34" s="60"/>
      <c r="V34" s="60"/>
      <c r="W34" s="87" t="str">
        <f aca="true">IF(B34="","",IF(N34&lt;&gt;"",N34-B34,TODAY()-B34))</f>
        <v/>
      </c>
      <c r="X34" s="62" t="str">
        <f aca="true">IF(OR(M34="",K34="Completed",K34="Cancelled"),"",IF(M34&lt;TODAY(),"OVERDUE",IF(M34-TODAY()&lt;=7,"Due ≤7d","On Schedule")))</f>
        <v/>
      </c>
      <c r="Y34" s="60"/>
      <c r="Z34" s="88" t="str">
        <f aca="false">IF(AND(N34&lt;&gt;"",N34&gt;='Weekly Report'!$F$4,N34&lt;='Weekly Report'!$F$5),ROW(),"")</f>
        <v/>
      </c>
      <c r="AA34" s="88" t="str">
        <f aca="false">IF(AND(AND(Q34&lt;&gt;"",Q34&gt;='Weekly Report'!$F$4,Q34&lt;='Weekly Report'!$F$5),AND(F34&lt;&gt;"",K34&lt;&gt;"Completed",K34&lt;&gt;"Cancelled")),ROW(),"")</f>
        <v/>
      </c>
      <c r="AB34" s="88" t="str">
        <f aca="false">IF(AND(F34&lt;&gt;"",K34="In Progress"),ROW(),"")</f>
        <v/>
      </c>
      <c r="AC34" s="88" t="str">
        <f aca="false">IF(AND(AND(F34&lt;&gt;"",K34&lt;&gt;"Completed",K34&lt;&gt;"Cancelled"),OR(K34="Blocked",S34&lt;&gt;"")),ROW(),"")</f>
        <v/>
      </c>
      <c r="AD34" s="88" t="str">
        <f aca="false">IF(AND(AND(F34&lt;&gt;"",K34&lt;&gt;"Completed",K34&lt;&gt;"Cancelled"),OR(P34="Yes",AND(M34&lt;&gt;"",M34&lt;='Weekly Report'!$F$7),AND(L34&lt;&gt;"",L34&gt;='Weekly Report'!$F$6,L34&lt;='Weekly Report'!$F$7))),ROW(),"")</f>
        <v/>
      </c>
    </row>
    <row r="35" customFormat="false" ht="15" hidden="false" customHeight="false" outlineLevel="0" collapsed="false">
      <c r="A35" s="56" t="s">
        <v>1516</v>
      </c>
      <c r="B35" s="63"/>
      <c r="C35" s="61"/>
      <c r="D35" s="61"/>
      <c r="E35" s="61"/>
      <c r="F35" s="60"/>
      <c r="G35" s="61"/>
      <c r="H35" s="61"/>
      <c r="I35" s="61"/>
      <c r="J35" s="61"/>
      <c r="K35" s="61"/>
      <c r="L35" s="63"/>
      <c r="M35" s="63"/>
      <c r="N35" s="63"/>
      <c r="O35" s="94"/>
      <c r="P35" s="61"/>
      <c r="Q35" s="63"/>
      <c r="R35" s="60"/>
      <c r="S35" s="60"/>
      <c r="T35" s="63"/>
      <c r="U35" s="60"/>
      <c r="V35" s="60"/>
      <c r="W35" s="87" t="str">
        <f aca="true">IF(B35="","",IF(N35&lt;&gt;"",N35-B35,TODAY()-B35))</f>
        <v/>
      </c>
      <c r="X35" s="62" t="str">
        <f aca="true">IF(OR(M35="",K35="Completed",K35="Cancelled"),"",IF(M35&lt;TODAY(),"OVERDUE",IF(M35-TODAY()&lt;=7,"Due ≤7d","On Schedule")))</f>
        <v/>
      </c>
      <c r="Y35" s="60"/>
      <c r="Z35" s="88" t="str">
        <f aca="false">IF(AND(N35&lt;&gt;"",N35&gt;='Weekly Report'!$F$4,N35&lt;='Weekly Report'!$F$5),ROW(),"")</f>
        <v/>
      </c>
      <c r="AA35" s="88" t="str">
        <f aca="false">IF(AND(AND(Q35&lt;&gt;"",Q35&gt;='Weekly Report'!$F$4,Q35&lt;='Weekly Report'!$F$5),AND(F35&lt;&gt;"",K35&lt;&gt;"Completed",K35&lt;&gt;"Cancelled")),ROW(),"")</f>
        <v/>
      </c>
      <c r="AB35" s="88" t="str">
        <f aca="false">IF(AND(F35&lt;&gt;"",K35="In Progress"),ROW(),"")</f>
        <v/>
      </c>
      <c r="AC35" s="88" t="str">
        <f aca="false">IF(AND(AND(F35&lt;&gt;"",K35&lt;&gt;"Completed",K35&lt;&gt;"Cancelled"),OR(K35="Blocked",S35&lt;&gt;"")),ROW(),"")</f>
        <v/>
      </c>
      <c r="AD35" s="88" t="str">
        <f aca="false">IF(AND(AND(F35&lt;&gt;"",K35&lt;&gt;"Completed",K35&lt;&gt;"Cancelled"),OR(P35="Yes",AND(M35&lt;&gt;"",M35&lt;='Weekly Report'!$F$7),AND(L35&lt;&gt;"",L35&gt;='Weekly Report'!$F$6,L35&lt;='Weekly Report'!$F$7))),ROW(),"")</f>
        <v/>
      </c>
    </row>
    <row r="36" customFormat="false" ht="15" hidden="false" customHeight="false" outlineLevel="0" collapsed="false">
      <c r="A36" s="56" t="s">
        <v>1517</v>
      </c>
      <c r="B36" s="63"/>
      <c r="C36" s="61"/>
      <c r="D36" s="61"/>
      <c r="E36" s="61"/>
      <c r="F36" s="60"/>
      <c r="G36" s="61"/>
      <c r="H36" s="61"/>
      <c r="I36" s="61"/>
      <c r="J36" s="61"/>
      <c r="K36" s="61"/>
      <c r="L36" s="63"/>
      <c r="M36" s="63"/>
      <c r="N36" s="63"/>
      <c r="O36" s="94"/>
      <c r="P36" s="61"/>
      <c r="Q36" s="63"/>
      <c r="R36" s="60"/>
      <c r="S36" s="60"/>
      <c r="T36" s="63"/>
      <c r="U36" s="60"/>
      <c r="V36" s="60"/>
      <c r="W36" s="87" t="str">
        <f aca="true">IF(B36="","",IF(N36&lt;&gt;"",N36-B36,TODAY()-B36))</f>
        <v/>
      </c>
      <c r="X36" s="62" t="str">
        <f aca="true">IF(OR(M36="",K36="Completed",K36="Cancelled"),"",IF(M36&lt;TODAY(),"OVERDUE",IF(M36-TODAY()&lt;=7,"Due ≤7d","On Schedule")))</f>
        <v/>
      </c>
      <c r="Y36" s="60"/>
      <c r="Z36" s="88" t="str">
        <f aca="false">IF(AND(N36&lt;&gt;"",N36&gt;='Weekly Report'!$F$4,N36&lt;='Weekly Report'!$F$5),ROW(),"")</f>
        <v/>
      </c>
      <c r="AA36" s="88" t="str">
        <f aca="false">IF(AND(AND(Q36&lt;&gt;"",Q36&gt;='Weekly Report'!$F$4,Q36&lt;='Weekly Report'!$F$5),AND(F36&lt;&gt;"",K36&lt;&gt;"Completed",K36&lt;&gt;"Cancelled")),ROW(),"")</f>
        <v/>
      </c>
      <c r="AB36" s="88" t="str">
        <f aca="false">IF(AND(F36&lt;&gt;"",K36="In Progress"),ROW(),"")</f>
        <v/>
      </c>
      <c r="AC36" s="88" t="str">
        <f aca="false">IF(AND(AND(F36&lt;&gt;"",K36&lt;&gt;"Completed",K36&lt;&gt;"Cancelled"),OR(K36="Blocked",S36&lt;&gt;"")),ROW(),"")</f>
        <v/>
      </c>
      <c r="AD36" s="88" t="str">
        <f aca="false">IF(AND(AND(F36&lt;&gt;"",K36&lt;&gt;"Completed",K36&lt;&gt;"Cancelled"),OR(P36="Yes",AND(M36&lt;&gt;"",M36&lt;='Weekly Report'!$F$7),AND(L36&lt;&gt;"",L36&gt;='Weekly Report'!$F$6,L36&lt;='Weekly Report'!$F$7))),ROW(),"")</f>
        <v/>
      </c>
    </row>
    <row r="37" customFormat="false" ht="15" hidden="false" customHeight="false" outlineLevel="0" collapsed="false">
      <c r="A37" s="56" t="s">
        <v>1518</v>
      </c>
      <c r="B37" s="63"/>
      <c r="C37" s="61"/>
      <c r="D37" s="61"/>
      <c r="E37" s="61"/>
      <c r="F37" s="60"/>
      <c r="G37" s="61"/>
      <c r="H37" s="61"/>
      <c r="I37" s="61"/>
      <c r="J37" s="61"/>
      <c r="K37" s="61"/>
      <c r="L37" s="63"/>
      <c r="M37" s="63"/>
      <c r="N37" s="63"/>
      <c r="O37" s="94"/>
      <c r="P37" s="61"/>
      <c r="Q37" s="63"/>
      <c r="R37" s="60"/>
      <c r="S37" s="60"/>
      <c r="T37" s="63"/>
      <c r="U37" s="60"/>
      <c r="V37" s="60"/>
      <c r="W37" s="87" t="str">
        <f aca="true">IF(B37="","",IF(N37&lt;&gt;"",N37-B37,TODAY()-B37))</f>
        <v/>
      </c>
      <c r="X37" s="62" t="str">
        <f aca="true">IF(OR(M37="",K37="Completed",K37="Cancelled"),"",IF(M37&lt;TODAY(),"OVERDUE",IF(M37-TODAY()&lt;=7,"Due ≤7d","On Schedule")))</f>
        <v/>
      </c>
      <c r="Y37" s="60"/>
      <c r="Z37" s="88" t="str">
        <f aca="false">IF(AND(N37&lt;&gt;"",N37&gt;='Weekly Report'!$F$4,N37&lt;='Weekly Report'!$F$5),ROW(),"")</f>
        <v/>
      </c>
      <c r="AA37" s="88" t="str">
        <f aca="false">IF(AND(AND(Q37&lt;&gt;"",Q37&gt;='Weekly Report'!$F$4,Q37&lt;='Weekly Report'!$F$5),AND(F37&lt;&gt;"",K37&lt;&gt;"Completed",K37&lt;&gt;"Cancelled")),ROW(),"")</f>
        <v/>
      </c>
      <c r="AB37" s="88" t="str">
        <f aca="false">IF(AND(F37&lt;&gt;"",K37="In Progress"),ROW(),"")</f>
        <v/>
      </c>
      <c r="AC37" s="88" t="str">
        <f aca="false">IF(AND(AND(F37&lt;&gt;"",K37&lt;&gt;"Completed",K37&lt;&gt;"Cancelled"),OR(K37="Blocked",S37&lt;&gt;"")),ROW(),"")</f>
        <v/>
      </c>
      <c r="AD37" s="88" t="str">
        <f aca="false">IF(AND(AND(F37&lt;&gt;"",K37&lt;&gt;"Completed",K37&lt;&gt;"Cancelled"),OR(P37="Yes",AND(M37&lt;&gt;"",M37&lt;='Weekly Report'!$F$7),AND(L37&lt;&gt;"",L37&gt;='Weekly Report'!$F$6,L37&lt;='Weekly Report'!$F$7))),ROW(),"")</f>
        <v/>
      </c>
    </row>
    <row r="38" customFormat="false" ht="15" hidden="false" customHeight="false" outlineLevel="0" collapsed="false">
      <c r="A38" s="56" t="s">
        <v>1519</v>
      </c>
      <c r="B38" s="63"/>
      <c r="C38" s="61"/>
      <c r="D38" s="61"/>
      <c r="E38" s="61"/>
      <c r="F38" s="60"/>
      <c r="G38" s="61"/>
      <c r="H38" s="61"/>
      <c r="I38" s="61"/>
      <c r="J38" s="61"/>
      <c r="K38" s="61"/>
      <c r="L38" s="63"/>
      <c r="M38" s="63"/>
      <c r="N38" s="63"/>
      <c r="O38" s="94"/>
      <c r="P38" s="61"/>
      <c r="Q38" s="63"/>
      <c r="R38" s="60"/>
      <c r="S38" s="60"/>
      <c r="T38" s="63"/>
      <c r="U38" s="60"/>
      <c r="V38" s="60"/>
      <c r="W38" s="87" t="str">
        <f aca="true">IF(B38="","",IF(N38&lt;&gt;"",N38-B38,TODAY()-B38))</f>
        <v/>
      </c>
      <c r="X38" s="62" t="str">
        <f aca="true">IF(OR(M38="",K38="Completed",K38="Cancelled"),"",IF(M38&lt;TODAY(),"OVERDUE",IF(M38-TODAY()&lt;=7,"Due ≤7d","On Schedule")))</f>
        <v/>
      </c>
      <c r="Y38" s="60"/>
      <c r="Z38" s="88" t="str">
        <f aca="false">IF(AND(N38&lt;&gt;"",N38&gt;='Weekly Report'!$F$4,N38&lt;='Weekly Report'!$F$5),ROW(),"")</f>
        <v/>
      </c>
      <c r="AA38" s="88" t="str">
        <f aca="false">IF(AND(AND(Q38&lt;&gt;"",Q38&gt;='Weekly Report'!$F$4,Q38&lt;='Weekly Report'!$F$5),AND(F38&lt;&gt;"",K38&lt;&gt;"Completed",K38&lt;&gt;"Cancelled")),ROW(),"")</f>
        <v/>
      </c>
      <c r="AB38" s="88" t="str">
        <f aca="false">IF(AND(F38&lt;&gt;"",K38="In Progress"),ROW(),"")</f>
        <v/>
      </c>
      <c r="AC38" s="88" t="str">
        <f aca="false">IF(AND(AND(F38&lt;&gt;"",K38&lt;&gt;"Completed",K38&lt;&gt;"Cancelled"),OR(K38="Blocked",S38&lt;&gt;"")),ROW(),"")</f>
        <v/>
      </c>
      <c r="AD38" s="88" t="str">
        <f aca="false">IF(AND(AND(F38&lt;&gt;"",K38&lt;&gt;"Completed",K38&lt;&gt;"Cancelled"),OR(P38="Yes",AND(M38&lt;&gt;"",M38&lt;='Weekly Report'!$F$7),AND(L38&lt;&gt;"",L38&gt;='Weekly Report'!$F$6,L38&lt;='Weekly Report'!$F$7))),ROW(),"")</f>
        <v/>
      </c>
    </row>
    <row r="39" customFormat="false" ht="15" hidden="false" customHeight="false" outlineLevel="0" collapsed="false">
      <c r="A39" s="56" t="s">
        <v>1520</v>
      </c>
      <c r="B39" s="63"/>
      <c r="C39" s="61"/>
      <c r="D39" s="61"/>
      <c r="E39" s="61"/>
      <c r="F39" s="60"/>
      <c r="G39" s="61"/>
      <c r="H39" s="61"/>
      <c r="I39" s="61"/>
      <c r="J39" s="61"/>
      <c r="K39" s="61"/>
      <c r="L39" s="63"/>
      <c r="M39" s="63"/>
      <c r="N39" s="63"/>
      <c r="O39" s="94"/>
      <c r="P39" s="61"/>
      <c r="Q39" s="63"/>
      <c r="R39" s="60"/>
      <c r="S39" s="60"/>
      <c r="T39" s="63"/>
      <c r="U39" s="60"/>
      <c r="V39" s="60"/>
      <c r="W39" s="87" t="str">
        <f aca="true">IF(B39="","",IF(N39&lt;&gt;"",N39-B39,TODAY()-B39))</f>
        <v/>
      </c>
      <c r="X39" s="62" t="str">
        <f aca="true">IF(OR(M39="",K39="Completed",K39="Cancelled"),"",IF(M39&lt;TODAY(),"OVERDUE",IF(M39-TODAY()&lt;=7,"Due ≤7d","On Schedule")))</f>
        <v/>
      </c>
      <c r="Y39" s="60"/>
      <c r="Z39" s="88" t="str">
        <f aca="false">IF(AND(N39&lt;&gt;"",N39&gt;='Weekly Report'!$F$4,N39&lt;='Weekly Report'!$F$5),ROW(),"")</f>
        <v/>
      </c>
      <c r="AA39" s="88" t="str">
        <f aca="false">IF(AND(AND(Q39&lt;&gt;"",Q39&gt;='Weekly Report'!$F$4,Q39&lt;='Weekly Report'!$F$5),AND(F39&lt;&gt;"",K39&lt;&gt;"Completed",K39&lt;&gt;"Cancelled")),ROW(),"")</f>
        <v/>
      </c>
      <c r="AB39" s="88" t="str">
        <f aca="false">IF(AND(F39&lt;&gt;"",K39="In Progress"),ROW(),"")</f>
        <v/>
      </c>
      <c r="AC39" s="88" t="str">
        <f aca="false">IF(AND(AND(F39&lt;&gt;"",K39&lt;&gt;"Completed",K39&lt;&gt;"Cancelled"),OR(K39="Blocked",S39&lt;&gt;"")),ROW(),"")</f>
        <v/>
      </c>
      <c r="AD39" s="88" t="str">
        <f aca="false">IF(AND(AND(F39&lt;&gt;"",K39&lt;&gt;"Completed",K39&lt;&gt;"Cancelled"),OR(P39="Yes",AND(M39&lt;&gt;"",M39&lt;='Weekly Report'!$F$7),AND(L39&lt;&gt;"",L39&gt;='Weekly Report'!$F$6,L39&lt;='Weekly Report'!$F$7))),ROW(),"")</f>
        <v/>
      </c>
    </row>
    <row r="40" customFormat="false" ht="15" hidden="false" customHeight="false" outlineLevel="0" collapsed="false">
      <c r="A40" s="56" t="s">
        <v>1521</v>
      </c>
      <c r="B40" s="63"/>
      <c r="C40" s="61"/>
      <c r="D40" s="61"/>
      <c r="E40" s="61"/>
      <c r="F40" s="60"/>
      <c r="G40" s="61"/>
      <c r="H40" s="61"/>
      <c r="I40" s="61"/>
      <c r="J40" s="61"/>
      <c r="K40" s="61"/>
      <c r="L40" s="63"/>
      <c r="M40" s="63"/>
      <c r="N40" s="63"/>
      <c r="O40" s="94"/>
      <c r="P40" s="61"/>
      <c r="Q40" s="63"/>
      <c r="R40" s="60"/>
      <c r="S40" s="60"/>
      <c r="T40" s="63"/>
      <c r="U40" s="60"/>
      <c r="V40" s="60"/>
      <c r="W40" s="87" t="str">
        <f aca="true">IF(B40="","",IF(N40&lt;&gt;"",N40-B40,TODAY()-B40))</f>
        <v/>
      </c>
      <c r="X40" s="62" t="str">
        <f aca="true">IF(OR(M40="",K40="Completed",K40="Cancelled"),"",IF(M40&lt;TODAY(),"OVERDUE",IF(M40-TODAY()&lt;=7,"Due ≤7d","On Schedule")))</f>
        <v/>
      </c>
      <c r="Y40" s="60"/>
      <c r="Z40" s="88" t="str">
        <f aca="false">IF(AND(N40&lt;&gt;"",N40&gt;='Weekly Report'!$F$4,N40&lt;='Weekly Report'!$F$5),ROW(),"")</f>
        <v/>
      </c>
      <c r="AA40" s="88" t="str">
        <f aca="false">IF(AND(AND(Q40&lt;&gt;"",Q40&gt;='Weekly Report'!$F$4,Q40&lt;='Weekly Report'!$F$5),AND(F40&lt;&gt;"",K40&lt;&gt;"Completed",K40&lt;&gt;"Cancelled")),ROW(),"")</f>
        <v/>
      </c>
      <c r="AB40" s="88" t="str">
        <f aca="false">IF(AND(F40&lt;&gt;"",K40="In Progress"),ROW(),"")</f>
        <v/>
      </c>
      <c r="AC40" s="88" t="str">
        <f aca="false">IF(AND(AND(F40&lt;&gt;"",K40&lt;&gt;"Completed",K40&lt;&gt;"Cancelled"),OR(K40="Blocked",S40&lt;&gt;"")),ROW(),"")</f>
        <v/>
      </c>
      <c r="AD40" s="88" t="str">
        <f aca="false">IF(AND(AND(F40&lt;&gt;"",K40&lt;&gt;"Completed",K40&lt;&gt;"Cancelled"),OR(P40="Yes",AND(M40&lt;&gt;"",M40&lt;='Weekly Report'!$F$7),AND(L40&lt;&gt;"",L40&gt;='Weekly Report'!$F$6,L40&lt;='Weekly Report'!$F$7))),ROW(),"")</f>
        <v/>
      </c>
    </row>
    <row r="41" customFormat="false" ht="15" hidden="false" customHeight="false" outlineLevel="0" collapsed="false">
      <c r="A41" s="56" t="s">
        <v>1522</v>
      </c>
      <c r="B41" s="63"/>
      <c r="C41" s="61"/>
      <c r="D41" s="61"/>
      <c r="E41" s="61"/>
      <c r="F41" s="60"/>
      <c r="G41" s="61"/>
      <c r="H41" s="61"/>
      <c r="I41" s="61"/>
      <c r="J41" s="61"/>
      <c r="K41" s="61"/>
      <c r="L41" s="63"/>
      <c r="M41" s="63"/>
      <c r="N41" s="63"/>
      <c r="O41" s="94"/>
      <c r="P41" s="61"/>
      <c r="Q41" s="63"/>
      <c r="R41" s="60"/>
      <c r="S41" s="60"/>
      <c r="T41" s="63"/>
      <c r="U41" s="60"/>
      <c r="V41" s="60"/>
      <c r="W41" s="87" t="str">
        <f aca="true">IF(B41="","",IF(N41&lt;&gt;"",N41-B41,TODAY()-B41))</f>
        <v/>
      </c>
      <c r="X41" s="62" t="str">
        <f aca="true">IF(OR(M41="",K41="Completed",K41="Cancelled"),"",IF(M41&lt;TODAY(),"OVERDUE",IF(M41-TODAY()&lt;=7,"Due ≤7d","On Schedule")))</f>
        <v/>
      </c>
      <c r="Y41" s="60"/>
      <c r="Z41" s="88" t="str">
        <f aca="false">IF(AND(N41&lt;&gt;"",N41&gt;='Weekly Report'!$F$4,N41&lt;='Weekly Report'!$F$5),ROW(),"")</f>
        <v/>
      </c>
      <c r="AA41" s="88" t="str">
        <f aca="false">IF(AND(AND(Q41&lt;&gt;"",Q41&gt;='Weekly Report'!$F$4,Q41&lt;='Weekly Report'!$F$5),AND(F41&lt;&gt;"",K41&lt;&gt;"Completed",K41&lt;&gt;"Cancelled")),ROW(),"")</f>
        <v/>
      </c>
      <c r="AB41" s="88" t="str">
        <f aca="false">IF(AND(F41&lt;&gt;"",K41="In Progress"),ROW(),"")</f>
        <v/>
      </c>
      <c r="AC41" s="88" t="str">
        <f aca="false">IF(AND(AND(F41&lt;&gt;"",K41&lt;&gt;"Completed",K41&lt;&gt;"Cancelled"),OR(K41="Blocked",S41&lt;&gt;"")),ROW(),"")</f>
        <v/>
      </c>
      <c r="AD41" s="88" t="str">
        <f aca="false">IF(AND(AND(F41&lt;&gt;"",K41&lt;&gt;"Completed",K41&lt;&gt;"Cancelled"),OR(P41="Yes",AND(M41&lt;&gt;"",M41&lt;='Weekly Report'!$F$7),AND(L41&lt;&gt;"",L41&gt;='Weekly Report'!$F$6,L41&lt;='Weekly Report'!$F$7))),ROW(),"")</f>
        <v/>
      </c>
    </row>
    <row r="42" customFormat="false" ht="15" hidden="false" customHeight="false" outlineLevel="0" collapsed="false">
      <c r="A42" s="56" t="s">
        <v>1523</v>
      </c>
      <c r="B42" s="63"/>
      <c r="C42" s="61"/>
      <c r="D42" s="61"/>
      <c r="E42" s="61"/>
      <c r="F42" s="60"/>
      <c r="G42" s="61"/>
      <c r="H42" s="61"/>
      <c r="I42" s="61"/>
      <c r="J42" s="61"/>
      <c r="K42" s="61"/>
      <c r="L42" s="63"/>
      <c r="M42" s="63"/>
      <c r="N42" s="63"/>
      <c r="O42" s="94"/>
      <c r="P42" s="61"/>
      <c r="Q42" s="63"/>
      <c r="R42" s="60"/>
      <c r="S42" s="60"/>
      <c r="T42" s="63"/>
      <c r="U42" s="60"/>
      <c r="V42" s="60"/>
      <c r="W42" s="87" t="str">
        <f aca="true">IF(B42="","",IF(N42&lt;&gt;"",N42-B42,TODAY()-B42))</f>
        <v/>
      </c>
      <c r="X42" s="62" t="str">
        <f aca="true">IF(OR(M42="",K42="Completed",K42="Cancelled"),"",IF(M42&lt;TODAY(),"OVERDUE",IF(M42-TODAY()&lt;=7,"Due ≤7d","On Schedule")))</f>
        <v/>
      </c>
      <c r="Y42" s="60"/>
      <c r="Z42" s="88" t="str">
        <f aca="false">IF(AND(N42&lt;&gt;"",N42&gt;='Weekly Report'!$F$4,N42&lt;='Weekly Report'!$F$5),ROW(),"")</f>
        <v/>
      </c>
      <c r="AA42" s="88" t="str">
        <f aca="false">IF(AND(AND(Q42&lt;&gt;"",Q42&gt;='Weekly Report'!$F$4,Q42&lt;='Weekly Report'!$F$5),AND(F42&lt;&gt;"",K42&lt;&gt;"Completed",K42&lt;&gt;"Cancelled")),ROW(),"")</f>
        <v/>
      </c>
      <c r="AB42" s="88" t="str">
        <f aca="false">IF(AND(F42&lt;&gt;"",K42="In Progress"),ROW(),"")</f>
        <v/>
      </c>
      <c r="AC42" s="88" t="str">
        <f aca="false">IF(AND(AND(F42&lt;&gt;"",K42&lt;&gt;"Completed",K42&lt;&gt;"Cancelled"),OR(K42="Blocked",S42&lt;&gt;"")),ROW(),"")</f>
        <v/>
      </c>
      <c r="AD42" s="88" t="str">
        <f aca="false">IF(AND(AND(F42&lt;&gt;"",K42&lt;&gt;"Completed",K42&lt;&gt;"Cancelled"),OR(P42="Yes",AND(M42&lt;&gt;"",M42&lt;='Weekly Report'!$F$7),AND(L42&lt;&gt;"",L42&gt;='Weekly Report'!$F$6,L42&lt;='Weekly Report'!$F$7))),ROW(),"")</f>
        <v/>
      </c>
    </row>
    <row r="43" customFormat="false" ht="15" hidden="false" customHeight="false" outlineLevel="0" collapsed="false">
      <c r="A43" s="56" t="s">
        <v>1524</v>
      </c>
      <c r="B43" s="63"/>
      <c r="C43" s="61"/>
      <c r="D43" s="61"/>
      <c r="E43" s="61"/>
      <c r="F43" s="60"/>
      <c r="G43" s="61"/>
      <c r="H43" s="61"/>
      <c r="I43" s="61"/>
      <c r="J43" s="61"/>
      <c r="K43" s="61"/>
      <c r="L43" s="63"/>
      <c r="M43" s="63"/>
      <c r="N43" s="63"/>
      <c r="O43" s="94"/>
      <c r="P43" s="61"/>
      <c r="Q43" s="63"/>
      <c r="R43" s="60"/>
      <c r="S43" s="60"/>
      <c r="T43" s="63"/>
      <c r="U43" s="60"/>
      <c r="V43" s="60"/>
      <c r="W43" s="87" t="str">
        <f aca="true">IF(B43="","",IF(N43&lt;&gt;"",N43-B43,TODAY()-B43))</f>
        <v/>
      </c>
      <c r="X43" s="62" t="str">
        <f aca="true">IF(OR(M43="",K43="Completed",K43="Cancelled"),"",IF(M43&lt;TODAY(),"OVERDUE",IF(M43-TODAY()&lt;=7,"Due ≤7d","On Schedule")))</f>
        <v/>
      </c>
      <c r="Y43" s="60"/>
      <c r="Z43" s="88" t="str">
        <f aca="false">IF(AND(N43&lt;&gt;"",N43&gt;='Weekly Report'!$F$4,N43&lt;='Weekly Report'!$F$5),ROW(),"")</f>
        <v/>
      </c>
      <c r="AA43" s="88" t="str">
        <f aca="false">IF(AND(AND(Q43&lt;&gt;"",Q43&gt;='Weekly Report'!$F$4,Q43&lt;='Weekly Report'!$F$5),AND(F43&lt;&gt;"",K43&lt;&gt;"Completed",K43&lt;&gt;"Cancelled")),ROW(),"")</f>
        <v/>
      </c>
      <c r="AB43" s="88" t="str">
        <f aca="false">IF(AND(F43&lt;&gt;"",K43="In Progress"),ROW(),"")</f>
        <v/>
      </c>
      <c r="AC43" s="88" t="str">
        <f aca="false">IF(AND(AND(F43&lt;&gt;"",K43&lt;&gt;"Completed",K43&lt;&gt;"Cancelled"),OR(K43="Blocked",S43&lt;&gt;"")),ROW(),"")</f>
        <v/>
      </c>
      <c r="AD43" s="88" t="str">
        <f aca="false">IF(AND(AND(F43&lt;&gt;"",K43&lt;&gt;"Completed",K43&lt;&gt;"Cancelled"),OR(P43="Yes",AND(M43&lt;&gt;"",M43&lt;='Weekly Report'!$F$7),AND(L43&lt;&gt;"",L43&gt;='Weekly Report'!$F$6,L43&lt;='Weekly Report'!$F$7))),ROW(),"")</f>
        <v/>
      </c>
    </row>
    <row r="44" customFormat="false" ht="15" hidden="false" customHeight="false" outlineLevel="0" collapsed="false">
      <c r="A44" s="56" t="s">
        <v>1525</v>
      </c>
      <c r="B44" s="63"/>
      <c r="C44" s="61"/>
      <c r="D44" s="61"/>
      <c r="E44" s="61"/>
      <c r="F44" s="60"/>
      <c r="G44" s="61"/>
      <c r="H44" s="61"/>
      <c r="I44" s="61"/>
      <c r="J44" s="61"/>
      <c r="K44" s="61"/>
      <c r="L44" s="63"/>
      <c r="M44" s="63"/>
      <c r="N44" s="63"/>
      <c r="O44" s="94"/>
      <c r="P44" s="61"/>
      <c r="Q44" s="63"/>
      <c r="R44" s="60"/>
      <c r="S44" s="60"/>
      <c r="T44" s="63"/>
      <c r="U44" s="60"/>
      <c r="V44" s="60"/>
      <c r="W44" s="87" t="str">
        <f aca="true">IF(B44="","",IF(N44&lt;&gt;"",N44-B44,TODAY()-B44))</f>
        <v/>
      </c>
      <c r="X44" s="62" t="str">
        <f aca="true">IF(OR(M44="",K44="Completed",K44="Cancelled"),"",IF(M44&lt;TODAY(),"OVERDUE",IF(M44-TODAY()&lt;=7,"Due ≤7d","On Schedule")))</f>
        <v/>
      </c>
      <c r="Y44" s="60"/>
      <c r="Z44" s="88" t="str">
        <f aca="false">IF(AND(N44&lt;&gt;"",N44&gt;='Weekly Report'!$F$4,N44&lt;='Weekly Report'!$F$5),ROW(),"")</f>
        <v/>
      </c>
      <c r="AA44" s="88" t="str">
        <f aca="false">IF(AND(AND(Q44&lt;&gt;"",Q44&gt;='Weekly Report'!$F$4,Q44&lt;='Weekly Report'!$F$5),AND(F44&lt;&gt;"",K44&lt;&gt;"Completed",K44&lt;&gt;"Cancelled")),ROW(),"")</f>
        <v/>
      </c>
      <c r="AB44" s="88" t="str">
        <f aca="false">IF(AND(F44&lt;&gt;"",K44="In Progress"),ROW(),"")</f>
        <v/>
      </c>
      <c r="AC44" s="88" t="str">
        <f aca="false">IF(AND(AND(F44&lt;&gt;"",K44&lt;&gt;"Completed",K44&lt;&gt;"Cancelled"),OR(K44="Blocked",S44&lt;&gt;"")),ROW(),"")</f>
        <v/>
      </c>
      <c r="AD44" s="88" t="str">
        <f aca="false">IF(AND(AND(F44&lt;&gt;"",K44&lt;&gt;"Completed",K44&lt;&gt;"Cancelled"),OR(P44="Yes",AND(M44&lt;&gt;"",M44&lt;='Weekly Report'!$F$7),AND(L44&lt;&gt;"",L44&gt;='Weekly Report'!$F$6,L44&lt;='Weekly Report'!$F$7))),ROW(),"")</f>
        <v/>
      </c>
    </row>
    <row r="45" customFormat="false" ht="15" hidden="false" customHeight="false" outlineLevel="0" collapsed="false">
      <c r="A45" s="56" t="s">
        <v>1526</v>
      </c>
      <c r="B45" s="63"/>
      <c r="C45" s="61"/>
      <c r="D45" s="61"/>
      <c r="E45" s="61"/>
      <c r="F45" s="60"/>
      <c r="G45" s="61"/>
      <c r="H45" s="61"/>
      <c r="I45" s="61"/>
      <c r="J45" s="61"/>
      <c r="K45" s="61"/>
      <c r="L45" s="63"/>
      <c r="M45" s="63"/>
      <c r="N45" s="63"/>
      <c r="O45" s="94"/>
      <c r="P45" s="61"/>
      <c r="Q45" s="63"/>
      <c r="R45" s="60"/>
      <c r="S45" s="60"/>
      <c r="T45" s="63"/>
      <c r="U45" s="60"/>
      <c r="V45" s="60"/>
      <c r="W45" s="87" t="str">
        <f aca="true">IF(B45="","",IF(N45&lt;&gt;"",N45-B45,TODAY()-B45))</f>
        <v/>
      </c>
      <c r="X45" s="62" t="str">
        <f aca="true">IF(OR(M45="",K45="Completed",K45="Cancelled"),"",IF(M45&lt;TODAY(),"OVERDUE",IF(M45-TODAY()&lt;=7,"Due ≤7d","On Schedule")))</f>
        <v/>
      </c>
      <c r="Y45" s="60"/>
      <c r="Z45" s="88" t="str">
        <f aca="false">IF(AND(N45&lt;&gt;"",N45&gt;='Weekly Report'!$F$4,N45&lt;='Weekly Report'!$F$5),ROW(),"")</f>
        <v/>
      </c>
      <c r="AA45" s="88" t="str">
        <f aca="false">IF(AND(AND(Q45&lt;&gt;"",Q45&gt;='Weekly Report'!$F$4,Q45&lt;='Weekly Report'!$F$5),AND(F45&lt;&gt;"",K45&lt;&gt;"Completed",K45&lt;&gt;"Cancelled")),ROW(),"")</f>
        <v/>
      </c>
      <c r="AB45" s="88" t="str">
        <f aca="false">IF(AND(F45&lt;&gt;"",K45="In Progress"),ROW(),"")</f>
        <v/>
      </c>
      <c r="AC45" s="88" t="str">
        <f aca="false">IF(AND(AND(F45&lt;&gt;"",K45&lt;&gt;"Completed",K45&lt;&gt;"Cancelled"),OR(K45="Blocked",S45&lt;&gt;"")),ROW(),"")</f>
        <v/>
      </c>
      <c r="AD45" s="88" t="str">
        <f aca="false">IF(AND(AND(F45&lt;&gt;"",K45&lt;&gt;"Completed",K45&lt;&gt;"Cancelled"),OR(P45="Yes",AND(M45&lt;&gt;"",M45&lt;='Weekly Report'!$F$7),AND(L45&lt;&gt;"",L45&gt;='Weekly Report'!$F$6,L45&lt;='Weekly Report'!$F$7))),ROW(),"")</f>
        <v/>
      </c>
    </row>
    <row r="46" customFormat="false" ht="15" hidden="false" customHeight="false" outlineLevel="0" collapsed="false">
      <c r="A46" s="56" t="s">
        <v>1527</v>
      </c>
      <c r="B46" s="63"/>
      <c r="C46" s="61"/>
      <c r="D46" s="61"/>
      <c r="E46" s="61"/>
      <c r="F46" s="60"/>
      <c r="G46" s="61"/>
      <c r="H46" s="61"/>
      <c r="I46" s="61"/>
      <c r="J46" s="61"/>
      <c r="K46" s="61"/>
      <c r="L46" s="63"/>
      <c r="M46" s="63"/>
      <c r="N46" s="63"/>
      <c r="O46" s="94"/>
      <c r="P46" s="61"/>
      <c r="Q46" s="63"/>
      <c r="R46" s="60"/>
      <c r="S46" s="60"/>
      <c r="T46" s="63"/>
      <c r="U46" s="60"/>
      <c r="V46" s="60"/>
      <c r="W46" s="87" t="str">
        <f aca="true">IF(B46="","",IF(N46&lt;&gt;"",N46-B46,TODAY()-B46))</f>
        <v/>
      </c>
      <c r="X46" s="62" t="str">
        <f aca="true">IF(OR(M46="",K46="Completed",K46="Cancelled"),"",IF(M46&lt;TODAY(),"OVERDUE",IF(M46-TODAY()&lt;=7,"Due ≤7d","On Schedule")))</f>
        <v/>
      </c>
      <c r="Y46" s="60"/>
      <c r="Z46" s="88" t="str">
        <f aca="false">IF(AND(N46&lt;&gt;"",N46&gt;='Weekly Report'!$F$4,N46&lt;='Weekly Report'!$F$5),ROW(),"")</f>
        <v/>
      </c>
      <c r="AA46" s="88" t="str">
        <f aca="false">IF(AND(AND(Q46&lt;&gt;"",Q46&gt;='Weekly Report'!$F$4,Q46&lt;='Weekly Report'!$F$5),AND(F46&lt;&gt;"",K46&lt;&gt;"Completed",K46&lt;&gt;"Cancelled")),ROW(),"")</f>
        <v/>
      </c>
      <c r="AB46" s="88" t="str">
        <f aca="false">IF(AND(F46&lt;&gt;"",K46="In Progress"),ROW(),"")</f>
        <v/>
      </c>
      <c r="AC46" s="88" t="str">
        <f aca="false">IF(AND(AND(F46&lt;&gt;"",K46&lt;&gt;"Completed",K46&lt;&gt;"Cancelled"),OR(K46="Blocked",S46&lt;&gt;"")),ROW(),"")</f>
        <v/>
      </c>
      <c r="AD46" s="88" t="str">
        <f aca="false">IF(AND(AND(F46&lt;&gt;"",K46&lt;&gt;"Completed",K46&lt;&gt;"Cancelled"),OR(P46="Yes",AND(M46&lt;&gt;"",M46&lt;='Weekly Report'!$F$7),AND(L46&lt;&gt;"",L46&gt;='Weekly Report'!$F$6,L46&lt;='Weekly Report'!$F$7))),ROW(),"")</f>
        <v/>
      </c>
    </row>
    <row r="47" customFormat="false" ht="15" hidden="false" customHeight="false" outlineLevel="0" collapsed="false">
      <c r="A47" s="56" t="s">
        <v>1528</v>
      </c>
      <c r="B47" s="63"/>
      <c r="C47" s="61"/>
      <c r="D47" s="61"/>
      <c r="E47" s="61"/>
      <c r="F47" s="60"/>
      <c r="G47" s="61"/>
      <c r="H47" s="61"/>
      <c r="I47" s="61"/>
      <c r="J47" s="61"/>
      <c r="K47" s="61"/>
      <c r="L47" s="63"/>
      <c r="M47" s="63"/>
      <c r="N47" s="63"/>
      <c r="O47" s="94"/>
      <c r="P47" s="61"/>
      <c r="Q47" s="63"/>
      <c r="R47" s="60"/>
      <c r="S47" s="60"/>
      <c r="T47" s="63"/>
      <c r="U47" s="60"/>
      <c r="V47" s="60"/>
      <c r="W47" s="87" t="str">
        <f aca="true">IF(B47="","",IF(N47&lt;&gt;"",N47-B47,TODAY()-B47))</f>
        <v/>
      </c>
      <c r="X47" s="62" t="str">
        <f aca="true">IF(OR(M47="",K47="Completed",K47="Cancelled"),"",IF(M47&lt;TODAY(),"OVERDUE",IF(M47-TODAY()&lt;=7,"Due ≤7d","On Schedule")))</f>
        <v/>
      </c>
      <c r="Y47" s="60"/>
      <c r="Z47" s="88" t="str">
        <f aca="false">IF(AND(N47&lt;&gt;"",N47&gt;='Weekly Report'!$F$4,N47&lt;='Weekly Report'!$F$5),ROW(),"")</f>
        <v/>
      </c>
      <c r="AA47" s="88" t="str">
        <f aca="false">IF(AND(AND(Q47&lt;&gt;"",Q47&gt;='Weekly Report'!$F$4,Q47&lt;='Weekly Report'!$F$5),AND(F47&lt;&gt;"",K47&lt;&gt;"Completed",K47&lt;&gt;"Cancelled")),ROW(),"")</f>
        <v/>
      </c>
      <c r="AB47" s="88" t="str">
        <f aca="false">IF(AND(F47&lt;&gt;"",K47="In Progress"),ROW(),"")</f>
        <v/>
      </c>
      <c r="AC47" s="88" t="str">
        <f aca="false">IF(AND(AND(F47&lt;&gt;"",K47&lt;&gt;"Completed",K47&lt;&gt;"Cancelled"),OR(K47="Blocked",S47&lt;&gt;"")),ROW(),"")</f>
        <v/>
      </c>
      <c r="AD47" s="88" t="str">
        <f aca="false">IF(AND(AND(F47&lt;&gt;"",K47&lt;&gt;"Completed",K47&lt;&gt;"Cancelled"),OR(P47="Yes",AND(M47&lt;&gt;"",M47&lt;='Weekly Report'!$F$7),AND(L47&lt;&gt;"",L47&gt;='Weekly Report'!$F$6,L47&lt;='Weekly Report'!$F$7))),ROW(),"")</f>
        <v/>
      </c>
    </row>
    <row r="48" customFormat="false" ht="15" hidden="false" customHeight="false" outlineLevel="0" collapsed="false">
      <c r="A48" s="56" t="s">
        <v>1529</v>
      </c>
      <c r="B48" s="63"/>
      <c r="C48" s="61"/>
      <c r="D48" s="61"/>
      <c r="E48" s="61"/>
      <c r="F48" s="60"/>
      <c r="G48" s="61"/>
      <c r="H48" s="61"/>
      <c r="I48" s="61"/>
      <c r="J48" s="61"/>
      <c r="K48" s="61"/>
      <c r="L48" s="63"/>
      <c r="M48" s="63"/>
      <c r="N48" s="63"/>
      <c r="O48" s="94"/>
      <c r="P48" s="61"/>
      <c r="Q48" s="63"/>
      <c r="R48" s="60"/>
      <c r="S48" s="60"/>
      <c r="T48" s="63"/>
      <c r="U48" s="60"/>
      <c r="V48" s="60"/>
      <c r="W48" s="87" t="str">
        <f aca="true">IF(B48="","",IF(N48&lt;&gt;"",N48-B48,TODAY()-B48))</f>
        <v/>
      </c>
      <c r="X48" s="62" t="str">
        <f aca="true">IF(OR(M48="",K48="Completed",K48="Cancelled"),"",IF(M48&lt;TODAY(),"OVERDUE",IF(M48-TODAY()&lt;=7,"Due ≤7d","On Schedule")))</f>
        <v/>
      </c>
      <c r="Y48" s="60"/>
      <c r="Z48" s="88" t="str">
        <f aca="false">IF(AND(N48&lt;&gt;"",N48&gt;='Weekly Report'!$F$4,N48&lt;='Weekly Report'!$F$5),ROW(),"")</f>
        <v/>
      </c>
      <c r="AA48" s="88" t="str">
        <f aca="false">IF(AND(AND(Q48&lt;&gt;"",Q48&gt;='Weekly Report'!$F$4,Q48&lt;='Weekly Report'!$F$5),AND(F48&lt;&gt;"",K48&lt;&gt;"Completed",K48&lt;&gt;"Cancelled")),ROW(),"")</f>
        <v/>
      </c>
      <c r="AB48" s="88" t="str">
        <f aca="false">IF(AND(F48&lt;&gt;"",K48="In Progress"),ROW(),"")</f>
        <v/>
      </c>
      <c r="AC48" s="88" t="str">
        <f aca="false">IF(AND(AND(F48&lt;&gt;"",K48&lt;&gt;"Completed",K48&lt;&gt;"Cancelled"),OR(K48="Blocked",S48&lt;&gt;"")),ROW(),"")</f>
        <v/>
      </c>
      <c r="AD48" s="88" t="str">
        <f aca="false">IF(AND(AND(F48&lt;&gt;"",K48&lt;&gt;"Completed",K48&lt;&gt;"Cancelled"),OR(P48="Yes",AND(M48&lt;&gt;"",M48&lt;='Weekly Report'!$F$7),AND(L48&lt;&gt;"",L48&gt;='Weekly Report'!$F$6,L48&lt;='Weekly Report'!$F$7))),ROW(),"")</f>
        <v/>
      </c>
    </row>
    <row r="49" customFormat="false" ht="15" hidden="false" customHeight="false" outlineLevel="0" collapsed="false">
      <c r="A49" s="56" t="s">
        <v>1530</v>
      </c>
      <c r="B49" s="63"/>
      <c r="C49" s="61"/>
      <c r="D49" s="61"/>
      <c r="E49" s="61"/>
      <c r="F49" s="60"/>
      <c r="G49" s="61"/>
      <c r="H49" s="61"/>
      <c r="I49" s="61"/>
      <c r="J49" s="61"/>
      <c r="K49" s="61"/>
      <c r="L49" s="63"/>
      <c r="M49" s="63"/>
      <c r="N49" s="63"/>
      <c r="O49" s="94"/>
      <c r="P49" s="61"/>
      <c r="Q49" s="63"/>
      <c r="R49" s="60"/>
      <c r="S49" s="60"/>
      <c r="T49" s="63"/>
      <c r="U49" s="60"/>
      <c r="V49" s="60"/>
      <c r="W49" s="87" t="str">
        <f aca="true">IF(B49="","",IF(N49&lt;&gt;"",N49-B49,TODAY()-B49))</f>
        <v/>
      </c>
      <c r="X49" s="62" t="str">
        <f aca="true">IF(OR(M49="",K49="Completed",K49="Cancelled"),"",IF(M49&lt;TODAY(),"OVERDUE",IF(M49-TODAY()&lt;=7,"Due ≤7d","On Schedule")))</f>
        <v/>
      </c>
      <c r="Y49" s="60"/>
      <c r="Z49" s="88" t="str">
        <f aca="false">IF(AND(N49&lt;&gt;"",N49&gt;='Weekly Report'!$F$4,N49&lt;='Weekly Report'!$F$5),ROW(),"")</f>
        <v/>
      </c>
      <c r="AA49" s="88" t="str">
        <f aca="false">IF(AND(AND(Q49&lt;&gt;"",Q49&gt;='Weekly Report'!$F$4,Q49&lt;='Weekly Report'!$F$5),AND(F49&lt;&gt;"",K49&lt;&gt;"Completed",K49&lt;&gt;"Cancelled")),ROW(),"")</f>
        <v/>
      </c>
      <c r="AB49" s="88" t="str">
        <f aca="false">IF(AND(F49&lt;&gt;"",K49="In Progress"),ROW(),"")</f>
        <v/>
      </c>
      <c r="AC49" s="88" t="str">
        <f aca="false">IF(AND(AND(F49&lt;&gt;"",K49&lt;&gt;"Completed",K49&lt;&gt;"Cancelled"),OR(K49="Blocked",S49&lt;&gt;"")),ROW(),"")</f>
        <v/>
      </c>
      <c r="AD49" s="88" t="str">
        <f aca="false">IF(AND(AND(F49&lt;&gt;"",K49&lt;&gt;"Completed",K49&lt;&gt;"Cancelled"),OR(P49="Yes",AND(M49&lt;&gt;"",M49&lt;='Weekly Report'!$F$7),AND(L49&lt;&gt;"",L49&gt;='Weekly Report'!$F$6,L49&lt;='Weekly Report'!$F$7))),ROW(),"")</f>
        <v/>
      </c>
    </row>
    <row r="50" customFormat="false" ht="15" hidden="false" customHeight="false" outlineLevel="0" collapsed="false">
      <c r="A50" s="56" t="s">
        <v>1531</v>
      </c>
      <c r="B50" s="63"/>
      <c r="C50" s="61"/>
      <c r="D50" s="61"/>
      <c r="E50" s="61"/>
      <c r="F50" s="60"/>
      <c r="G50" s="61"/>
      <c r="H50" s="61"/>
      <c r="I50" s="61"/>
      <c r="J50" s="61"/>
      <c r="K50" s="61"/>
      <c r="L50" s="63"/>
      <c r="M50" s="63"/>
      <c r="N50" s="63"/>
      <c r="O50" s="94"/>
      <c r="P50" s="61"/>
      <c r="Q50" s="63"/>
      <c r="R50" s="60"/>
      <c r="S50" s="60"/>
      <c r="T50" s="63"/>
      <c r="U50" s="60"/>
      <c r="V50" s="60"/>
      <c r="W50" s="87" t="str">
        <f aca="true">IF(B50="","",IF(N50&lt;&gt;"",N50-B50,TODAY()-B50))</f>
        <v/>
      </c>
      <c r="X50" s="62" t="str">
        <f aca="true">IF(OR(M50="",K50="Completed",K50="Cancelled"),"",IF(M50&lt;TODAY(),"OVERDUE",IF(M50-TODAY()&lt;=7,"Due ≤7d","On Schedule")))</f>
        <v/>
      </c>
      <c r="Y50" s="60"/>
      <c r="Z50" s="88" t="str">
        <f aca="false">IF(AND(N50&lt;&gt;"",N50&gt;='Weekly Report'!$F$4,N50&lt;='Weekly Report'!$F$5),ROW(),"")</f>
        <v/>
      </c>
      <c r="AA50" s="88" t="str">
        <f aca="false">IF(AND(AND(Q50&lt;&gt;"",Q50&gt;='Weekly Report'!$F$4,Q50&lt;='Weekly Report'!$F$5),AND(F50&lt;&gt;"",K50&lt;&gt;"Completed",K50&lt;&gt;"Cancelled")),ROW(),"")</f>
        <v/>
      </c>
      <c r="AB50" s="88" t="str">
        <f aca="false">IF(AND(F50&lt;&gt;"",K50="In Progress"),ROW(),"")</f>
        <v/>
      </c>
      <c r="AC50" s="88" t="str">
        <f aca="false">IF(AND(AND(F50&lt;&gt;"",K50&lt;&gt;"Completed",K50&lt;&gt;"Cancelled"),OR(K50="Blocked",S50&lt;&gt;"")),ROW(),"")</f>
        <v/>
      </c>
      <c r="AD50" s="88" t="str">
        <f aca="false">IF(AND(AND(F50&lt;&gt;"",K50&lt;&gt;"Completed",K50&lt;&gt;"Cancelled"),OR(P50="Yes",AND(M50&lt;&gt;"",M50&lt;='Weekly Report'!$F$7),AND(L50&lt;&gt;"",L50&gt;='Weekly Report'!$F$6,L50&lt;='Weekly Report'!$F$7))),ROW(),"")</f>
        <v/>
      </c>
    </row>
    <row r="51" customFormat="false" ht="15" hidden="false" customHeight="false" outlineLevel="0" collapsed="false">
      <c r="A51" s="56" t="s">
        <v>1532</v>
      </c>
      <c r="B51" s="63"/>
      <c r="C51" s="61"/>
      <c r="D51" s="61"/>
      <c r="E51" s="61"/>
      <c r="F51" s="60"/>
      <c r="G51" s="61"/>
      <c r="H51" s="61"/>
      <c r="I51" s="61"/>
      <c r="J51" s="61"/>
      <c r="K51" s="61"/>
      <c r="L51" s="63"/>
      <c r="M51" s="63"/>
      <c r="N51" s="63"/>
      <c r="O51" s="94"/>
      <c r="P51" s="61"/>
      <c r="Q51" s="63"/>
      <c r="R51" s="60"/>
      <c r="S51" s="60"/>
      <c r="T51" s="63"/>
      <c r="U51" s="60"/>
      <c r="V51" s="60"/>
      <c r="W51" s="87" t="str">
        <f aca="true">IF(B51="","",IF(N51&lt;&gt;"",N51-B51,TODAY()-B51))</f>
        <v/>
      </c>
      <c r="X51" s="62" t="str">
        <f aca="true">IF(OR(M51="",K51="Completed",K51="Cancelled"),"",IF(M51&lt;TODAY(),"OVERDUE",IF(M51-TODAY()&lt;=7,"Due ≤7d","On Schedule")))</f>
        <v/>
      </c>
      <c r="Y51" s="60"/>
      <c r="Z51" s="88" t="str">
        <f aca="false">IF(AND(N51&lt;&gt;"",N51&gt;='Weekly Report'!$F$4,N51&lt;='Weekly Report'!$F$5),ROW(),"")</f>
        <v/>
      </c>
      <c r="AA51" s="88" t="str">
        <f aca="false">IF(AND(AND(Q51&lt;&gt;"",Q51&gt;='Weekly Report'!$F$4,Q51&lt;='Weekly Report'!$F$5),AND(F51&lt;&gt;"",K51&lt;&gt;"Completed",K51&lt;&gt;"Cancelled")),ROW(),"")</f>
        <v/>
      </c>
      <c r="AB51" s="88" t="str">
        <f aca="false">IF(AND(F51&lt;&gt;"",K51="In Progress"),ROW(),"")</f>
        <v/>
      </c>
      <c r="AC51" s="88" t="str">
        <f aca="false">IF(AND(AND(F51&lt;&gt;"",K51&lt;&gt;"Completed",K51&lt;&gt;"Cancelled"),OR(K51="Blocked",S51&lt;&gt;"")),ROW(),"")</f>
        <v/>
      </c>
      <c r="AD51" s="88" t="str">
        <f aca="false">IF(AND(AND(F51&lt;&gt;"",K51&lt;&gt;"Completed",K51&lt;&gt;"Cancelled"),OR(P51="Yes",AND(M51&lt;&gt;"",M51&lt;='Weekly Report'!$F$7),AND(L51&lt;&gt;"",L51&gt;='Weekly Report'!$F$6,L51&lt;='Weekly Report'!$F$7))),ROW(),"")</f>
        <v/>
      </c>
    </row>
    <row r="52" customFormat="false" ht="15" hidden="false" customHeight="false" outlineLevel="0" collapsed="false">
      <c r="A52" s="56" t="s">
        <v>1533</v>
      </c>
      <c r="B52" s="63"/>
      <c r="C52" s="61"/>
      <c r="D52" s="61"/>
      <c r="E52" s="61"/>
      <c r="F52" s="60"/>
      <c r="G52" s="61"/>
      <c r="H52" s="61"/>
      <c r="I52" s="61"/>
      <c r="J52" s="61"/>
      <c r="K52" s="61"/>
      <c r="L52" s="63"/>
      <c r="M52" s="63"/>
      <c r="N52" s="63"/>
      <c r="O52" s="94"/>
      <c r="P52" s="61"/>
      <c r="Q52" s="63"/>
      <c r="R52" s="60"/>
      <c r="S52" s="60"/>
      <c r="T52" s="63"/>
      <c r="U52" s="60"/>
      <c r="V52" s="60"/>
      <c r="W52" s="87" t="str">
        <f aca="true">IF(B52="","",IF(N52&lt;&gt;"",N52-B52,TODAY()-B52))</f>
        <v/>
      </c>
      <c r="X52" s="62" t="str">
        <f aca="true">IF(OR(M52="",K52="Completed",K52="Cancelled"),"",IF(M52&lt;TODAY(),"OVERDUE",IF(M52-TODAY()&lt;=7,"Due ≤7d","On Schedule")))</f>
        <v/>
      </c>
      <c r="Y52" s="60"/>
      <c r="Z52" s="88" t="str">
        <f aca="false">IF(AND(N52&lt;&gt;"",N52&gt;='Weekly Report'!$F$4,N52&lt;='Weekly Report'!$F$5),ROW(),"")</f>
        <v/>
      </c>
      <c r="AA52" s="88" t="str">
        <f aca="false">IF(AND(AND(Q52&lt;&gt;"",Q52&gt;='Weekly Report'!$F$4,Q52&lt;='Weekly Report'!$F$5),AND(F52&lt;&gt;"",K52&lt;&gt;"Completed",K52&lt;&gt;"Cancelled")),ROW(),"")</f>
        <v/>
      </c>
      <c r="AB52" s="88" t="str">
        <f aca="false">IF(AND(F52&lt;&gt;"",K52="In Progress"),ROW(),"")</f>
        <v/>
      </c>
      <c r="AC52" s="88" t="str">
        <f aca="false">IF(AND(AND(F52&lt;&gt;"",K52&lt;&gt;"Completed",K52&lt;&gt;"Cancelled"),OR(K52="Blocked",S52&lt;&gt;"")),ROW(),"")</f>
        <v/>
      </c>
      <c r="AD52" s="88" t="str">
        <f aca="false">IF(AND(AND(F52&lt;&gt;"",K52&lt;&gt;"Completed",K52&lt;&gt;"Cancelled"),OR(P52="Yes",AND(M52&lt;&gt;"",M52&lt;='Weekly Report'!$F$7),AND(L52&lt;&gt;"",L52&gt;='Weekly Report'!$F$6,L52&lt;='Weekly Report'!$F$7))),ROW(),"")</f>
        <v/>
      </c>
    </row>
    <row r="53" customFormat="false" ht="15" hidden="false" customHeight="false" outlineLevel="0" collapsed="false">
      <c r="A53" s="56" t="s">
        <v>1534</v>
      </c>
      <c r="B53" s="63"/>
      <c r="C53" s="61"/>
      <c r="D53" s="61"/>
      <c r="E53" s="61"/>
      <c r="F53" s="60"/>
      <c r="G53" s="61"/>
      <c r="H53" s="61"/>
      <c r="I53" s="61"/>
      <c r="J53" s="61"/>
      <c r="K53" s="61"/>
      <c r="L53" s="63"/>
      <c r="M53" s="63"/>
      <c r="N53" s="63"/>
      <c r="O53" s="94"/>
      <c r="P53" s="61"/>
      <c r="Q53" s="63"/>
      <c r="R53" s="60"/>
      <c r="S53" s="60"/>
      <c r="T53" s="63"/>
      <c r="U53" s="60"/>
      <c r="V53" s="60"/>
      <c r="W53" s="87" t="str">
        <f aca="true">IF(B53="","",IF(N53&lt;&gt;"",N53-B53,TODAY()-B53))</f>
        <v/>
      </c>
      <c r="X53" s="62" t="str">
        <f aca="true">IF(OR(M53="",K53="Completed",K53="Cancelled"),"",IF(M53&lt;TODAY(),"OVERDUE",IF(M53-TODAY()&lt;=7,"Due ≤7d","On Schedule")))</f>
        <v/>
      </c>
      <c r="Y53" s="60"/>
      <c r="Z53" s="88" t="str">
        <f aca="false">IF(AND(N53&lt;&gt;"",N53&gt;='Weekly Report'!$F$4,N53&lt;='Weekly Report'!$F$5),ROW(),"")</f>
        <v/>
      </c>
      <c r="AA53" s="88" t="str">
        <f aca="false">IF(AND(AND(Q53&lt;&gt;"",Q53&gt;='Weekly Report'!$F$4,Q53&lt;='Weekly Report'!$F$5),AND(F53&lt;&gt;"",K53&lt;&gt;"Completed",K53&lt;&gt;"Cancelled")),ROW(),"")</f>
        <v/>
      </c>
      <c r="AB53" s="88" t="str">
        <f aca="false">IF(AND(F53&lt;&gt;"",K53="In Progress"),ROW(),"")</f>
        <v/>
      </c>
      <c r="AC53" s="88" t="str">
        <f aca="false">IF(AND(AND(F53&lt;&gt;"",K53&lt;&gt;"Completed",K53&lt;&gt;"Cancelled"),OR(K53="Blocked",S53&lt;&gt;"")),ROW(),"")</f>
        <v/>
      </c>
      <c r="AD53" s="88" t="str">
        <f aca="false">IF(AND(AND(F53&lt;&gt;"",K53&lt;&gt;"Completed",K53&lt;&gt;"Cancelled"),OR(P53="Yes",AND(M53&lt;&gt;"",M53&lt;='Weekly Report'!$F$7),AND(L53&lt;&gt;"",L53&gt;='Weekly Report'!$F$6,L53&lt;='Weekly Report'!$F$7))),ROW(),"")</f>
        <v/>
      </c>
    </row>
    <row r="54" customFormat="false" ht="15" hidden="false" customHeight="false" outlineLevel="0" collapsed="false">
      <c r="A54" s="56" t="s">
        <v>1535</v>
      </c>
      <c r="B54" s="63"/>
      <c r="C54" s="61"/>
      <c r="D54" s="61"/>
      <c r="E54" s="61"/>
      <c r="F54" s="60"/>
      <c r="G54" s="61"/>
      <c r="H54" s="61"/>
      <c r="I54" s="61"/>
      <c r="J54" s="61"/>
      <c r="K54" s="61"/>
      <c r="L54" s="63"/>
      <c r="M54" s="63"/>
      <c r="N54" s="63"/>
      <c r="O54" s="94"/>
      <c r="P54" s="61"/>
      <c r="Q54" s="63"/>
      <c r="R54" s="60"/>
      <c r="S54" s="60"/>
      <c r="T54" s="63"/>
      <c r="U54" s="60"/>
      <c r="V54" s="60"/>
      <c r="W54" s="87" t="str">
        <f aca="true">IF(B54="","",IF(N54&lt;&gt;"",N54-B54,TODAY()-B54))</f>
        <v/>
      </c>
      <c r="X54" s="62" t="str">
        <f aca="true">IF(OR(M54="",K54="Completed",K54="Cancelled"),"",IF(M54&lt;TODAY(),"OVERDUE",IF(M54-TODAY()&lt;=7,"Due ≤7d","On Schedule")))</f>
        <v/>
      </c>
      <c r="Y54" s="60"/>
      <c r="Z54" s="88" t="str">
        <f aca="false">IF(AND(N54&lt;&gt;"",N54&gt;='Weekly Report'!$F$4,N54&lt;='Weekly Report'!$F$5),ROW(),"")</f>
        <v/>
      </c>
      <c r="AA54" s="88" t="str">
        <f aca="false">IF(AND(AND(Q54&lt;&gt;"",Q54&gt;='Weekly Report'!$F$4,Q54&lt;='Weekly Report'!$F$5),AND(F54&lt;&gt;"",K54&lt;&gt;"Completed",K54&lt;&gt;"Cancelled")),ROW(),"")</f>
        <v/>
      </c>
      <c r="AB54" s="88" t="str">
        <f aca="false">IF(AND(F54&lt;&gt;"",K54="In Progress"),ROW(),"")</f>
        <v/>
      </c>
      <c r="AC54" s="88" t="str">
        <f aca="false">IF(AND(AND(F54&lt;&gt;"",K54&lt;&gt;"Completed",K54&lt;&gt;"Cancelled"),OR(K54="Blocked",S54&lt;&gt;"")),ROW(),"")</f>
        <v/>
      </c>
      <c r="AD54" s="88" t="str">
        <f aca="false">IF(AND(AND(F54&lt;&gt;"",K54&lt;&gt;"Completed",K54&lt;&gt;"Cancelled"),OR(P54="Yes",AND(M54&lt;&gt;"",M54&lt;='Weekly Report'!$F$7),AND(L54&lt;&gt;"",L54&gt;='Weekly Report'!$F$6,L54&lt;='Weekly Report'!$F$7))),ROW(),"")</f>
        <v/>
      </c>
    </row>
    <row r="55" customFormat="false" ht="15" hidden="false" customHeight="false" outlineLevel="0" collapsed="false">
      <c r="A55" s="56" t="s">
        <v>1536</v>
      </c>
      <c r="B55" s="63"/>
      <c r="C55" s="61"/>
      <c r="D55" s="61"/>
      <c r="E55" s="61"/>
      <c r="F55" s="60"/>
      <c r="G55" s="61"/>
      <c r="H55" s="61"/>
      <c r="I55" s="61"/>
      <c r="J55" s="61"/>
      <c r="K55" s="61"/>
      <c r="L55" s="63"/>
      <c r="M55" s="63"/>
      <c r="N55" s="63"/>
      <c r="O55" s="94"/>
      <c r="P55" s="61"/>
      <c r="Q55" s="63"/>
      <c r="R55" s="60"/>
      <c r="S55" s="60"/>
      <c r="T55" s="63"/>
      <c r="U55" s="60"/>
      <c r="V55" s="60"/>
      <c r="W55" s="87" t="str">
        <f aca="true">IF(B55="","",IF(N55&lt;&gt;"",N55-B55,TODAY()-B55))</f>
        <v/>
      </c>
      <c r="X55" s="62" t="str">
        <f aca="true">IF(OR(M55="",K55="Completed",K55="Cancelled"),"",IF(M55&lt;TODAY(),"OVERDUE",IF(M55-TODAY()&lt;=7,"Due ≤7d","On Schedule")))</f>
        <v/>
      </c>
      <c r="Y55" s="60"/>
      <c r="Z55" s="88" t="str">
        <f aca="false">IF(AND(N55&lt;&gt;"",N55&gt;='Weekly Report'!$F$4,N55&lt;='Weekly Report'!$F$5),ROW(),"")</f>
        <v/>
      </c>
      <c r="AA55" s="88" t="str">
        <f aca="false">IF(AND(AND(Q55&lt;&gt;"",Q55&gt;='Weekly Report'!$F$4,Q55&lt;='Weekly Report'!$F$5),AND(F55&lt;&gt;"",K55&lt;&gt;"Completed",K55&lt;&gt;"Cancelled")),ROW(),"")</f>
        <v/>
      </c>
      <c r="AB55" s="88" t="str">
        <f aca="false">IF(AND(F55&lt;&gt;"",K55="In Progress"),ROW(),"")</f>
        <v/>
      </c>
      <c r="AC55" s="88" t="str">
        <f aca="false">IF(AND(AND(F55&lt;&gt;"",K55&lt;&gt;"Completed",K55&lt;&gt;"Cancelled"),OR(K55="Blocked",S55&lt;&gt;"")),ROW(),"")</f>
        <v/>
      </c>
      <c r="AD55" s="88" t="str">
        <f aca="false">IF(AND(AND(F55&lt;&gt;"",K55&lt;&gt;"Completed",K55&lt;&gt;"Cancelled"),OR(P55="Yes",AND(M55&lt;&gt;"",M55&lt;='Weekly Report'!$F$7),AND(L55&lt;&gt;"",L55&gt;='Weekly Report'!$F$6,L55&lt;='Weekly Report'!$F$7))),ROW(),"")</f>
        <v/>
      </c>
    </row>
    <row r="56" customFormat="false" ht="15" hidden="false" customHeight="false" outlineLevel="0" collapsed="false">
      <c r="A56" s="56" t="s">
        <v>1537</v>
      </c>
      <c r="B56" s="63"/>
      <c r="C56" s="61"/>
      <c r="D56" s="61"/>
      <c r="E56" s="61"/>
      <c r="F56" s="60"/>
      <c r="G56" s="61"/>
      <c r="H56" s="61"/>
      <c r="I56" s="61"/>
      <c r="J56" s="61"/>
      <c r="K56" s="61"/>
      <c r="L56" s="63"/>
      <c r="M56" s="63"/>
      <c r="N56" s="63"/>
      <c r="O56" s="94"/>
      <c r="P56" s="61"/>
      <c r="Q56" s="63"/>
      <c r="R56" s="60"/>
      <c r="S56" s="60"/>
      <c r="T56" s="63"/>
      <c r="U56" s="60"/>
      <c r="V56" s="60"/>
      <c r="W56" s="87" t="str">
        <f aca="true">IF(B56="","",IF(N56&lt;&gt;"",N56-B56,TODAY()-B56))</f>
        <v/>
      </c>
      <c r="X56" s="62" t="str">
        <f aca="true">IF(OR(M56="",K56="Completed",K56="Cancelled"),"",IF(M56&lt;TODAY(),"OVERDUE",IF(M56-TODAY()&lt;=7,"Due ≤7d","On Schedule")))</f>
        <v/>
      </c>
      <c r="Y56" s="60"/>
      <c r="Z56" s="88" t="str">
        <f aca="false">IF(AND(N56&lt;&gt;"",N56&gt;='Weekly Report'!$F$4,N56&lt;='Weekly Report'!$F$5),ROW(),"")</f>
        <v/>
      </c>
      <c r="AA56" s="88" t="str">
        <f aca="false">IF(AND(AND(Q56&lt;&gt;"",Q56&gt;='Weekly Report'!$F$4,Q56&lt;='Weekly Report'!$F$5),AND(F56&lt;&gt;"",K56&lt;&gt;"Completed",K56&lt;&gt;"Cancelled")),ROW(),"")</f>
        <v/>
      </c>
      <c r="AB56" s="88" t="str">
        <f aca="false">IF(AND(F56&lt;&gt;"",K56="In Progress"),ROW(),"")</f>
        <v/>
      </c>
      <c r="AC56" s="88" t="str">
        <f aca="false">IF(AND(AND(F56&lt;&gt;"",K56&lt;&gt;"Completed",K56&lt;&gt;"Cancelled"),OR(K56="Blocked",S56&lt;&gt;"")),ROW(),"")</f>
        <v/>
      </c>
      <c r="AD56" s="88" t="str">
        <f aca="false">IF(AND(AND(F56&lt;&gt;"",K56&lt;&gt;"Completed",K56&lt;&gt;"Cancelled"),OR(P56="Yes",AND(M56&lt;&gt;"",M56&lt;='Weekly Report'!$F$7),AND(L56&lt;&gt;"",L56&gt;='Weekly Report'!$F$6,L56&lt;='Weekly Report'!$F$7))),ROW(),"")</f>
        <v/>
      </c>
    </row>
    <row r="57" customFormat="false" ht="15" hidden="false" customHeight="false" outlineLevel="0" collapsed="false">
      <c r="A57" s="56" t="s">
        <v>1538</v>
      </c>
      <c r="B57" s="63"/>
      <c r="C57" s="61"/>
      <c r="D57" s="61"/>
      <c r="E57" s="61"/>
      <c r="F57" s="60"/>
      <c r="G57" s="61"/>
      <c r="H57" s="61"/>
      <c r="I57" s="61"/>
      <c r="J57" s="61"/>
      <c r="K57" s="61"/>
      <c r="L57" s="63"/>
      <c r="M57" s="63"/>
      <c r="N57" s="63"/>
      <c r="O57" s="94"/>
      <c r="P57" s="61"/>
      <c r="Q57" s="63"/>
      <c r="R57" s="60"/>
      <c r="S57" s="60"/>
      <c r="T57" s="63"/>
      <c r="U57" s="60"/>
      <c r="V57" s="60"/>
      <c r="W57" s="87" t="str">
        <f aca="true">IF(B57="","",IF(N57&lt;&gt;"",N57-B57,TODAY()-B57))</f>
        <v/>
      </c>
      <c r="X57" s="62" t="str">
        <f aca="true">IF(OR(M57="",K57="Completed",K57="Cancelled"),"",IF(M57&lt;TODAY(),"OVERDUE",IF(M57-TODAY()&lt;=7,"Due ≤7d","On Schedule")))</f>
        <v/>
      </c>
      <c r="Y57" s="60"/>
      <c r="Z57" s="88" t="str">
        <f aca="false">IF(AND(N57&lt;&gt;"",N57&gt;='Weekly Report'!$F$4,N57&lt;='Weekly Report'!$F$5),ROW(),"")</f>
        <v/>
      </c>
      <c r="AA57" s="88" t="str">
        <f aca="false">IF(AND(AND(Q57&lt;&gt;"",Q57&gt;='Weekly Report'!$F$4,Q57&lt;='Weekly Report'!$F$5),AND(F57&lt;&gt;"",K57&lt;&gt;"Completed",K57&lt;&gt;"Cancelled")),ROW(),"")</f>
        <v/>
      </c>
      <c r="AB57" s="88" t="str">
        <f aca="false">IF(AND(F57&lt;&gt;"",K57="In Progress"),ROW(),"")</f>
        <v/>
      </c>
      <c r="AC57" s="88" t="str">
        <f aca="false">IF(AND(AND(F57&lt;&gt;"",K57&lt;&gt;"Completed",K57&lt;&gt;"Cancelled"),OR(K57="Blocked",S57&lt;&gt;"")),ROW(),"")</f>
        <v/>
      </c>
      <c r="AD57" s="88" t="str">
        <f aca="false">IF(AND(AND(F57&lt;&gt;"",K57&lt;&gt;"Completed",K57&lt;&gt;"Cancelled"),OR(P57="Yes",AND(M57&lt;&gt;"",M57&lt;='Weekly Report'!$F$7),AND(L57&lt;&gt;"",L57&gt;='Weekly Report'!$F$6,L57&lt;='Weekly Report'!$F$7))),ROW(),"")</f>
        <v/>
      </c>
    </row>
    <row r="58" customFormat="false" ht="15" hidden="false" customHeight="false" outlineLevel="0" collapsed="false">
      <c r="A58" s="56" t="s">
        <v>1539</v>
      </c>
      <c r="B58" s="63"/>
      <c r="C58" s="61"/>
      <c r="D58" s="61"/>
      <c r="E58" s="61"/>
      <c r="F58" s="60"/>
      <c r="G58" s="61"/>
      <c r="H58" s="61"/>
      <c r="I58" s="61"/>
      <c r="J58" s="61"/>
      <c r="K58" s="61"/>
      <c r="L58" s="63"/>
      <c r="M58" s="63"/>
      <c r="N58" s="63"/>
      <c r="O58" s="94"/>
      <c r="P58" s="61"/>
      <c r="Q58" s="63"/>
      <c r="R58" s="60"/>
      <c r="S58" s="60"/>
      <c r="T58" s="63"/>
      <c r="U58" s="60"/>
      <c r="V58" s="60"/>
      <c r="W58" s="87" t="str">
        <f aca="true">IF(B58="","",IF(N58&lt;&gt;"",N58-B58,TODAY()-B58))</f>
        <v/>
      </c>
      <c r="X58" s="62" t="str">
        <f aca="true">IF(OR(M58="",K58="Completed",K58="Cancelled"),"",IF(M58&lt;TODAY(),"OVERDUE",IF(M58-TODAY()&lt;=7,"Due ≤7d","On Schedule")))</f>
        <v/>
      </c>
      <c r="Y58" s="60"/>
      <c r="Z58" s="88" t="str">
        <f aca="false">IF(AND(N58&lt;&gt;"",N58&gt;='Weekly Report'!$F$4,N58&lt;='Weekly Report'!$F$5),ROW(),"")</f>
        <v/>
      </c>
      <c r="AA58" s="88" t="str">
        <f aca="false">IF(AND(AND(Q58&lt;&gt;"",Q58&gt;='Weekly Report'!$F$4,Q58&lt;='Weekly Report'!$F$5),AND(F58&lt;&gt;"",K58&lt;&gt;"Completed",K58&lt;&gt;"Cancelled")),ROW(),"")</f>
        <v/>
      </c>
      <c r="AB58" s="88" t="str">
        <f aca="false">IF(AND(F58&lt;&gt;"",K58="In Progress"),ROW(),"")</f>
        <v/>
      </c>
      <c r="AC58" s="88" t="str">
        <f aca="false">IF(AND(AND(F58&lt;&gt;"",K58&lt;&gt;"Completed",K58&lt;&gt;"Cancelled"),OR(K58="Blocked",S58&lt;&gt;"")),ROW(),"")</f>
        <v/>
      </c>
      <c r="AD58" s="88" t="str">
        <f aca="false">IF(AND(AND(F58&lt;&gt;"",K58&lt;&gt;"Completed",K58&lt;&gt;"Cancelled"),OR(P58="Yes",AND(M58&lt;&gt;"",M58&lt;='Weekly Report'!$F$7),AND(L58&lt;&gt;"",L58&gt;='Weekly Report'!$F$6,L58&lt;='Weekly Report'!$F$7))),ROW(),"")</f>
        <v/>
      </c>
    </row>
    <row r="59" customFormat="false" ht="15" hidden="false" customHeight="false" outlineLevel="0" collapsed="false">
      <c r="A59" s="56" t="s">
        <v>1540</v>
      </c>
      <c r="B59" s="63"/>
      <c r="C59" s="61"/>
      <c r="D59" s="61"/>
      <c r="E59" s="61"/>
      <c r="F59" s="60"/>
      <c r="G59" s="61"/>
      <c r="H59" s="61"/>
      <c r="I59" s="61"/>
      <c r="J59" s="61"/>
      <c r="K59" s="61"/>
      <c r="L59" s="63"/>
      <c r="M59" s="63"/>
      <c r="N59" s="63"/>
      <c r="O59" s="94"/>
      <c r="P59" s="61"/>
      <c r="Q59" s="63"/>
      <c r="R59" s="60"/>
      <c r="S59" s="60"/>
      <c r="T59" s="63"/>
      <c r="U59" s="60"/>
      <c r="V59" s="60"/>
      <c r="W59" s="87" t="str">
        <f aca="true">IF(B59="","",IF(N59&lt;&gt;"",N59-B59,TODAY()-B59))</f>
        <v/>
      </c>
      <c r="X59" s="62" t="str">
        <f aca="true">IF(OR(M59="",K59="Completed",K59="Cancelled"),"",IF(M59&lt;TODAY(),"OVERDUE",IF(M59-TODAY()&lt;=7,"Due ≤7d","On Schedule")))</f>
        <v/>
      </c>
      <c r="Y59" s="60"/>
      <c r="Z59" s="88" t="str">
        <f aca="false">IF(AND(N59&lt;&gt;"",N59&gt;='Weekly Report'!$F$4,N59&lt;='Weekly Report'!$F$5),ROW(),"")</f>
        <v/>
      </c>
      <c r="AA59" s="88" t="str">
        <f aca="false">IF(AND(AND(Q59&lt;&gt;"",Q59&gt;='Weekly Report'!$F$4,Q59&lt;='Weekly Report'!$F$5),AND(F59&lt;&gt;"",K59&lt;&gt;"Completed",K59&lt;&gt;"Cancelled")),ROW(),"")</f>
        <v/>
      </c>
      <c r="AB59" s="88" t="str">
        <f aca="false">IF(AND(F59&lt;&gt;"",K59="In Progress"),ROW(),"")</f>
        <v/>
      </c>
      <c r="AC59" s="88" t="str">
        <f aca="false">IF(AND(AND(F59&lt;&gt;"",K59&lt;&gt;"Completed",K59&lt;&gt;"Cancelled"),OR(K59="Blocked",S59&lt;&gt;"")),ROW(),"")</f>
        <v/>
      </c>
      <c r="AD59" s="88" t="str">
        <f aca="false">IF(AND(AND(F59&lt;&gt;"",K59&lt;&gt;"Completed",K59&lt;&gt;"Cancelled"),OR(P59="Yes",AND(M59&lt;&gt;"",M59&lt;='Weekly Report'!$F$7),AND(L59&lt;&gt;"",L59&gt;='Weekly Report'!$F$6,L59&lt;='Weekly Report'!$F$7))),ROW(),"")</f>
        <v/>
      </c>
    </row>
    <row r="60" customFormat="false" ht="15" hidden="false" customHeight="false" outlineLevel="0" collapsed="false">
      <c r="A60" s="56" t="s">
        <v>1541</v>
      </c>
      <c r="B60" s="63"/>
      <c r="C60" s="61"/>
      <c r="D60" s="61"/>
      <c r="E60" s="61"/>
      <c r="F60" s="60"/>
      <c r="G60" s="61"/>
      <c r="H60" s="61"/>
      <c r="I60" s="61"/>
      <c r="J60" s="61"/>
      <c r="K60" s="61"/>
      <c r="L60" s="63"/>
      <c r="M60" s="63"/>
      <c r="N60" s="63"/>
      <c r="O60" s="94"/>
      <c r="P60" s="61"/>
      <c r="Q60" s="63"/>
      <c r="R60" s="60"/>
      <c r="S60" s="60"/>
      <c r="T60" s="63"/>
      <c r="U60" s="60"/>
      <c r="V60" s="60"/>
      <c r="W60" s="87" t="str">
        <f aca="true">IF(B60="","",IF(N60&lt;&gt;"",N60-B60,TODAY()-B60))</f>
        <v/>
      </c>
      <c r="X60" s="62" t="str">
        <f aca="true">IF(OR(M60="",K60="Completed",K60="Cancelled"),"",IF(M60&lt;TODAY(),"OVERDUE",IF(M60-TODAY()&lt;=7,"Due ≤7d","On Schedule")))</f>
        <v/>
      </c>
      <c r="Y60" s="60"/>
      <c r="Z60" s="88" t="str">
        <f aca="false">IF(AND(N60&lt;&gt;"",N60&gt;='Weekly Report'!$F$4,N60&lt;='Weekly Report'!$F$5),ROW(),"")</f>
        <v/>
      </c>
      <c r="AA60" s="88" t="str">
        <f aca="false">IF(AND(AND(Q60&lt;&gt;"",Q60&gt;='Weekly Report'!$F$4,Q60&lt;='Weekly Report'!$F$5),AND(F60&lt;&gt;"",K60&lt;&gt;"Completed",K60&lt;&gt;"Cancelled")),ROW(),"")</f>
        <v/>
      </c>
      <c r="AB60" s="88" t="str">
        <f aca="false">IF(AND(F60&lt;&gt;"",K60="In Progress"),ROW(),"")</f>
        <v/>
      </c>
      <c r="AC60" s="88" t="str">
        <f aca="false">IF(AND(AND(F60&lt;&gt;"",K60&lt;&gt;"Completed",K60&lt;&gt;"Cancelled"),OR(K60="Blocked",S60&lt;&gt;"")),ROW(),"")</f>
        <v/>
      </c>
      <c r="AD60" s="88" t="str">
        <f aca="false">IF(AND(AND(F60&lt;&gt;"",K60&lt;&gt;"Completed",K60&lt;&gt;"Cancelled"),OR(P60="Yes",AND(M60&lt;&gt;"",M60&lt;='Weekly Report'!$F$7),AND(L60&lt;&gt;"",L60&gt;='Weekly Report'!$F$6,L60&lt;='Weekly Report'!$F$7))),ROW(),"")</f>
        <v/>
      </c>
    </row>
    <row r="61" customFormat="false" ht="15" hidden="false" customHeight="false" outlineLevel="0" collapsed="false">
      <c r="A61" s="56" t="s">
        <v>1542</v>
      </c>
      <c r="B61" s="63"/>
      <c r="C61" s="61"/>
      <c r="D61" s="61"/>
      <c r="E61" s="61"/>
      <c r="F61" s="60"/>
      <c r="G61" s="61"/>
      <c r="H61" s="61"/>
      <c r="I61" s="61"/>
      <c r="J61" s="61"/>
      <c r="K61" s="61"/>
      <c r="L61" s="63"/>
      <c r="M61" s="63"/>
      <c r="N61" s="63"/>
      <c r="O61" s="94"/>
      <c r="P61" s="61"/>
      <c r="Q61" s="63"/>
      <c r="R61" s="60"/>
      <c r="S61" s="60"/>
      <c r="T61" s="63"/>
      <c r="U61" s="60"/>
      <c r="V61" s="60"/>
      <c r="W61" s="87" t="str">
        <f aca="true">IF(B61="","",IF(N61&lt;&gt;"",N61-B61,TODAY()-B61))</f>
        <v/>
      </c>
      <c r="X61" s="62" t="str">
        <f aca="true">IF(OR(M61="",K61="Completed",K61="Cancelled"),"",IF(M61&lt;TODAY(),"OVERDUE",IF(M61-TODAY()&lt;=7,"Due ≤7d","On Schedule")))</f>
        <v/>
      </c>
      <c r="Y61" s="60"/>
      <c r="Z61" s="88" t="str">
        <f aca="false">IF(AND(N61&lt;&gt;"",N61&gt;='Weekly Report'!$F$4,N61&lt;='Weekly Report'!$F$5),ROW(),"")</f>
        <v/>
      </c>
      <c r="AA61" s="88" t="str">
        <f aca="false">IF(AND(AND(Q61&lt;&gt;"",Q61&gt;='Weekly Report'!$F$4,Q61&lt;='Weekly Report'!$F$5),AND(F61&lt;&gt;"",K61&lt;&gt;"Completed",K61&lt;&gt;"Cancelled")),ROW(),"")</f>
        <v/>
      </c>
      <c r="AB61" s="88" t="str">
        <f aca="false">IF(AND(F61&lt;&gt;"",K61="In Progress"),ROW(),"")</f>
        <v/>
      </c>
      <c r="AC61" s="88" t="str">
        <f aca="false">IF(AND(AND(F61&lt;&gt;"",K61&lt;&gt;"Completed",K61&lt;&gt;"Cancelled"),OR(K61="Blocked",S61&lt;&gt;"")),ROW(),"")</f>
        <v/>
      </c>
      <c r="AD61" s="88" t="str">
        <f aca="false">IF(AND(AND(F61&lt;&gt;"",K61&lt;&gt;"Completed",K61&lt;&gt;"Cancelled"),OR(P61="Yes",AND(M61&lt;&gt;"",M61&lt;='Weekly Report'!$F$7),AND(L61&lt;&gt;"",L61&gt;='Weekly Report'!$F$6,L61&lt;='Weekly Report'!$F$7))),ROW(),"")</f>
        <v/>
      </c>
    </row>
    <row r="62" customFormat="false" ht="15" hidden="false" customHeight="false" outlineLevel="0" collapsed="false">
      <c r="A62" s="56" t="s">
        <v>1543</v>
      </c>
      <c r="B62" s="63"/>
      <c r="C62" s="61"/>
      <c r="D62" s="61"/>
      <c r="E62" s="61"/>
      <c r="F62" s="60"/>
      <c r="G62" s="61"/>
      <c r="H62" s="61"/>
      <c r="I62" s="61"/>
      <c r="J62" s="61"/>
      <c r="K62" s="61"/>
      <c r="L62" s="63"/>
      <c r="M62" s="63"/>
      <c r="N62" s="63"/>
      <c r="O62" s="94"/>
      <c r="P62" s="61"/>
      <c r="Q62" s="63"/>
      <c r="R62" s="60"/>
      <c r="S62" s="60"/>
      <c r="T62" s="63"/>
      <c r="U62" s="60"/>
      <c r="V62" s="60"/>
      <c r="W62" s="87" t="str">
        <f aca="true">IF(B62="","",IF(N62&lt;&gt;"",N62-B62,TODAY()-B62))</f>
        <v/>
      </c>
      <c r="X62" s="62" t="str">
        <f aca="true">IF(OR(M62="",K62="Completed",K62="Cancelled"),"",IF(M62&lt;TODAY(),"OVERDUE",IF(M62-TODAY()&lt;=7,"Due ≤7d","On Schedule")))</f>
        <v/>
      </c>
      <c r="Y62" s="60"/>
      <c r="Z62" s="88" t="str">
        <f aca="false">IF(AND(N62&lt;&gt;"",N62&gt;='Weekly Report'!$F$4,N62&lt;='Weekly Report'!$F$5),ROW(),"")</f>
        <v/>
      </c>
      <c r="AA62" s="88" t="str">
        <f aca="false">IF(AND(AND(Q62&lt;&gt;"",Q62&gt;='Weekly Report'!$F$4,Q62&lt;='Weekly Report'!$F$5),AND(F62&lt;&gt;"",K62&lt;&gt;"Completed",K62&lt;&gt;"Cancelled")),ROW(),"")</f>
        <v/>
      </c>
      <c r="AB62" s="88" t="str">
        <f aca="false">IF(AND(F62&lt;&gt;"",K62="In Progress"),ROW(),"")</f>
        <v/>
      </c>
      <c r="AC62" s="88" t="str">
        <f aca="false">IF(AND(AND(F62&lt;&gt;"",K62&lt;&gt;"Completed",K62&lt;&gt;"Cancelled"),OR(K62="Blocked",S62&lt;&gt;"")),ROW(),"")</f>
        <v/>
      </c>
      <c r="AD62" s="88" t="str">
        <f aca="false">IF(AND(AND(F62&lt;&gt;"",K62&lt;&gt;"Completed",K62&lt;&gt;"Cancelled"),OR(P62="Yes",AND(M62&lt;&gt;"",M62&lt;='Weekly Report'!$F$7),AND(L62&lt;&gt;"",L62&gt;='Weekly Report'!$F$6,L62&lt;='Weekly Report'!$F$7))),ROW(),"")</f>
        <v/>
      </c>
    </row>
    <row r="63" customFormat="false" ht="15" hidden="false" customHeight="false" outlineLevel="0" collapsed="false">
      <c r="A63" s="56" t="s">
        <v>1544</v>
      </c>
      <c r="B63" s="63"/>
      <c r="C63" s="61"/>
      <c r="D63" s="61"/>
      <c r="E63" s="61"/>
      <c r="F63" s="60"/>
      <c r="G63" s="61"/>
      <c r="H63" s="61"/>
      <c r="I63" s="61"/>
      <c r="J63" s="61"/>
      <c r="K63" s="61"/>
      <c r="L63" s="63"/>
      <c r="M63" s="63"/>
      <c r="N63" s="63"/>
      <c r="O63" s="94"/>
      <c r="P63" s="61"/>
      <c r="Q63" s="63"/>
      <c r="R63" s="60"/>
      <c r="S63" s="60"/>
      <c r="T63" s="63"/>
      <c r="U63" s="60"/>
      <c r="V63" s="60"/>
      <c r="W63" s="87" t="str">
        <f aca="true">IF(B63="","",IF(N63&lt;&gt;"",N63-B63,TODAY()-B63))</f>
        <v/>
      </c>
      <c r="X63" s="62" t="str">
        <f aca="true">IF(OR(M63="",K63="Completed",K63="Cancelled"),"",IF(M63&lt;TODAY(),"OVERDUE",IF(M63-TODAY()&lt;=7,"Due ≤7d","On Schedule")))</f>
        <v/>
      </c>
      <c r="Y63" s="60"/>
      <c r="Z63" s="88" t="str">
        <f aca="false">IF(AND(N63&lt;&gt;"",N63&gt;='Weekly Report'!$F$4,N63&lt;='Weekly Report'!$F$5),ROW(),"")</f>
        <v/>
      </c>
      <c r="AA63" s="88" t="str">
        <f aca="false">IF(AND(AND(Q63&lt;&gt;"",Q63&gt;='Weekly Report'!$F$4,Q63&lt;='Weekly Report'!$F$5),AND(F63&lt;&gt;"",K63&lt;&gt;"Completed",K63&lt;&gt;"Cancelled")),ROW(),"")</f>
        <v/>
      </c>
      <c r="AB63" s="88" t="str">
        <f aca="false">IF(AND(F63&lt;&gt;"",K63="In Progress"),ROW(),"")</f>
        <v/>
      </c>
      <c r="AC63" s="88" t="str">
        <f aca="false">IF(AND(AND(F63&lt;&gt;"",K63&lt;&gt;"Completed",K63&lt;&gt;"Cancelled"),OR(K63="Blocked",S63&lt;&gt;"")),ROW(),"")</f>
        <v/>
      </c>
      <c r="AD63" s="88" t="str">
        <f aca="false">IF(AND(AND(F63&lt;&gt;"",K63&lt;&gt;"Completed",K63&lt;&gt;"Cancelled"),OR(P63="Yes",AND(M63&lt;&gt;"",M63&lt;='Weekly Report'!$F$7),AND(L63&lt;&gt;"",L63&gt;='Weekly Report'!$F$6,L63&lt;='Weekly Report'!$F$7))),ROW(),"")</f>
        <v/>
      </c>
    </row>
    <row r="64" customFormat="false" ht="15" hidden="false" customHeight="false" outlineLevel="0" collapsed="false">
      <c r="A64" s="56" t="s">
        <v>1545</v>
      </c>
      <c r="B64" s="63"/>
      <c r="C64" s="61"/>
      <c r="D64" s="61"/>
      <c r="E64" s="61"/>
      <c r="F64" s="60"/>
      <c r="G64" s="61"/>
      <c r="H64" s="61"/>
      <c r="I64" s="61"/>
      <c r="J64" s="61"/>
      <c r="K64" s="61"/>
      <c r="L64" s="63"/>
      <c r="M64" s="63"/>
      <c r="N64" s="63"/>
      <c r="O64" s="94"/>
      <c r="P64" s="61"/>
      <c r="Q64" s="63"/>
      <c r="R64" s="60"/>
      <c r="S64" s="60"/>
      <c r="T64" s="63"/>
      <c r="U64" s="60"/>
      <c r="V64" s="60"/>
      <c r="W64" s="87" t="str">
        <f aca="true">IF(B64="","",IF(N64&lt;&gt;"",N64-B64,TODAY()-B64))</f>
        <v/>
      </c>
      <c r="X64" s="62" t="str">
        <f aca="true">IF(OR(M64="",K64="Completed",K64="Cancelled"),"",IF(M64&lt;TODAY(),"OVERDUE",IF(M64-TODAY()&lt;=7,"Due ≤7d","On Schedule")))</f>
        <v/>
      </c>
      <c r="Y64" s="60"/>
      <c r="Z64" s="88" t="str">
        <f aca="false">IF(AND(N64&lt;&gt;"",N64&gt;='Weekly Report'!$F$4,N64&lt;='Weekly Report'!$F$5),ROW(),"")</f>
        <v/>
      </c>
      <c r="AA64" s="88" t="str">
        <f aca="false">IF(AND(AND(Q64&lt;&gt;"",Q64&gt;='Weekly Report'!$F$4,Q64&lt;='Weekly Report'!$F$5),AND(F64&lt;&gt;"",K64&lt;&gt;"Completed",K64&lt;&gt;"Cancelled")),ROW(),"")</f>
        <v/>
      </c>
      <c r="AB64" s="88" t="str">
        <f aca="false">IF(AND(F64&lt;&gt;"",K64="In Progress"),ROW(),"")</f>
        <v/>
      </c>
      <c r="AC64" s="88" t="str">
        <f aca="false">IF(AND(AND(F64&lt;&gt;"",K64&lt;&gt;"Completed",K64&lt;&gt;"Cancelled"),OR(K64="Blocked",S64&lt;&gt;"")),ROW(),"")</f>
        <v/>
      </c>
      <c r="AD64" s="88" t="str">
        <f aca="false">IF(AND(AND(F64&lt;&gt;"",K64&lt;&gt;"Completed",K64&lt;&gt;"Cancelled"),OR(P64="Yes",AND(M64&lt;&gt;"",M64&lt;='Weekly Report'!$F$7),AND(L64&lt;&gt;"",L64&gt;='Weekly Report'!$F$6,L64&lt;='Weekly Report'!$F$7))),ROW(),"")</f>
        <v/>
      </c>
    </row>
    <row r="65" customFormat="false" ht="15" hidden="false" customHeight="false" outlineLevel="0" collapsed="false">
      <c r="A65" s="56" t="s">
        <v>1546</v>
      </c>
      <c r="B65" s="63"/>
      <c r="C65" s="61"/>
      <c r="D65" s="61"/>
      <c r="E65" s="61"/>
      <c r="F65" s="60"/>
      <c r="G65" s="61"/>
      <c r="H65" s="61"/>
      <c r="I65" s="61"/>
      <c r="J65" s="61"/>
      <c r="K65" s="61"/>
      <c r="L65" s="63"/>
      <c r="M65" s="63"/>
      <c r="N65" s="63"/>
      <c r="O65" s="94"/>
      <c r="P65" s="61"/>
      <c r="Q65" s="63"/>
      <c r="R65" s="60"/>
      <c r="S65" s="60"/>
      <c r="T65" s="63"/>
      <c r="U65" s="60"/>
      <c r="V65" s="60"/>
      <c r="W65" s="87" t="str">
        <f aca="true">IF(B65="","",IF(N65&lt;&gt;"",N65-B65,TODAY()-B65))</f>
        <v/>
      </c>
      <c r="X65" s="62" t="str">
        <f aca="true">IF(OR(M65="",K65="Completed",K65="Cancelled"),"",IF(M65&lt;TODAY(),"OVERDUE",IF(M65-TODAY()&lt;=7,"Due ≤7d","On Schedule")))</f>
        <v/>
      </c>
      <c r="Y65" s="60"/>
      <c r="Z65" s="88" t="str">
        <f aca="false">IF(AND(N65&lt;&gt;"",N65&gt;='Weekly Report'!$F$4,N65&lt;='Weekly Report'!$F$5),ROW(),"")</f>
        <v/>
      </c>
      <c r="AA65" s="88" t="str">
        <f aca="false">IF(AND(AND(Q65&lt;&gt;"",Q65&gt;='Weekly Report'!$F$4,Q65&lt;='Weekly Report'!$F$5),AND(F65&lt;&gt;"",K65&lt;&gt;"Completed",K65&lt;&gt;"Cancelled")),ROW(),"")</f>
        <v/>
      </c>
      <c r="AB65" s="88" t="str">
        <f aca="false">IF(AND(F65&lt;&gt;"",K65="In Progress"),ROW(),"")</f>
        <v/>
      </c>
      <c r="AC65" s="88" t="str">
        <f aca="false">IF(AND(AND(F65&lt;&gt;"",K65&lt;&gt;"Completed",K65&lt;&gt;"Cancelled"),OR(K65="Blocked",S65&lt;&gt;"")),ROW(),"")</f>
        <v/>
      </c>
      <c r="AD65" s="88" t="str">
        <f aca="false">IF(AND(AND(F65&lt;&gt;"",K65&lt;&gt;"Completed",K65&lt;&gt;"Cancelled"),OR(P65="Yes",AND(M65&lt;&gt;"",M65&lt;='Weekly Report'!$F$7),AND(L65&lt;&gt;"",L65&gt;='Weekly Report'!$F$6,L65&lt;='Weekly Report'!$F$7))),ROW(),"")</f>
        <v/>
      </c>
    </row>
    <row r="66" customFormat="false" ht="15" hidden="false" customHeight="false" outlineLevel="0" collapsed="false">
      <c r="A66" s="56" t="s">
        <v>1547</v>
      </c>
      <c r="B66" s="63"/>
      <c r="C66" s="61"/>
      <c r="D66" s="61"/>
      <c r="E66" s="61"/>
      <c r="F66" s="60"/>
      <c r="G66" s="61"/>
      <c r="H66" s="61"/>
      <c r="I66" s="61"/>
      <c r="J66" s="61"/>
      <c r="K66" s="61"/>
      <c r="L66" s="63"/>
      <c r="M66" s="63"/>
      <c r="N66" s="63"/>
      <c r="O66" s="94"/>
      <c r="P66" s="61"/>
      <c r="Q66" s="63"/>
      <c r="R66" s="60"/>
      <c r="S66" s="60"/>
      <c r="T66" s="63"/>
      <c r="U66" s="60"/>
      <c r="V66" s="60"/>
      <c r="W66" s="87" t="str">
        <f aca="true">IF(B66="","",IF(N66&lt;&gt;"",N66-B66,TODAY()-B66))</f>
        <v/>
      </c>
      <c r="X66" s="62" t="str">
        <f aca="true">IF(OR(M66="",K66="Completed",K66="Cancelled"),"",IF(M66&lt;TODAY(),"OVERDUE",IF(M66-TODAY()&lt;=7,"Due ≤7d","On Schedule")))</f>
        <v/>
      </c>
      <c r="Y66" s="60"/>
      <c r="Z66" s="88" t="str">
        <f aca="false">IF(AND(N66&lt;&gt;"",N66&gt;='Weekly Report'!$F$4,N66&lt;='Weekly Report'!$F$5),ROW(),"")</f>
        <v/>
      </c>
      <c r="AA66" s="88" t="str">
        <f aca="false">IF(AND(AND(Q66&lt;&gt;"",Q66&gt;='Weekly Report'!$F$4,Q66&lt;='Weekly Report'!$F$5),AND(F66&lt;&gt;"",K66&lt;&gt;"Completed",K66&lt;&gt;"Cancelled")),ROW(),"")</f>
        <v/>
      </c>
      <c r="AB66" s="88" t="str">
        <f aca="false">IF(AND(F66&lt;&gt;"",K66="In Progress"),ROW(),"")</f>
        <v/>
      </c>
      <c r="AC66" s="88" t="str">
        <f aca="false">IF(AND(AND(F66&lt;&gt;"",K66&lt;&gt;"Completed",K66&lt;&gt;"Cancelled"),OR(K66="Blocked",S66&lt;&gt;"")),ROW(),"")</f>
        <v/>
      </c>
      <c r="AD66" s="88" t="str">
        <f aca="false">IF(AND(AND(F66&lt;&gt;"",K66&lt;&gt;"Completed",K66&lt;&gt;"Cancelled"),OR(P66="Yes",AND(M66&lt;&gt;"",M66&lt;='Weekly Report'!$F$7),AND(L66&lt;&gt;"",L66&gt;='Weekly Report'!$F$6,L66&lt;='Weekly Report'!$F$7))),ROW(),"")</f>
        <v/>
      </c>
    </row>
    <row r="67" customFormat="false" ht="15" hidden="false" customHeight="false" outlineLevel="0" collapsed="false">
      <c r="A67" s="56" t="s">
        <v>1548</v>
      </c>
      <c r="B67" s="63"/>
      <c r="C67" s="61"/>
      <c r="D67" s="61"/>
      <c r="E67" s="61"/>
      <c r="F67" s="60"/>
      <c r="G67" s="61"/>
      <c r="H67" s="61"/>
      <c r="I67" s="61"/>
      <c r="J67" s="61"/>
      <c r="K67" s="61"/>
      <c r="L67" s="63"/>
      <c r="M67" s="63"/>
      <c r="N67" s="63"/>
      <c r="O67" s="94"/>
      <c r="P67" s="61"/>
      <c r="Q67" s="63"/>
      <c r="R67" s="60"/>
      <c r="S67" s="60"/>
      <c r="T67" s="63"/>
      <c r="U67" s="60"/>
      <c r="V67" s="60"/>
      <c r="W67" s="87" t="str">
        <f aca="true">IF(B67="","",IF(N67&lt;&gt;"",N67-B67,TODAY()-B67))</f>
        <v/>
      </c>
      <c r="X67" s="62" t="str">
        <f aca="true">IF(OR(M67="",K67="Completed",K67="Cancelled"),"",IF(M67&lt;TODAY(),"OVERDUE",IF(M67-TODAY()&lt;=7,"Due ≤7d","On Schedule")))</f>
        <v/>
      </c>
      <c r="Y67" s="60"/>
      <c r="Z67" s="88" t="str">
        <f aca="false">IF(AND(N67&lt;&gt;"",N67&gt;='Weekly Report'!$F$4,N67&lt;='Weekly Report'!$F$5),ROW(),"")</f>
        <v/>
      </c>
      <c r="AA67" s="88" t="str">
        <f aca="false">IF(AND(AND(Q67&lt;&gt;"",Q67&gt;='Weekly Report'!$F$4,Q67&lt;='Weekly Report'!$F$5),AND(F67&lt;&gt;"",K67&lt;&gt;"Completed",K67&lt;&gt;"Cancelled")),ROW(),"")</f>
        <v/>
      </c>
      <c r="AB67" s="88" t="str">
        <f aca="false">IF(AND(F67&lt;&gt;"",K67="In Progress"),ROW(),"")</f>
        <v/>
      </c>
      <c r="AC67" s="88" t="str">
        <f aca="false">IF(AND(AND(F67&lt;&gt;"",K67&lt;&gt;"Completed",K67&lt;&gt;"Cancelled"),OR(K67="Blocked",S67&lt;&gt;"")),ROW(),"")</f>
        <v/>
      </c>
      <c r="AD67" s="88" t="str">
        <f aca="false">IF(AND(AND(F67&lt;&gt;"",K67&lt;&gt;"Completed",K67&lt;&gt;"Cancelled"),OR(P67="Yes",AND(M67&lt;&gt;"",M67&lt;='Weekly Report'!$F$7),AND(L67&lt;&gt;"",L67&gt;='Weekly Report'!$F$6,L67&lt;='Weekly Report'!$F$7))),ROW(),"")</f>
        <v/>
      </c>
    </row>
    <row r="68" customFormat="false" ht="15" hidden="false" customHeight="false" outlineLevel="0" collapsed="false">
      <c r="A68" s="56" t="s">
        <v>1549</v>
      </c>
      <c r="B68" s="63"/>
      <c r="C68" s="61"/>
      <c r="D68" s="61"/>
      <c r="E68" s="61"/>
      <c r="F68" s="60"/>
      <c r="G68" s="61"/>
      <c r="H68" s="61"/>
      <c r="I68" s="61"/>
      <c r="J68" s="61"/>
      <c r="K68" s="61"/>
      <c r="L68" s="63"/>
      <c r="M68" s="63"/>
      <c r="N68" s="63"/>
      <c r="O68" s="94"/>
      <c r="P68" s="61"/>
      <c r="Q68" s="63"/>
      <c r="R68" s="60"/>
      <c r="S68" s="60"/>
      <c r="T68" s="63"/>
      <c r="U68" s="60"/>
      <c r="V68" s="60"/>
      <c r="W68" s="87" t="str">
        <f aca="true">IF(B68="","",IF(N68&lt;&gt;"",N68-B68,TODAY()-B68))</f>
        <v/>
      </c>
      <c r="X68" s="62" t="str">
        <f aca="true">IF(OR(M68="",K68="Completed",K68="Cancelled"),"",IF(M68&lt;TODAY(),"OVERDUE",IF(M68-TODAY()&lt;=7,"Due ≤7d","On Schedule")))</f>
        <v/>
      </c>
      <c r="Y68" s="60"/>
      <c r="Z68" s="88" t="str">
        <f aca="false">IF(AND(N68&lt;&gt;"",N68&gt;='Weekly Report'!$F$4,N68&lt;='Weekly Report'!$F$5),ROW(),"")</f>
        <v/>
      </c>
      <c r="AA68" s="88" t="str">
        <f aca="false">IF(AND(AND(Q68&lt;&gt;"",Q68&gt;='Weekly Report'!$F$4,Q68&lt;='Weekly Report'!$F$5),AND(F68&lt;&gt;"",K68&lt;&gt;"Completed",K68&lt;&gt;"Cancelled")),ROW(),"")</f>
        <v/>
      </c>
      <c r="AB68" s="88" t="str">
        <f aca="false">IF(AND(F68&lt;&gt;"",K68="In Progress"),ROW(),"")</f>
        <v/>
      </c>
      <c r="AC68" s="88" t="str">
        <f aca="false">IF(AND(AND(F68&lt;&gt;"",K68&lt;&gt;"Completed",K68&lt;&gt;"Cancelled"),OR(K68="Blocked",S68&lt;&gt;"")),ROW(),"")</f>
        <v/>
      </c>
      <c r="AD68" s="88" t="str">
        <f aca="false">IF(AND(AND(F68&lt;&gt;"",K68&lt;&gt;"Completed",K68&lt;&gt;"Cancelled"),OR(P68="Yes",AND(M68&lt;&gt;"",M68&lt;='Weekly Report'!$F$7),AND(L68&lt;&gt;"",L68&gt;='Weekly Report'!$F$6,L68&lt;='Weekly Report'!$F$7))),ROW(),"")</f>
        <v/>
      </c>
    </row>
    <row r="69" customFormat="false" ht="15" hidden="false" customHeight="false" outlineLevel="0" collapsed="false">
      <c r="A69" s="56" t="s">
        <v>1550</v>
      </c>
      <c r="B69" s="63"/>
      <c r="C69" s="61"/>
      <c r="D69" s="61"/>
      <c r="E69" s="61"/>
      <c r="F69" s="60"/>
      <c r="G69" s="61"/>
      <c r="H69" s="61"/>
      <c r="I69" s="61"/>
      <c r="J69" s="61"/>
      <c r="K69" s="61"/>
      <c r="L69" s="63"/>
      <c r="M69" s="63"/>
      <c r="N69" s="63"/>
      <c r="O69" s="94"/>
      <c r="P69" s="61"/>
      <c r="Q69" s="63"/>
      <c r="R69" s="60"/>
      <c r="S69" s="60"/>
      <c r="T69" s="63"/>
      <c r="U69" s="60"/>
      <c r="V69" s="60"/>
      <c r="W69" s="87" t="str">
        <f aca="true">IF(B69="","",IF(N69&lt;&gt;"",N69-B69,TODAY()-B69))</f>
        <v/>
      </c>
      <c r="X69" s="62" t="str">
        <f aca="true">IF(OR(M69="",K69="Completed",K69="Cancelled"),"",IF(M69&lt;TODAY(),"OVERDUE",IF(M69-TODAY()&lt;=7,"Due ≤7d","On Schedule")))</f>
        <v/>
      </c>
      <c r="Y69" s="60"/>
      <c r="Z69" s="88" t="str">
        <f aca="false">IF(AND(N69&lt;&gt;"",N69&gt;='Weekly Report'!$F$4,N69&lt;='Weekly Report'!$F$5),ROW(),"")</f>
        <v/>
      </c>
      <c r="AA69" s="88" t="str">
        <f aca="false">IF(AND(AND(Q69&lt;&gt;"",Q69&gt;='Weekly Report'!$F$4,Q69&lt;='Weekly Report'!$F$5),AND(F69&lt;&gt;"",K69&lt;&gt;"Completed",K69&lt;&gt;"Cancelled")),ROW(),"")</f>
        <v/>
      </c>
      <c r="AB69" s="88" t="str">
        <f aca="false">IF(AND(F69&lt;&gt;"",K69="In Progress"),ROW(),"")</f>
        <v/>
      </c>
      <c r="AC69" s="88" t="str">
        <f aca="false">IF(AND(AND(F69&lt;&gt;"",K69&lt;&gt;"Completed",K69&lt;&gt;"Cancelled"),OR(K69="Blocked",S69&lt;&gt;"")),ROW(),"")</f>
        <v/>
      </c>
      <c r="AD69" s="88" t="str">
        <f aca="false">IF(AND(AND(F69&lt;&gt;"",K69&lt;&gt;"Completed",K69&lt;&gt;"Cancelled"),OR(P69="Yes",AND(M69&lt;&gt;"",M69&lt;='Weekly Report'!$F$7),AND(L69&lt;&gt;"",L69&gt;='Weekly Report'!$F$6,L69&lt;='Weekly Report'!$F$7))),ROW(),"")</f>
        <v/>
      </c>
    </row>
    <row r="70" customFormat="false" ht="15" hidden="false" customHeight="false" outlineLevel="0" collapsed="false">
      <c r="A70" s="56" t="s">
        <v>1551</v>
      </c>
      <c r="B70" s="63"/>
      <c r="C70" s="61"/>
      <c r="D70" s="61"/>
      <c r="E70" s="61"/>
      <c r="F70" s="60"/>
      <c r="G70" s="61"/>
      <c r="H70" s="61"/>
      <c r="I70" s="61"/>
      <c r="J70" s="61"/>
      <c r="K70" s="61"/>
      <c r="L70" s="63"/>
      <c r="M70" s="63"/>
      <c r="N70" s="63"/>
      <c r="O70" s="94"/>
      <c r="P70" s="61"/>
      <c r="Q70" s="63"/>
      <c r="R70" s="60"/>
      <c r="S70" s="60"/>
      <c r="T70" s="63"/>
      <c r="U70" s="60"/>
      <c r="V70" s="60"/>
      <c r="W70" s="87" t="str">
        <f aca="true">IF(B70="","",IF(N70&lt;&gt;"",N70-B70,TODAY()-B70))</f>
        <v/>
      </c>
      <c r="X70" s="62" t="str">
        <f aca="true">IF(OR(M70="",K70="Completed",K70="Cancelled"),"",IF(M70&lt;TODAY(),"OVERDUE",IF(M70-TODAY()&lt;=7,"Due ≤7d","On Schedule")))</f>
        <v/>
      </c>
      <c r="Y70" s="60"/>
      <c r="Z70" s="88" t="str">
        <f aca="false">IF(AND(N70&lt;&gt;"",N70&gt;='Weekly Report'!$F$4,N70&lt;='Weekly Report'!$F$5),ROW(),"")</f>
        <v/>
      </c>
      <c r="AA70" s="88" t="str">
        <f aca="false">IF(AND(AND(Q70&lt;&gt;"",Q70&gt;='Weekly Report'!$F$4,Q70&lt;='Weekly Report'!$F$5),AND(F70&lt;&gt;"",K70&lt;&gt;"Completed",K70&lt;&gt;"Cancelled")),ROW(),"")</f>
        <v/>
      </c>
      <c r="AB70" s="88" t="str">
        <f aca="false">IF(AND(F70&lt;&gt;"",K70="In Progress"),ROW(),"")</f>
        <v/>
      </c>
      <c r="AC70" s="88" t="str">
        <f aca="false">IF(AND(AND(F70&lt;&gt;"",K70&lt;&gt;"Completed",K70&lt;&gt;"Cancelled"),OR(K70="Blocked",S70&lt;&gt;"")),ROW(),"")</f>
        <v/>
      </c>
      <c r="AD70" s="88" t="str">
        <f aca="false">IF(AND(AND(F70&lt;&gt;"",K70&lt;&gt;"Completed",K70&lt;&gt;"Cancelled"),OR(P70="Yes",AND(M70&lt;&gt;"",M70&lt;='Weekly Report'!$F$7),AND(L70&lt;&gt;"",L70&gt;='Weekly Report'!$F$6,L70&lt;='Weekly Report'!$F$7))),ROW(),"")</f>
        <v/>
      </c>
    </row>
    <row r="71" customFormat="false" ht="15" hidden="false" customHeight="false" outlineLevel="0" collapsed="false">
      <c r="A71" s="56" t="s">
        <v>1552</v>
      </c>
      <c r="B71" s="63"/>
      <c r="C71" s="61"/>
      <c r="D71" s="61"/>
      <c r="E71" s="61"/>
      <c r="F71" s="60"/>
      <c r="G71" s="61"/>
      <c r="H71" s="61"/>
      <c r="I71" s="61"/>
      <c r="J71" s="61"/>
      <c r="K71" s="61"/>
      <c r="L71" s="63"/>
      <c r="M71" s="63"/>
      <c r="N71" s="63"/>
      <c r="O71" s="94"/>
      <c r="P71" s="61"/>
      <c r="Q71" s="63"/>
      <c r="R71" s="60"/>
      <c r="S71" s="60"/>
      <c r="T71" s="63"/>
      <c r="U71" s="60"/>
      <c r="V71" s="60"/>
      <c r="W71" s="87" t="str">
        <f aca="true">IF(B71="","",IF(N71&lt;&gt;"",N71-B71,TODAY()-B71))</f>
        <v/>
      </c>
      <c r="X71" s="62" t="str">
        <f aca="true">IF(OR(M71="",K71="Completed",K71="Cancelled"),"",IF(M71&lt;TODAY(),"OVERDUE",IF(M71-TODAY()&lt;=7,"Due ≤7d","On Schedule")))</f>
        <v/>
      </c>
      <c r="Y71" s="60"/>
      <c r="Z71" s="88" t="str">
        <f aca="false">IF(AND(N71&lt;&gt;"",N71&gt;='Weekly Report'!$F$4,N71&lt;='Weekly Report'!$F$5),ROW(),"")</f>
        <v/>
      </c>
      <c r="AA71" s="88" t="str">
        <f aca="false">IF(AND(AND(Q71&lt;&gt;"",Q71&gt;='Weekly Report'!$F$4,Q71&lt;='Weekly Report'!$F$5),AND(F71&lt;&gt;"",K71&lt;&gt;"Completed",K71&lt;&gt;"Cancelled")),ROW(),"")</f>
        <v/>
      </c>
      <c r="AB71" s="88" t="str">
        <f aca="false">IF(AND(F71&lt;&gt;"",K71="In Progress"),ROW(),"")</f>
        <v/>
      </c>
      <c r="AC71" s="88" t="str">
        <f aca="false">IF(AND(AND(F71&lt;&gt;"",K71&lt;&gt;"Completed",K71&lt;&gt;"Cancelled"),OR(K71="Blocked",S71&lt;&gt;"")),ROW(),"")</f>
        <v/>
      </c>
      <c r="AD71" s="88" t="str">
        <f aca="false">IF(AND(AND(F71&lt;&gt;"",K71&lt;&gt;"Completed",K71&lt;&gt;"Cancelled"),OR(P71="Yes",AND(M71&lt;&gt;"",M71&lt;='Weekly Report'!$F$7),AND(L71&lt;&gt;"",L71&gt;='Weekly Report'!$F$6,L71&lt;='Weekly Report'!$F$7))),ROW(),"")</f>
        <v/>
      </c>
    </row>
    <row r="72" customFormat="false" ht="15" hidden="false" customHeight="false" outlineLevel="0" collapsed="false">
      <c r="A72" s="56" t="s">
        <v>1553</v>
      </c>
      <c r="B72" s="63"/>
      <c r="C72" s="61"/>
      <c r="D72" s="61"/>
      <c r="E72" s="61"/>
      <c r="F72" s="60"/>
      <c r="G72" s="61"/>
      <c r="H72" s="61"/>
      <c r="I72" s="61"/>
      <c r="J72" s="61"/>
      <c r="K72" s="61"/>
      <c r="L72" s="63"/>
      <c r="M72" s="63"/>
      <c r="N72" s="63"/>
      <c r="O72" s="94"/>
      <c r="P72" s="61"/>
      <c r="Q72" s="63"/>
      <c r="R72" s="60"/>
      <c r="S72" s="60"/>
      <c r="T72" s="63"/>
      <c r="U72" s="60"/>
      <c r="V72" s="60"/>
      <c r="W72" s="87" t="str">
        <f aca="true">IF(B72="","",IF(N72&lt;&gt;"",N72-B72,TODAY()-B72))</f>
        <v/>
      </c>
      <c r="X72" s="62" t="str">
        <f aca="true">IF(OR(M72="",K72="Completed",K72="Cancelled"),"",IF(M72&lt;TODAY(),"OVERDUE",IF(M72-TODAY()&lt;=7,"Due ≤7d","On Schedule")))</f>
        <v/>
      </c>
      <c r="Y72" s="60"/>
      <c r="Z72" s="88" t="str">
        <f aca="false">IF(AND(N72&lt;&gt;"",N72&gt;='Weekly Report'!$F$4,N72&lt;='Weekly Report'!$F$5),ROW(),"")</f>
        <v/>
      </c>
      <c r="AA72" s="88" t="str">
        <f aca="false">IF(AND(AND(Q72&lt;&gt;"",Q72&gt;='Weekly Report'!$F$4,Q72&lt;='Weekly Report'!$F$5),AND(F72&lt;&gt;"",K72&lt;&gt;"Completed",K72&lt;&gt;"Cancelled")),ROW(),"")</f>
        <v/>
      </c>
      <c r="AB72" s="88" t="str">
        <f aca="false">IF(AND(F72&lt;&gt;"",K72="In Progress"),ROW(),"")</f>
        <v/>
      </c>
      <c r="AC72" s="88" t="str">
        <f aca="false">IF(AND(AND(F72&lt;&gt;"",K72&lt;&gt;"Completed",K72&lt;&gt;"Cancelled"),OR(K72="Blocked",S72&lt;&gt;"")),ROW(),"")</f>
        <v/>
      </c>
      <c r="AD72" s="88" t="str">
        <f aca="false">IF(AND(AND(F72&lt;&gt;"",K72&lt;&gt;"Completed",K72&lt;&gt;"Cancelled"),OR(P72="Yes",AND(M72&lt;&gt;"",M72&lt;='Weekly Report'!$F$7),AND(L72&lt;&gt;"",L72&gt;='Weekly Report'!$F$6,L72&lt;='Weekly Report'!$F$7))),ROW(),"")</f>
        <v/>
      </c>
    </row>
    <row r="73" customFormat="false" ht="15" hidden="false" customHeight="false" outlineLevel="0" collapsed="false">
      <c r="A73" s="56" t="s">
        <v>1554</v>
      </c>
      <c r="B73" s="63"/>
      <c r="C73" s="61"/>
      <c r="D73" s="61"/>
      <c r="E73" s="61"/>
      <c r="F73" s="60"/>
      <c r="G73" s="61"/>
      <c r="H73" s="61"/>
      <c r="I73" s="61"/>
      <c r="J73" s="61"/>
      <c r="K73" s="61"/>
      <c r="L73" s="63"/>
      <c r="M73" s="63"/>
      <c r="N73" s="63"/>
      <c r="O73" s="94"/>
      <c r="P73" s="61"/>
      <c r="Q73" s="63"/>
      <c r="R73" s="60"/>
      <c r="S73" s="60"/>
      <c r="T73" s="63"/>
      <c r="U73" s="60"/>
      <c r="V73" s="60"/>
      <c r="W73" s="87" t="str">
        <f aca="true">IF(B73="","",IF(N73&lt;&gt;"",N73-B73,TODAY()-B73))</f>
        <v/>
      </c>
      <c r="X73" s="62" t="str">
        <f aca="true">IF(OR(M73="",K73="Completed",K73="Cancelled"),"",IF(M73&lt;TODAY(),"OVERDUE",IF(M73-TODAY()&lt;=7,"Due ≤7d","On Schedule")))</f>
        <v/>
      </c>
      <c r="Y73" s="60"/>
      <c r="Z73" s="88" t="str">
        <f aca="false">IF(AND(N73&lt;&gt;"",N73&gt;='Weekly Report'!$F$4,N73&lt;='Weekly Report'!$F$5),ROW(),"")</f>
        <v/>
      </c>
      <c r="AA73" s="88" t="str">
        <f aca="false">IF(AND(AND(Q73&lt;&gt;"",Q73&gt;='Weekly Report'!$F$4,Q73&lt;='Weekly Report'!$F$5),AND(F73&lt;&gt;"",K73&lt;&gt;"Completed",K73&lt;&gt;"Cancelled")),ROW(),"")</f>
        <v/>
      </c>
      <c r="AB73" s="88" t="str">
        <f aca="false">IF(AND(F73&lt;&gt;"",K73="In Progress"),ROW(),"")</f>
        <v/>
      </c>
      <c r="AC73" s="88" t="str">
        <f aca="false">IF(AND(AND(F73&lt;&gt;"",K73&lt;&gt;"Completed",K73&lt;&gt;"Cancelled"),OR(K73="Blocked",S73&lt;&gt;"")),ROW(),"")</f>
        <v/>
      </c>
      <c r="AD73" s="88" t="str">
        <f aca="false">IF(AND(AND(F73&lt;&gt;"",K73&lt;&gt;"Completed",K73&lt;&gt;"Cancelled"),OR(P73="Yes",AND(M73&lt;&gt;"",M73&lt;='Weekly Report'!$F$7),AND(L73&lt;&gt;"",L73&gt;='Weekly Report'!$F$6,L73&lt;='Weekly Report'!$F$7))),ROW(),"")</f>
        <v/>
      </c>
    </row>
    <row r="74" customFormat="false" ht="15" hidden="false" customHeight="false" outlineLevel="0" collapsed="false">
      <c r="A74" s="56" t="s">
        <v>1555</v>
      </c>
      <c r="B74" s="63"/>
      <c r="C74" s="61"/>
      <c r="D74" s="61"/>
      <c r="E74" s="61"/>
      <c r="F74" s="60"/>
      <c r="G74" s="61"/>
      <c r="H74" s="61"/>
      <c r="I74" s="61"/>
      <c r="J74" s="61"/>
      <c r="K74" s="61"/>
      <c r="L74" s="63"/>
      <c r="M74" s="63"/>
      <c r="N74" s="63"/>
      <c r="O74" s="94"/>
      <c r="P74" s="61"/>
      <c r="Q74" s="63"/>
      <c r="R74" s="60"/>
      <c r="S74" s="60"/>
      <c r="T74" s="63"/>
      <c r="U74" s="60"/>
      <c r="V74" s="60"/>
      <c r="W74" s="87" t="str">
        <f aca="true">IF(B74="","",IF(N74&lt;&gt;"",N74-B74,TODAY()-B74))</f>
        <v/>
      </c>
      <c r="X74" s="62" t="str">
        <f aca="true">IF(OR(M74="",K74="Completed",K74="Cancelled"),"",IF(M74&lt;TODAY(),"OVERDUE",IF(M74-TODAY()&lt;=7,"Due ≤7d","On Schedule")))</f>
        <v/>
      </c>
      <c r="Y74" s="60"/>
      <c r="Z74" s="88" t="str">
        <f aca="false">IF(AND(N74&lt;&gt;"",N74&gt;='Weekly Report'!$F$4,N74&lt;='Weekly Report'!$F$5),ROW(),"")</f>
        <v/>
      </c>
      <c r="AA74" s="88" t="str">
        <f aca="false">IF(AND(AND(Q74&lt;&gt;"",Q74&gt;='Weekly Report'!$F$4,Q74&lt;='Weekly Report'!$F$5),AND(F74&lt;&gt;"",K74&lt;&gt;"Completed",K74&lt;&gt;"Cancelled")),ROW(),"")</f>
        <v/>
      </c>
      <c r="AB74" s="88" t="str">
        <f aca="false">IF(AND(F74&lt;&gt;"",K74="In Progress"),ROW(),"")</f>
        <v/>
      </c>
      <c r="AC74" s="88" t="str">
        <f aca="false">IF(AND(AND(F74&lt;&gt;"",K74&lt;&gt;"Completed",K74&lt;&gt;"Cancelled"),OR(K74="Blocked",S74&lt;&gt;"")),ROW(),"")</f>
        <v/>
      </c>
      <c r="AD74" s="88" t="str">
        <f aca="false">IF(AND(AND(F74&lt;&gt;"",K74&lt;&gt;"Completed",K74&lt;&gt;"Cancelled"),OR(P74="Yes",AND(M74&lt;&gt;"",M74&lt;='Weekly Report'!$F$7),AND(L74&lt;&gt;"",L74&gt;='Weekly Report'!$F$6,L74&lt;='Weekly Report'!$F$7))),ROW(),"")</f>
        <v/>
      </c>
    </row>
    <row r="75" customFormat="false" ht="15" hidden="false" customHeight="false" outlineLevel="0" collapsed="false">
      <c r="A75" s="56" t="s">
        <v>1556</v>
      </c>
      <c r="B75" s="63"/>
      <c r="C75" s="61"/>
      <c r="D75" s="61"/>
      <c r="E75" s="61"/>
      <c r="F75" s="60"/>
      <c r="G75" s="61"/>
      <c r="H75" s="61"/>
      <c r="I75" s="61"/>
      <c r="J75" s="61"/>
      <c r="K75" s="61"/>
      <c r="L75" s="63"/>
      <c r="M75" s="63"/>
      <c r="N75" s="63"/>
      <c r="O75" s="94"/>
      <c r="P75" s="61"/>
      <c r="Q75" s="63"/>
      <c r="R75" s="60"/>
      <c r="S75" s="60"/>
      <c r="T75" s="63"/>
      <c r="U75" s="60"/>
      <c r="V75" s="60"/>
      <c r="W75" s="87" t="str">
        <f aca="true">IF(B75="","",IF(N75&lt;&gt;"",N75-B75,TODAY()-B75))</f>
        <v/>
      </c>
      <c r="X75" s="62" t="str">
        <f aca="true">IF(OR(M75="",K75="Completed",K75="Cancelled"),"",IF(M75&lt;TODAY(),"OVERDUE",IF(M75-TODAY()&lt;=7,"Due ≤7d","On Schedule")))</f>
        <v/>
      </c>
      <c r="Y75" s="60"/>
      <c r="Z75" s="88" t="str">
        <f aca="false">IF(AND(N75&lt;&gt;"",N75&gt;='Weekly Report'!$F$4,N75&lt;='Weekly Report'!$F$5),ROW(),"")</f>
        <v/>
      </c>
      <c r="AA75" s="88" t="str">
        <f aca="false">IF(AND(AND(Q75&lt;&gt;"",Q75&gt;='Weekly Report'!$F$4,Q75&lt;='Weekly Report'!$F$5),AND(F75&lt;&gt;"",K75&lt;&gt;"Completed",K75&lt;&gt;"Cancelled")),ROW(),"")</f>
        <v/>
      </c>
      <c r="AB75" s="88" t="str">
        <f aca="false">IF(AND(F75&lt;&gt;"",K75="In Progress"),ROW(),"")</f>
        <v/>
      </c>
      <c r="AC75" s="88" t="str">
        <f aca="false">IF(AND(AND(F75&lt;&gt;"",K75&lt;&gt;"Completed",K75&lt;&gt;"Cancelled"),OR(K75="Blocked",S75&lt;&gt;"")),ROW(),"")</f>
        <v/>
      </c>
      <c r="AD75" s="88" t="str">
        <f aca="false">IF(AND(AND(F75&lt;&gt;"",K75&lt;&gt;"Completed",K75&lt;&gt;"Cancelled"),OR(P75="Yes",AND(M75&lt;&gt;"",M75&lt;='Weekly Report'!$F$7),AND(L75&lt;&gt;"",L75&gt;='Weekly Report'!$F$6,L75&lt;='Weekly Report'!$F$7))),ROW(),"")</f>
        <v/>
      </c>
    </row>
    <row r="76" customFormat="false" ht="15" hidden="false" customHeight="false" outlineLevel="0" collapsed="false">
      <c r="A76" s="56" t="s">
        <v>1557</v>
      </c>
      <c r="B76" s="63"/>
      <c r="C76" s="61"/>
      <c r="D76" s="61"/>
      <c r="E76" s="61"/>
      <c r="F76" s="60"/>
      <c r="G76" s="61"/>
      <c r="H76" s="61"/>
      <c r="I76" s="61"/>
      <c r="J76" s="61"/>
      <c r="K76" s="61"/>
      <c r="L76" s="63"/>
      <c r="M76" s="63"/>
      <c r="N76" s="63"/>
      <c r="O76" s="94"/>
      <c r="P76" s="61"/>
      <c r="Q76" s="63"/>
      <c r="R76" s="60"/>
      <c r="S76" s="60"/>
      <c r="T76" s="63"/>
      <c r="U76" s="60"/>
      <c r="V76" s="60"/>
      <c r="W76" s="87" t="str">
        <f aca="true">IF(B76="","",IF(N76&lt;&gt;"",N76-B76,TODAY()-B76))</f>
        <v/>
      </c>
      <c r="X76" s="62" t="str">
        <f aca="true">IF(OR(M76="",K76="Completed",K76="Cancelled"),"",IF(M76&lt;TODAY(),"OVERDUE",IF(M76-TODAY()&lt;=7,"Due ≤7d","On Schedule")))</f>
        <v/>
      </c>
      <c r="Y76" s="60"/>
      <c r="Z76" s="88" t="str">
        <f aca="false">IF(AND(N76&lt;&gt;"",N76&gt;='Weekly Report'!$F$4,N76&lt;='Weekly Report'!$F$5),ROW(),"")</f>
        <v/>
      </c>
      <c r="AA76" s="88" t="str">
        <f aca="false">IF(AND(AND(Q76&lt;&gt;"",Q76&gt;='Weekly Report'!$F$4,Q76&lt;='Weekly Report'!$F$5),AND(F76&lt;&gt;"",K76&lt;&gt;"Completed",K76&lt;&gt;"Cancelled")),ROW(),"")</f>
        <v/>
      </c>
      <c r="AB76" s="88" t="str">
        <f aca="false">IF(AND(F76&lt;&gt;"",K76="In Progress"),ROW(),"")</f>
        <v/>
      </c>
      <c r="AC76" s="88" t="str">
        <f aca="false">IF(AND(AND(F76&lt;&gt;"",K76&lt;&gt;"Completed",K76&lt;&gt;"Cancelled"),OR(K76="Blocked",S76&lt;&gt;"")),ROW(),"")</f>
        <v/>
      </c>
      <c r="AD76" s="88" t="str">
        <f aca="false">IF(AND(AND(F76&lt;&gt;"",K76&lt;&gt;"Completed",K76&lt;&gt;"Cancelled"),OR(P76="Yes",AND(M76&lt;&gt;"",M76&lt;='Weekly Report'!$F$7),AND(L76&lt;&gt;"",L76&gt;='Weekly Report'!$F$6,L76&lt;='Weekly Report'!$F$7))),ROW(),"")</f>
        <v/>
      </c>
    </row>
    <row r="77" customFormat="false" ht="15" hidden="false" customHeight="false" outlineLevel="0" collapsed="false">
      <c r="A77" s="56" t="s">
        <v>1558</v>
      </c>
      <c r="B77" s="63"/>
      <c r="C77" s="61"/>
      <c r="D77" s="61"/>
      <c r="E77" s="61"/>
      <c r="F77" s="60"/>
      <c r="G77" s="61"/>
      <c r="H77" s="61"/>
      <c r="I77" s="61"/>
      <c r="J77" s="61"/>
      <c r="K77" s="61"/>
      <c r="L77" s="63"/>
      <c r="M77" s="63"/>
      <c r="N77" s="63"/>
      <c r="O77" s="94"/>
      <c r="P77" s="61"/>
      <c r="Q77" s="63"/>
      <c r="R77" s="60"/>
      <c r="S77" s="60"/>
      <c r="T77" s="63"/>
      <c r="U77" s="60"/>
      <c r="V77" s="60"/>
      <c r="W77" s="87" t="str">
        <f aca="true">IF(B77="","",IF(N77&lt;&gt;"",N77-B77,TODAY()-B77))</f>
        <v/>
      </c>
      <c r="X77" s="62" t="str">
        <f aca="true">IF(OR(M77="",K77="Completed",K77="Cancelled"),"",IF(M77&lt;TODAY(),"OVERDUE",IF(M77-TODAY()&lt;=7,"Due ≤7d","On Schedule")))</f>
        <v/>
      </c>
      <c r="Y77" s="60"/>
      <c r="Z77" s="88" t="str">
        <f aca="false">IF(AND(N77&lt;&gt;"",N77&gt;='Weekly Report'!$F$4,N77&lt;='Weekly Report'!$F$5),ROW(),"")</f>
        <v/>
      </c>
      <c r="AA77" s="88" t="str">
        <f aca="false">IF(AND(AND(Q77&lt;&gt;"",Q77&gt;='Weekly Report'!$F$4,Q77&lt;='Weekly Report'!$F$5),AND(F77&lt;&gt;"",K77&lt;&gt;"Completed",K77&lt;&gt;"Cancelled")),ROW(),"")</f>
        <v/>
      </c>
      <c r="AB77" s="88" t="str">
        <f aca="false">IF(AND(F77&lt;&gt;"",K77="In Progress"),ROW(),"")</f>
        <v/>
      </c>
      <c r="AC77" s="88" t="str">
        <f aca="false">IF(AND(AND(F77&lt;&gt;"",K77&lt;&gt;"Completed",K77&lt;&gt;"Cancelled"),OR(K77="Blocked",S77&lt;&gt;"")),ROW(),"")</f>
        <v/>
      </c>
      <c r="AD77" s="88" t="str">
        <f aca="false">IF(AND(AND(F77&lt;&gt;"",K77&lt;&gt;"Completed",K77&lt;&gt;"Cancelled"),OR(P77="Yes",AND(M77&lt;&gt;"",M77&lt;='Weekly Report'!$F$7),AND(L77&lt;&gt;"",L77&gt;='Weekly Report'!$F$6,L77&lt;='Weekly Report'!$F$7))),ROW(),"")</f>
        <v/>
      </c>
    </row>
    <row r="78" customFormat="false" ht="15" hidden="false" customHeight="false" outlineLevel="0" collapsed="false">
      <c r="A78" s="56" t="s">
        <v>1559</v>
      </c>
      <c r="B78" s="63"/>
      <c r="C78" s="61"/>
      <c r="D78" s="61"/>
      <c r="E78" s="61"/>
      <c r="F78" s="60"/>
      <c r="G78" s="61"/>
      <c r="H78" s="61"/>
      <c r="I78" s="61"/>
      <c r="J78" s="61"/>
      <c r="K78" s="61"/>
      <c r="L78" s="63"/>
      <c r="M78" s="63"/>
      <c r="N78" s="63"/>
      <c r="O78" s="94"/>
      <c r="P78" s="61"/>
      <c r="Q78" s="63"/>
      <c r="R78" s="60"/>
      <c r="S78" s="60"/>
      <c r="T78" s="63"/>
      <c r="U78" s="60"/>
      <c r="V78" s="60"/>
      <c r="W78" s="87" t="str">
        <f aca="true">IF(B78="","",IF(N78&lt;&gt;"",N78-B78,TODAY()-B78))</f>
        <v/>
      </c>
      <c r="X78" s="62" t="str">
        <f aca="true">IF(OR(M78="",K78="Completed",K78="Cancelled"),"",IF(M78&lt;TODAY(),"OVERDUE",IF(M78-TODAY()&lt;=7,"Due ≤7d","On Schedule")))</f>
        <v/>
      </c>
      <c r="Y78" s="60"/>
      <c r="Z78" s="88" t="str">
        <f aca="false">IF(AND(N78&lt;&gt;"",N78&gt;='Weekly Report'!$F$4,N78&lt;='Weekly Report'!$F$5),ROW(),"")</f>
        <v/>
      </c>
      <c r="AA78" s="88" t="str">
        <f aca="false">IF(AND(AND(Q78&lt;&gt;"",Q78&gt;='Weekly Report'!$F$4,Q78&lt;='Weekly Report'!$F$5),AND(F78&lt;&gt;"",K78&lt;&gt;"Completed",K78&lt;&gt;"Cancelled")),ROW(),"")</f>
        <v/>
      </c>
      <c r="AB78" s="88" t="str">
        <f aca="false">IF(AND(F78&lt;&gt;"",K78="In Progress"),ROW(),"")</f>
        <v/>
      </c>
      <c r="AC78" s="88" t="str">
        <f aca="false">IF(AND(AND(F78&lt;&gt;"",K78&lt;&gt;"Completed",K78&lt;&gt;"Cancelled"),OR(K78="Blocked",S78&lt;&gt;"")),ROW(),"")</f>
        <v/>
      </c>
      <c r="AD78" s="88" t="str">
        <f aca="false">IF(AND(AND(F78&lt;&gt;"",K78&lt;&gt;"Completed",K78&lt;&gt;"Cancelled"),OR(P78="Yes",AND(M78&lt;&gt;"",M78&lt;='Weekly Report'!$F$7),AND(L78&lt;&gt;"",L78&gt;='Weekly Report'!$F$6,L78&lt;='Weekly Report'!$F$7))),ROW(),"")</f>
        <v/>
      </c>
    </row>
    <row r="79" customFormat="false" ht="15" hidden="false" customHeight="false" outlineLevel="0" collapsed="false">
      <c r="A79" s="56" t="s">
        <v>1560</v>
      </c>
      <c r="B79" s="63"/>
      <c r="C79" s="61"/>
      <c r="D79" s="61"/>
      <c r="E79" s="61"/>
      <c r="F79" s="60"/>
      <c r="G79" s="61"/>
      <c r="H79" s="61"/>
      <c r="I79" s="61"/>
      <c r="J79" s="61"/>
      <c r="K79" s="61"/>
      <c r="L79" s="63"/>
      <c r="M79" s="63"/>
      <c r="N79" s="63"/>
      <c r="O79" s="94"/>
      <c r="P79" s="61"/>
      <c r="Q79" s="63"/>
      <c r="R79" s="60"/>
      <c r="S79" s="60"/>
      <c r="T79" s="63"/>
      <c r="U79" s="60"/>
      <c r="V79" s="60"/>
      <c r="W79" s="87" t="str">
        <f aca="true">IF(B79="","",IF(N79&lt;&gt;"",N79-B79,TODAY()-B79))</f>
        <v/>
      </c>
      <c r="X79" s="62" t="str">
        <f aca="true">IF(OR(M79="",K79="Completed",K79="Cancelled"),"",IF(M79&lt;TODAY(),"OVERDUE",IF(M79-TODAY()&lt;=7,"Due ≤7d","On Schedule")))</f>
        <v/>
      </c>
      <c r="Y79" s="60"/>
      <c r="Z79" s="88" t="str">
        <f aca="false">IF(AND(N79&lt;&gt;"",N79&gt;='Weekly Report'!$F$4,N79&lt;='Weekly Report'!$F$5),ROW(),"")</f>
        <v/>
      </c>
      <c r="AA79" s="88" t="str">
        <f aca="false">IF(AND(AND(Q79&lt;&gt;"",Q79&gt;='Weekly Report'!$F$4,Q79&lt;='Weekly Report'!$F$5),AND(F79&lt;&gt;"",K79&lt;&gt;"Completed",K79&lt;&gt;"Cancelled")),ROW(),"")</f>
        <v/>
      </c>
      <c r="AB79" s="88" t="str">
        <f aca="false">IF(AND(F79&lt;&gt;"",K79="In Progress"),ROW(),"")</f>
        <v/>
      </c>
      <c r="AC79" s="88" t="str">
        <f aca="false">IF(AND(AND(F79&lt;&gt;"",K79&lt;&gt;"Completed",K79&lt;&gt;"Cancelled"),OR(K79="Blocked",S79&lt;&gt;"")),ROW(),"")</f>
        <v/>
      </c>
      <c r="AD79" s="88" t="str">
        <f aca="false">IF(AND(AND(F79&lt;&gt;"",K79&lt;&gt;"Completed",K79&lt;&gt;"Cancelled"),OR(P79="Yes",AND(M79&lt;&gt;"",M79&lt;='Weekly Report'!$F$7),AND(L79&lt;&gt;"",L79&gt;='Weekly Report'!$F$6,L79&lt;='Weekly Report'!$F$7))),ROW(),"")</f>
        <v/>
      </c>
    </row>
    <row r="80" customFormat="false" ht="15" hidden="false" customHeight="false" outlineLevel="0" collapsed="false">
      <c r="A80" s="56" t="s">
        <v>1561</v>
      </c>
      <c r="B80" s="63"/>
      <c r="C80" s="61"/>
      <c r="D80" s="61"/>
      <c r="E80" s="61"/>
      <c r="F80" s="60"/>
      <c r="G80" s="61"/>
      <c r="H80" s="61"/>
      <c r="I80" s="61"/>
      <c r="J80" s="61"/>
      <c r="K80" s="61"/>
      <c r="L80" s="63"/>
      <c r="M80" s="63"/>
      <c r="N80" s="63"/>
      <c r="O80" s="94"/>
      <c r="P80" s="61"/>
      <c r="Q80" s="63"/>
      <c r="R80" s="60"/>
      <c r="S80" s="60"/>
      <c r="T80" s="63"/>
      <c r="U80" s="60"/>
      <c r="V80" s="60"/>
      <c r="W80" s="87" t="str">
        <f aca="true">IF(B80="","",IF(N80&lt;&gt;"",N80-B80,TODAY()-B80))</f>
        <v/>
      </c>
      <c r="X80" s="62" t="str">
        <f aca="true">IF(OR(M80="",K80="Completed",K80="Cancelled"),"",IF(M80&lt;TODAY(),"OVERDUE",IF(M80-TODAY()&lt;=7,"Due ≤7d","On Schedule")))</f>
        <v/>
      </c>
      <c r="Y80" s="60"/>
      <c r="Z80" s="88" t="str">
        <f aca="false">IF(AND(N80&lt;&gt;"",N80&gt;='Weekly Report'!$F$4,N80&lt;='Weekly Report'!$F$5),ROW(),"")</f>
        <v/>
      </c>
      <c r="AA80" s="88" t="str">
        <f aca="false">IF(AND(AND(Q80&lt;&gt;"",Q80&gt;='Weekly Report'!$F$4,Q80&lt;='Weekly Report'!$F$5),AND(F80&lt;&gt;"",K80&lt;&gt;"Completed",K80&lt;&gt;"Cancelled")),ROW(),"")</f>
        <v/>
      </c>
      <c r="AB80" s="88" t="str">
        <f aca="false">IF(AND(F80&lt;&gt;"",K80="In Progress"),ROW(),"")</f>
        <v/>
      </c>
      <c r="AC80" s="88" t="str">
        <f aca="false">IF(AND(AND(F80&lt;&gt;"",K80&lt;&gt;"Completed",K80&lt;&gt;"Cancelled"),OR(K80="Blocked",S80&lt;&gt;"")),ROW(),"")</f>
        <v/>
      </c>
      <c r="AD80" s="88" t="str">
        <f aca="false">IF(AND(AND(F80&lt;&gt;"",K80&lt;&gt;"Completed",K80&lt;&gt;"Cancelled"),OR(P80="Yes",AND(M80&lt;&gt;"",M80&lt;='Weekly Report'!$F$7),AND(L80&lt;&gt;"",L80&gt;='Weekly Report'!$F$6,L80&lt;='Weekly Report'!$F$7))),ROW(),"")</f>
        <v/>
      </c>
    </row>
    <row r="81" customFormat="false" ht="15" hidden="false" customHeight="false" outlineLevel="0" collapsed="false">
      <c r="A81" s="56" t="s">
        <v>1562</v>
      </c>
      <c r="B81" s="63"/>
      <c r="C81" s="61"/>
      <c r="D81" s="61"/>
      <c r="E81" s="61"/>
      <c r="F81" s="60"/>
      <c r="G81" s="61"/>
      <c r="H81" s="61"/>
      <c r="I81" s="61"/>
      <c r="J81" s="61"/>
      <c r="K81" s="61"/>
      <c r="L81" s="63"/>
      <c r="M81" s="63"/>
      <c r="N81" s="63"/>
      <c r="O81" s="94"/>
      <c r="P81" s="61"/>
      <c r="Q81" s="63"/>
      <c r="R81" s="60"/>
      <c r="S81" s="60"/>
      <c r="T81" s="63"/>
      <c r="U81" s="60"/>
      <c r="V81" s="60"/>
      <c r="W81" s="87" t="str">
        <f aca="true">IF(B81="","",IF(N81&lt;&gt;"",N81-B81,TODAY()-B81))</f>
        <v/>
      </c>
      <c r="X81" s="62" t="str">
        <f aca="true">IF(OR(M81="",K81="Completed",K81="Cancelled"),"",IF(M81&lt;TODAY(),"OVERDUE",IF(M81-TODAY()&lt;=7,"Due ≤7d","On Schedule")))</f>
        <v/>
      </c>
      <c r="Y81" s="60"/>
      <c r="Z81" s="88" t="str">
        <f aca="false">IF(AND(N81&lt;&gt;"",N81&gt;='Weekly Report'!$F$4,N81&lt;='Weekly Report'!$F$5),ROW(),"")</f>
        <v/>
      </c>
      <c r="AA81" s="88" t="str">
        <f aca="false">IF(AND(AND(Q81&lt;&gt;"",Q81&gt;='Weekly Report'!$F$4,Q81&lt;='Weekly Report'!$F$5),AND(F81&lt;&gt;"",K81&lt;&gt;"Completed",K81&lt;&gt;"Cancelled")),ROW(),"")</f>
        <v/>
      </c>
      <c r="AB81" s="88" t="str">
        <f aca="false">IF(AND(F81&lt;&gt;"",K81="In Progress"),ROW(),"")</f>
        <v/>
      </c>
      <c r="AC81" s="88" t="str">
        <f aca="false">IF(AND(AND(F81&lt;&gt;"",K81&lt;&gt;"Completed",K81&lt;&gt;"Cancelled"),OR(K81="Blocked",S81&lt;&gt;"")),ROW(),"")</f>
        <v/>
      </c>
      <c r="AD81" s="88" t="str">
        <f aca="false">IF(AND(AND(F81&lt;&gt;"",K81&lt;&gt;"Completed",K81&lt;&gt;"Cancelled"),OR(P81="Yes",AND(M81&lt;&gt;"",M81&lt;='Weekly Report'!$F$7),AND(L81&lt;&gt;"",L81&gt;='Weekly Report'!$F$6,L81&lt;='Weekly Report'!$F$7))),ROW(),"")</f>
        <v/>
      </c>
    </row>
    <row r="82" customFormat="false" ht="15" hidden="false" customHeight="false" outlineLevel="0" collapsed="false">
      <c r="A82" s="56" t="s">
        <v>1563</v>
      </c>
      <c r="B82" s="63"/>
      <c r="C82" s="61"/>
      <c r="D82" s="61"/>
      <c r="E82" s="61"/>
      <c r="F82" s="60"/>
      <c r="G82" s="61"/>
      <c r="H82" s="61"/>
      <c r="I82" s="61"/>
      <c r="J82" s="61"/>
      <c r="K82" s="61"/>
      <c r="L82" s="63"/>
      <c r="M82" s="63"/>
      <c r="N82" s="63"/>
      <c r="O82" s="94"/>
      <c r="P82" s="61"/>
      <c r="Q82" s="63"/>
      <c r="R82" s="60"/>
      <c r="S82" s="60"/>
      <c r="T82" s="63"/>
      <c r="U82" s="60"/>
      <c r="V82" s="60"/>
      <c r="W82" s="87" t="str">
        <f aca="true">IF(B82="","",IF(N82&lt;&gt;"",N82-B82,TODAY()-B82))</f>
        <v/>
      </c>
      <c r="X82" s="62" t="str">
        <f aca="true">IF(OR(M82="",K82="Completed",K82="Cancelled"),"",IF(M82&lt;TODAY(),"OVERDUE",IF(M82-TODAY()&lt;=7,"Due ≤7d","On Schedule")))</f>
        <v/>
      </c>
      <c r="Y82" s="60"/>
      <c r="Z82" s="88" t="str">
        <f aca="false">IF(AND(N82&lt;&gt;"",N82&gt;='Weekly Report'!$F$4,N82&lt;='Weekly Report'!$F$5),ROW(),"")</f>
        <v/>
      </c>
      <c r="AA82" s="88" t="str">
        <f aca="false">IF(AND(AND(Q82&lt;&gt;"",Q82&gt;='Weekly Report'!$F$4,Q82&lt;='Weekly Report'!$F$5),AND(F82&lt;&gt;"",K82&lt;&gt;"Completed",K82&lt;&gt;"Cancelled")),ROW(),"")</f>
        <v/>
      </c>
      <c r="AB82" s="88" t="str">
        <f aca="false">IF(AND(F82&lt;&gt;"",K82="In Progress"),ROW(),"")</f>
        <v/>
      </c>
      <c r="AC82" s="88" t="str">
        <f aca="false">IF(AND(AND(F82&lt;&gt;"",K82&lt;&gt;"Completed",K82&lt;&gt;"Cancelled"),OR(K82="Blocked",S82&lt;&gt;"")),ROW(),"")</f>
        <v/>
      </c>
      <c r="AD82" s="88" t="str">
        <f aca="false">IF(AND(AND(F82&lt;&gt;"",K82&lt;&gt;"Completed",K82&lt;&gt;"Cancelled"),OR(P82="Yes",AND(M82&lt;&gt;"",M82&lt;='Weekly Report'!$F$7),AND(L82&lt;&gt;"",L82&gt;='Weekly Report'!$F$6,L82&lt;='Weekly Report'!$F$7))),ROW(),"")</f>
        <v/>
      </c>
    </row>
    <row r="83" customFormat="false" ht="15" hidden="false" customHeight="false" outlineLevel="0" collapsed="false">
      <c r="A83" s="56" t="s">
        <v>1564</v>
      </c>
      <c r="B83" s="63"/>
      <c r="C83" s="61"/>
      <c r="D83" s="61"/>
      <c r="E83" s="61"/>
      <c r="F83" s="60"/>
      <c r="G83" s="61"/>
      <c r="H83" s="61"/>
      <c r="I83" s="61"/>
      <c r="J83" s="61"/>
      <c r="K83" s="61"/>
      <c r="L83" s="63"/>
      <c r="M83" s="63"/>
      <c r="N83" s="63"/>
      <c r="O83" s="94"/>
      <c r="P83" s="61"/>
      <c r="Q83" s="63"/>
      <c r="R83" s="60"/>
      <c r="S83" s="60"/>
      <c r="T83" s="63"/>
      <c r="U83" s="60"/>
      <c r="V83" s="60"/>
      <c r="W83" s="87" t="str">
        <f aca="true">IF(B83="","",IF(N83&lt;&gt;"",N83-B83,TODAY()-B83))</f>
        <v/>
      </c>
      <c r="X83" s="62" t="str">
        <f aca="true">IF(OR(M83="",K83="Completed",K83="Cancelled"),"",IF(M83&lt;TODAY(),"OVERDUE",IF(M83-TODAY()&lt;=7,"Due ≤7d","On Schedule")))</f>
        <v/>
      </c>
      <c r="Y83" s="60"/>
      <c r="Z83" s="88" t="str">
        <f aca="false">IF(AND(N83&lt;&gt;"",N83&gt;='Weekly Report'!$F$4,N83&lt;='Weekly Report'!$F$5),ROW(),"")</f>
        <v/>
      </c>
      <c r="AA83" s="88" t="str">
        <f aca="false">IF(AND(AND(Q83&lt;&gt;"",Q83&gt;='Weekly Report'!$F$4,Q83&lt;='Weekly Report'!$F$5),AND(F83&lt;&gt;"",K83&lt;&gt;"Completed",K83&lt;&gt;"Cancelled")),ROW(),"")</f>
        <v/>
      </c>
      <c r="AB83" s="88" t="str">
        <f aca="false">IF(AND(F83&lt;&gt;"",K83="In Progress"),ROW(),"")</f>
        <v/>
      </c>
      <c r="AC83" s="88" t="str">
        <f aca="false">IF(AND(AND(F83&lt;&gt;"",K83&lt;&gt;"Completed",K83&lt;&gt;"Cancelled"),OR(K83="Blocked",S83&lt;&gt;"")),ROW(),"")</f>
        <v/>
      </c>
      <c r="AD83" s="88" t="str">
        <f aca="false">IF(AND(AND(F83&lt;&gt;"",K83&lt;&gt;"Completed",K83&lt;&gt;"Cancelled"),OR(P83="Yes",AND(M83&lt;&gt;"",M83&lt;='Weekly Report'!$F$7),AND(L83&lt;&gt;"",L83&gt;='Weekly Report'!$F$6,L83&lt;='Weekly Report'!$F$7))),ROW(),"")</f>
        <v/>
      </c>
    </row>
    <row r="84" customFormat="false" ht="15" hidden="false" customHeight="false" outlineLevel="0" collapsed="false">
      <c r="A84" s="56" t="s">
        <v>1565</v>
      </c>
      <c r="B84" s="63"/>
      <c r="C84" s="61"/>
      <c r="D84" s="61"/>
      <c r="E84" s="61"/>
      <c r="F84" s="60"/>
      <c r="G84" s="61"/>
      <c r="H84" s="61"/>
      <c r="I84" s="61"/>
      <c r="J84" s="61"/>
      <c r="K84" s="61"/>
      <c r="L84" s="63"/>
      <c r="M84" s="63"/>
      <c r="N84" s="63"/>
      <c r="O84" s="94"/>
      <c r="P84" s="61"/>
      <c r="Q84" s="63"/>
      <c r="R84" s="60"/>
      <c r="S84" s="60"/>
      <c r="T84" s="63"/>
      <c r="U84" s="60"/>
      <c r="V84" s="60"/>
      <c r="W84" s="87" t="str">
        <f aca="true">IF(B84="","",IF(N84&lt;&gt;"",N84-B84,TODAY()-B84))</f>
        <v/>
      </c>
      <c r="X84" s="62" t="str">
        <f aca="true">IF(OR(M84="",K84="Completed",K84="Cancelled"),"",IF(M84&lt;TODAY(),"OVERDUE",IF(M84-TODAY()&lt;=7,"Due ≤7d","On Schedule")))</f>
        <v/>
      </c>
      <c r="Y84" s="60"/>
      <c r="Z84" s="88" t="str">
        <f aca="false">IF(AND(N84&lt;&gt;"",N84&gt;='Weekly Report'!$F$4,N84&lt;='Weekly Report'!$F$5),ROW(),"")</f>
        <v/>
      </c>
      <c r="AA84" s="88" t="str">
        <f aca="false">IF(AND(AND(Q84&lt;&gt;"",Q84&gt;='Weekly Report'!$F$4,Q84&lt;='Weekly Report'!$F$5),AND(F84&lt;&gt;"",K84&lt;&gt;"Completed",K84&lt;&gt;"Cancelled")),ROW(),"")</f>
        <v/>
      </c>
      <c r="AB84" s="88" t="str">
        <f aca="false">IF(AND(F84&lt;&gt;"",K84="In Progress"),ROW(),"")</f>
        <v/>
      </c>
      <c r="AC84" s="88" t="str">
        <f aca="false">IF(AND(AND(F84&lt;&gt;"",K84&lt;&gt;"Completed",K84&lt;&gt;"Cancelled"),OR(K84="Blocked",S84&lt;&gt;"")),ROW(),"")</f>
        <v/>
      </c>
      <c r="AD84" s="88" t="str">
        <f aca="false">IF(AND(AND(F84&lt;&gt;"",K84&lt;&gt;"Completed",K84&lt;&gt;"Cancelled"),OR(P84="Yes",AND(M84&lt;&gt;"",M84&lt;='Weekly Report'!$F$7),AND(L84&lt;&gt;"",L84&gt;='Weekly Report'!$F$6,L84&lt;='Weekly Report'!$F$7))),ROW(),"")</f>
        <v/>
      </c>
    </row>
    <row r="85" customFormat="false" ht="15" hidden="false" customHeight="false" outlineLevel="0" collapsed="false">
      <c r="A85" s="56" t="s">
        <v>1566</v>
      </c>
      <c r="B85" s="63"/>
      <c r="C85" s="61"/>
      <c r="D85" s="61"/>
      <c r="E85" s="61"/>
      <c r="F85" s="60"/>
      <c r="G85" s="61"/>
      <c r="H85" s="61"/>
      <c r="I85" s="61"/>
      <c r="J85" s="61"/>
      <c r="K85" s="61"/>
      <c r="L85" s="63"/>
      <c r="M85" s="63"/>
      <c r="N85" s="63"/>
      <c r="O85" s="94"/>
      <c r="P85" s="61"/>
      <c r="Q85" s="63"/>
      <c r="R85" s="60"/>
      <c r="S85" s="60"/>
      <c r="T85" s="63"/>
      <c r="U85" s="60"/>
      <c r="V85" s="60"/>
      <c r="W85" s="87" t="str">
        <f aca="true">IF(B85="","",IF(N85&lt;&gt;"",N85-B85,TODAY()-B85))</f>
        <v/>
      </c>
      <c r="X85" s="62" t="str">
        <f aca="true">IF(OR(M85="",K85="Completed",K85="Cancelled"),"",IF(M85&lt;TODAY(),"OVERDUE",IF(M85-TODAY()&lt;=7,"Due ≤7d","On Schedule")))</f>
        <v/>
      </c>
      <c r="Y85" s="60"/>
      <c r="Z85" s="88" t="str">
        <f aca="false">IF(AND(N85&lt;&gt;"",N85&gt;='Weekly Report'!$F$4,N85&lt;='Weekly Report'!$F$5),ROW(),"")</f>
        <v/>
      </c>
      <c r="AA85" s="88" t="str">
        <f aca="false">IF(AND(AND(Q85&lt;&gt;"",Q85&gt;='Weekly Report'!$F$4,Q85&lt;='Weekly Report'!$F$5),AND(F85&lt;&gt;"",K85&lt;&gt;"Completed",K85&lt;&gt;"Cancelled")),ROW(),"")</f>
        <v/>
      </c>
      <c r="AB85" s="88" t="str">
        <f aca="false">IF(AND(F85&lt;&gt;"",K85="In Progress"),ROW(),"")</f>
        <v/>
      </c>
      <c r="AC85" s="88" t="str">
        <f aca="false">IF(AND(AND(F85&lt;&gt;"",K85&lt;&gt;"Completed",K85&lt;&gt;"Cancelled"),OR(K85="Blocked",S85&lt;&gt;"")),ROW(),"")</f>
        <v/>
      </c>
      <c r="AD85" s="88" t="str">
        <f aca="false">IF(AND(AND(F85&lt;&gt;"",K85&lt;&gt;"Completed",K85&lt;&gt;"Cancelled"),OR(P85="Yes",AND(M85&lt;&gt;"",M85&lt;='Weekly Report'!$F$7),AND(L85&lt;&gt;"",L85&gt;='Weekly Report'!$F$6,L85&lt;='Weekly Report'!$F$7))),ROW(),"")</f>
        <v/>
      </c>
    </row>
    <row r="86" customFormat="false" ht="15" hidden="false" customHeight="false" outlineLevel="0" collapsed="false">
      <c r="A86" s="56" t="s">
        <v>1567</v>
      </c>
      <c r="B86" s="63"/>
      <c r="C86" s="61"/>
      <c r="D86" s="61"/>
      <c r="E86" s="61"/>
      <c r="F86" s="60"/>
      <c r="G86" s="61"/>
      <c r="H86" s="61"/>
      <c r="I86" s="61"/>
      <c r="J86" s="61"/>
      <c r="K86" s="61"/>
      <c r="L86" s="63"/>
      <c r="M86" s="63"/>
      <c r="N86" s="63"/>
      <c r="O86" s="94"/>
      <c r="P86" s="61"/>
      <c r="Q86" s="63"/>
      <c r="R86" s="60"/>
      <c r="S86" s="60"/>
      <c r="T86" s="63"/>
      <c r="U86" s="60"/>
      <c r="V86" s="60"/>
      <c r="W86" s="87" t="str">
        <f aca="true">IF(B86="","",IF(N86&lt;&gt;"",N86-B86,TODAY()-B86))</f>
        <v/>
      </c>
      <c r="X86" s="62" t="str">
        <f aca="true">IF(OR(M86="",K86="Completed",K86="Cancelled"),"",IF(M86&lt;TODAY(),"OVERDUE",IF(M86-TODAY()&lt;=7,"Due ≤7d","On Schedule")))</f>
        <v/>
      </c>
      <c r="Y86" s="60"/>
      <c r="Z86" s="88" t="str">
        <f aca="false">IF(AND(N86&lt;&gt;"",N86&gt;='Weekly Report'!$F$4,N86&lt;='Weekly Report'!$F$5),ROW(),"")</f>
        <v/>
      </c>
      <c r="AA86" s="88" t="str">
        <f aca="false">IF(AND(AND(Q86&lt;&gt;"",Q86&gt;='Weekly Report'!$F$4,Q86&lt;='Weekly Report'!$F$5),AND(F86&lt;&gt;"",K86&lt;&gt;"Completed",K86&lt;&gt;"Cancelled")),ROW(),"")</f>
        <v/>
      </c>
      <c r="AB86" s="88" t="str">
        <f aca="false">IF(AND(F86&lt;&gt;"",K86="In Progress"),ROW(),"")</f>
        <v/>
      </c>
      <c r="AC86" s="88" t="str">
        <f aca="false">IF(AND(AND(F86&lt;&gt;"",K86&lt;&gt;"Completed",K86&lt;&gt;"Cancelled"),OR(K86="Blocked",S86&lt;&gt;"")),ROW(),"")</f>
        <v/>
      </c>
      <c r="AD86" s="88" t="str">
        <f aca="false">IF(AND(AND(F86&lt;&gt;"",K86&lt;&gt;"Completed",K86&lt;&gt;"Cancelled"),OR(P86="Yes",AND(M86&lt;&gt;"",M86&lt;='Weekly Report'!$F$7),AND(L86&lt;&gt;"",L86&gt;='Weekly Report'!$F$6,L86&lt;='Weekly Report'!$F$7))),ROW(),"")</f>
        <v/>
      </c>
    </row>
    <row r="87" customFormat="false" ht="15" hidden="false" customHeight="false" outlineLevel="0" collapsed="false">
      <c r="A87" s="56" t="s">
        <v>1568</v>
      </c>
      <c r="B87" s="63"/>
      <c r="C87" s="61"/>
      <c r="D87" s="61"/>
      <c r="E87" s="61"/>
      <c r="F87" s="60"/>
      <c r="G87" s="61"/>
      <c r="H87" s="61"/>
      <c r="I87" s="61"/>
      <c r="J87" s="61"/>
      <c r="K87" s="61"/>
      <c r="L87" s="63"/>
      <c r="M87" s="63"/>
      <c r="N87" s="63"/>
      <c r="O87" s="94"/>
      <c r="P87" s="61"/>
      <c r="Q87" s="63"/>
      <c r="R87" s="60"/>
      <c r="S87" s="60"/>
      <c r="T87" s="63"/>
      <c r="U87" s="60"/>
      <c r="V87" s="60"/>
      <c r="W87" s="87" t="str">
        <f aca="true">IF(B87="","",IF(N87&lt;&gt;"",N87-B87,TODAY()-B87))</f>
        <v/>
      </c>
      <c r="X87" s="62" t="str">
        <f aca="true">IF(OR(M87="",K87="Completed",K87="Cancelled"),"",IF(M87&lt;TODAY(),"OVERDUE",IF(M87-TODAY()&lt;=7,"Due ≤7d","On Schedule")))</f>
        <v/>
      </c>
      <c r="Y87" s="60"/>
      <c r="Z87" s="88" t="str">
        <f aca="false">IF(AND(N87&lt;&gt;"",N87&gt;='Weekly Report'!$F$4,N87&lt;='Weekly Report'!$F$5),ROW(),"")</f>
        <v/>
      </c>
      <c r="AA87" s="88" t="str">
        <f aca="false">IF(AND(AND(Q87&lt;&gt;"",Q87&gt;='Weekly Report'!$F$4,Q87&lt;='Weekly Report'!$F$5),AND(F87&lt;&gt;"",K87&lt;&gt;"Completed",K87&lt;&gt;"Cancelled")),ROW(),"")</f>
        <v/>
      </c>
      <c r="AB87" s="88" t="str">
        <f aca="false">IF(AND(F87&lt;&gt;"",K87="In Progress"),ROW(),"")</f>
        <v/>
      </c>
      <c r="AC87" s="88" t="str">
        <f aca="false">IF(AND(AND(F87&lt;&gt;"",K87&lt;&gt;"Completed",K87&lt;&gt;"Cancelled"),OR(K87="Blocked",S87&lt;&gt;"")),ROW(),"")</f>
        <v/>
      </c>
      <c r="AD87" s="88" t="str">
        <f aca="false">IF(AND(AND(F87&lt;&gt;"",K87&lt;&gt;"Completed",K87&lt;&gt;"Cancelled"),OR(P87="Yes",AND(M87&lt;&gt;"",M87&lt;='Weekly Report'!$F$7),AND(L87&lt;&gt;"",L87&gt;='Weekly Report'!$F$6,L87&lt;='Weekly Report'!$F$7))),ROW(),"")</f>
        <v/>
      </c>
    </row>
    <row r="88" customFormat="false" ht="15" hidden="false" customHeight="false" outlineLevel="0" collapsed="false">
      <c r="A88" s="56" t="s">
        <v>1569</v>
      </c>
      <c r="B88" s="63"/>
      <c r="C88" s="61"/>
      <c r="D88" s="61"/>
      <c r="E88" s="61"/>
      <c r="F88" s="60"/>
      <c r="G88" s="61"/>
      <c r="H88" s="61"/>
      <c r="I88" s="61"/>
      <c r="J88" s="61"/>
      <c r="K88" s="61"/>
      <c r="L88" s="63"/>
      <c r="M88" s="63"/>
      <c r="N88" s="63"/>
      <c r="O88" s="94"/>
      <c r="P88" s="61"/>
      <c r="Q88" s="63"/>
      <c r="R88" s="60"/>
      <c r="S88" s="60"/>
      <c r="T88" s="63"/>
      <c r="U88" s="60"/>
      <c r="V88" s="60"/>
      <c r="W88" s="87" t="str">
        <f aca="true">IF(B88="","",IF(N88&lt;&gt;"",N88-B88,TODAY()-B88))</f>
        <v/>
      </c>
      <c r="X88" s="62" t="str">
        <f aca="true">IF(OR(M88="",K88="Completed",K88="Cancelled"),"",IF(M88&lt;TODAY(),"OVERDUE",IF(M88-TODAY()&lt;=7,"Due ≤7d","On Schedule")))</f>
        <v/>
      </c>
      <c r="Y88" s="60"/>
      <c r="Z88" s="88" t="str">
        <f aca="false">IF(AND(N88&lt;&gt;"",N88&gt;='Weekly Report'!$F$4,N88&lt;='Weekly Report'!$F$5),ROW(),"")</f>
        <v/>
      </c>
      <c r="AA88" s="88" t="str">
        <f aca="false">IF(AND(AND(Q88&lt;&gt;"",Q88&gt;='Weekly Report'!$F$4,Q88&lt;='Weekly Report'!$F$5),AND(F88&lt;&gt;"",K88&lt;&gt;"Completed",K88&lt;&gt;"Cancelled")),ROW(),"")</f>
        <v/>
      </c>
      <c r="AB88" s="88" t="str">
        <f aca="false">IF(AND(F88&lt;&gt;"",K88="In Progress"),ROW(),"")</f>
        <v/>
      </c>
      <c r="AC88" s="88" t="str">
        <f aca="false">IF(AND(AND(F88&lt;&gt;"",K88&lt;&gt;"Completed",K88&lt;&gt;"Cancelled"),OR(K88="Blocked",S88&lt;&gt;"")),ROW(),"")</f>
        <v/>
      </c>
      <c r="AD88" s="88" t="str">
        <f aca="false">IF(AND(AND(F88&lt;&gt;"",K88&lt;&gt;"Completed",K88&lt;&gt;"Cancelled"),OR(P88="Yes",AND(M88&lt;&gt;"",M88&lt;='Weekly Report'!$F$7),AND(L88&lt;&gt;"",L88&gt;='Weekly Report'!$F$6,L88&lt;='Weekly Report'!$F$7))),ROW(),"")</f>
        <v/>
      </c>
    </row>
    <row r="89" customFormat="false" ht="15" hidden="false" customHeight="false" outlineLevel="0" collapsed="false">
      <c r="A89" s="56" t="s">
        <v>1570</v>
      </c>
      <c r="B89" s="63"/>
      <c r="C89" s="61"/>
      <c r="D89" s="61"/>
      <c r="E89" s="61"/>
      <c r="F89" s="60"/>
      <c r="G89" s="61"/>
      <c r="H89" s="61"/>
      <c r="I89" s="61"/>
      <c r="J89" s="61"/>
      <c r="K89" s="61"/>
      <c r="L89" s="63"/>
      <c r="M89" s="63"/>
      <c r="N89" s="63"/>
      <c r="O89" s="94"/>
      <c r="P89" s="61"/>
      <c r="Q89" s="63"/>
      <c r="R89" s="60"/>
      <c r="S89" s="60"/>
      <c r="T89" s="63"/>
      <c r="U89" s="60"/>
      <c r="V89" s="60"/>
      <c r="W89" s="87" t="str">
        <f aca="true">IF(B89="","",IF(N89&lt;&gt;"",N89-B89,TODAY()-B89))</f>
        <v/>
      </c>
      <c r="X89" s="62" t="str">
        <f aca="true">IF(OR(M89="",K89="Completed",K89="Cancelled"),"",IF(M89&lt;TODAY(),"OVERDUE",IF(M89-TODAY()&lt;=7,"Due ≤7d","On Schedule")))</f>
        <v/>
      </c>
      <c r="Y89" s="60"/>
      <c r="Z89" s="88" t="str">
        <f aca="false">IF(AND(N89&lt;&gt;"",N89&gt;='Weekly Report'!$F$4,N89&lt;='Weekly Report'!$F$5),ROW(),"")</f>
        <v/>
      </c>
      <c r="AA89" s="88" t="str">
        <f aca="false">IF(AND(AND(Q89&lt;&gt;"",Q89&gt;='Weekly Report'!$F$4,Q89&lt;='Weekly Report'!$F$5),AND(F89&lt;&gt;"",K89&lt;&gt;"Completed",K89&lt;&gt;"Cancelled")),ROW(),"")</f>
        <v/>
      </c>
      <c r="AB89" s="88" t="str">
        <f aca="false">IF(AND(F89&lt;&gt;"",K89="In Progress"),ROW(),"")</f>
        <v/>
      </c>
      <c r="AC89" s="88" t="str">
        <f aca="false">IF(AND(AND(F89&lt;&gt;"",K89&lt;&gt;"Completed",K89&lt;&gt;"Cancelled"),OR(K89="Blocked",S89&lt;&gt;"")),ROW(),"")</f>
        <v/>
      </c>
      <c r="AD89" s="88" t="str">
        <f aca="false">IF(AND(AND(F89&lt;&gt;"",K89&lt;&gt;"Completed",K89&lt;&gt;"Cancelled"),OR(P89="Yes",AND(M89&lt;&gt;"",M89&lt;='Weekly Report'!$F$7),AND(L89&lt;&gt;"",L89&gt;='Weekly Report'!$F$6,L89&lt;='Weekly Report'!$F$7))),ROW(),"")</f>
        <v/>
      </c>
    </row>
    <row r="90" customFormat="false" ht="15" hidden="false" customHeight="false" outlineLevel="0" collapsed="false">
      <c r="A90" s="56" t="s">
        <v>1571</v>
      </c>
      <c r="B90" s="63"/>
      <c r="C90" s="61"/>
      <c r="D90" s="61"/>
      <c r="E90" s="61"/>
      <c r="F90" s="60"/>
      <c r="G90" s="61"/>
      <c r="H90" s="61"/>
      <c r="I90" s="61"/>
      <c r="J90" s="61"/>
      <c r="K90" s="61"/>
      <c r="L90" s="63"/>
      <c r="M90" s="63"/>
      <c r="N90" s="63"/>
      <c r="O90" s="94"/>
      <c r="P90" s="61"/>
      <c r="Q90" s="63"/>
      <c r="R90" s="60"/>
      <c r="S90" s="60"/>
      <c r="T90" s="63"/>
      <c r="U90" s="60"/>
      <c r="V90" s="60"/>
      <c r="W90" s="87" t="str">
        <f aca="true">IF(B90="","",IF(N90&lt;&gt;"",N90-B90,TODAY()-B90))</f>
        <v/>
      </c>
      <c r="X90" s="62" t="str">
        <f aca="true">IF(OR(M90="",K90="Completed",K90="Cancelled"),"",IF(M90&lt;TODAY(),"OVERDUE",IF(M90-TODAY()&lt;=7,"Due ≤7d","On Schedule")))</f>
        <v/>
      </c>
      <c r="Y90" s="60"/>
      <c r="Z90" s="88" t="str">
        <f aca="false">IF(AND(N90&lt;&gt;"",N90&gt;='Weekly Report'!$F$4,N90&lt;='Weekly Report'!$F$5),ROW(),"")</f>
        <v/>
      </c>
      <c r="AA90" s="88" t="str">
        <f aca="false">IF(AND(AND(Q90&lt;&gt;"",Q90&gt;='Weekly Report'!$F$4,Q90&lt;='Weekly Report'!$F$5),AND(F90&lt;&gt;"",K90&lt;&gt;"Completed",K90&lt;&gt;"Cancelled")),ROW(),"")</f>
        <v/>
      </c>
      <c r="AB90" s="88" t="str">
        <f aca="false">IF(AND(F90&lt;&gt;"",K90="In Progress"),ROW(),"")</f>
        <v/>
      </c>
      <c r="AC90" s="88" t="str">
        <f aca="false">IF(AND(AND(F90&lt;&gt;"",K90&lt;&gt;"Completed",K90&lt;&gt;"Cancelled"),OR(K90="Blocked",S90&lt;&gt;"")),ROW(),"")</f>
        <v/>
      </c>
      <c r="AD90" s="88" t="str">
        <f aca="false">IF(AND(AND(F90&lt;&gt;"",K90&lt;&gt;"Completed",K90&lt;&gt;"Cancelled"),OR(P90="Yes",AND(M90&lt;&gt;"",M90&lt;='Weekly Report'!$F$7),AND(L90&lt;&gt;"",L90&gt;='Weekly Report'!$F$6,L90&lt;='Weekly Report'!$F$7))),ROW(),"")</f>
        <v/>
      </c>
    </row>
    <row r="91" customFormat="false" ht="15" hidden="false" customHeight="false" outlineLevel="0" collapsed="false">
      <c r="A91" s="56" t="s">
        <v>1572</v>
      </c>
      <c r="B91" s="63"/>
      <c r="C91" s="61"/>
      <c r="D91" s="61"/>
      <c r="E91" s="61"/>
      <c r="F91" s="60"/>
      <c r="G91" s="61"/>
      <c r="H91" s="61"/>
      <c r="I91" s="61"/>
      <c r="J91" s="61"/>
      <c r="K91" s="61"/>
      <c r="L91" s="63"/>
      <c r="M91" s="63"/>
      <c r="N91" s="63"/>
      <c r="O91" s="94"/>
      <c r="P91" s="61"/>
      <c r="Q91" s="63"/>
      <c r="R91" s="60"/>
      <c r="S91" s="60"/>
      <c r="T91" s="63"/>
      <c r="U91" s="60"/>
      <c r="V91" s="60"/>
      <c r="W91" s="87" t="str">
        <f aca="true">IF(B91="","",IF(N91&lt;&gt;"",N91-B91,TODAY()-B91))</f>
        <v/>
      </c>
      <c r="X91" s="62" t="str">
        <f aca="true">IF(OR(M91="",K91="Completed",K91="Cancelled"),"",IF(M91&lt;TODAY(),"OVERDUE",IF(M91-TODAY()&lt;=7,"Due ≤7d","On Schedule")))</f>
        <v/>
      </c>
      <c r="Y91" s="60"/>
      <c r="Z91" s="88" t="str">
        <f aca="false">IF(AND(N91&lt;&gt;"",N91&gt;='Weekly Report'!$F$4,N91&lt;='Weekly Report'!$F$5),ROW(),"")</f>
        <v/>
      </c>
      <c r="AA91" s="88" t="str">
        <f aca="false">IF(AND(AND(Q91&lt;&gt;"",Q91&gt;='Weekly Report'!$F$4,Q91&lt;='Weekly Report'!$F$5),AND(F91&lt;&gt;"",K91&lt;&gt;"Completed",K91&lt;&gt;"Cancelled")),ROW(),"")</f>
        <v/>
      </c>
      <c r="AB91" s="88" t="str">
        <f aca="false">IF(AND(F91&lt;&gt;"",K91="In Progress"),ROW(),"")</f>
        <v/>
      </c>
      <c r="AC91" s="88" t="str">
        <f aca="false">IF(AND(AND(F91&lt;&gt;"",K91&lt;&gt;"Completed",K91&lt;&gt;"Cancelled"),OR(K91="Blocked",S91&lt;&gt;"")),ROW(),"")</f>
        <v/>
      </c>
      <c r="AD91" s="88" t="str">
        <f aca="false">IF(AND(AND(F91&lt;&gt;"",K91&lt;&gt;"Completed",K91&lt;&gt;"Cancelled"),OR(P91="Yes",AND(M91&lt;&gt;"",M91&lt;='Weekly Report'!$F$7),AND(L91&lt;&gt;"",L91&gt;='Weekly Report'!$F$6,L91&lt;='Weekly Report'!$F$7))),ROW(),"")</f>
        <v/>
      </c>
    </row>
    <row r="92" customFormat="false" ht="15" hidden="false" customHeight="false" outlineLevel="0" collapsed="false">
      <c r="A92" s="56" t="s">
        <v>1573</v>
      </c>
      <c r="B92" s="63"/>
      <c r="C92" s="61"/>
      <c r="D92" s="61"/>
      <c r="E92" s="61"/>
      <c r="F92" s="60"/>
      <c r="G92" s="61"/>
      <c r="H92" s="61"/>
      <c r="I92" s="61"/>
      <c r="J92" s="61"/>
      <c r="K92" s="61"/>
      <c r="L92" s="63"/>
      <c r="M92" s="63"/>
      <c r="N92" s="63"/>
      <c r="O92" s="94"/>
      <c r="P92" s="61"/>
      <c r="Q92" s="63"/>
      <c r="R92" s="60"/>
      <c r="S92" s="60"/>
      <c r="T92" s="63"/>
      <c r="U92" s="60"/>
      <c r="V92" s="60"/>
      <c r="W92" s="87" t="str">
        <f aca="true">IF(B92="","",IF(N92&lt;&gt;"",N92-B92,TODAY()-B92))</f>
        <v/>
      </c>
      <c r="X92" s="62" t="str">
        <f aca="true">IF(OR(M92="",K92="Completed",K92="Cancelled"),"",IF(M92&lt;TODAY(),"OVERDUE",IF(M92-TODAY()&lt;=7,"Due ≤7d","On Schedule")))</f>
        <v/>
      </c>
      <c r="Y92" s="60"/>
      <c r="Z92" s="88" t="str">
        <f aca="false">IF(AND(N92&lt;&gt;"",N92&gt;='Weekly Report'!$F$4,N92&lt;='Weekly Report'!$F$5),ROW(),"")</f>
        <v/>
      </c>
      <c r="AA92" s="88" t="str">
        <f aca="false">IF(AND(AND(Q92&lt;&gt;"",Q92&gt;='Weekly Report'!$F$4,Q92&lt;='Weekly Report'!$F$5),AND(F92&lt;&gt;"",K92&lt;&gt;"Completed",K92&lt;&gt;"Cancelled")),ROW(),"")</f>
        <v/>
      </c>
      <c r="AB92" s="88" t="str">
        <f aca="false">IF(AND(F92&lt;&gt;"",K92="In Progress"),ROW(),"")</f>
        <v/>
      </c>
      <c r="AC92" s="88" t="str">
        <f aca="false">IF(AND(AND(F92&lt;&gt;"",K92&lt;&gt;"Completed",K92&lt;&gt;"Cancelled"),OR(K92="Blocked",S92&lt;&gt;"")),ROW(),"")</f>
        <v/>
      </c>
      <c r="AD92" s="88" t="str">
        <f aca="false">IF(AND(AND(F92&lt;&gt;"",K92&lt;&gt;"Completed",K92&lt;&gt;"Cancelled"),OR(P92="Yes",AND(M92&lt;&gt;"",M92&lt;='Weekly Report'!$F$7),AND(L92&lt;&gt;"",L92&gt;='Weekly Report'!$F$6,L92&lt;='Weekly Report'!$F$7))),ROW(),"")</f>
        <v/>
      </c>
    </row>
    <row r="93" customFormat="false" ht="15" hidden="false" customHeight="false" outlineLevel="0" collapsed="false">
      <c r="A93" s="56" t="s">
        <v>1574</v>
      </c>
      <c r="B93" s="63"/>
      <c r="C93" s="61"/>
      <c r="D93" s="61"/>
      <c r="E93" s="61"/>
      <c r="F93" s="60"/>
      <c r="G93" s="61"/>
      <c r="H93" s="61"/>
      <c r="I93" s="61"/>
      <c r="J93" s="61"/>
      <c r="K93" s="61"/>
      <c r="L93" s="63"/>
      <c r="M93" s="63"/>
      <c r="N93" s="63"/>
      <c r="O93" s="94"/>
      <c r="P93" s="61"/>
      <c r="Q93" s="63"/>
      <c r="R93" s="60"/>
      <c r="S93" s="60"/>
      <c r="T93" s="63"/>
      <c r="U93" s="60"/>
      <c r="V93" s="60"/>
      <c r="W93" s="87" t="str">
        <f aca="true">IF(B93="","",IF(N93&lt;&gt;"",N93-B93,TODAY()-B93))</f>
        <v/>
      </c>
      <c r="X93" s="62" t="str">
        <f aca="true">IF(OR(M93="",K93="Completed",K93="Cancelled"),"",IF(M93&lt;TODAY(),"OVERDUE",IF(M93-TODAY()&lt;=7,"Due ≤7d","On Schedule")))</f>
        <v/>
      </c>
      <c r="Y93" s="60"/>
      <c r="Z93" s="88" t="str">
        <f aca="false">IF(AND(N93&lt;&gt;"",N93&gt;='Weekly Report'!$F$4,N93&lt;='Weekly Report'!$F$5),ROW(),"")</f>
        <v/>
      </c>
      <c r="AA93" s="88" t="str">
        <f aca="false">IF(AND(AND(Q93&lt;&gt;"",Q93&gt;='Weekly Report'!$F$4,Q93&lt;='Weekly Report'!$F$5),AND(F93&lt;&gt;"",K93&lt;&gt;"Completed",K93&lt;&gt;"Cancelled")),ROW(),"")</f>
        <v/>
      </c>
      <c r="AB93" s="88" t="str">
        <f aca="false">IF(AND(F93&lt;&gt;"",K93="In Progress"),ROW(),"")</f>
        <v/>
      </c>
      <c r="AC93" s="88" t="str">
        <f aca="false">IF(AND(AND(F93&lt;&gt;"",K93&lt;&gt;"Completed",K93&lt;&gt;"Cancelled"),OR(K93="Blocked",S93&lt;&gt;"")),ROW(),"")</f>
        <v/>
      </c>
      <c r="AD93" s="88" t="str">
        <f aca="false">IF(AND(AND(F93&lt;&gt;"",K93&lt;&gt;"Completed",K93&lt;&gt;"Cancelled"),OR(P93="Yes",AND(M93&lt;&gt;"",M93&lt;='Weekly Report'!$F$7),AND(L93&lt;&gt;"",L93&gt;='Weekly Report'!$F$6,L93&lt;='Weekly Report'!$F$7))),ROW(),"")</f>
        <v/>
      </c>
    </row>
    <row r="94" customFormat="false" ht="15" hidden="false" customHeight="false" outlineLevel="0" collapsed="false">
      <c r="A94" s="56" t="s">
        <v>1575</v>
      </c>
      <c r="B94" s="63"/>
      <c r="C94" s="61"/>
      <c r="D94" s="61"/>
      <c r="E94" s="61"/>
      <c r="F94" s="60"/>
      <c r="G94" s="61"/>
      <c r="H94" s="61"/>
      <c r="I94" s="61"/>
      <c r="J94" s="61"/>
      <c r="K94" s="61"/>
      <c r="L94" s="63"/>
      <c r="M94" s="63"/>
      <c r="N94" s="63"/>
      <c r="O94" s="94"/>
      <c r="P94" s="61"/>
      <c r="Q94" s="63"/>
      <c r="R94" s="60"/>
      <c r="S94" s="60"/>
      <c r="T94" s="63"/>
      <c r="U94" s="60"/>
      <c r="V94" s="60"/>
      <c r="W94" s="87" t="str">
        <f aca="true">IF(B94="","",IF(N94&lt;&gt;"",N94-B94,TODAY()-B94))</f>
        <v/>
      </c>
      <c r="X94" s="62" t="str">
        <f aca="true">IF(OR(M94="",K94="Completed",K94="Cancelled"),"",IF(M94&lt;TODAY(),"OVERDUE",IF(M94-TODAY()&lt;=7,"Due ≤7d","On Schedule")))</f>
        <v/>
      </c>
      <c r="Y94" s="60"/>
      <c r="Z94" s="88" t="str">
        <f aca="false">IF(AND(N94&lt;&gt;"",N94&gt;='Weekly Report'!$F$4,N94&lt;='Weekly Report'!$F$5),ROW(),"")</f>
        <v/>
      </c>
      <c r="AA94" s="88" t="str">
        <f aca="false">IF(AND(AND(Q94&lt;&gt;"",Q94&gt;='Weekly Report'!$F$4,Q94&lt;='Weekly Report'!$F$5),AND(F94&lt;&gt;"",K94&lt;&gt;"Completed",K94&lt;&gt;"Cancelled")),ROW(),"")</f>
        <v/>
      </c>
      <c r="AB94" s="88" t="str">
        <f aca="false">IF(AND(F94&lt;&gt;"",K94="In Progress"),ROW(),"")</f>
        <v/>
      </c>
      <c r="AC94" s="88" t="str">
        <f aca="false">IF(AND(AND(F94&lt;&gt;"",K94&lt;&gt;"Completed",K94&lt;&gt;"Cancelled"),OR(K94="Blocked",S94&lt;&gt;"")),ROW(),"")</f>
        <v/>
      </c>
      <c r="AD94" s="88" t="str">
        <f aca="false">IF(AND(AND(F94&lt;&gt;"",K94&lt;&gt;"Completed",K94&lt;&gt;"Cancelled"),OR(P94="Yes",AND(M94&lt;&gt;"",M94&lt;='Weekly Report'!$F$7),AND(L94&lt;&gt;"",L94&gt;='Weekly Report'!$F$6,L94&lt;='Weekly Report'!$F$7))),ROW(),"")</f>
        <v/>
      </c>
    </row>
    <row r="95" customFormat="false" ht="15" hidden="false" customHeight="false" outlineLevel="0" collapsed="false">
      <c r="A95" s="56" t="s">
        <v>1576</v>
      </c>
      <c r="B95" s="63"/>
      <c r="C95" s="61"/>
      <c r="D95" s="61"/>
      <c r="E95" s="61"/>
      <c r="F95" s="60"/>
      <c r="G95" s="61"/>
      <c r="H95" s="61"/>
      <c r="I95" s="61"/>
      <c r="J95" s="61"/>
      <c r="K95" s="61"/>
      <c r="L95" s="63"/>
      <c r="M95" s="63"/>
      <c r="N95" s="63"/>
      <c r="O95" s="94"/>
      <c r="P95" s="61"/>
      <c r="Q95" s="63"/>
      <c r="R95" s="60"/>
      <c r="S95" s="60"/>
      <c r="T95" s="63"/>
      <c r="U95" s="60"/>
      <c r="V95" s="60"/>
      <c r="W95" s="87" t="str">
        <f aca="true">IF(B95="","",IF(N95&lt;&gt;"",N95-B95,TODAY()-B95))</f>
        <v/>
      </c>
      <c r="X95" s="62" t="str">
        <f aca="true">IF(OR(M95="",K95="Completed",K95="Cancelled"),"",IF(M95&lt;TODAY(),"OVERDUE",IF(M95-TODAY()&lt;=7,"Due ≤7d","On Schedule")))</f>
        <v/>
      </c>
      <c r="Y95" s="60"/>
      <c r="Z95" s="88" t="str">
        <f aca="false">IF(AND(N95&lt;&gt;"",N95&gt;='Weekly Report'!$F$4,N95&lt;='Weekly Report'!$F$5),ROW(),"")</f>
        <v/>
      </c>
      <c r="AA95" s="88" t="str">
        <f aca="false">IF(AND(AND(Q95&lt;&gt;"",Q95&gt;='Weekly Report'!$F$4,Q95&lt;='Weekly Report'!$F$5),AND(F95&lt;&gt;"",K95&lt;&gt;"Completed",K95&lt;&gt;"Cancelled")),ROW(),"")</f>
        <v/>
      </c>
      <c r="AB95" s="88" t="str">
        <f aca="false">IF(AND(F95&lt;&gt;"",K95="In Progress"),ROW(),"")</f>
        <v/>
      </c>
      <c r="AC95" s="88" t="str">
        <f aca="false">IF(AND(AND(F95&lt;&gt;"",K95&lt;&gt;"Completed",K95&lt;&gt;"Cancelled"),OR(K95="Blocked",S95&lt;&gt;"")),ROW(),"")</f>
        <v/>
      </c>
      <c r="AD95" s="88" t="str">
        <f aca="false">IF(AND(AND(F95&lt;&gt;"",K95&lt;&gt;"Completed",K95&lt;&gt;"Cancelled"),OR(P95="Yes",AND(M95&lt;&gt;"",M95&lt;='Weekly Report'!$F$7),AND(L95&lt;&gt;"",L95&gt;='Weekly Report'!$F$6,L95&lt;='Weekly Report'!$F$7))),ROW(),"")</f>
        <v/>
      </c>
    </row>
    <row r="96" customFormat="false" ht="15" hidden="false" customHeight="false" outlineLevel="0" collapsed="false">
      <c r="A96" s="56" t="s">
        <v>1577</v>
      </c>
      <c r="B96" s="63"/>
      <c r="C96" s="61"/>
      <c r="D96" s="61"/>
      <c r="E96" s="61"/>
      <c r="F96" s="60"/>
      <c r="G96" s="61"/>
      <c r="H96" s="61"/>
      <c r="I96" s="61"/>
      <c r="J96" s="61"/>
      <c r="K96" s="61"/>
      <c r="L96" s="63"/>
      <c r="M96" s="63"/>
      <c r="N96" s="63"/>
      <c r="O96" s="94"/>
      <c r="P96" s="61"/>
      <c r="Q96" s="63"/>
      <c r="R96" s="60"/>
      <c r="S96" s="60"/>
      <c r="T96" s="63"/>
      <c r="U96" s="60"/>
      <c r="V96" s="60"/>
      <c r="W96" s="87" t="str">
        <f aca="true">IF(B96="","",IF(N96&lt;&gt;"",N96-B96,TODAY()-B96))</f>
        <v/>
      </c>
      <c r="X96" s="62" t="str">
        <f aca="true">IF(OR(M96="",K96="Completed",K96="Cancelled"),"",IF(M96&lt;TODAY(),"OVERDUE",IF(M96-TODAY()&lt;=7,"Due ≤7d","On Schedule")))</f>
        <v/>
      </c>
      <c r="Y96" s="60"/>
      <c r="Z96" s="88" t="str">
        <f aca="false">IF(AND(N96&lt;&gt;"",N96&gt;='Weekly Report'!$F$4,N96&lt;='Weekly Report'!$F$5),ROW(),"")</f>
        <v/>
      </c>
      <c r="AA96" s="88" t="str">
        <f aca="false">IF(AND(AND(Q96&lt;&gt;"",Q96&gt;='Weekly Report'!$F$4,Q96&lt;='Weekly Report'!$F$5),AND(F96&lt;&gt;"",K96&lt;&gt;"Completed",K96&lt;&gt;"Cancelled")),ROW(),"")</f>
        <v/>
      </c>
      <c r="AB96" s="88" t="str">
        <f aca="false">IF(AND(F96&lt;&gt;"",K96="In Progress"),ROW(),"")</f>
        <v/>
      </c>
      <c r="AC96" s="88" t="str">
        <f aca="false">IF(AND(AND(F96&lt;&gt;"",K96&lt;&gt;"Completed",K96&lt;&gt;"Cancelled"),OR(K96="Blocked",S96&lt;&gt;"")),ROW(),"")</f>
        <v/>
      </c>
      <c r="AD96" s="88" t="str">
        <f aca="false">IF(AND(AND(F96&lt;&gt;"",K96&lt;&gt;"Completed",K96&lt;&gt;"Cancelled"),OR(P96="Yes",AND(M96&lt;&gt;"",M96&lt;='Weekly Report'!$F$7),AND(L96&lt;&gt;"",L96&gt;='Weekly Report'!$F$6,L96&lt;='Weekly Report'!$F$7))),ROW(),"")</f>
        <v/>
      </c>
    </row>
    <row r="97" customFormat="false" ht="15" hidden="false" customHeight="false" outlineLevel="0" collapsed="false">
      <c r="A97" s="56" t="s">
        <v>1578</v>
      </c>
      <c r="B97" s="63"/>
      <c r="C97" s="61"/>
      <c r="D97" s="61"/>
      <c r="E97" s="61"/>
      <c r="F97" s="60"/>
      <c r="G97" s="61"/>
      <c r="H97" s="61"/>
      <c r="I97" s="61"/>
      <c r="J97" s="61"/>
      <c r="K97" s="61"/>
      <c r="L97" s="63"/>
      <c r="M97" s="63"/>
      <c r="N97" s="63"/>
      <c r="O97" s="94"/>
      <c r="P97" s="61"/>
      <c r="Q97" s="63"/>
      <c r="R97" s="60"/>
      <c r="S97" s="60"/>
      <c r="T97" s="63"/>
      <c r="U97" s="60"/>
      <c r="V97" s="60"/>
      <c r="W97" s="87" t="str">
        <f aca="true">IF(B97="","",IF(N97&lt;&gt;"",N97-B97,TODAY()-B97))</f>
        <v/>
      </c>
      <c r="X97" s="62" t="str">
        <f aca="true">IF(OR(M97="",K97="Completed",K97="Cancelled"),"",IF(M97&lt;TODAY(),"OVERDUE",IF(M97-TODAY()&lt;=7,"Due ≤7d","On Schedule")))</f>
        <v/>
      </c>
      <c r="Y97" s="60"/>
      <c r="Z97" s="88" t="str">
        <f aca="false">IF(AND(N97&lt;&gt;"",N97&gt;='Weekly Report'!$F$4,N97&lt;='Weekly Report'!$F$5),ROW(),"")</f>
        <v/>
      </c>
      <c r="AA97" s="88" t="str">
        <f aca="false">IF(AND(AND(Q97&lt;&gt;"",Q97&gt;='Weekly Report'!$F$4,Q97&lt;='Weekly Report'!$F$5),AND(F97&lt;&gt;"",K97&lt;&gt;"Completed",K97&lt;&gt;"Cancelled")),ROW(),"")</f>
        <v/>
      </c>
      <c r="AB97" s="88" t="str">
        <f aca="false">IF(AND(F97&lt;&gt;"",K97="In Progress"),ROW(),"")</f>
        <v/>
      </c>
      <c r="AC97" s="88" t="str">
        <f aca="false">IF(AND(AND(F97&lt;&gt;"",K97&lt;&gt;"Completed",K97&lt;&gt;"Cancelled"),OR(K97="Blocked",S97&lt;&gt;"")),ROW(),"")</f>
        <v/>
      </c>
      <c r="AD97" s="88" t="str">
        <f aca="false">IF(AND(AND(F97&lt;&gt;"",K97&lt;&gt;"Completed",K97&lt;&gt;"Cancelled"),OR(P97="Yes",AND(M97&lt;&gt;"",M97&lt;='Weekly Report'!$F$7),AND(L97&lt;&gt;"",L97&gt;='Weekly Report'!$F$6,L97&lt;='Weekly Report'!$F$7))),ROW(),"")</f>
        <v/>
      </c>
    </row>
    <row r="98" customFormat="false" ht="15" hidden="false" customHeight="false" outlineLevel="0" collapsed="false">
      <c r="A98" s="56" t="s">
        <v>1579</v>
      </c>
      <c r="B98" s="63"/>
      <c r="C98" s="61"/>
      <c r="D98" s="61"/>
      <c r="E98" s="61"/>
      <c r="F98" s="60"/>
      <c r="G98" s="61"/>
      <c r="H98" s="61"/>
      <c r="I98" s="61"/>
      <c r="J98" s="61"/>
      <c r="K98" s="61"/>
      <c r="L98" s="63"/>
      <c r="M98" s="63"/>
      <c r="N98" s="63"/>
      <c r="O98" s="94"/>
      <c r="P98" s="61"/>
      <c r="Q98" s="63"/>
      <c r="R98" s="60"/>
      <c r="S98" s="60"/>
      <c r="T98" s="63"/>
      <c r="U98" s="60"/>
      <c r="V98" s="60"/>
      <c r="W98" s="87" t="str">
        <f aca="true">IF(B98="","",IF(N98&lt;&gt;"",N98-B98,TODAY()-B98))</f>
        <v/>
      </c>
      <c r="X98" s="62" t="str">
        <f aca="true">IF(OR(M98="",K98="Completed",K98="Cancelled"),"",IF(M98&lt;TODAY(),"OVERDUE",IF(M98-TODAY()&lt;=7,"Due ≤7d","On Schedule")))</f>
        <v/>
      </c>
      <c r="Y98" s="60"/>
      <c r="Z98" s="88" t="str">
        <f aca="false">IF(AND(N98&lt;&gt;"",N98&gt;='Weekly Report'!$F$4,N98&lt;='Weekly Report'!$F$5),ROW(),"")</f>
        <v/>
      </c>
      <c r="AA98" s="88" t="str">
        <f aca="false">IF(AND(AND(Q98&lt;&gt;"",Q98&gt;='Weekly Report'!$F$4,Q98&lt;='Weekly Report'!$F$5),AND(F98&lt;&gt;"",K98&lt;&gt;"Completed",K98&lt;&gt;"Cancelled")),ROW(),"")</f>
        <v/>
      </c>
      <c r="AB98" s="88" t="str">
        <f aca="false">IF(AND(F98&lt;&gt;"",K98="In Progress"),ROW(),"")</f>
        <v/>
      </c>
      <c r="AC98" s="88" t="str">
        <f aca="false">IF(AND(AND(F98&lt;&gt;"",K98&lt;&gt;"Completed",K98&lt;&gt;"Cancelled"),OR(K98="Blocked",S98&lt;&gt;"")),ROW(),"")</f>
        <v/>
      </c>
      <c r="AD98" s="88" t="str">
        <f aca="false">IF(AND(AND(F98&lt;&gt;"",K98&lt;&gt;"Completed",K98&lt;&gt;"Cancelled"),OR(P98="Yes",AND(M98&lt;&gt;"",M98&lt;='Weekly Report'!$F$7),AND(L98&lt;&gt;"",L98&gt;='Weekly Report'!$F$6,L98&lt;='Weekly Report'!$F$7))),ROW(),"")</f>
        <v/>
      </c>
    </row>
    <row r="99" customFormat="false" ht="15" hidden="false" customHeight="false" outlineLevel="0" collapsed="false">
      <c r="A99" s="56" t="s">
        <v>1580</v>
      </c>
      <c r="B99" s="63"/>
      <c r="C99" s="61"/>
      <c r="D99" s="61"/>
      <c r="E99" s="61"/>
      <c r="F99" s="60"/>
      <c r="G99" s="61"/>
      <c r="H99" s="61"/>
      <c r="I99" s="61"/>
      <c r="J99" s="61"/>
      <c r="K99" s="61"/>
      <c r="L99" s="63"/>
      <c r="M99" s="63"/>
      <c r="N99" s="63"/>
      <c r="O99" s="94"/>
      <c r="P99" s="61"/>
      <c r="Q99" s="63"/>
      <c r="R99" s="60"/>
      <c r="S99" s="60"/>
      <c r="T99" s="63"/>
      <c r="U99" s="60"/>
      <c r="V99" s="60"/>
      <c r="W99" s="87" t="str">
        <f aca="true">IF(B99="","",IF(N99&lt;&gt;"",N99-B99,TODAY()-B99))</f>
        <v/>
      </c>
      <c r="X99" s="62" t="str">
        <f aca="true">IF(OR(M99="",K99="Completed",K99="Cancelled"),"",IF(M99&lt;TODAY(),"OVERDUE",IF(M99-TODAY()&lt;=7,"Due ≤7d","On Schedule")))</f>
        <v/>
      </c>
      <c r="Y99" s="60"/>
      <c r="Z99" s="88" t="str">
        <f aca="false">IF(AND(N99&lt;&gt;"",N99&gt;='Weekly Report'!$F$4,N99&lt;='Weekly Report'!$F$5),ROW(),"")</f>
        <v/>
      </c>
      <c r="AA99" s="88" t="str">
        <f aca="false">IF(AND(AND(Q99&lt;&gt;"",Q99&gt;='Weekly Report'!$F$4,Q99&lt;='Weekly Report'!$F$5),AND(F99&lt;&gt;"",K99&lt;&gt;"Completed",K99&lt;&gt;"Cancelled")),ROW(),"")</f>
        <v/>
      </c>
      <c r="AB99" s="88" t="str">
        <f aca="false">IF(AND(F99&lt;&gt;"",K99="In Progress"),ROW(),"")</f>
        <v/>
      </c>
      <c r="AC99" s="88" t="str">
        <f aca="false">IF(AND(AND(F99&lt;&gt;"",K99&lt;&gt;"Completed",K99&lt;&gt;"Cancelled"),OR(K99="Blocked",S99&lt;&gt;"")),ROW(),"")</f>
        <v/>
      </c>
      <c r="AD99" s="88" t="str">
        <f aca="false">IF(AND(AND(F99&lt;&gt;"",K99&lt;&gt;"Completed",K99&lt;&gt;"Cancelled"),OR(P99="Yes",AND(M99&lt;&gt;"",M99&lt;='Weekly Report'!$F$7),AND(L99&lt;&gt;"",L99&gt;='Weekly Report'!$F$6,L99&lt;='Weekly Report'!$F$7))),ROW(),"")</f>
        <v/>
      </c>
    </row>
    <row r="100" customFormat="false" ht="15" hidden="false" customHeight="false" outlineLevel="0" collapsed="false">
      <c r="A100" s="56" t="s">
        <v>1581</v>
      </c>
      <c r="B100" s="63"/>
      <c r="C100" s="61"/>
      <c r="D100" s="61"/>
      <c r="E100" s="61"/>
      <c r="F100" s="60"/>
      <c r="G100" s="61"/>
      <c r="H100" s="61"/>
      <c r="I100" s="61"/>
      <c r="J100" s="61"/>
      <c r="K100" s="61"/>
      <c r="L100" s="63"/>
      <c r="M100" s="63"/>
      <c r="N100" s="63"/>
      <c r="O100" s="94"/>
      <c r="P100" s="61"/>
      <c r="Q100" s="63"/>
      <c r="R100" s="60"/>
      <c r="S100" s="60"/>
      <c r="T100" s="63"/>
      <c r="U100" s="60"/>
      <c r="V100" s="60"/>
      <c r="W100" s="87" t="str">
        <f aca="true">IF(B100="","",IF(N100&lt;&gt;"",N100-B100,TODAY()-B100))</f>
        <v/>
      </c>
      <c r="X100" s="62" t="str">
        <f aca="true">IF(OR(M100="",K100="Completed",K100="Cancelled"),"",IF(M100&lt;TODAY(),"OVERDUE",IF(M100-TODAY()&lt;=7,"Due ≤7d","On Schedule")))</f>
        <v/>
      </c>
      <c r="Y100" s="60"/>
      <c r="Z100" s="88" t="str">
        <f aca="false">IF(AND(N100&lt;&gt;"",N100&gt;='Weekly Report'!$F$4,N100&lt;='Weekly Report'!$F$5),ROW(),"")</f>
        <v/>
      </c>
      <c r="AA100" s="88" t="str">
        <f aca="false">IF(AND(AND(Q100&lt;&gt;"",Q100&gt;='Weekly Report'!$F$4,Q100&lt;='Weekly Report'!$F$5),AND(F100&lt;&gt;"",K100&lt;&gt;"Completed",K100&lt;&gt;"Cancelled")),ROW(),"")</f>
        <v/>
      </c>
      <c r="AB100" s="88" t="str">
        <f aca="false">IF(AND(F100&lt;&gt;"",K100="In Progress"),ROW(),"")</f>
        <v/>
      </c>
      <c r="AC100" s="88" t="str">
        <f aca="false">IF(AND(AND(F100&lt;&gt;"",K100&lt;&gt;"Completed",K100&lt;&gt;"Cancelled"),OR(K100="Blocked",S100&lt;&gt;"")),ROW(),"")</f>
        <v/>
      </c>
      <c r="AD100" s="88" t="str">
        <f aca="false">IF(AND(AND(F100&lt;&gt;"",K100&lt;&gt;"Completed",K100&lt;&gt;"Cancelled"),OR(P100="Yes",AND(M100&lt;&gt;"",M100&lt;='Weekly Report'!$F$7),AND(L100&lt;&gt;"",L100&gt;='Weekly Report'!$F$6,L100&lt;='Weekly Report'!$F$7))),ROW(),"")</f>
        <v/>
      </c>
    </row>
    <row r="101" customFormat="false" ht="15" hidden="false" customHeight="false" outlineLevel="0" collapsed="false">
      <c r="A101" s="56" t="s">
        <v>1582</v>
      </c>
      <c r="B101" s="63"/>
      <c r="C101" s="61"/>
      <c r="D101" s="61"/>
      <c r="E101" s="61"/>
      <c r="F101" s="60"/>
      <c r="G101" s="61"/>
      <c r="H101" s="61"/>
      <c r="I101" s="61"/>
      <c r="J101" s="61"/>
      <c r="K101" s="61"/>
      <c r="L101" s="63"/>
      <c r="M101" s="63"/>
      <c r="N101" s="63"/>
      <c r="O101" s="94"/>
      <c r="P101" s="61"/>
      <c r="Q101" s="63"/>
      <c r="R101" s="60"/>
      <c r="S101" s="60"/>
      <c r="T101" s="63"/>
      <c r="U101" s="60"/>
      <c r="V101" s="60"/>
      <c r="W101" s="87" t="str">
        <f aca="true">IF(B101="","",IF(N101&lt;&gt;"",N101-B101,TODAY()-B101))</f>
        <v/>
      </c>
      <c r="X101" s="62" t="str">
        <f aca="true">IF(OR(M101="",K101="Completed",K101="Cancelled"),"",IF(M101&lt;TODAY(),"OVERDUE",IF(M101-TODAY()&lt;=7,"Due ≤7d","On Schedule")))</f>
        <v/>
      </c>
      <c r="Y101" s="60"/>
      <c r="Z101" s="88" t="str">
        <f aca="false">IF(AND(N101&lt;&gt;"",N101&gt;='Weekly Report'!$F$4,N101&lt;='Weekly Report'!$F$5),ROW(),"")</f>
        <v/>
      </c>
      <c r="AA101" s="88" t="str">
        <f aca="false">IF(AND(AND(Q101&lt;&gt;"",Q101&gt;='Weekly Report'!$F$4,Q101&lt;='Weekly Report'!$F$5),AND(F101&lt;&gt;"",K101&lt;&gt;"Completed",K101&lt;&gt;"Cancelled")),ROW(),"")</f>
        <v/>
      </c>
      <c r="AB101" s="88" t="str">
        <f aca="false">IF(AND(F101&lt;&gt;"",K101="In Progress"),ROW(),"")</f>
        <v/>
      </c>
      <c r="AC101" s="88" t="str">
        <f aca="false">IF(AND(AND(F101&lt;&gt;"",K101&lt;&gt;"Completed",K101&lt;&gt;"Cancelled"),OR(K101="Blocked",S101&lt;&gt;"")),ROW(),"")</f>
        <v/>
      </c>
      <c r="AD101" s="88" t="str">
        <f aca="false">IF(AND(AND(F101&lt;&gt;"",K101&lt;&gt;"Completed",K101&lt;&gt;"Cancelled"),OR(P101="Yes",AND(M101&lt;&gt;"",M101&lt;='Weekly Report'!$F$7),AND(L101&lt;&gt;"",L101&gt;='Weekly Report'!$F$6,L101&lt;='Weekly Report'!$F$7))),ROW(),"")</f>
        <v/>
      </c>
    </row>
    <row r="102" customFormat="false" ht="15" hidden="false" customHeight="false" outlineLevel="0" collapsed="false">
      <c r="A102" s="56" t="s">
        <v>1583</v>
      </c>
      <c r="B102" s="63"/>
      <c r="C102" s="61"/>
      <c r="D102" s="61"/>
      <c r="E102" s="61"/>
      <c r="F102" s="60"/>
      <c r="G102" s="61"/>
      <c r="H102" s="61"/>
      <c r="I102" s="61"/>
      <c r="J102" s="61"/>
      <c r="K102" s="61"/>
      <c r="L102" s="63"/>
      <c r="M102" s="63"/>
      <c r="N102" s="63"/>
      <c r="O102" s="94"/>
      <c r="P102" s="61"/>
      <c r="Q102" s="63"/>
      <c r="R102" s="60"/>
      <c r="S102" s="60"/>
      <c r="T102" s="63"/>
      <c r="U102" s="60"/>
      <c r="V102" s="60"/>
      <c r="W102" s="87" t="str">
        <f aca="true">IF(B102="","",IF(N102&lt;&gt;"",N102-B102,TODAY()-B102))</f>
        <v/>
      </c>
      <c r="X102" s="62" t="str">
        <f aca="true">IF(OR(M102="",K102="Completed",K102="Cancelled"),"",IF(M102&lt;TODAY(),"OVERDUE",IF(M102-TODAY()&lt;=7,"Due ≤7d","On Schedule")))</f>
        <v/>
      </c>
      <c r="Y102" s="60"/>
      <c r="Z102" s="88" t="str">
        <f aca="false">IF(AND(N102&lt;&gt;"",N102&gt;='Weekly Report'!$F$4,N102&lt;='Weekly Report'!$F$5),ROW(),"")</f>
        <v/>
      </c>
      <c r="AA102" s="88" t="str">
        <f aca="false">IF(AND(AND(Q102&lt;&gt;"",Q102&gt;='Weekly Report'!$F$4,Q102&lt;='Weekly Report'!$F$5),AND(F102&lt;&gt;"",K102&lt;&gt;"Completed",K102&lt;&gt;"Cancelled")),ROW(),"")</f>
        <v/>
      </c>
      <c r="AB102" s="88" t="str">
        <f aca="false">IF(AND(F102&lt;&gt;"",K102="In Progress"),ROW(),"")</f>
        <v/>
      </c>
      <c r="AC102" s="88" t="str">
        <f aca="false">IF(AND(AND(F102&lt;&gt;"",K102&lt;&gt;"Completed",K102&lt;&gt;"Cancelled"),OR(K102="Blocked",S102&lt;&gt;"")),ROW(),"")</f>
        <v/>
      </c>
      <c r="AD102" s="88" t="str">
        <f aca="false">IF(AND(AND(F102&lt;&gt;"",K102&lt;&gt;"Completed",K102&lt;&gt;"Cancelled"),OR(P102="Yes",AND(M102&lt;&gt;"",M102&lt;='Weekly Report'!$F$7),AND(L102&lt;&gt;"",L102&gt;='Weekly Report'!$F$6,L102&lt;='Weekly Report'!$F$7))),ROW(),"")</f>
        <v/>
      </c>
    </row>
    <row r="103" customFormat="false" ht="15" hidden="false" customHeight="false" outlineLevel="0" collapsed="false">
      <c r="A103" s="56" t="s">
        <v>1584</v>
      </c>
      <c r="B103" s="63"/>
      <c r="C103" s="61"/>
      <c r="D103" s="61"/>
      <c r="E103" s="61"/>
      <c r="F103" s="60"/>
      <c r="G103" s="61"/>
      <c r="H103" s="61"/>
      <c r="I103" s="61"/>
      <c r="J103" s="61"/>
      <c r="K103" s="61"/>
      <c r="L103" s="63"/>
      <c r="M103" s="63"/>
      <c r="N103" s="63"/>
      <c r="O103" s="94"/>
      <c r="P103" s="61"/>
      <c r="Q103" s="63"/>
      <c r="R103" s="60"/>
      <c r="S103" s="60"/>
      <c r="T103" s="63"/>
      <c r="U103" s="60"/>
      <c r="V103" s="60"/>
      <c r="W103" s="87" t="str">
        <f aca="true">IF(B103="","",IF(N103&lt;&gt;"",N103-B103,TODAY()-B103))</f>
        <v/>
      </c>
      <c r="X103" s="62" t="str">
        <f aca="true">IF(OR(M103="",K103="Completed",K103="Cancelled"),"",IF(M103&lt;TODAY(),"OVERDUE",IF(M103-TODAY()&lt;=7,"Due ≤7d","On Schedule")))</f>
        <v/>
      </c>
      <c r="Y103" s="60"/>
      <c r="Z103" s="88" t="str">
        <f aca="false">IF(AND(N103&lt;&gt;"",N103&gt;='Weekly Report'!$F$4,N103&lt;='Weekly Report'!$F$5),ROW(),"")</f>
        <v/>
      </c>
      <c r="AA103" s="88" t="str">
        <f aca="false">IF(AND(AND(Q103&lt;&gt;"",Q103&gt;='Weekly Report'!$F$4,Q103&lt;='Weekly Report'!$F$5),AND(F103&lt;&gt;"",K103&lt;&gt;"Completed",K103&lt;&gt;"Cancelled")),ROW(),"")</f>
        <v/>
      </c>
      <c r="AB103" s="88" t="str">
        <f aca="false">IF(AND(F103&lt;&gt;"",K103="In Progress"),ROW(),"")</f>
        <v/>
      </c>
      <c r="AC103" s="88" t="str">
        <f aca="false">IF(AND(AND(F103&lt;&gt;"",K103&lt;&gt;"Completed",K103&lt;&gt;"Cancelled"),OR(K103="Blocked",S103&lt;&gt;"")),ROW(),"")</f>
        <v/>
      </c>
      <c r="AD103" s="88" t="str">
        <f aca="false">IF(AND(AND(F103&lt;&gt;"",K103&lt;&gt;"Completed",K103&lt;&gt;"Cancelled"),OR(P103="Yes",AND(M103&lt;&gt;"",M103&lt;='Weekly Report'!$F$7),AND(L103&lt;&gt;"",L103&gt;='Weekly Report'!$F$6,L103&lt;='Weekly Report'!$F$7))),ROW(),"")</f>
        <v/>
      </c>
    </row>
    <row r="104" customFormat="false" ht="15" hidden="false" customHeight="false" outlineLevel="0" collapsed="false">
      <c r="A104" s="56" t="s">
        <v>1585</v>
      </c>
      <c r="B104" s="63"/>
      <c r="C104" s="61"/>
      <c r="D104" s="61"/>
      <c r="E104" s="61"/>
      <c r="F104" s="60"/>
      <c r="G104" s="61"/>
      <c r="H104" s="61"/>
      <c r="I104" s="61"/>
      <c r="J104" s="61"/>
      <c r="K104" s="61"/>
      <c r="L104" s="63"/>
      <c r="M104" s="63"/>
      <c r="N104" s="63"/>
      <c r="O104" s="94"/>
      <c r="P104" s="61"/>
      <c r="Q104" s="63"/>
      <c r="R104" s="60"/>
      <c r="S104" s="60"/>
      <c r="T104" s="63"/>
      <c r="U104" s="60"/>
      <c r="V104" s="60"/>
      <c r="W104" s="87" t="str">
        <f aca="true">IF(B104="","",IF(N104&lt;&gt;"",N104-B104,TODAY()-B104))</f>
        <v/>
      </c>
      <c r="X104" s="62" t="str">
        <f aca="true">IF(OR(M104="",K104="Completed",K104="Cancelled"),"",IF(M104&lt;TODAY(),"OVERDUE",IF(M104-TODAY()&lt;=7,"Due ≤7d","On Schedule")))</f>
        <v/>
      </c>
      <c r="Y104" s="60"/>
      <c r="Z104" s="88" t="str">
        <f aca="false">IF(AND(N104&lt;&gt;"",N104&gt;='Weekly Report'!$F$4,N104&lt;='Weekly Report'!$F$5),ROW(),"")</f>
        <v/>
      </c>
      <c r="AA104" s="88" t="str">
        <f aca="false">IF(AND(AND(Q104&lt;&gt;"",Q104&gt;='Weekly Report'!$F$4,Q104&lt;='Weekly Report'!$F$5),AND(F104&lt;&gt;"",K104&lt;&gt;"Completed",K104&lt;&gt;"Cancelled")),ROW(),"")</f>
        <v/>
      </c>
      <c r="AB104" s="88" t="str">
        <f aca="false">IF(AND(F104&lt;&gt;"",K104="In Progress"),ROW(),"")</f>
        <v/>
      </c>
      <c r="AC104" s="88" t="str">
        <f aca="false">IF(AND(AND(F104&lt;&gt;"",K104&lt;&gt;"Completed",K104&lt;&gt;"Cancelled"),OR(K104="Blocked",S104&lt;&gt;"")),ROW(),"")</f>
        <v/>
      </c>
      <c r="AD104" s="88" t="str">
        <f aca="false">IF(AND(AND(F104&lt;&gt;"",K104&lt;&gt;"Completed",K104&lt;&gt;"Cancelled"),OR(P104="Yes",AND(M104&lt;&gt;"",M104&lt;='Weekly Report'!$F$7),AND(L104&lt;&gt;"",L104&gt;='Weekly Report'!$F$6,L104&lt;='Weekly Report'!$F$7))),ROW(),"")</f>
        <v/>
      </c>
    </row>
    <row r="105" customFormat="false" ht="15" hidden="false" customHeight="false" outlineLevel="0" collapsed="false">
      <c r="A105" s="56" t="s">
        <v>1586</v>
      </c>
      <c r="B105" s="63"/>
      <c r="C105" s="61"/>
      <c r="D105" s="61"/>
      <c r="E105" s="61"/>
      <c r="F105" s="60"/>
      <c r="G105" s="61"/>
      <c r="H105" s="61"/>
      <c r="I105" s="61"/>
      <c r="J105" s="61"/>
      <c r="K105" s="61"/>
      <c r="L105" s="63"/>
      <c r="M105" s="63"/>
      <c r="N105" s="63"/>
      <c r="O105" s="94"/>
      <c r="P105" s="61"/>
      <c r="Q105" s="63"/>
      <c r="R105" s="60"/>
      <c r="S105" s="60"/>
      <c r="T105" s="63"/>
      <c r="U105" s="60"/>
      <c r="V105" s="60"/>
      <c r="W105" s="87" t="str">
        <f aca="true">IF(B105="","",IF(N105&lt;&gt;"",N105-B105,TODAY()-B105))</f>
        <v/>
      </c>
      <c r="X105" s="62" t="str">
        <f aca="true">IF(OR(M105="",K105="Completed",K105="Cancelled"),"",IF(M105&lt;TODAY(),"OVERDUE",IF(M105-TODAY()&lt;=7,"Due ≤7d","On Schedule")))</f>
        <v/>
      </c>
      <c r="Y105" s="60"/>
      <c r="Z105" s="88" t="str">
        <f aca="false">IF(AND(N105&lt;&gt;"",N105&gt;='Weekly Report'!$F$4,N105&lt;='Weekly Report'!$F$5),ROW(),"")</f>
        <v/>
      </c>
      <c r="AA105" s="88" t="str">
        <f aca="false">IF(AND(AND(Q105&lt;&gt;"",Q105&gt;='Weekly Report'!$F$4,Q105&lt;='Weekly Report'!$F$5),AND(F105&lt;&gt;"",K105&lt;&gt;"Completed",K105&lt;&gt;"Cancelled")),ROW(),"")</f>
        <v/>
      </c>
      <c r="AB105" s="88" t="str">
        <f aca="false">IF(AND(F105&lt;&gt;"",K105="In Progress"),ROW(),"")</f>
        <v/>
      </c>
      <c r="AC105" s="88" t="str">
        <f aca="false">IF(AND(AND(F105&lt;&gt;"",K105&lt;&gt;"Completed",K105&lt;&gt;"Cancelled"),OR(K105="Blocked",S105&lt;&gt;"")),ROW(),"")</f>
        <v/>
      </c>
      <c r="AD105" s="88" t="str">
        <f aca="false">IF(AND(AND(F105&lt;&gt;"",K105&lt;&gt;"Completed",K105&lt;&gt;"Cancelled"),OR(P105="Yes",AND(M105&lt;&gt;"",M105&lt;='Weekly Report'!$F$7),AND(L105&lt;&gt;"",L105&gt;='Weekly Report'!$F$6,L105&lt;='Weekly Report'!$F$7))),ROW(),"")</f>
        <v/>
      </c>
    </row>
    <row r="106" customFormat="false" ht="15" hidden="false" customHeight="false" outlineLevel="0" collapsed="false">
      <c r="A106" s="56" t="s">
        <v>1587</v>
      </c>
      <c r="B106" s="63"/>
      <c r="C106" s="61"/>
      <c r="D106" s="61"/>
      <c r="E106" s="61"/>
      <c r="F106" s="60"/>
      <c r="G106" s="61"/>
      <c r="H106" s="61"/>
      <c r="I106" s="61"/>
      <c r="J106" s="61"/>
      <c r="K106" s="61"/>
      <c r="L106" s="63"/>
      <c r="M106" s="63"/>
      <c r="N106" s="63"/>
      <c r="O106" s="94"/>
      <c r="P106" s="61"/>
      <c r="Q106" s="63"/>
      <c r="R106" s="60"/>
      <c r="S106" s="60"/>
      <c r="T106" s="63"/>
      <c r="U106" s="60"/>
      <c r="V106" s="60"/>
      <c r="W106" s="87" t="str">
        <f aca="true">IF(B106="","",IF(N106&lt;&gt;"",N106-B106,TODAY()-B106))</f>
        <v/>
      </c>
      <c r="X106" s="62" t="str">
        <f aca="true">IF(OR(M106="",K106="Completed",K106="Cancelled"),"",IF(M106&lt;TODAY(),"OVERDUE",IF(M106-TODAY()&lt;=7,"Due ≤7d","On Schedule")))</f>
        <v/>
      </c>
      <c r="Y106" s="60"/>
      <c r="Z106" s="88" t="str">
        <f aca="false">IF(AND(N106&lt;&gt;"",N106&gt;='Weekly Report'!$F$4,N106&lt;='Weekly Report'!$F$5),ROW(),"")</f>
        <v/>
      </c>
      <c r="AA106" s="88" t="str">
        <f aca="false">IF(AND(AND(Q106&lt;&gt;"",Q106&gt;='Weekly Report'!$F$4,Q106&lt;='Weekly Report'!$F$5),AND(F106&lt;&gt;"",K106&lt;&gt;"Completed",K106&lt;&gt;"Cancelled")),ROW(),"")</f>
        <v/>
      </c>
      <c r="AB106" s="88" t="str">
        <f aca="false">IF(AND(F106&lt;&gt;"",K106="In Progress"),ROW(),"")</f>
        <v/>
      </c>
      <c r="AC106" s="88" t="str">
        <f aca="false">IF(AND(AND(F106&lt;&gt;"",K106&lt;&gt;"Completed",K106&lt;&gt;"Cancelled"),OR(K106="Blocked",S106&lt;&gt;"")),ROW(),"")</f>
        <v/>
      </c>
      <c r="AD106" s="88" t="str">
        <f aca="false">IF(AND(AND(F106&lt;&gt;"",K106&lt;&gt;"Completed",K106&lt;&gt;"Cancelled"),OR(P106="Yes",AND(M106&lt;&gt;"",M106&lt;='Weekly Report'!$F$7),AND(L106&lt;&gt;"",L106&gt;='Weekly Report'!$F$6,L106&lt;='Weekly Report'!$F$7))),ROW(),"")</f>
        <v/>
      </c>
    </row>
    <row r="107" customFormat="false" ht="15" hidden="false" customHeight="false" outlineLevel="0" collapsed="false">
      <c r="A107" s="56" t="s">
        <v>1588</v>
      </c>
      <c r="B107" s="63"/>
      <c r="C107" s="61"/>
      <c r="D107" s="61"/>
      <c r="E107" s="61"/>
      <c r="F107" s="60"/>
      <c r="G107" s="61"/>
      <c r="H107" s="61"/>
      <c r="I107" s="61"/>
      <c r="J107" s="61"/>
      <c r="K107" s="61"/>
      <c r="L107" s="63"/>
      <c r="M107" s="63"/>
      <c r="N107" s="63"/>
      <c r="O107" s="94"/>
      <c r="P107" s="61"/>
      <c r="Q107" s="63"/>
      <c r="R107" s="60"/>
      <c r="S107" s="60"/>
      <c r="T107" s="63"/>
      <c r="U107" s="60"/>
      <c r="V107" s="60"/>
      <c r="W107" s="87" t="str">
        <f aca="true">IF(B107="","",IF(N107&lt;&gt;"",N107-B107,TODAY()-B107))</f>
        <v/>
      </c>
      <c r="X107" s="62" t="str">
        <f aca="true">IF(OR(M107="",K107="Completed",K107="Cancelled"),"",IF(M107&lt;TODAY(),"OVERDUE",IF(M107-TODAY()&lt;=7,"Due ≤7d","On Schedule")))</f>
        <v/>
      </c>
      <c r="Y107" s="60"/>
      <c r="Z107" s="88" t="str">
        <f aca="false">IF(AND(N107&lt;&gt;"",N107&gt;='Weekly Report'!$F$4,N107&lt;='Weekly Report'!$F$5),ROW(),"")</f>
        <v/>
      </c>
      <c r="AA107" s="88" t="str">
        <f aca="false">IF(AND(AND(Q107&lt;&gt;"",Q107&gt;='Weekly Report'!$F$4,Q107&lt;='Weekly Report'!$F$5),AND(F107&lt;&gt;"",K107&lt;&gt;"Completed",K107&lt;&gt;"Cancelled")),ROW(),"")</f>
        <v/>
      </c>
      <c r="AB107" s="88" t="str">
        <f aca="false">IF(AND(F107&lt;&gt;"",K107="In Progress"),ROW(),"")</f>
        <v/>
      </c>
      <c r="AC107" s="88" t="str">
        <f aca="false">IF(AND(AND(F107&lt;&gt;"",K107&lt;&gt;"Completed",K107&lt;&gt;"Cancelled"),OR(K107="Blocked",S107&lt;&gt;"")),ROW(),"")</f>
        <v/>
      </c>
      <c r="AD107" s="88" t="str">
        <f aca="false">IF(AND(AND(F107&lt;&gt;"",K107&lt;&gt;"Completed",K107&lt;&gt;"Cancelled"),OR(P107="Yes",AND(M107&lt;&gt;"",M107&lt;='Weekly Report'!$F$7),AND(L107&lt;&gt;"",L107&gt;='Weekly Report'!$F$6,L107&lt;='Weekly Report'!$F$7))),ROW(),"")</f>
        <v/>
      </c>
    </row>
    <row r="108" customFormat="false" ht="15" hidden="false" customHeight="false" outlineLevel="0" collapsed="false">
      <c r="A108" s="56" t="s">
        <v>1589</v>
      </c>
      <c r="B108" s="63"/>
      <c r="C108" s="61"/>
      <c r="D108" s="61"/>
      <c r="E108" s="61"/>
      <c r="F108" s="60"/>
      <c r="G108" s="61"/>
      <c r="H108" s="61"/>
      <c r="I108" s="61"/>
      <c r="J108" s="61"/>
      <c r="K108" s="61"/>
      <c r="L108" s="63"/>
      <c r="M108" s="63"/>
      <c r="N108" s="63"/>
      <c r="O108" s="94"/>
      <c r="P108" s="61"/>
      <c r="Q108" s="63"/>
      <c r="R108" s="60"/>
      <c r="S108" s="60"/>
      <c r="T108" s="63"/>
      <c r="U108" s="60"/>
      <c r="V108" s="60"/>
      <c r="W108" s="87" t="str">
        <f aca="true">IF(B108="","",IF(N108&lt;&gt;"",N108-B108,TODAY()-B108))</f>
        <v/>
      </c>
      <c r="X108" s="62" t="str">
        <f aca="true">IF(OR(M108="",K108="Completed",K108="Cancelled"),"",IF(M108&lt;TODAY(),"OVERDUE",IF(M108-TODAY()&lt;=7,"Due ≤7d","On Schedule")))</f>
        <v/>
      </c>
      <c r="Y108" s="60"/>
      <c r="Z108" s="88" t="str">
        <f aca="false">IF(AND(N108&lt;&gt;"",N108&gt;='Weekly Report'!$F$4,N108&lt;='Weekly Report'!$F$5),ROW(),"")</f>
        <v/>
      </c>
      <c r="AA108" s="88" t="str">
        <f aca="false">IF(AND(AND(Q108&lt;&gt;"",Q108&gt;='Weekly Report'!$F$4,Q108&lt;='Weekly Report'!$F$5),AND(F108&lt;&gt;"",K108&lt;&gt;"Completed",K108&lt;&gt;"Cancelled")),ROW(),"")</f>
        <v/>
      </c>
      <c r="AB108" s="88" t="str">
        <f aca="false">IF(AND(F108&lt;&gt;"",K108="In Progress"),ROW(),"")</f>
        <v/>
      </c>
      <c r="AC108" s="88" t="str">
        <f aca="false">IF(AND(AND(F108&lt;&gt;"",K108&lt;&gt;"Completed",K108&lt;&gt;"Cancelled"),OR(K108="Blocked",S108&lt;&gt;"")),ROW(),"")</f>
        <v/>
      </c>
      <c r="AD108" s="88" t="str">
        <f aca="false">IF(AND(AND(F108&lt;&gt;"",K108&lt;&gt;"Completed",K108&lt;&gt;"Cancelled"),OR(P108="Yes",AND(M108&lt;&gt;"",M108&lt;='Weekly Report'!$F$7),AND(L108&lt;&gt;"",L108&gt;='Weekly Report'!$F$6,L108&lt;='Weekly Report'!$F$7))),ROW(),"")</f>
        <v/>
      </c>
    </row>
    <row r="109" customFormat="false" ht="15" hidden="false" customHeight="false" outlineLevel="0" collapsed="false">
      <c r="A109" s="56" t="s">
        <v>1590</v>
      </c>
      <c r="B109" s="63"/>
      <c r="C109" s="61"/>
      <c r="D109" s="61"/>
      <c r="E109" s="61"/>
      <c r="F109" s="60"/>
      <c r="G109" s="61"/>
      <c r="H109" s="61"/>
      <c r="I109" s="61"/>
      <c r="J109" s="61"/>
      <c r="K109" s="61"/>
      <c r="L109" s="63"/>
      <c r="M109" s="63"/>
      <c r="N109" s="63"/>
      <c r="O109" s="94"/>
      <c r="P109" s="61"/>
      <c r="Q109" s="63"/>
      <c r="R109" s="60"/>
      <c r="S109" s="60"/>
      <c r="T109" s="63"/>
      <c r="U109" s="60"/>
      <c r="V109" s="60"/>
      <c r="W109" s="87" t="str">
        <f aca="true">IF(B109="","",IF(N109&lt;&gt;"",N109-B109,TODAY()-B109))</f>
        <v/>
      </c>
      <c r="X109" s="62" t="str">
        <f aca="true">IF(OR(M109="",K109="Completed",K109="Cancelled"),"",IF(M109&lt;TODAY(),"OVERDUE",IF(M109-TODAY()&lt;=7,"Due ≤7d","On Schedule")))</f>
        <v/>
      </c>
      <c r="Y109" s="60"/>
      <c r="Z109" s="88" t="str">
        <f aca="false">IF(AND(N109&lt;&gt;"",N109&gt;='Weekly Report'!$F$4,N109&lt;='Weekly Report'!$F$5),ROW(),"")</f>
        <v/>
      </c>
      <c r="AA109" s="88" t="str">
        <f aca="false">IF(AND(AND(Q109&lt;&gt;"",Q109&gt;='Weekly Report'!$F$4,Q109&lt;='Weekly Report'!$F$5),AND(F109&lt;&gt;"",K109&lt;&gt;"Completed",K109&lt;&gt;"Cancelled")),ROW(),"")</f>
        <v/>
      </c>
      <c r="AB109" s="88" t="str">
        <f aca="false">IF(AND(F109&lt;&gt;"",K109="In Progress"),ROW(),"")</f>
        <v/>
      </c>
      <c r="AC109" s="88" t="str">
        <f aca="false">IF(AND(AND(F109&lt;&gt;"",K109&lt;&gt;"Completed",K109&lt;&gt;"Cancelled"),OR(K109="Blocked",S109&lt;&gt;"")),ROW(),"")</f>
        <v/>
      </c>
      <c r="AD109" s="88" t="str">
        <f aca="false">IF(AND(AND(F109&lt;&gt;"",K109&lt;&gt;"Completed",K109&lt;&gt;"Cancelled"),OR(P109="Yes",AND(M109&lt;&gt;"",M109&lt;='Weekly Report'!$F$7),AND(L109&lt;&gt;"",L109&gt;='Weekly Report'!$F$6,L109&lt;='Weekly Report'!$F$7))),ROW(),"")</f>
        <v/>
      </c>
    </row>
    <row r="110" customFormat="false" ht="15" hidden="false" customHeight="false" outlineLevel="0" collapsed="false">
      <c r="A110" s="56" t="s">
        <v>1591</v>
      </c>
      <c r="B110" s="63"/>
      <c r="C110" s="61"/>
      <c r="D110" s="61"/>
      <c r="E110" s="61"/>
      <c r="F110" s="60"/>
      <c r="G110" s="61"/>
      <c r="H110" s="61"/>
      <c r="I110" s="61"/>
      <c r="J110" s="61"/>
      <c r="K110" s="61"/>
      <c r="L110" s="63"/>
      <c r="M110" s="63"/>
      <c r="N110" s="63"/>
      <c r="O110" s="94"/>
      <c r="P110" s="61"/>
      <c r="Q110" s="63"/>
      <c r="R110" s="60"/>
      <c r="S110" s="60"/>
      <c r="T110" s="63"/>
      <c r="U110" s="60"/>
      <c r="V110" s="60"/>
      <c r="W110" s="87" t="str">
        <f aca="true">IF(B110="","",IF(N110&lt;&gt;"",N110-B110,TODAY()-B110))</f>
        <v/>
      </c>
      <c r="X110" s="62" t="str">
        <f aca="true">IF(OR(M110="",K110="Completed",K110="Cancelled"),"",IF(M110&lt;TODAY(),"OVERDUE",IF(M110-TODAY()&lt;=7,"Due ≤7d","On Schedule")))</f>
        <v/>
      </c>
      <c r="Y110" s="60"/>
      <c r="Z110" s="88" t="str">
        <f aca="false">IF(AND(N110&lt;&gt;"",N110&gt;='Weekly Report'!$F$4,N110&lt;='Weekly Report'!$F$5),ROW(),"")</f>
        <v/>
      </c>
      <c r="AA110" s="88" t="str">
        <f aca="false">IF(AND(AND(Q110&lt;&gt;"",Q110&gt;='Weekly Report'!$F$4,Q110&lt;='Weekly Report'!$F$5),AND(F110&lt;&gt;"",K110&lt;&gt;"Completed",K110&lt;&gt;"Cancelled")),ROW(),"")</f>
        <v/>
      </c>
      <c r="AB110" s="88" t="str">
        <f aca="false">IF(AND(F110&lt;&gt;"",K110="In Progress"),ROW(),"")</f>
        <v/>
      </c>
      <c r="AC110" s="88" t="str">
        <f aca="false">IF(AND(AND(F110&lt;&gt;"",K110&lt;&gt;"Completed",K110&lt;&gt;"Cancelled"),OR(K110="Blocked",S110&lt;&gt;"")),ROW(),"")</f>
        <v/>
      </c>
      <c r="AD110" s="88" t="str">
        <f aca="false">IF(AND(AND(F110&lt;&gt;"",K110&lt;&gt;"Completed",K110&lt;&gt;"Cancelled"),OR(P110="Yes",AND(M110&lt;&gt;"",M110&lt;='Weekly Report'!$F$7),AND(L110&lt;&gt;"",L110&gt;='Weekly Report'!$F$6,L110&lt;='Weekly Report'!$F$7))),ROW(),"")</f>
        <v/>
      </c>
    </row>
    <row r="111" customFormat="false" ht="15" hidden="false" customHeight="false" outlineLevel="0" collapsed="false">
      <c r="A111" s="56" t="s">
        <v>1592</v>
      </c>
      <c r="B111" s="63"/>
      <c r="C111" s="61"/>
      <c r="D111" s="61"/>
      <c r="E111" s="61"/>
      <c r="F111" s="60"/>
      <c r="G111" s="61"/>
      <c r="H111" s="61"/>
      <c r="I111" s="61"/>
      <c r="J111" s="61"/>
      <c r="K111" s="61"/>
      <c r="L111" s="63"/>
      <c r="M111" s="63"/>
      <c r="N111" s="63"/>
      <c r="O111" s="94"/>
      <c r="P111" s="61"/>
      <c r="Q111" s="63"/>
      <c r="R111" s="60"/>
      <c r="S111" s="60"/>
      <c r="T111" s="63"/>
      <c r="U111" s="60"/>
      <c r="V111" s="60"/>
      <c r="W111" s="87" t="str">
        <f aca="true">IF(B111="","",IF(N111&lt;&gt;"",N111-B111,TODAY()-B111))</f>
        <v/>
      </c>
      <c r="X111" s="62" t="str">
        <f aca="true">IF(OR(M111="",K111="Completed",K111="Cancelled"),"",IF(M111&lt;TODAY(),"OVERDUE",IF(M111-TODAY()&lt;=7,"Due ≤7d","On Schedule")))</f>
        <v/>
      </c>
      <c r="Y111" s="60"/>
      <c r="Z111" s="88" t="str">
        <f aca="false">IF(AND(N111&lt;&gt;"",N111&gt;='Weekly Report'!$F$4,N111&lt;='Weekly Report'!$F$5),ROW(),"")</f>
        <v/>
      </c>
      <c r="AA111" s="88" t="str">
        <f aca="false">IF(AND(AND(Q111&lt;&gt;"",Q111&gt;='Weekly Report'!$F$4,Q111&lt;='Weekly Report'!$F$5),AND(F111&lt;&gt;"",K111&lt;&gt;"Completed",K111&lt;&gt;"Cancelled")),ROW(),"")</f>
        <v/>
      </c>
      <c r="AB111" s="88" t="str">
        <f aca="false">IF(AND(F111&lt;&gt;"",K111="In Progress"),ROW(),"")</f>
        <v/>
      </c>
      <c r="AC111" s="88" t="str">
        <f aca="false">IF(AND(AND(F111&lt;&gt;"",K111&lt;&gt;"Completed",K111&lt;&gt;"Cancelled"),OR(K111="Blocked",S111&lt;&gt;"")),ROW(),"")</f>
        <v/>
      </c>
      <c r="AD111" s="88" t="str">
        <f aca="false">IF(AND(AND(F111&lt;&gt;"",K111&lt;&gt;"Completed",K111&lt;&gt;"Cancelled"),OR(P111="Yes",AND(M111&lt;&gt;"",M111&lt;='Weekly Report'!$F$7),AND(L111&lt;&gt;"",L111&gt;='Weekly Report'!$F$6,L111&lt;='Weekly Report'!$F$7))),ROW(),"")</f>
        <v/>
      </c>
    </row>
    <row r="112" customFormat="false" ht="15" hidden="false" customHeight="false" outlineLevel="0" collapsed="false">
      <c r="A112" s="56" t="s">
        <v>1593</v>
      </c>
      <c r="B112" s="63"/>
      <c r="C112" s="61"/>
      <c r="D112" s="61"/>
      <c r="E112" s="61"/>
      <c r="F112" s="60"/>
      <c r="G112" s="61"/>
      <c r="H112" s="61"/>
      <c r="I112" s="61"/>
      <c r="J112" s="61"/>
      <c r="K112" s="61"/>
      <c r="L112" s="63"/>
      <c r="M112" s="63"/>
      <c r="N112" s="63"/>
      <c r="O112" s="94"/>
      <c r="P112" s="61"/>
      <c r="Q112" s="63"/>
      <c r="R112" s="60"/>
      <c r="S112" s="60"/>
      <c r="T112" s="63"/>
      <c r="U112" s="60"/>
      <c r="V112" s="60"/>
      <c r="W112" s="87" t="str">
        <f aca="true">IF(B112="","",IF(N112&lt;&gt;"",N112-B112,TODAY()-B112))</f>
        <v/>
      </c>
      <c r="X112" s="62" t="str">
        <f aca="true">IF(OR(M112="",K112="Completed",K112="Cancelled"),"",IF(M112&lt;TODAY(),"OVERDUE",IF(M112-TODAY()&lt;=7,"Due ≤7d","On Schedule")))</f>
        <v/>
      </c>
      <c r="Y112" s="60"/>
      <c r="Z112" s="88" t="str">
        <f aca="false">IF(AND(N112&lt;&gt;"",N112&gt;='Weekly Report'!$F$4,N112&lt;='Weekly Report'!$F$5),ROW(),"")</f>
        <v/>
      </c>
      <c r="AA112" s="88" t="str">
        <f aca="false">IF(AND(AND(Q112&lt;&gt;"",Q112&gt;='Weekly Report'!$F$4,Q112&lt;='Weekly Report'!$F$5),AND(F112&lt;&gt;"",K112&lt;&gt;"Completed",K112&lt;&gt;"Cancelled")),ROW(),"")</f>
        <v/>
      </c>
      <c r="AB112" s="88" t="str">
        <f aca="false">IF(AND(F112&lt;&gt;"",K112="In Progress"),ROW(),"")</f>
        <v/>
      </c>
      <c r="AC112" s="88" t="str">
        <f aca="false">IF(AND(AND(F112&lt;&gt;"",K112&lt;&gt;"Completed",K112&lt;&gt;"Cancelled"),OR(K112="Blocked",S112&lt;&gt;"")),ROW(),"")</f>
        <v/>
      </c>
      <c r="AD112" s="88" t="str">
        <f aca="false">IF(AND(AND(F112&lt;&gt;"",K112&lt;&gt;"Completed",K112&lt;&gt;"Cancelled"),OR(P112="Yes",AND(M112&lt;&gt;"",M112&lt;='Weekly Report'!$F$7),AND(L112&lt;&gt;"",L112&gt;='Weekly Report'!$F$6,L112&lt;='Weekly Report'!$F$7))),ROW(),"")</f>
        <v/>
      </c>
    </row>
    <row r="113" customFormat="false" ht="15" hidden="false" customHeight="false" outlineLevel="0" collapsed="false">
      <c r="A113" s="56" t="s">
        <v>1594</v>
      </c>
      <c r="B113" s="63"/>
      <c r="C113" s="61"/>
      <c r="D113" s="61"/>
      <c r="E113" s="61"/>
      <c r="F113" s="60"/>
      <c r="G113" s="61"/>
      <c r="H113" s="61"/>
      <c r="I113" s="61"/>
      <c r="J113" s="61"/>
      <c r="K113" s="61"/>
      <c r="L113" s="63"/>
      <c r="M113" s="63"/>
      <c r="N113" s="63"/>
      <c r="O113" s="94"/>
      <c r="P113" s="61"/>
      <c r="Q113" s="63"/>
      <c r="R113" s="60"/>
      <c r="S113" s="60"/>
      <c r="T113" s="63"/>
      <c r="U113" s="60"/>
      <c r="V113" s="60"/>
      <c r="W113" s="87" t="str">
        <f aca="true">IF(B113="","",IF(N113&lt;&gt;"",N113-B113,TODAY()-B113))</f>
        <v/>
      </c>
      <c r="X113" s="62" t="str">
        <f aca="true">IF(OR(M113="",K113="Completed",K113="Cancelled"),"",IF(M113&lt;TODAY(),"OVERDUE",IF(M113-TODAY()&lt;=7,"Due ≤7d","On Schedule")))</f>
        <v/>
      </c>
      <c r="Y113" s="60"/>
      <c r="Z113" s="88" t="str">
        <f aca="false">IF(AND(N113&lt;&gt;"",N113&gt;='Weekly Report'!$F$4,N113&lt;='Weekly Report'!$F$5),ROW(),"")</f>
        <v/>
      </c>
      <c r="AA113" s="88" t="str">
        <f aca="false">IF(AND(AND(Q113&lt;&gt;"",Q113&gt;='Weekly Report'!$F$4,Q113&lt;='Weekly Report'!$F$5),AND(F113&lt;&gt;"",K113&lt;&gt;"Completed",K113&lt;&gt;"Cancelled")),ROW(),"")</f>
        <v/>
      </c>
      <c r="AB113" s="88" t="str">
        <f aca="false">IF(AND(F113&lt;&gt;"",K113="In Progress"),ROW(),"")</f>
        <v/>
      </c>
      <c r="AC113" s="88" t="str">
        <f aca="false">IF(AND(AND(F113&lt;&gt;"",K113&lt;&gt;"Completed",K113&lt;&gt;"Cancelled"),OR(K113="Blocked",S113&lt;&gt;"")),ROW(),"")</f>
        <v/>
      </c>
      <c r="AD113" s="88" t="str">
        <f aca="false">IF(AND(AND(F113&lt;&gt;"",K113&lt;&gt;"Completed",K113&lt;&gt;"Cancelled"),OR(P113="Yes",AND(M113&lt;&gt;"",M113&lt;='Weekly Report'!$F$7),AND(L113&lt;&gt;"",L113&gt;='Weekly Report'!$F$6,L113&lt;='Weekly Report'!$F$7))),ROW(),"")</f>
        <v/>
      </c>
    </row>
    <row r="114" customFormat="false" ht="15" hidden="false" customHeight="false" outlineLevel="0" collapsed="false">
      <c r="A114" s="56" t="s">
        <v>1595</v>
      </c>
      <c r="B114" s="63"/>
      <c r="C114" s="61"/>
      <c r="D114" s="61"/>
      <c r="E114" s="61"/>
      <c r="F114" s="60"/>
      <c r="G114" s="61"/>
      <c r="H114" s="61"/>
      <c r="I114" s="61"/>
      <c r="J114" s="61"/>
      <c r="K114" s="61"/>
      <c r="L114" s="63"/>
      <c r="M114" s="63"/>
      <c r="N114" s="63"/>
      <c r="O114" s="94"/>
      <c r="P114" s="61"/>
      <c r="Q114" s="63"/>
      <c r="R114" s="60"/>
      <c r="S114" s="60"/>
      <c r="T114" s="63"/>
      <c r="U114" s="60"/>
      <c r="V114" s="60"/>
      <c r="W114" s="87" t="str">
        <f aca="true">IF(B114="","",IF(N114&lt;&gt;"",N114-B114,TODAY()-B114))</f>
        <v/>
      </c>
      <c r="X114" s="62" t="str">
        <f aca="true">IF(OR(M114="",K114="Completed",K114="Cancelled"),"",IF(M114&lt;TODAY(),"OVERDUE",IF(M114-TODAY()&lt;=7,"Due ≤7d","On Schedule")))</f>
        <v/>
      </c>
      <c r="Y114" s="60"/>
      <c r="Z114" s="88" t="str">
        <f aca="false">IF(AND(N114&lt;&gt;"",N114&gt;='Weekly Report'!$F$4,N114&lt;='Weekly Report'!$F$5),ROW(),"")</f>
        <v/>
      </c>
      <c r="AA114" s="88" t="str">
        <f aca="false">IF(AND(AND(Q114&lt;&gt;"",Q114&gt;='Weekly Report'!$F$4,Q114&lt;='Weekly Report'!$F$5),AND(F114&lt;&gt;"",K114&lt;&gt;"Completed",K114&lt;&gt;"Cancelled")),ROW(),"")</f>
        <v/>
      </c>
      <c r="AB114" s="88" t="str">
        <f aca="false">IF(AND(F114&lt;&gt;"",K114="In Progress"),ROW(),"")</f>
        <v/>
      </c>
      <c r="AC114" s="88" t="str">
        <f aca="false">IF(AND(AND(F114&lt;&gt;"",K114&lt;&gt;"Completed",K114&lt;&gt;"Cancelled"),OR(K114="Blocked",S114&lt;&gt;"")),ROW(),"")</f>
        <v/>
      </c>
      <c r="AD114" s="88" t="str">
        <f aca="false">IF(AND(AND(F114&lt;&gt;"",K114&lt;&gt;"Completed",K114&lt;&gt;"Cancelled"),OR(P114="Yes",AND(M114&lt;&gt;"",M114&lt;='Weekly Report'!$F$7),AND(L114&lt;&gt;"",L114&gt;='Weekly Report'!$F$6,L114&lt;='Weekly Report'!$F$7))),ROW(),"")</f>
        <v/>
      </c>
    </row>
    <row r="115" customFormat="false" ht="15" hidden="false" customHeight="false" outlineLevel="0" collapsed="false">
      <c r="A115" s="56" t="s">
        <v>1596</v>
      </c>
      <c r="B115" s="63"/>
      <c r="C115" s="61"/>
      <c r="D115" s="61"/>
      <c r="E115" s="61"/>
      <c r="F115" s="60"/>
      <c r="G115" s="61"/>
      <c r="H115" s="61"/>
      <c r="I115" s="61"/>
      <c r="J115" s="61"/>
      <c r="K115" s="61"/>
      <c r="L115" s="63"/>
      <c r="M115" s="63"/>
      <c r="N115" s="63"/>
      <c r="O115" s="94"/>
      <c r="P115" s="61"/>
      <c r="Q115" s="63"/>
      <c r="R115" s="60"/>
      <c r="S115" s="60"/>
      <c r="T115" s="63"/>
      <c r="U115" s="60"/>
      <c r="V115" s="60"/>
      <c r="W115" s="87" t="str">
        <f aca="true">IF(B115="","",IF(N115&lt;&gt;"",N115-B115,TODAY()-B115))</f>
        <v/>
      </c>
      <c r="X115" s="62" t="str">
        <f aca="true">IF(OR(M115="",K115="Completed",K115="Cancelled"),"",IF(M115&lt;TODAY(),"OVERDUE",IF(M115-TODAY()&lt;=7,"Due ≤7d","On Schedule")))</f>
        <v/>
      </c>
      <c r="Y115" s="60"/>
      <c r="Z115" s="88" t="str">
        <f aca="false">IF(AND(N115&lt;&gt;"",N115&gt;='Weekly Report'!$F$4,N115&lt;='Weekly Report'!$F$5),ROW(),"")</f>
        <v/>
      </c>
      <c r="AA115" s="88" t="str">
        <f aca="false">IF(AND(AND(Q115&lt;&gt;"",Q115&gt;='Weekly Report'!$F$4,Q115&lt;='Weekly Report'!$F$5),AND(F115&lt;&gt;"",K115&lt;&gt;"Completed",K115&lt;&gt;"Cancelled")),ROW(),"")</f>
        <v/>
      </c>
      <c r="AB115" s="88" t="str">
        <f aca="false">IF(AND(F115&lt;&gt;"",K115="In Progress"),ROW(),"")</f>
        <v/>
      </c>
      <c r="AC115" s="88" t="str">
        <f aca="false">IF(AND(AND(F115&lt;&gt;"",K115&lt;&gt;"Completed",K115&lt;&gt;"Cancelled"),OR(K115="Blocked",S115&lt;&gt;"")),ROW(),"")</f>
        <v/>
      </c>
      <c r="AD115" s="88" t="str">
        <f aca="false">IF(AND(AND(F115&lt;&gt;"",K115&lt;&gt;"Completed",K115&lt;&gt;"Cancelled"),OR(P115="Yes",AND(M115&lt;&gt;"",M115&lt;='Weekly Report'!$F$7),AND(L115&lt;&gt;"",L115&gt;='Weekly Report'!$F$6,L115&lt;='Weekly Report'!$F$7))),ROW(),"")</f>
        <v/>
      </c>
    </row>
    <row r="116" customFormat="false" ht="15" hidden="false" customHeight="false" outlineLevel="0" collapsed="false">
      <c r="A116" s="56" t="s">
        <v>1597</v>
      </c>
      <c r="B116" s="63"/>
      <c r="C116" s="61"/>
      <c r="D116" s="61"/>
      <c r="E116" s="61"/>
      <c r="F116" s="60"/>
      <c r="G116" s="61"/>
      <c r="H116" s="61"/>
      <c r="I116" s="61"/>
      <c r="J116" s="61"/>
      <c r="K116" s="61"/>
      <c r="L116" s="63"/>
      <c r="M116" s="63"/>
      <c r="N116" s="63"/>
      <c r="O116" s="94"/>
      <c r="P116" s="61"/>
      <c r="Q116" s="63"/>
      <c r="R116" s="60"/>
      <c r="S116" s="60"/>
      <c r="T116" s="63"/>
      <c r="U116" s="60"/>
      <c r="V116" s="60"/>
      <c r="W116" s="87" t="str">
        <f aca="true">IF(B116="","",IF(N116&lt;&gt;"",N116-B116,TODAY()-B116))</f>
        <v/>
      </c>
      <c r="X116" s="62" t="str">
        <f aca="true">IF(OR(M116="",K116="Completed",K116="Cancelled"),"",IF(M116&lt;TODAY(),"OVERDUE",IF(M116-TODAY()&lt;=7,"Due ≤7d","On Schedule")))</f>
        <v/>
      </c>
      <c r="Y116" s="60"/>
      <c r="Z116" s="88" t="str">
        <f aca="false">IF(AND(N116&lt;&gt;"",N116&gt;='Weekly Report'!$F$4,N116&lt;='Weekly Report'!$F$5),ROW(),"")</f>
        <v/>
      </c>
      <c r="AA116" s="88" t="str">
        <f aca="false">IF(AND(AND(Q116&lt;&gt;"",Q116&gt;='Weekly Report'!$F$4,Q116&lt;='Weekly Report'!$F$5),AND(F116&lt;&gt;"",K116&lt;&gt;"Completed",K116&lt;&gt;"Cancelled")),ROW(),"")</f>
        <v/>
      </c>
      <c r="AB116" s="88" t="str">
        <f aca="false">IF(AND(F116&lt;&gt;"",K116="In Progress"),ROW(),"")</f>
        <v/>
      </c>
      <c r="AC116" s="88" t="str">
        <f aca="false">IF(AND(AND(F116&lt;&gt;"",K116&lt;&gt;"Completed",K116&lt;&gt;"Cancelled"),OR(K116="Blocked",S116&lt;&gt;"")),ROW(),"")</f>
        <v/>
      </c>
      <c r="AD116" s="88" t="str">
        <f aca="false">IF(AND(AND(F116&lt;&gt;"",K116&lt;&gt;"Completed",K116&lt;&gt;"Cancelled"),OR(P116="Yes",AND(M116&lt;&gt;"",M116&lt;='Weekly Report'!$F$7),AND(L116&lt;&gt;"",L116&gt;='Weekly Report'!$F$6,L116&lt;='Weekly Report'!$F$7))),ROW(),"")</f>
        <v/>
      </c>
    </row>
    <row r="117" customFormat="false" ht="15" hidden="false" customHeight="false" outlineLevel="0" collapsed="false">
      <c r="A117" s="56" t="s">
        <v>1598</v>
      </c>
      <c r="B117" s="63"/>
      <c r="C117" s="61"/>
      <c r="D117" s="61"/>
      <c r="E117" s="61"/>
      <c r="F117" s="60"/>
      <c r="G117" s="61"/>
      <c r="H117" s="61"/>
      <c r="I117" s="61"/>
      <c r="J117" s="61"/>
      <c r="K117" s="61"/>
      <c r="L117" s="63"/>
      <c r="M117" s="63"/>
      <c r="N117" s="63"/>
      <c r="O117" s="94"/>
      <c r="P117" s="61"/>
      <c r="Q117" s="63"/>
      <c r="R117" s="60"/>
      <c r="S117" s="60"/>
      <c r="T117" s="63"/>
      <c r="U117" s="60"/>
      <c r="V117" s="60"/>
      <c r="W117" s="87" t="str">
        <f aca="true">IF(B117="","",IF(N117&lt;&gt;"",N117-B117,TODAY()-B117))</f>
        <v/>
      </c>
      <c r="X117" s="62" t="str">
        <f aca="true">IF(OR(M117="",K117="Completed",K117="Cancelled"),"",IF(M117&lt;TODAY(),"OVERDUE",IF(M117-TODAY()&lt;=7,"Due ≤7d","On Schedule")))</f>
        <v/>
      </c>
      <c r="Y117" s="60"/>
      <c r="Z117" s="88" t="str">
        <f aca="false">IF(AND(N117&lt;&gt;"",N117&gt;='Weekly Report'!$F$4,N117&lt;='Weekly Report'!$F$5),ROW(),"")</f>
        <v/>
      </c>
      <c r="AA117" s="88" t="str">
        <f aca="false">IF(AND(AND(Q117&lt;&gt;"",Q117&gt;='Weekly Report'!$F$4,Q117&lt;='Weekly Report'!$F$5),AND(F117&lt;&gt;"",K117&lt;&gt;"Completed",K117&lt;&gt;"Cancelled")),ROW(),"")</f>
        <v/>
      </c>
      <c r="AB117" s="88" t="str">
        <f aca="false">IF(AND(F117&lt;&gt;"",K117="In Progress"),ROW(),"")</f>
        <v/>
      </c>
      <c r="AC117" s="88" t="str">
        <f aca="false">IF(AND(AND(F117&lt;&gt;"",K117&lt;&gt;"Completed",K117&lt;&gt;"Cancelled"),OR(K117="Blocked",S117&lt;&gt;"")),ROW(),"")</f>
        <v/>
      </c>
      <c r="AD117" s="88" t="str">
        <f aca="false">IF(AND(AND(F117&lt;&gt;"",K117&lt;&gt;"Completed",K117&lt;&gt;"Cancelled"),OR(P117="Yes",AND(M117&lt;&gt;"",M117&lt;='Weekly Report'!$F$7),AND(L117&lt;&gt;"",L117&gt;='Weekly Report'!$F$6,L117&lt;='Weekly Report'!$F$7))),ROW(),"")</f>
        <v/>
      </c>
    </row>
    <row r="118" customFormat="false" ht="15" hidden="false" customHeight="false" outlineLevel="0" collapsed="false">
      <c r="A118" s="56" t="s">
        <v>1599</v>
      </c>
      <c r="B118" s="63"/>
      <c r="C118" s="61"/>
      <c r="D118" s="61"/>
      <c r="E118" s="61"/>
      <c r="F118" s="60"/>
      <c r="G118" s="61"/>
      <c r="H118" s="61"/>
      <c r="I118" s="61"/>
      <c r="J118" s="61"/>
      <c r="K118" s="61"/>
      <c r="L118" s="63"/>
      <c r="M118" s="63"/>
      <c r="N118" s="63"/>
      <c r="O118" s="94"/>
      <c r="P118" s="61"/>
      <c r="Q118" s="63"/>
      <c r="R118" s="60"/>
      <c r="S118" s="60"/>
      <c r="T118" s="63"/>
      <c r="U118" s="60"/>
      <c r="V118" s="60"/>
      <c r="W118" s="87" t="str">
        <f aca="true">IF(B118="","",IF(N118&lt;&gt;"",N118-B118,TODAY()-B118))</f>
        <v/>
      </c>
      <c r="X118" s="62" t="str">
        <f aca="true">IF(OR(M118="",K118="Completed",K118="Cancelled"),"",IF(M118&lt;TODAY(),"OVERDUE",IF(M118-TODAY()&lt;=7,"Due ≤7d","On Schedule")))</f>
        <v/>
      </c>
      <c r="Y118" s="60"/>
      <c r="Z118" s="88" t="str">
        <f aca="false">IF(AND(N118&lt;&gt;"",N118&gt;='Weekly Report'!$F$4,N118&lt;='Weekly Report'!$F$5),ROW(),"")</f>
        <v/>
      </c>
      <c r="AA118" s="88" t="str">
        <f aca="false">IF(AND(AND(Q118&lt;&gt;"",Q118&gt;='Weekly Report'!$F$4,Q118&lt;='Weekly Report'!$F$5),AND(F118&lt;&gt;"",K118&lt;&gt;"Completed",K118&lt;&gt;"Cancelled")),ROW(),"")</f>
        <v/>
      </c>
      <c r="AB118" s="88" t="str">
        <f aca="false">IF(AND(F118&lt;&gt;"",K118="In Progress"),ROW(),"")</f>
        <v/>
      </c>
      <c r="AC118" s="88" t="str">
        <f aca="false">IF(AND(AND(F118&lt;&gt;"",K118&lt;&gt;"Completed",K118&lt;&gt;"Cancelled"),OR(K118="Blocked",S118&lt;&gt;"")),ROW(),"")</f>
        <v/>
      </c>
      <c r="AD118" s="88" t="str">
        <f aca="false">IF(AND(AND(F118&lt;&gt;"",K118&lt;&gt;"Completed",K118&lt;&gt;"Cancelled"),OR(P118="Yes",AND(M118&lt;&gt;"",M118&lt;='Weekly Report'!$F$7),AND(L118&lt;&gt;"",L118&gt;='Weekly Report'!$F$6,L118&lt;='Weekly Report'!$F$7))),ROW(),"")</f>
        <v/>
      </c>
    </row>
    <row r="119" customFormat="false" ht="15" hidden="false" customHeight="false" outlineLevel="0" collapsed="false">
      <c r="A119" s="56" t="s">
        <v>1600</v>
      </c>
      <c r="B119" s="63"/>
      <c r="C119" s="61"/>
      <c r="D119" s="61"/>
      <c r="E119" s="61"/>
      <c r="F119" s="60"/>
      <c r="G119" s="61"/>
      <c r="H119" s="61"/>
      <c r="I119" s="61"/>
      <c r="J119" s="61"/>
      <c r="K119" s="61"/>
      <c r="L119" s="63"/>
      <c r="M119" s="63"/>
      <c r="N119" s="63"/>
      <c r="O119" s="94"/>
      <c r="P119" s="61"/>
      <c r="Q119" s="63"/>
      <c r="R119" s="60"/>
      <c r="S119" s="60"/>
      <c r="T119" s="63"/>
      <c r="U119" s="60"/>
      <c r="V119" s="60"/>
      <c r="W119" s="87" t="str">
        <f aca="true">IF(B119="","",IF(N119&lt;&gt;"",N119-B119,TODAY()-B119))</f>
        <v/>
      </c>
      <c r="X119" s="62" t="str">
        <f aca="true">IF(OR(M119="",K119="Completed",K119="Cancelled"),"",IF(M119&lt;TODAY(),"OVERDUE",IF(M119-TODAY()&lt;=7,"Due ≤7d","On Schedule")))</f>
        <v/>
      </c>
      <c r="Y119" s="60"/>
      <c r="Z119" s="88" t="str">
        <f aca="false">IF(AND(N119&lt;&gt;"",N119&gt;='Weekly Report'!$F$4,N119&lt;='Weekly Report'!$F$5),ROW(),"")</f>
        <v/>
      </c>
      <c r="AA119" s="88" t="str">
        <f aca="false">IF(AND(AND(Q119&lt;&gt;"",Q119&gt;='Weekly Report'!$F$4,Q119&lt;='Weekly Report'!$F$5),AND(F119&lt;&gt;"",K119&lt;&gt;"Completed",K119&lt;&gt;"Cancelled")),ROW(),"")</f>
        <v/>
      </c>
      <c r="AB119" s="88" t="str">
        <f aca="false">IF(AND(F119&lt;&gt;"",K119="In Progress"),ROW(),"")</f>
        <v/>
      </c>
      <c r="AC119" s="88" t="str">
        <f aca="false">IF(AND(AND(F119&lt;&gt;"",K119&lt;&gt;"Completed",K119&lt;&gt;"Cancelled"),OR(K119="Blocked",S119&lt;&gt;"")),ROW(),"")</f>
        <v/>
      </c>
      <c r="AD119" s="88" t="str">
        <f aca="false">IF(AND(AND(F119&lt;&gt;"",K119&lt;&gt;"Completed",K119&lt;&gt;"Cancelled"),OR(P119="Yes",AND(M119&lt;&gt;"",M119&lt;='Weekly Report'!$F$7),AND(L119&lt;&gt;"",L119&gt;='Weekly Report'!$F$6,L119&lt;='Weekly Report'!$F$7))),ROW(),"")</f>
        <v/>
      </c>
    </row>
    <row r="120" customFormat="false" ht="15" hidden="false" customHeight="false" outlineLevel="0" collapsed="false">
      <c r="A120" s="56" t="s">
        <v>1601</v>
      </c>
      <c r="B120" s="63"/>
      <c r="C120" s="61"/>
      <c r="D120" s="61"/>
      <c r="E120" s="61"/>
      <c r="F120" s="60"/>
      <c r="G120" s="61"/>
      <c r="H120" s="61"/>
      <c r="I120" s="61"/>
      <c r="J120" s="61"/>
      <c r="K120" s="61"/>
      <c r="L120" s="63"/>
      <c r="M120" s="63"/>
      <c r="N120" s="63"/>
      <c r="O120" s="94"/>
      <c r="P120" s="61"/>
      <c r="Q120" s="63"/>
      <c r="R120" s="60"/>
      <c r="S120" s="60"/>
      <c r="T120" s="63"/>
      <c r="U120" s="60"/>
      <c r="V120" s="60"/>
      <c r="W120" s="87" t="str">
        <f aca="true">IF(B120="","",IF(N120&lt;&gt;"",N120-B120,TODAY()-B120))</f>
        <v/>
      </c>
      <c r="X120" s="62" t="str">
        <f aca="true">IF(OR(M120="",K120="Completed",K120="Cancelled"),"",IF(M120&lt;TODAY(),"OVERDUE",IF(M120-TODAY()&lt;=7,"Due ≤7d","On Schedule")))</f>
        <v/>
      </c>
      <c r="Y120" s="60"/>
      <c r="Z120" s="88" t="str">
        <f aca="false">IF(AND(N120&lt;&gt;"",N120&gt;='Weekly Report'!$F$4,N120&lt;='Weekly Report'!$F$5),ROW(),"")</f>
        <v/>
      </c>
      <c r="AA120" s="88" t="str">
        <f aca="false">IF(AND(AND(Q120&lt;&gt;"",Q120&gt;='Weekly Report'!$F$4,Q120&lt;='Weekly Report'!$F$5),AND(F120&lt;&gt;"",K120&lt;&gt;"Completed",K120&lt;&gt;"Cancelled")),ROW(),"")</f>
        <v/>
      </c>
      <c r="AB120" s="88" t="str">
        <f aca="false">IF(AND(F120&lt;&gt;"",K120="In Progress"),ROW(),"")</f>
        <v/>
      </c>
      <c r="AC120" s="88" t="str">
        <f aca="false">IF(AND(AND(F120&lt;&gt;"",K120&lt;&gt;"Completed",K120&lt;&gt;"Cancelled"),OR(K120="Blocked",S120&lt;&gt;"")),ROW(),"")</f>
        <v/>
      </c>
      <c r="AD120" s="88" t="str">
        <f aca="false">IF(AND(AND(F120&lt;&gt;"",K120&lt;&gt;"Completed",K120&lt;&gt;"Cancelled"),OR(P120="Yes",AND(M120&lt;&gt;"",M120&lt;='Weekly Report'!$F$7),AND(L120&lt;&gt;"",L120&gt;='Weekly Report'!$F$6,L120&lt;='Weekly Report'!$F$7))),ROW(),"")</f>
        <v/>
      </c>
    </row>
    <row r="121" customFormat="false" ht="15" hidden="false" customHeight="false" outlineLevel="0" collapsed="false">
      <c r="A121" s="56" t="s">
        <v>1602</v>
      </c>
      <c r="B121" s="63"/>
      <c r="C121" s="61"/>
      <c r="D121" s="61"/>
      <c r="E121" s="61"/>
      <c r="F121" s="60"/>
      <c r="G121" s="61"/>
      <c r="H121" s="61"/>
      <c r="I121" s="61"/>
      <c r="J121" s="61"/>
      <c r="K121" s="61"/>
      <c r="L121" s="63"/>
      <c r="M121" s="63"/>
      <c r="N121" s="63"/>
      <c r="O121" s="94"/>
      <c r="P121" s="61"/>
      <c r="Q121" s="63"/>
      <c r="R121" s="60"/>
      <c r="S121" s="60"/>
      <c r="T121" s="63"/>
      <c r="U121" s="60"/>
      <c r="V121" s="60"/>
      <c r="W121" s="87" t="str">
        <f aca="true">IF(B121="","",IF(N121&lt;&gt;"",N121-B121,TODAY()-B121))</f>
        <v/>
      </c>
      <c r="X121" s="62" t="str">
        <f aca="true">IF(OR(M121="",K121="Completed",K121="Cancelled"),"",IF(M121&lt;TODAY(),"OVERDUE",IF(M121-TODAY()&lt;=7,"Due ≤7d","On Schedule")))</f>
        <v/>
      </c>
      <c r="Y121" s="60"/>
      <c r="Z121" s="88" t="str">
        <f aca="false">IF(AND(N121&lt;&gt;"",N121&gt;='Weekly Report'!$F$4,N121&lt;='Weekly Report'!$F$5),ROW(),"")</f>
        <v/>
      </c>
      <c r="AA121" s="88" t="str">
        <f aca="false">IF(AND(AND(Q121&lt;&gt;"",Q121&gt;='Weekly Report'!$F$4,Q121&lt;='Weekly Report'!$F$5),AND(F121&lt;&gt;"",K121&lt;&gt;"Completed",K121&lt;&gt;"Cancelled")),ROW(),"")</f>
        <v/>
      </c>
      <c r="AB121" s="88" t="str">
        <f aca="false">IF(AND(F121&lt;&gt;"",K121="In Progress"),ROW(),"")</f>
        <v/>
      </c>
      <c r="AC121" s="88" t="str">
        <f aca="false">IF(AND(AND(F121&lt;&gt;"",K121&lt;&gt;"Completed",K121&lt;&gt;"Cancelled"),OR(K121="Blocked",S121&lt;&gt;"")),ROW(),"")</f>
        <v/>
      </c>
      <c r="AD121" s="88" t="str">
        <f aca="false">IF(AND(AND(F121&lt;&gt;"",K121&lt;&gt;"Completed",K121&lt;&gt;"Cancelled"),OR(P121="Yes",AND(M121&lt;&gt;"",M121&lt;='Weekly Report'!$F$7),AND(L121&lt;&gt;"",L121&gt;='Weekly Report'!$F$6,L121&lt;='Weekly Report'!$F$7))),ROW(),"")</f>
        <v/>
      </c>
    </row>
    <row r="122" customFormat="false" ht="15" hidden="false" customHeight="false" outlineLevel="0" collapsed="false">
      <c r="A122" s="56" t="s">
        <v>1603</v>
      </c>
      <c r="B122" s="63"/>
      <c r="C122" s="61"/>
      <c r="D122" s="61"/>
      <c r="E122" s="61"/>
      <c r="F122" s="60"/>
      <c r="G122" s="61"/>
      <c r="H122" s="61"/>
      <c r="I122" s="61"/>
      <c r="J122" s="61"/>
      <c r="K122" s="61"/>
      <c r="L122" s="63"/>
      <c r="M122" s="63"/>
      <c r="N122" s="63"/>
      <c r="O122" s="94"/>
      <c r="P122" s="61"/>
      <c r="Q122" s="63"/>
      <c r="R122" s="60"/>
      <c r="S122" s="60"/>
      <c r="T122" s="63"/>
      <c r="U122" s="60"/>
      <c r="V122" s="60"/>
      <c r="W122" s="87" t="str">
        <f aca="true">IF(B122="","",IF(N122&lt;&gt;"",N122-B122,TODAY()-B122))</f>
        <v/>
      </c>
      <c r="X122" s="62" t="str">
        <f aca="true">IF(OR(M122="",K122="Completed",K122="Cancelled"),"",IF(M122&lt;TODAY(),"OVERDUE",IF(M122-TODAY()&lt;=7,"Due ≤7d","On Schedule")))</f>
        <v/>
      </c>
      <c r="Y122" s="60"/>
      <c r="Z122" s="88" t="str">
        <f aca="false">IF(AND(N122&lt;&gt;"",N122&gt;='Weekly Report'!$F$4,N122&lt;='Weekly Report'!$F$5),ROW(),"")</f>
        <v/>
      </c>
      <c r="AA122" s="88" t="str">
        <f aca="false">IF(AND(AND(Q122&lt;&gt;"",Q122&gt;='Weekly Report'!$F$4,Q122&lt;='Weekly Report'!$F$5),AND(F122&lt;&gt;"",K122&lt;&gt;"Completed",K122&lt;&gt;"Cancelled")),ROW(),"")</f>
        <v/>
      </c>
      <c r="AB122" s="88" t="str">
        <f aca="false">IF(AND(F122&lt;&gt;"",K122="In Progress"),ROW(),"")</f>
        <v/>
      </c>
      <c r="AC122" s="88" t="str">
        <f aca="false">IF(AND(AND(F122&lt;&gt;"",K122&lt;&gt;"Completed",K122&lt;&gt;"Cancelled"),OR(K122="Blocked",S122&lt;&gt;"")),ROW(),"")</f>
        <v/>
      </c>
      <c r="AD122" s="88" t="str">
        <f aca="false">IF(AND(AND(F122&lt;&gt;"",K122&lt;&gt;"Completed",K122&lt;&gt;"Cancelled"),OR(P122="Yes",AND(M122&lt;&gt;"",M122&lt;='Weekly Report'!$F$7),AND(L122&lt;&gt;"",L122&gt;='Weekly Report'!$F$6,L122&lt;='Weekly Report'!$F$7))),ROW(),"")</f>
        <v/>
      </c>
    </row>
    <row r="123" customFormat="false" ht="15" hidden="false" customHeight="false" outlineLevel="0" collapsed="false">
      <c r="A123" s="56" t="s">
        <v>1604</v>
      </c>
      <c r="B123" s="63"/>
      <c r="C123" s="61"/>
      <c r="D123" s="61"/>
      <c r="E123" s="61"/>
      <c r="F123" s="60"/>
      <c r="G123" s="61"/>
      <c r="H123" s="61"/>
      <c r="I123" s="61"/>
      <c r="J123" s="61"/>
      <c r="K123" s="61"/>
      <c r="L123" s="63"/>
      <c r="M123" s="63"/>
      <c r="N123" s="63"/>
      <c r="O123" s="94"/>
      <c r="P123" s="61"/>
      <c r="Q123" s="63"/>
      <c r="R123" s="60"/>
      <c r="S123" s="60"/>
      <c r="T123" s="63"/>
      <c r="U123" s="60"/>
      <c r="V123" s="60"/>
      <c r="W123" s="87" t="str">
        <f aca="true">IF(B123="","",IF(N123&lt;&gt;"",N123-B123,TODAY()-B123))</f>
        <v/>
      </c>
      <c r="X123" s="62" t="str">
        <f aca="true">IF(OR(M123="",K123="Completed",K123="Cancelled"),"",IF(M123&lt;TODAY(),"OVERDUE",IF(M123-TODAY()&lt;=7,"Due ≤7d","On Schedule")))</f>
        <v/>
      </c>
      <c r="Y123" s="60"/>
      <c r="Z123" s="88" t="str">
        <f aca="false">IF(AND(N123&lt;&gt;"",N123&gt;='Weekly Report'!$F$4,N123&lt;='Weekly Report'!$F$5),ROW(),"")</f>
        <v/>
      </c>
      <c r="AA123" s="88" t="str">
        <f aca="false">IF(AND(AND(Q123&lt;&gt;"",Q123&gt;='Weekly Report'!$F$4,Q123&lt;='Weekly Report'!$F$5),AND(F123&lt;&gt;"",K123&lt;&gt;"Completed",K123&lt;&gt;"Cancelled")),ROW(),"")</f>
        <v/>
      </c>
      <c r="AB123" s="88" t="str">
        <f aca="false">IF(AND(F123&lt;&gt;"",K123="In Progress"),ROW(),"")</f>
        <v/>
      </c>
      <c r="AC123" s="88" t="str">
        <f aca="false">IF(AND(AND(F123&lt;&gt;"",K123&lt;&gt;"Completed",K123&lt;&gt;"Cancelled"),OR(K123="Blocked",S123&lt;&gt;"")),ROW(),"")</f>
        <v/>
      </c>
      <c r="AD123" s="88" t="str">
        <f aca="false">IF(AND(AND(F123&lt;&gt;"",K123&lt;&gt;"Completed",K123&lt;&gt;"Cancelled"),OR(P123="Yes",AND(M123&lt;&gt;"",M123&lt;='Weekly Report'!$F$7),AND(L123&lt;&gt;"",L123&gt;='Weekly Report'!$F$6,L123&lt;='Weekly Report'!$F$7))),ROW(),"")</f>
        <v/>
      </c>
    </row>
    <row r="124" customFormat="false" ht="15" hidden="false" customHeight="false" outlineLevel="0" collapsed="false">
      <c r="A124" s="56" t="s">
        <v>1605</v>
      </c>
      <c r="B124" s="63"/>
      <c r="C124" s="61"/>
      <c r="D124" s="61"/>
      <c r="E124" s="61"/>
      <c r="F124" s="60"/>
      <c r="G124" s="61"/>
      <c r="H124" s="61"/>
      <c r="I124" s="61"/>
      <c r="J124" s="61"/>
      <c r="K124" s="61"/>
      <c r="L124" s="63"/>
      <c r="M124" s="63"/>
      <c r="N124" s="63"/>
      <c r="O124" s="94"/>
      <c r="P124" s="61"/>
      <c r="Q124" s="63"/>
      <c r="R124" s="60"/>
      <c r="S124" s="60"/>
      <c r="T124" s="63"/>
      <c r="U124" s="60"/>
      <c r="V124" s="60"/>
      <c r="W124" s="87" t="str">
        <f aca="true">IF(B124="","",IF(N124&lt;&gt;"",N124-B124,TODAY()-B124))</f>
        <v/>
      </c>
      <c r="X124" s="62" t="str">
        <f aca="true">IF(OR(M124="",K124="Completed",K124="Cancelled"),"",IF(M124&lt;TODAY(),"OVERDUE",IF(M124-TODAY()&lt;=7,"Due ≤7d","On Schedule")))</f>
        <v/>
      </c>
      <c r="Y124" s="60"/>
      <c r="Z124" s="88" t="str">
        <f aca="false">IF(AND(N124&lt;&gt;"",N124&gt;='Weekly Report'!$F$4,N124&lt;='Weekly Report'!$F$5),ROW(),"")</f>
        <v/>
      </c>
      <c r="AA124" s="88" t="str">
        <f aca="false">IF(AND(AND(Q124&lt;&gt;"",Q124&gt;='Weekly Report'!$F$4,Q124&lt;='Weekly Report'!$F$5),AND(F124&lt;&gt;"",K124&lt;&gt;"Completed",K124&lt;&gt;"Cancelled")),ROW(),"")</f>
        <v/>
      </c>
      <c r="AB124" s="88" t="str">
        <f aca="false">IF(AND(F124&lt;&gt;"",K124="In Progress"),ROW(),"")</f>
        <v/>
      </c>
      <c r="AC124" s="88" t="str">
        <f aca="false">IF(AND(AND(F124&lt;&gt;"",K124&lt;&gt;"Completed",K124&lt;&gt;"Cancelled"),OR(K124="Blocked",S124&lt;&gt;"")),ROW(),"")</f>
        <v/>
      </c>
      <c r="AD124" s="88" t="str">
        <f aca="false">IF(AND(AND(F124&lt;&gt;"",K124&lt;&gt;"Completed",K124&lt;&gt;"Cancelled"),OR(P124="Yes",AND(M124&lt;&gt;"",M124&lt;='Weekly Report'!$F$7),AND(L124&lt;&gt;"",L124&gt;='Weekly Report'!$F$6,L124&lt;='Weekly Report'!$F$7))),ROW(),"")</f>
        <v/>
      </c>
    </row>
    <row r="125" customFormat="false" ht="15" hidden="false" customHeight="false" outlineLevel="0" collapsed="false">
      <c r="A125" s="56" t="s">
        <v>1606</v>
      </c>
      <c r="B125" s="63"/>
      <c r="C125" s="61"/>
      <c r="D125" s="61"/>
      <c r="E125" s="61"/>
      <c r="F125" s="60"/>
      <c r="G125" s="61"/>
      <c r="H125" s="61"/>
      <c r="I125" s="61"/>
      <c r="J125" s="61"/>
      <c r="K125" s="61"/>
      <c r="L125" s="63"/>
      <c r="M125" s="63"/>
      <c r="N125" s="63"/>
      <c r="O125" s="94"/>
      <c r="P125" s="61"/>
      <c r="Q125" s="63"/>
      <c r="R125" s="60"/>
      <c r="S125" s="60"/>
      <c r="T125" s="63"/>
      <c r="U125" s="60"/>
      <c r="V125" s="60"/>
      <c r="W125" s="87" t="str">
        <f aca="true">IF(B125="","",IF(N125&lt;&gt;"",N125-B125,TODAY()-B125))</f>
        <v/>
      </c>
      <c r="X125" s="62" t="str">
        <f aca="true">IF(OR(M125="",K125="Completed",K125="Cancelled"),"",IF(M125&lt;TODAY(),"OVERDUE",IF(M125-TODAY()&lt;=7,"Due ≤7d","On Schedule")))</f>
        <v/>
      </c>
      <c r="Y125" s="60"/>
      <c r="Z125" s="88" t="str">
        <f aca="false">IF(AND(N125&lt;&gt;"",N125&gt;='Weekly Report'!$F$4,N125&lt;='Weekly Report'!$F$5),ROW(),"")</f>
        <v/>
      </c>
      <c r="AA125" s="88" t="str">
        <f aca="false">IF(AND(AND(Q125&lt;&gt;"",Q125&gt;='Weekly Report'!$F$4,Q125&lt;='Weekly Report'!$F$5),AND(F125&lt;&gt;"",K125&lt;&gt;"Completed",K125&lt;&gt;"Cancelled")),ROW(),"")</f>
        <v/>
      </c>
      <c r="AB125" s="88" t="str">
        <f aca="false">IF(AND(F125&lt;&gt;"",K125="In Progress"),ROW(),"")</f>
        <v/>
      </c>
      <c r="AC125" s="88" t="str">
        <f aca="false">IF(AND(AND(F125&lt;&gt;"",K125&lt;&gt;"Completed",K125&lt;&gt;"Cancelled"),OR(K125="Blocked",S125&lt;&gt;"")),ROW(),"")</f>
        <v/>
      </c>
      <c r="AD125" s="88" t="str">
        <f aca="false">IF(AND(AND(F125&lt;&gt;"",K125&lt;&gt;"Completed",K125&lt;&gt;"Cancelled"),OR(P125="Yes",AND(M125&lt;&gt;"",M125&lt;='Weekly Report'!$F$7),AND(L125&lt;&gt;"",L125&gt;='Weekly Report'!$F$6,L125&lt;='Weekly Report'!$F$7))),ROW(),"")</f>
        <v/>
      </c>
    </row>
    <row r="126" customFormat="false" ht="15" hidden="false" customHeight="false" outlineLevel="0" collapsed="false">
      <c r="A126" s="56" t="s">
        <v>1607</v>
      </c>
      <c r="B126" s="63"/>
      <c r="C126" s="61"/>
      <c r="D126" s="61"/>
      <c r="E126" s="61"/>
      <c r="F126" s="60"/>
      <c r="G126" s="61"/>
      <c r="H126" s="61"/>
      <c r="I126" s="61"/>
      <c r="J126" s="61"/>
      <c r="K126" s="61"/>
      <c r="L126" s="63"/>
      <c r="M126" s="63"/>
      <c r="N126" s="63"/>
      <c r="O126" s="94"/>
      <c r="P126" s="61"/>
      <c r="Q126" s="63"/>
      <c r="R126" s="60"/>
      <c r="S126" s="60"/>
      <c r="T126" s="63"/>
      <c r="U126" s="60"/>
      <c r="V126" s="60"/>
      <c r="W126" s="87" t="str">
        <f aca="true">IF(B126="","",IF(N126&lt;&gt;"",N126-B126,TODAY()-B126))</f>
        <v/>
      </c>
      <c r="X126" s="62" t="str">
        <f aca="true">IF(OR(M126="",K126="Completed",K126="Cancelled"),"",IF(M126&lt;TODAY(),"OVERDUE",IF(M126-TODAY()&lt;=7,"Due ≤7d","On Schedule")))</f>
        <v/>
      </c>
      <c r="Y126" s="60"/>
      <c r="Z126" s="88" t="str">
        <f aca="false">IF(AND(N126&lt;&gt;"",N126&gt;='Weekly Report'!$F$4,N126&lt;='Weekly Report'!$F$5),ROW(),"")</f>
        <v/>
      </c>
      <c r="AA126" s="88" t="str">
        <f aca="false">IF(AND(AND(Q126&lt;&gt;"",Q126&gt;='Weekly Report'!$F$4,Q126&lt;='Weekly Report'!$F$5),AND(F126&lt;&gt;"",K126&lt;&gt;"Completed",K126&lt;&gt;"Cancelled")),ROW(),"")</f>
        <v/>
      </c>
      <c r="AB126" s="88" t="str">
        <f aca="false">IF(AND(F126&lt;&gt;"",K126="In Progress"),ROW(),"")</f>
        <v/>
      </c>
      <c r="AC126" s="88" t="str">
        <f aca="false">IF(AND(AND(F126&lt;&gt;"",K126&lt;&gt;"Completed",K126&lt;&gt;"Cancelled"),OR(K126="Blocked",S126&lt;&gt;"")),ROW(),"")</f>
        <v/>
      </c>
      <c r="AD126" s="88" t="str">
        <f aca="false">IF(AND(AND(F126&lt;&gt;"",K126&lt;&gt;"Completed",K126&lt;&gt;"Cancelled"),OR(P126="Yes",AND(M126&lt;&gt;"",M126&lt;='Weekly Report'!$F$7),AND(L126&lt;&gt;"",L126&gt;='Weekly Report'!$F$6,L126&lt;='Weekly Report'!$F$7))),ROW(),"")</f>
        <v/>
      </c>
    </row>
    <row r="127" customFormat="false" ht="15" hidden="false" customHeight="false" outlineLevel="0" collapsed="false">
      <c r="A127" s="56" t="s">
        <v>1608</v>
      </c>
      <c r="B127" s="63"/>
      <c r="C127" s="61"/>
      <c r="D127" s="61"/>
      <c r="E127" s="61"/>
      <c r="F127" s="60"/>
      <c r="G127" s="61"/>
      <c r="H127" s="61"/>
      <c r="I127" s="61"/>
      <c r="J127" s="61"/>
      <c r="K127" s="61"/>
      <c r="L127" s="63"/>
      <c r="M127" s="63"/>
      <c r="N127" s="63"/>
      <c r="O127" s="94"/>
      <c r="P127" s="61"/>
      <c r="Q127" s="63"/>
      <c r="R127" s="60"/>
      <c r="S127" s="60"/>
      <c r="T127" s="63"/>
      <c r="U127" s="60"/>
      <c r="V127" s="60"/>
      <c r="W127" s="87" t="str">
        <f aca="true">IF(B127="","",IF(N127&lt;&gt;"",N127-B127,TODAY()-B127))</f>
        <v/>
      </c>
      <c r="X127" s="62" t="str">
        <f aca="true">IF(OR(M127="",K127="Completed",K127="Cancelled"),"",IF(M127&lt;TODAY(),"OVERDUE",IF(M127-TODAY()&lt;=7,"Due ≤7d","On Schedule")))</f>
        <v/>
      </c>
      <c r="Y127" s="60"/>
      <c r="Z127" s="88" t="str">
        <f aca="false">IF(AND(N127&lt;&gt;"",N127&gt;='Weekly Report'!$F$4,N127&lt;='Weekly Report'!$F$5),ROW(),"")</f>
        <v/>
      </c>
      <c r="AA127" s="88" t="str">
        <f aca="false">IF(AND(AND(Q127&lt;&gt;"",Q127&gt;='Weekly Report'!$F$4,Q127&lt;='Weekly Report'!$F$5),AND(F127&lt;&gt;"",K127&lt;&gt;"Completed",K127&lt;&gt;"Cancelled")),ROW(),"")</f>
        <v/>
      </c>
      <c r="AB127" s="88" t="str">
        <f aca="false">IF(AND(F127&lt;&gt;"",K127="In Progress"),ROW(),"")</f>
        <v/>
      </c>
      <c r="AC127" s="88" t="str">
        <f aca="false">IF(AND(AND(F127&lt;&gt;"",K127&lt;&gt;"Completed",K127&lt;&gt;"Cancelled"),OR(K127="Blocked",S127&lt;&gt;"")),ROW(),"")</f>
        <v/>
      </c>
      <c r="AD127" s="88" t="str">
        <f aca="false">IF(AND(AND(F127&lt;&gt;"",K127&lt;&gt;"Completed",K127&lt;&gt;"Cancelled"),OR(P127="Yes",AND(M127&lt;&gt;"",M127&lt;='Weekly Report'!$F$7),AND(L127&lt;&gt;"",L127&gt;='Weekly Report'!$F$6,L127&lt;='Weekly Report'!$F$7))),ROW(),"")</f>
        <v/>
      </c>
    </row>
    <row r="128" customFormat="false" ht="15" hidden="false" customHeight="false" outlineLevel="0" collapsed="false">
      <c r="A128" s="56" t="s">
        <v>1609</v>
      </c>
      <c r="B128" s="63"/>
      <c r="C128" s="61"/>
      <c r="D128" s="61"/>
      <c r="E128" s="61"/>
      <c r="F128" s="60"/>
      <c r="G128" s="61"/>
      <c r="H128" s="61"/>
      <c r="I128" s="61"/>
      <c r="J128" s="61"/>
      <c r="K128" s="61"/>
      <c r="L128" s="63"/>
      <c r="M128" s="63"/>
      <c r="N128" s="63"/>
      <c r="O128" s="94"/>
      <c r="P128" s="61"/>
      <c r="Q128" s="63"/>
      <c r="R128" s="60"/>
      <c r="S128" s="60"/>
      <c r="T128" s="63"/>
      <c r="U128" s="60"/>
      <c r="V128" s="60"/>
      <c r="W128" s="87" t="str">
        <f aca="true">IF(B128="","",IF(N128&lt;&gt;"",N128-B128,TODAY()-B128))</f>
        <v/>
      </c>
      <c r="X128" s="62" t="str">
        <f aca="true">IF(OR(M128="",K128="Completed",K128="Cancelled"),"",IF(M128&lt;TODAY(),"OVERDUE",IF(M128-TODAY()&lt;=7,"Due ≤7d","On Schedule")))</f>
        <v/>
      </c>
      <c r="Y128" s="60"/>
      <c r="Z128" s="88" t="str">
        <f aca="false">IF(AND(N128&lt;&gt;"",N128&gt;='Weekly Report'!$F$4,N128&lt;='Weekly Report'!$F$5),ROW(),"")</f>
        <v/>
      </c>
      <c r="AA128" s="88" t="str">
        <f aca="false">IF(AND(AND(Q128&lt;&gt;"",Q128&gt;='Weekly Report'!$F$4,Q128&lt;='Weekly Report'!$F$5),AND(F128&lt;&gt;"",K128&lt;&gt;"Completed",K128&lt;&gt;"Cancelled")),ROW(),"")</f>
        <v/>
      </c>
      <c r="AB128" s="88" t="str">
        <f aca="false">IF(AND(F128&lt;&gt;"",K128="In Progress"),ROW(),"")</f>
        <v/>
      </c>
      <c r="AC128" s="88" t="str">
        <f aca="false">IF(AND(AND(F128&lt;&gt;"",K128&lt;&gt;"Completed",K128&lt;&gt;"Cancelled"),OR(K128="Blocked",S128&lt;&gt;"")),ROW(),"")</f>
        <v/>
      </c>
      <c r="AD128" s="88" t="str">
        <f aca="false">IF(AND(AND(F128&lt;&gt;"",K128&lt;&gt;"Completed",K128&lt;&gt;"Cancelled"),OR(P128="Yes",AND(M128&lt;&gt;"",M128&lt;='Weekly Report'!$F$7),AND(L128&lt;&gt;"",L128&gt;='Weekly Report'!$F$6,L128&lt;='Weekly Report'!$F$7))),ROW(),"")</f>
        <v/>
      </c>
    </row>
    <row r="129" customFormat="false" ht="15" hidden="false" customHeight="false" outlineLevel="0" collapsed="false">
      <c r="A129" s="56" t="s">
        <v>1610</v>
      </c>
      <c r="B129" s="63"/>
      <c r="C129" s="61"/>
      <c r="D129" s="61"/>
      <c r="E129" s="61"/>
      <c r="F129" s="60"/>
      <c r="G129" s="61"/>
      <c r="H129" s="61"/>
      <c r="I129" s="61"/>
      <c r="J129" s="61"/>
      <c r="K129" s="61"/>
      <c r="L129" s="63"/>
      <c r="M129" s="63"/>
      <c r="N129" s="63"/>
      <c r="O129" s="94"/>
      <c r="P129" s="61"/>
      <c r="Q129" s="63"/>
      <c r="R129" s="60"/>
      <c r="S129" s="60"/>
      <c r="T129" s="63"/>
      <c r="U129" s="60"/>
      <c r="V129" s="60"/>
      <c r="W129" s="87" t="str">
        <f aca="true">IF(B129="","",IF(N129&lt;&gt;"",N129-B129,TODAY()-B129))</f>
        <v/>
      </c>
      <c r="X129" s="62" t="str">
        <f aca="true">IF(OR(M129="",K129="Completed",K129="Cancelled"),"",IF(M129&lt;TODAY(),"OVERDUE",IF(M129-TODAY()&lt;=7,"Due ≤7d","On Schedule")))</f>
        <v/>
      </c>
      <c r="Y129" s="60"/>
      <c r="Z129" s="88" t="str">
        <f aca="false">IF(AND(N129&lt;&gt;"",N129&gt;='Weekly Report'!$F$4,N129&lt;='Weekly Report'!$F$5),ROW(),"")</f>
        <v/>
      </c>
      <c r="AA129" s="88" t="str">
        <f aca="false">IF(AND(AND(Q129&lt;&gt;"",Q129&gt;='Weekly Report'!$F$4,Q129&lt;='Weekly Report'!$F$5),AND(F129&lt;&gt;"",K129&lt;&gt;"Completed",K129&lt;&gt;"Cancelled")),ROW(),"")</f>
        <v/>
      </c>
      <c r="AB129" s="88" t="str">
        <f aca="false">IF(AND(F129&lt;&gt;"",K129="In Progress"),ROW(),"")</f>
        <v/>
      </c>
      <c r="AC129" s="88" t="str">
        <f aca="false">IF(AND(AND(F129&lt;&gt;"",K129&lt;&gt;"Completed",K129&lt;&gt;"Cancelled"),OR(K129="Blocked",S129&lt;&gt;"")),ROW(),"")</f>
        <v/>
      </c>
      <c r="AD129" s="88" t="str">
        <f aca="false">IF(AND(AND(F129&lt;&gt;"",K129&lt;&gt;"Completed",K129&lt;&gt;"Cancelled"),OR(P129="Yes",AND(M129&lt;&gt;"",M129&lt;='Weekly Report'!$F$7),AND(L129&lt;&gt;"",L129&gt;='Weekly Report'!$F$6,L129&lt;='Weekly Report'!$F$7))),ROW(),"")</f>
        <v/>
      </c>
    </row>
    <row r="130" customFormat="false" ht="15" hidden="false" customHeight="false" outlineLevel="0" collapsed="false">
      <c r="A130" s="56" t="s">
        <v>1611</v>
      </c>
      <c r="B130" s="63"/>
      <c r="C130" s="61"/>
      <c r="D130" s="61"/>
      <c r="E130" s="61"/>
      <c r="F130" s="60"/>
      <c r="G130" s="61"/>
      <c r="H130" s="61"/>
      <c r="I130" s="61"/>
      <c r="J130" s="61"/>
      <c r="K130" s="61"/>
      <c r="L130" s="63"/>
      <c r="M130" s="63"/>
      <c r="N130" s="63"/>
      <c r="O130" s="94"/>
      <c r="P130" s="61"/>
      <c r="Q130" s="63"/>
      <c r="R130" s="60"/>
      <c r="S130" s="60"/>
      <c r="T130" s="63"/>
      <c r="U130" s="60"/>
      <c r="V130" s="60"/>
      <c r="W130" s="87" t="str">
        <f aca="true">IF(B130="","",IF(N130&lt;&gt;"",N130-B130,TODAY()-B130))</f>
        <v/>
      </c>
      <c r="X130" s="62" t="str">
        <f aca="true">IF(OR(M130="",K130="Completed",K130="Cancelled"),"",IF(M130&lt;TODAY(),"OVERDUE",IF(M130-TODAY()&lt;=7,"Due ≤7d","On Schedule")))</f>
        <v/>
      </c>
      <c r="Y130" s="60"/>
      <c r="Z130" s="88" t="str">
        <f aca="false">IF(AND(N130&lt;&gt;"",N130&gt;='Weekly Report'!$F$4,N130&lt;='Weekly Report'!$F$5),ROW(),"")</f>
        <v/>
      </c>
      <c r="AA130" s="88" t="str">
        <f aca="false">IF(AND(AND(Q130&lt;&gt;"",Q130&gt;='Weekly Report'!$F$4,Q130&lt;='Weekly Report'!$F$5),AND(F130&lt;&gt;"",K130&lt;&gt;"Completed",K130&lt;&gt;"Cancelled")),ROW(),"")</f>
        <v/>
      </c>
      <c r="AB130" s="88" t="str">
        <f aca="false">IF(AND(F130&lt;&gt;"",K130="In Progress"),ROW(),"")</f>
        <v/>
      </c>
      <c r="AC130" s="88" t="str">
        <f aca="false">IF(AND(AND(F130&lt;&gt;"",K130&lt;&gt;"Completed",K130&lt;&gt;"Cancelled"),OR(K130="Blocked",S130&lt;&gt;"")),ROW(),"")</f>
        <v/>
      </c>
      <c r="AD130" s="88" t="str">
        <f aca="false">IF(AND(AND(F130&lt;&gt;"",K130&lt;&gt;"Completed",K130&lt;&gt;"Cancelled"),OR(P130="Yes",AND(M130&lt;&gt;"",M130&lt;='Weekly Report'!$F$7),AND(L130&lt;&gt;"",L130&gt;='Weekly Report'!$F$6,L130&lt;='Weekly Report'!$F$7))),ROW(),"")</f>
        <v/>
      </c>
    </row>
    <row r="131" customFormat="false" ht="15" hidden="false" customHeight="false" outlineLevel="0" collapsed="false">
      <c r="A131" s="56" t="s">
        <v>1612</v>
      </c>
      <c r="B131" s="63"/>
      <c r="C131" s="61"/>
      <c r="D131" s="61"/>
      <c r="E131" s="61"/>
      <c r="F131" s="60"/>
      <c r="G131" s="61"/>
      <c r="H131" s="61"/>
      <c r="I131" s="61"/>
      <c r="J131" s="61"/>
      <c r="K131" s="61"/>
      <c r="L131" s="63"/>
      <c r="M131" s="63"/>
      <c r="N131" s="63"/>
      <c r="O131" s="94"/>
      <c r="P131" s="61"/>
      <c r="Q131" s="63"/>
      <c r="R131" s="60"/>
      <c r="S131" s="60"/>
      <c r="T131" s="63"/>
      <c r="U131" s="60"/>
      <c r="V131" s="60"/>
      <c r="W131" s="87" t="str">
        <f aca="true">IF(B131="","",IF(N131&lt;&gt;"",N131-B131,TODAY()-B131))</f>
        <v/>
      </c>
      <c r="X131" s="62" t="str">
        <f aca="true">IF(OR(M131="",K131="Completed",K131="Cancelled"),"",IF(M131&lt;TODAY(),"OVERDUE",IF(M131-TODAY()&lt;=7,"Due ≤7d","On Schedule")))</f>
        <v/>
      </c>
      <c r="Y131" s="60"/>
      <c r="Z131" s="88" t="str">
        <f aca="false">IF(AND(N131&lt;&gt;"",N131&gt;='Weekly Report'!$F$4,N131&lt;='Weekly Report'!$F$5),ROW(),"")</f>
        <v/>
      </c>
      <c r="AA131" s="88" t="str">
        <f aca="false">IF(AND(AND(Q131&lt;&gt;"",Q131&gt;='Weekly Report'!$F$4,Q131&lt;='Weekly Report'!$F$5),AND(F131&lt;&gt;"",K131&lt;&gt;"Completed",K131&lt;&gt;"Cancelled")),ROW(),"")</f>
        <v/>
      </c>
      <c r="AB131" s="88" t="str">
        <f aca="false">IF(AND(F131&lt;&gt;"",K131="In Progress"),ROW(),"")</f>
        <v/>
      </c>
      <c r="AC131" s="88" t="str">
        <f aca="false">IF(AND(AND(F131&lt;&gt;"",K131&lt;&gt;"Completed",K131&lt;&gt;"Cancelled"),OR(K131="Blocked",S131&lt;&gt;"")),ROW(),"")</f>
        <v/>
      </c>
      <c r="AD131" s="88" t="str">
        <f aca="false">IF(AND(AND(F131&lt;&gt;"",K131&lt;&gt;"Completed",K131&lt;&gt;"Cancelled"),OR(P131="Yes",AND(M131&lt;&gt;"",M131&lt;='Weekly Report'!$F$7),AND(L131&lt;&gt;"",L131&gt;='Weekly Report'!$F$6,L131&lt;='Weekly Report'!$F$7))),ROW(),"")</f>
        <v/>
      </c>
    </row>
    <row r="132" customFormat="false" ht="15" hidden="false" customHeight="false" outlineLevel="0" collapsed="false">
      <c r="A132" s="56" t="s">
        <v>1613</v>
      </c>
      <c r="B132" s="63"/>
      <c r="C132" s="61"/>
      <c r="D132" s="61"/>
      <c r="E132" s="61"/>
      <c r="F132" s="60"/>
      <c r="G132" s="61"/>
      <c r="H132" s="61"/>
      <c r="I132" s="61"/>
      <c r="J132" s="61"/>
      <c r="K132" s="61"/>
      <c r="L132" s="63"/>
      <c r="M132" s="63"/>
      <c r="N132" s="63"/>
      <c r="O132" s="94"/>
      <c r="P132" s="61"/>
      <c r="Q132" s="63"/>
      <c r="R132" s="60"/>
      <c r="S132" s="60"/>
      <c r="T132" s="63"/>
      <c r="U132" s="60"/>
      <c r="V132" s="60"/>
      <c r="W132" s="87" t="str">
        <f aca="true">IF(B132="","",IF(N132&lt;&gt;"",N132-B132,TODAY()-B132))</f>
        <v/>
      </c>
      <c r="X132" s="62" t="str">
        <f aca="true">IF(OR(M132="",K132="Completed",K132="Cancelled"),"",IF(M132&lt;TODAY(),"OVERDUE",IF(M132-TODAY()&lt;=7,"Due ≤7d","On Schedule")))</f>
        <v/>
      </c>
      <c r="Y132" s="60"/>
      <c r="Z132" s="88" t="str">
        <f aca="false">IF(AND(N132&lt;&gt;"",N132&gt;='Weekly Report'!$F$4,N132&lt;='Weekly Report'!$F$5),ROW(),"")</f>
        <v/>
      </c>
      <c r="AA132" s="88" t="str">
        <f aca="false">IF(AND(AND(Q132&lt;&gt;"",Q132&gt;='Weekly Report'!$F$4,Q132&lt;='Weekly Report'!$F$5),AND(F132&lt;&gt;"",K132&lt;&gt;"Completed",K132&lt;&gt;"Cancelled")),ROW(),"")</f>
        <v/>
      </c>
      <c r="AB132" s="88" t="str">
        <f aca="false">IF(AND(F132&lt;&gt;"",K132="In Progress"),ROW(),"")</f>
        <v/>
      </c>
      <c r="AC132" s="88" t="str">
        <f aca="false">IF(AND(AND(F132&lt;&gt;"",K132&lt;&gt;"Completed",K132&lt;&gt;"Cancelled"),OR(K132="Blocked",S132&lt;&gt;"")),ROW(),"")</f>
        <v/>
      </c>
      <c r="AD132" s="88" t="str">
        <f aca="false">IF(AND(AND(F132&lt;&gt;"",K132&lt;&gt;"Completed",K132&lt;&gt;"Cancelled"),OR(P132="Yes",AND(M132&lt;&gt;"",M132&lt;='Weekly Report'!$F$7),AND(L132&lt;&gt;"",L132&gt;='Weekly Report'!$F$6,L132&lt;='Weekly Report'!$F$7))),ROW(),"")</f>
        <v/>
      </c>
    </row>
    <row r="133" customFormat="false" ht="15" hidden="false" customHeight="false" outlineLevel="0" collapsed="false">
      <c r="A133" s="56" t="s">
        <v>1614</v>
      </c>
      <c r="B133" s="63"/>
      <c r="C133" s="61"/>
      <c r="D133" s="61"/>
      <c r="E133" s="61"/>
      <c r="F133" s="60"/>
      <c r="G133" s="61"/>
      <c r="H133" s="61"/>
      <c r="I133" s="61"/>
      <c r="J133" s="61"/>
      <c r="K133" s="61"/>
      <c r="L133" s="63"/>
      <c r="M133" s="63"/>
      <c r="N133" s="63"/>
      <c r="O133" s="94"/>
      <c r="P133" s="61"/>
      <c r="Q133" s="63"/>
      <c r="R133" s="60"/>
      <c r="S133" s="60"/>
      <c r="T133" s="63"/>
      <c r="U133" s="60"/>
      <c r="V133" s="60"/>
      <c r="W133" s="87" t="str">
        <f aca="true">IF(B133="","",IF(N133&lt;&gt;"",N133-B133,TODAY()-B133))</f>
        <v/>
      </c>
      <c r="X133" s="62" t="str">
        <f aca="true">IF(OR(M133="",K133="Completed",K133="Cancelled"),"",IF(M133&lt;TODAY(),"OVERDUE",IF(M133-TODAY()&lt;=7,"Due ≤7d","On Schedule")))</f>
        <v/>
      </c>
      <c r="Y133" s="60"/>
      <c r="Z133" s="88" t="str">
        <f aca="false">IF(AND(N133&lt;&gt;"",N133&gt;='Weekly Report'!$F$4,N133&lt;='Weekly Report'!$F$5),ROW(),"")</f>
        <v/>
      </c>
      <c r="AA133" s="88" t="str">
        <f aca="false">IF(AND(AND(Q133&lt;&gt;"",Q133&gt;='Weekly Report'!$F$4,Q133&lt;='Weekly Report'!$F$5),AND(F133&lt;&gt;"",K133&lt;&gt;"Completed",K133&lt;&gt;"Cancelled")),ROW(),"")</f>
        <v/>
      </c>
      <c r="AB133" s="88" t="str">
        <f aca="false">IF(AND(F133&lt;&gt;"",K133="In Progress"),ROW(),"")</f>
        <v/>
      </c>
      <c r="AC133" s="88" t="str">
        <f aca="false">IF(AND(AND(F133&lt;&gt;"",K133&lt;&gt;"Completed",K133&lt;&gt;"Cancelled"),OR(K133="Blocked",S133&lt;&gt;"")),ROW(),"")</f>
        <v/>
      </c>
      <c r="AD133" s="88" t="str">
        <f aca="false">IF(AND(AND(F133&lt;&gt;"",K133&lt;&gt;"Completed",K133&lt;&gt;"Cancelled"),OR(P133="Yes",AND(M133&lt;&gt;"",M133&lt;='Weekly Report'!$F$7),AND(L133&lt;&gt;"",L133&gt;='Weekly Report'!$F$6,L133&lt;='Weekly Report'!$F$7))),ROW(),"")</f>
        <v/>
      </c>
    </row>
    <row r="134" customFormat="false" ht="15" hidden="false" customHeight="false" outlineLevel="0" collapsed="false">
      <c r="A134" s="56" t="s">
        <v>1615</v>
      </c>
      <c r="B134" s="63"/>
      <c r="C134" s="61"/>
      <c r="D134" s="61"/>
      <c r="E134" s="61"/>
      <c r="F134" s="60"/>
      <c r="G134" s="61"/>
      <c r="H134" s="61"/>
      <c r="I134" s="61"/>
      <c r="J134" s="61"/>
      <c r="K134" s="61"/>
      <c r="L134" s="63"/>
      <c r="M134" s="63"/>
      <c r="N134" s="63"/>
      <c r="O134" s="94"/>
      <c r="P134" s="61"/>
      <c r="Q134" s="63"/>
      <c r="R134" s="60"/>
      <c r="S134" s="60"/>
      <c r="T134" s="63"/>
      <c r="U134" s="60"/>
      <c r="V134" s="60"/>
      <c r="W134" s="87" t="str">
        <f aca="true">IF(B134="","",IF(N134&lt;&gt;"",N134-B134,TODAY()-B134))</f>
        <v/>
      </c>
      <c r="X134" s="62" t="str">
        <f aca="true">IF(OR(M134="",K134="Completed",K134="Cancelled"),"",IF(M134&lt;TODAY(),"OVERDUE",IF(M134-TODAY()&lt;=7,"Due ≤7d","On Schedule")))</f>
        <v/>
      </c>
      <c r="Y134" s="60"/>
      <c r="Z134" s="88" t="str">
        <f aca="false">IF(AND(N134&lt;&gt;"",N134&gt;='Weekly Report'!$F$4,N134&lt;='Weekly Report'!$F$5),ROW(),"")</f>
        <v/>
      </c>
      <c r="AA134" s="88" t="str">
        <f aca="false">IF(AND(AND(Q134&lt;&gt;"",Q134&gt;='Weekly Report'!$F$4,Q134&lt;='Weekly Report'!$F$5),AND(F134&lt;&gt;"",K134&lt;&gt;"Completed",K134&lt;&gt;"Cancelled")),ROW(),"")</f>
        <v/>
      </c>
      <c r="AB134" s="88" t="str">
        <f aca="false">IF(AND(F134&lt;&gt;"",K134="In Progress"),ROW(),"")</f>
        <v/>
      </c>
      <c r="AC134" s="88" t="str">
        <f aca="false">IF(AND(AND(F134&lt;&gt;"",K134&lt;&gt;"Completed",K134&lt;&gt;"Cancelled"),OR(K134="Blocked",S134&lt;&gt;"")),ROW(),"")</f>
        <v/>
      </c>
      <c r="AD134" s="88" t="str">
        <f aca="false">IF(AND(AND(F134&lt;&gt;"",K134&lt;&gt;"Completed",K134&lt;&gt;"Cancelled"),OR(P134="Yes",AND(M134&lt;&gt;"",M134&lt;='Weekly Report'!$F$7),AND(L134&lt;&gt;"",L134&gt;='Weekly Report'!$F$6,L134&lt;='Weekly Report'!$F$7))),ROW(),"")</f>
        <v/>
      </c>
    </row>
    <row r="135" customFormat="false" ht="15" hidden="false" customHeight="false" outlineLevel="0" collapsed="false">
      <c r="A135" s="56" t="s">
        <v>1616</v>
      </c>
      <c r="B135" s="63"/>
      <c r="C135" s="61"/>
      <c r="D135" s="61"/>
      <c r="E135" s="61"/>
      <c r="F135" s="60"/>
      <c r="G135" s="61"/>
      <c r="H135" s="61"/>
      <c r="I135" s="61"/>
      <c r="J135" s="61"/>
      <c r="K135" s="61"/>
      <c r="L135" s="63"/>
      <c r="M135" s="63"/>
      <c r="N135" s="63"/>
      <c r="O135" s="94"/>
      <c r="P135" s="61"/>
      <c r="Q135" s="63"/>
      <c r="R135" s="60"/>
      <c r="S135" s="60"/>
      <c r="T135" s="63"/>
      <c r="U135" s="60"/>
      <c r="V135" s="60"/>
      <c r="W135" s="87" t="str">
        <f aca="true">IF(B135="","",IF(N135&lt;&gt;"",N135-B135,TODAY()-B135))</f>
        <v/>
      </c>
      <c r="X135" s="62" t="str">
        <f aca="true">IF(OR(M135="",K135="Completed",K135="Cancelled"),"",IF(M135&lt;TODAY(),"OVERDUE",IF(M135-TODAY()&lt;=7,"Due ≤7d","On Schedule")))</f>
        <v/>
      </c>
      <c r="Y135" s="60"/>
      <c r="Z135" s="88" t="str">
        <f aca="false">IF(AND(N135&lt;&gt;"",N135&gt;='Weekly Report'!$F$4,N135&lt;='Weekly Report'!$F$5),ROW(),"")</f>
        <v/>
      </c>
      <c r="AA135" s="88" t="str">
        <f aca="false">IF(AND(AND(Q135&lt;&gt;"",Q135&gt;='Weekly Report'!$F$4,Q135&lt;='Weekly Report'!$F$5),AND(F135&lt;&gt;"",K135&lt;&gt;"Completed",K135&lt;&gt;"Cancelled")),ROW(),"")</f>
        <v/>
      </c>
      <c r="AB135" s="88" t="str">
        <f aca="false">IF(AND(F135&lt;&gt;"",K135="In Progress"),ROW(),"")</f>
        <v/>
      </c>
      <c r="AC135" s="88" t="str">
        <f aca="false">IF(AND(AND(F135&lt;&gt;"",K135&lt;&gt;"Completed",K135&lt;&gt;"Cancelled"),OR(K135="Blocked",S135&lt;&gt;"")),ROW(),"")</f>
        <v/>
      </c>
      <c r="AD135" s="88" t="str">
        <f aca="false">IF(AND(AND(F135&lt;&gt;"",K135&lt;&gt;"Completed",K135&lt;&gt;"Cancelled"),OR(P135="Yes",AND(M135&lt;&gt;"",M135&lt;='Weekly Report'!$F$7),AND(L135&lt;&gt;"",L135&gt;='Weekly Report'!$F$6,L135&lt;='Weekly Report'!$F$7))),ROW(),"")</f>
        <v/>
      </c>
    </row>
    <row r="136" customFormat="false" ht="15" hidden="false" customHeight="false" outlineLevel="0" collapsed="false">
      <c r="A136" s="56" t="s">
        <v>1617</v>
      </c>
      <c r="B136" s="63"/>
      <c r="C136" s="61"/>
      <c r="D136" s="61"/>
      <c r="E136" s="61"/>
      <c r="F136" s="60"/>
      <c r="G136" s="61"/>
      <c r="H136" s="61"/>
      <c r="I136" s="61"/>
      <c r="J136" s="61"/>
      <c r="K136" s="61"/>
      <c r="L136" s="63"/>
      <c r="M136" s="63"/>
      <c r="N136" s="63"/>
      <c r="O136" s="94"/>
      <c r="P136" s="61"/>
      <c r="Q136" s="63"/>
      <c r="R136" s="60"/>
      <c r="S136" s="60"/>
      <c r="T136" s="63"/>
      <c r="U136" s="60"/>
      <c r="V136" s="60"/>
      <c r="W136" s="87" t="str">
        <f aca="true">IF(B136="","",IF(N136&lt;&gt;"",N136-B136,TODAY()-B136))</f>
        <v/>
      </c>
      <c r="X136" s="62" t="str">
        <f aca="true">IF(OR(M136="",K136="Completed",K136="Cancelled"),"",IF(M136&lt;TODAY(),"OVERDUE",IF(M136-TODAY()&lt;=7,"Due ≤7d","On Schedule")))</f>
        <v/>
      </c>
      <c r="Y136" s="60"/>
      <c r="Z136" s="88" t="str">
        <f aca="false">IF(AND(N136&lt;&gt;"",N136&gt;='Weekly Report'!$F$4,N136&lt;='Weekly Report'!$F$5),ROW(),"")</f>
        <v/>
      </c>
      <c r="AA136" s="88" t="str">
        <f aca="false">IF(AND(AND(Q136&lt;&gt;"",Q136&gt;='Weekly Report'!$F$4,Q136&lt;='Weekly Report'!$F$5),AND(F136&lt;&gt;"",K136&lt;&gt;"Completed",K136&lt;&gt;"Cancelled")),ROW(),"")</f>
        <v/>
      </c>
      <c r="AB136" s="88" t="str">
        <f aca="false">IF(AND(F136&lt;&gt;"",K136="In Progress"),ROW(),"")</f>
        <v/>
      </c>
      <c r="AC136" s="88" t="str">
        <f aca="false">IF(AND(AND(F136&lt;&gt;"",K136&lt;&gt;"Completed",K136&lt;&gt;"Cancelled"),OR(K136="Blocked",S136&lt;&gt;"")),ROW(),"")</f>
        <v/>
      </c>
      <c r="AD136" s="88" t="str">
        <f aca="false">IF(AND(AND(F136&lt;&gt;"",K136&lt;&gt;"Completed",K136&lt;&gt;"Cancelled"),OR(P136="Yes",AND(M136&lt;&gt;"",M136&lt;='Weekly Report'!$F$7),AND(L136&lt;&gt;"",L136&gt;='Weekly Report'!$F$6,L136&lt;='Weekly Report'!$F$7))),ROW(),"")</f>
        <v/>
      </c>
    </row>
    <row r="137" customFormat="false" ht="15" hidden="false" customHeight="false" outlineLevel="0" collapsed="false">
      <c r="A137" s="56" t="s">
        <v>1618</v>
      </c>
      <c r="B137" s="63"/>
      <c r="C137" s="61"/>
      <c r="D137" s="61"/>
      <c r="E137" s="61"/>
      <c r="F137" s="60"/>
      <c r="G137" s="61"/>
      <c r="H137" s="61"/>
      <c r="I137" s="61"/>
      <c r="J137" s="61"/>
      <c r="K137" s="61"/>
      <c r="L137" s="63"/>
      <c r="M137" s="63"/>
      <c r="N137" s="63"/>
      <c r="O137" s="94"/>
      <c r="P137" s="61"/>
      <c r="Q137" s="63"/>
      <c r="R137" s="60"/>
      <c r="S137" s="60"/>
      <c r="T137" s="63"/>
      <c r="U137" s="60"/>
      <c r="V137" s="60"/>
      <c r="W137" s="87" t="str">
        <f aca="true">IF(B137="","",IF(N137&lt;&gt;"",N137-B137,TODAY()-B137))</f>
        <v/>
      </c>
      <c r="X137" s="62" t="str">
        <f aca="true">IF(OR(M137="",K137="Completed",K137="Cancelled"),"",IF(M137&lt;TODAY(),"OVERDUE",IF(M137-TODAY()&lt;=7,"Due ≤7d","On Schedule")))</f>
        <v/>
      </c>
      <c r="Y137" s="60"/>
      <c r="Z137" s="88" t="str">
        <f aca="false">IF(AND(N137&lt;&gt;"",N137&gt;='Weekly Report'!$F$4,N137&lt;='Weekly Report'!$F$5),ROW(),"")</f>
        <v/>
      </c>
      <c r="AA137" s="88" t="str">
        <f aca="false">IF(AND(AND(Q137&lt;&gt;"",Q137&gt;='Weekly Report'!$F$4,Q137&lt;='Weekly Report'!$F$5),AND(F137&lt;&gt;"",K137&lt;&gt;"Completed",K137&lt;&gt;"Cancelled")),ROW(),"")</f>
        <v/>
      </c>
      <c r="AB137" s="88" t="str">
        <f aca="false">IF(AND(F137&lt;&gt;"",K137="In Progress"),ROW(),"")</f>
        <v/>
      </c>
      <c r="AC137" s="88" t="str">
        <f aca="false">IF(AND(AND(F137&lt;&gt;"",K137&lt;&gt;"Completed",K137&lt;&gt;"Cancelled"),OR(K137="Blocked",S137&lt;&gt;"")),ROW(),"")</f>
        <v/>
      </c>
      <c r="AD137" s="88" t="str">
        <f aca="false">IF(AND(AND(F137&lt;&gt;"",K137&lt;&gt;"Completed",K137&lt;&gt;"Cancelled"),OR(P137="Yes",AND(M137&lt;&gt;"",M137&lt;='Weekly Report'!$F$7),AND(L137&lt;&gt;"",L137&gt;='Weekly Report'!$F$6,L137&lt;='Weekly Report'!$F$7))),ROW(),"")</f>
        <v/>
      </c>
    </row>
    <row r="138" customFormat="false" ht="15" hidden="false" customHeight="false" outlineLevel="0" collapsed="false">
      <c r="A138" s="56" t="s">
        <v>1619</v>
      </c>
      <c r="B138" s="63"/>
      <c r="C138" s="61"/>
      <c r="D138" s="61"/>
      <c r="E138" s="61"/>
      <c r="F138" s="60"/>
      <c r="G138" s="61"/>
      <c r="H138" s="61"/>
      <c r="I138" s="61"/>
      <c r="J138" s="61"/>
      <c r="K138" s="61"/>
      <c r="L138" s="63"/>
      <c r="M138" s="63"/>
      <c r="N138" s="63"/>
      <c r="O138" s="94"/>
      <c r="P138" s="61"/>
      <c r="Q138" s="63"/>
      <c r="R138" s="60"/>
      <c r="S138" s="60"/>
      <c r="T138" s="63"/>
      <c r="U138" s="60"/>
      <c r="V138" s="60"/>
      <c r="W138" s="87" t="str">
        <f aca="true">IF(B138="","",IF(N138&lt;&gt;"",N138-B138,TODAY()-B138))</f>
        <v/>
      </c>
      <c r="X138" s="62" t="str">
        <f aca="true">IF(OR(M138="",K138="Completed",K138="Cancelled"),"",IF(M138&lt;TODAY(),"OVERDUE",IF(M138-TODAY()&lt;=7,"Due ≤7d","On Schedule")))</f>
        <v/>
      </c>
      <c r="Y138" s="60"/>
      <c r="Z138" s="88" t="str">
        <f aca="false">IF(AND(N138&lt;&gt;"",N138&gt;='Weekly Report'!$F$4,N138&lt;='Weekly Report'!$F$5),ROW(),"")</f>
        <v/>
      </c>
      <c r="AA138" s="88" t="str">
        <f aca="false">IF(AND(AND(Q138&lt;&gt;"",Q138&gt;='Weekly Report'!$F$4,Q138&lt;='Weekly Report'!$F$5),AND(F138&lt;&gt;"",K138&lt;&gt;"Completed",K138&lt;&gt;"Cancelled")),ROW(),"")</f>
        <v/>
      </c>
      <c r="AB138" s="88" t="str">
        <f aca="false">IF(AND(F138&lt;&gt;"",K138="In Progress"),ROW(),"")</f>
        <v/>
      </c>
      <c r="AC138" s="88" t="str">
        <f aca="false">IF(AND(AND(F138&lt;&gt;"",K138&lt;&gt;"Completed",K138&lt;&gt;"Cancelled"),OR(K138="Blocked",S138&lt;&gt;"")),ROW(),"")</f>
        <v/>
      </c>
      <c r="AD138" s="88" t="str">
        <f aca="false">IF(AND(AND(F138&lt;&gt;"",K138&lt;&gt;"Completed",K138&lt;&gt;"Cancelled"),OR(P138="Yes",AND(M138&lt;&gt;"",M138&lt;='Weekly Report'!$F$7),AND(L138&lt;&gt;"",L138&gt;='Weekly Report'!$F$6,L138&lt;='Weekly Report'!$F$7))),ROW(),"")</f>
        <v/>
      </c>
    </row>
    <row r="139" customFormat="false" ht="15" hidden="false" customHeight="false" outlineLevel="0" collapsed="false">
      <c r="A139" s="56" t="s">
        <v>1620</v>
      </c>
      <c r="B139" s="63"/>
      <c r="C139" s="61"/>
      <c r="D139" s="61"/>
      <c r="E139" s="61"/>
      <c r="F139" s="60"/>
      <c r="G139" s="61"/>
      <c r="H139" s="61"/>
      <c r="I139" s="61"/>
      <c r="J139" s="61"/>
      <c r="K139" s="61"/>
      <c r="L139" s="63"/>
      <c r="M139" s="63"/>
      <c r="N139" s="63"/>
      <c r="O139" s="94"/>
      <c r="P139" s="61"/>
      <c r="Q139" s="63"/>
      <c r="R139" s="60"/>
      <c r="S139" s="60"/>
      <c r="T139" s="63"/>
      <c r="U139" s="60"/>
      <c r="V139" s="60"/>
      <c r="W139" s="87" t="str">
        <f aca="true">IF(B139="","",IF(N139&lt;&gt;"",N139-B139,TODAY()-B139))</f>
        <v/>
      </c>
      <c r="X139" s="62" t="str">
        <f aca="true">IF(OR(M139="",K139="Completed",K139="Cancelled"),"",IF(M139&lt;TODAY(),"OVERDUE",IF(M139-TODAY()&lt;=7,"Due ≤7d","On Schedule")))</f>
        <v/>
      </c>
      <c r="Y139" s="60"/>
      <c r="Z139" s="88" t="str">
        <f aca="false">IF(AND(N139&lt;&gt;"",N139&gt;='Weekly Report'!$F$4,N139&lt;='Weekly Report'!$F$5),ROW(),"")</f>
        <v/>
      </c>
      <c r="AA139" s="88" t="str">
        <f aca="false">IF(AND(AND(Q139&lt;&gt;"",Q139&gt;='Weekly Report'!$F$4,Q139&lt;='Weekly Report'!$F$5),AND(F139&lt;&gt;"",K139&lt;&gt;"Completed",K139&lt;&gt;"Cancelled")),ROW(),"")</f>
        <v/>
      </c>
      <c r="AB139" s="88" t="str">
        <f aca="false">IF(AND(F139&lt;&gt;"",K139="In Progress"),ROW(),"")</f>
        <v/>
      </c>
      <c r="AC139" s="88" t="str">
        <f aca="false">IF(AND(AND(F139&lt;&gt;"",K139&lt;&gt;"Completed",K139&lt;&gt;"Cancelled"),OR(K139="Blocked",S139&lt;&gt;"")),ROW(),"")</f>
        <v/>
      </c>
      <c r="AD139" s="88" t="str">
        <f aca="false">IF(AND(AND(F139&lt;&gt;"",K139&lt;&gt;"Completed",K139&lt;&gt;"Cancelled"),OR(P139="Yes",AND(M139&lt;&gt;"",M139&lt;='Weekly Report'!$F$7),AND(L139&lt;&gt;"",L139&gt;='Weekly Report'!$F$6,L139&lt;='Weekly Report'!$F$7))),ROW(),"")</f>
        <v/>
      </c>
    </row>
    <row r="140" customFormat="false" ht="15" hidden="false" customHeight="false" outlineLevel="0" collapsed="false">
      <c r="A140" s="56" t="s">
        <v>1621</v>
      </c>
      <c r="B140" s="63"/>
      <c r="C140" s="61"/>
      <c r="D140" s="61"/>
      <c r="E140" s="61"/>
      <c r="F140" s="60"/>
      <c r="G140" s="61"/>
      <c r="H140" s="61"/>
      <c r="I140" s="61"/>
      <c r="J140" s="61"/>
      <c r="K140" s="61"/>
      <c r="L140" s="63"/>
      <c r="M140" s="63"/>
      <c r="N140" s="63"/>
      <c r="O140" s="94"/>
      <c r="P140" s="61"/>
      <c r="Q140" s="63"/>
      <c r="R140" s="60"/>
      <c r="S140" s="60"/>
      <c r="T140" s="63"/>
      <c r="U140" s="60"/>
      <c r="V140" s="60"/>
      <c r="W140" s="87" t="str">
        <f aca="true">IF(B140="","",IF(N140&lt;&gt;"",N140-B140,TODAY()-B140))</f>
        <v/>
      </c>
      <c r="X140" s="62" t="str">
        <f aca="true">IF(OR(M140="",K140="Completed",K140="Cancelled"),"",IF(M140&lt;TODAY(),"OVERDUE",IF(M140-TODAY()&lt;=7,"Due ≤7d","On Schedule")))</f>
        <v/>
      </c>
      <c r="Y140" s="60"/>
      <c r="Z140" s="88" t="str">
        <f aca="false">IF(AND(N140&lt;&gt;"",N140&gt;='Weekly Report'!$F$4,N140&lt;='Weekly Report'!$F$5),ROW(),"")</f>
        <v/>
      </c>
      <c r="AA140" s="88" t="str">
        <f aca="false">IF(AND(AND(Q140&lt;&gt;"",Q140&gt;='Weekly Report'!$F$4,Q140&lt;='Weekly Report'!$F$5),AND(F140&lt;&gt;"",K140&lt;&gt;"Completed",K140&lt;&gt;"Cancelled")),ROW(),"")</f>
        <v/>
      </c>
      <c r="AB140" s="88" t="str">
        <f aca="false">IF(AND(F140&lt;&gt;"",K140="In Progress"),ROW(),"")</f>
        <v/>
      </c>
      <c r="AC140" s="88" t="str">
        <f aca="false">IF(AND(AND(F140&lt;&gt;"",K140&lt;&gt;"Completed",K140&lt;&gt;"Cancelled"),OR(K140="Blocked",S140&lt;&gt;"")),ROW(),"")</f>
        <v/>
      </c>
      <c r="AD140" s="88" t="str">
        <f aca="false">IF(AND(AND(F140&lt;&gt;"",K140&lt;&gt;"Completed",K140&lt;&gt;"Cancelled"),OR(P140="Yes",AND(M140&lt;&gt;"",M140&lt;='Weekly Report'!$F$7),AND(L140&lt;&gt;"",L140&gt;='Weekly Report'!$F$6,L140&lt;='Weekly Report'!$F$7))),ROW(),"")</f>
        <v/>
      </c>
    </row>
    <row r="141" customFormat="false" ht="15" hidden="false" customHeight="false" outlineLevel="0" collapsed="false">
      <c r="A141" s="56" t="s">
        <v>1622</v>
      </c>
      <c r="B141" s="63"/>
      <c r="C141" s="61"/>
      <c r="D141" s="61"/>
      <c r="E141" s="61"/>
      <c r="F141" s="60"/>
      <c r="G141" s="61"/>
      <c r="H141" s="61"/>
      <c r="I141" s="61"/>
      <c r="J141" s="61"/>
      <c r="K141" s="61"/>
      <c r="L141" s="63"/>
      <c r="M141" s="63"/>
      <c r="N141" s="63"/>
      <c r="O141" s="94"/>
      <c r="P141" s="61"/>
      <c r="Q141" s="63"/>
      <c r="R141" s="60"/>
      <c r="S141" s="60"/>
      <c r="T141" s="63"/>
      <c r="U141" s="60"/>
      <c r="V141" s="60"/>
      <c r="W141" s="87" t="str">
        <f aca="true">IF(B141="","",IF(N141&lt;&gt;"",N141-B141,TODAY()-B141))</f>
        <v/>
      </c>
      <c r="X141" s="62" t="str">
        <f aca="true">IF(OR(M141="",K141="Completed",K141="Cancelled"),"",IF(M141&lt;TODAY(),"OVERDUE",IF(M141-TODAY()&lt;=7,"Due ≤7d","On Schedule")))</f>
        <v/>
      </c>
      <c r="Y141" s="60"/>
      <c r="Z141" s="88" t="str">
        <f aca="false">IF(AND(N141&lt;&gt;"",N141&gt;='Weekly Report'!$F$4,N141&lt;='Weekly Report'!$F$5),ROW(),"")</f>
        <v/>
      </c>
      <c r="AA141" s="88" t="str">
        <f aca="false">IF(AND(AND(Q141&lt;&gt;"",Q141&gt;='Weekly Report'!$F$4,Q141&lt;='Weekly Report'!$F$5),AND(F141&lt;&gt;"",K141&lt;&gt;"Completed",K141&lt;&gt;"Cancelled")),ROW(),"")</f>
        <v/>
      </c>
      <c r="AB141" s="88" t="str">
        <f aca="false">IF(AND(F141&lt;&gt;"",K141="In Progress"),ROW(),"")</f>
        <v/>
      </c>
      <c r="AC141" s="88" t="str">
        <f aca="false">IF(AND(AND(F141&lt;&gt;"",K141&lt;&gt;"Completed",K141&lt;&gt;"Cancelled"),OR(K141="Blocked",S141&lt;&gt;"")),ROW(),"")</f>
        <v/>
      </c>
      <c r="AD141" s="88" t="str">
        <f aca="false">IF(AND(AND(F141&lt;&gt;"",K141&lt;&gt;"Completed",K141&lt;&gt;"Cancelled"),OR(P141="Yes",AND(M141&lt;&gt;"",M141&lt;='Weekly Report'!$F$7),AND(L141&lt;&gt;"",L141&gt;='Weekly Report'!$F$6,L141&lt;='Weekly Report'!$F$7))),ROW(),"")</f>
        <v/>
      </c>
    </row>
    <row r="142" customFormat="false" ht="15" hidden="false" customHeight="false" outlineLevel="0" collapsed="false">
      <c r="A142" s="56" t="s">
        <v>1623</v>
      </c>
      <c r="B142" s="63"/>
      <c r="C142" s="61"/>
      <c r="D142" s="61"/>
      <c r="E142" s="61"/>
      <c r="F142" s="60"/>
      <c r="G142" s="61"/>
      <c r="H142" s="61"/>
      <c r="I142" s="61"/>
      <c r="J142" s="61"/>
      <c r="K142" s="61"/>
      <c r="L142" s="63"/>
      <c r="M142" s="63"/>
      <c r="N142" s="63"/>
      <c r="O142" s="94"/>
      <c r="P142" s="61"/>
      <c r="Q142" s="63"/>
      <c r="R142" s="60"/>
      <c r="S142" s="60"/>
      <c r="T142" s="63"/>
      <c r="U142" s="60"/>
      <c r="V142" s="60"/>
      <c r="W142" s="87" t="str">
        <f aca="true">IF(B142="","",IF(N142&lt;&gt;"",N142-B142,TODAY()-B142))</f>
        <v/>
      </c>
      <c r="X142" s="62" t="str">
        <f aca="true">IF(OR(M142="",K142="Completed",K142="Cancelled"),"",IF(M142&lt;TODAY(),"OVERDUE",IF(M142-TODAY()&lt;=7,"Due ≤7d","On Schedule")))</f>
        <v/>
      </c>
      <c r="Y142" s="60"/>
      <c r="Z142" s="88" t="str">
        <f aca="false">IF(AND(N142&lt;&gt;"",N142&gt;='Weekly Report'!$F$4,N142&lt;='Weekly Report'!$F$5),ROW(),"")</f>
        <v/>
      </c>
      <c r="AA142" s="88" t="str">
        <f aca="false">IF(AND(AND(Q142&lt;&gt;"",Q142&gt;='Weekly Report'!$F$4,Q142&lt;='Weekly Report'!$F$5),AND(F142&lt;&gt;"",K142&lt;&gt;"Completed",K142&lt;&gt;"Cancelled")),ROW(),"")</f>
        <v/>
      </c>
      <c r="AB142" s="88" t="str">
        <f aca="false">IF(AND(F142&lt;&gt;"",K142="In Progress"),ROW(),"")</f>
        <v/>
      </c>
      <c r="AC142" s="88" t="str">
        <f aca="false">IF(AND(AND(F142&lt;&gt;"",K142&lt;&gt;"Completed",K142&lt;&gt;"Cancelled"),OR(K142="Blocked",S142&lt;&gt;"")),ROW(),"")</f>
        <v/>
      </c>
      <c r="AD142" s="88" t="str">
        <f aca="false">IF(AND(AND(F142&lt;&gt;"",K142&lt;&gt;"Completed",K142&lt;&gt;"Cancelled"),OR(P142="Yes",AND(M142&lt;&gt;"",M142&lt;='Weekly Report'!$F$7),AND(L142&lt;&gt;"",L142&gt;='Weekly Report'!$F$6,L142&lt;='Weekly Report'!$F$7))),ROW(),"")</f>
        <v/>
      </c>
    </row>
    <row r="143" customFormat="false" ht="15" hidden="false" customHeight="false" outlineLevel="0" collapsed="false">
      <c r="A143" s="56" t="s">
        <v>1624</v>
      </c>
      <c r="B143" s="63"/>
      <c r="C143" s="61"/>
      <c r="D143" s="61"/>
      <c r="E143" s="61"/>
      <c r="F143" s="60"/>
      <c r="G143" s="61"/>
      <c r="H143" s="61"/>
      <c r="I143" s="61"/>
      <c r="J143" s="61"/>
      <c r="K143" s="61"/>
      <c r="L143" s="63"/>
      <c r="M143" s="63"/>
      <c r="N143" s="63"/>
      <c r="O143" s="94"/>
      <c r="P143" s="61"/>
      <c r="Q143" s="63"/>
      <c r="R143" s="60"/>
      <c r="S143" s="60"/>
      <c r="T143" s="63"/>
      <c r="U143" s="60"/>
      <c r="V143" s="60"/>
      <c r="W143" s="87" t="str">
        <f aca="true">IF(B143="","",IF(N143&lt;&gt;"",N143-B143,TODAY()-B143))</f>
        <v/>
      </c>
      <c r="X143" s="62" t="str">
        <f aca="true">IF(OR(M143="",K143="Completed",K143="Cancelled"),"",IF(M143&lt;TODAY(),"OVERDUE",IF(M143-TODAY()&lt;=7,"Due ≤7d","On Schedule")))</f>
        <v/>
      </c>
      <c r="Y143" s="60"/>
      <c r="Z143" s="88" t="str">
        <f aca="false">IF(AND(N143&lt;&gt;"",N143&gt;='Weekly Report'!$F$4,N143&lt;='Weekly Report'!$F$5),ROW(),"")</f>
        <v/>
      </c>
      <c r="AA143" s="88" t="str">
        <f aca="false">IF(AND(AND(Q143&lt;&gt;"",Q143&gt;='Weekly Report'!$F$4,Q143&lt;='Weekly Report'!$F$5),AND(F143&lt;&gt;"",K143&lt;&gt;"Completed",K143&lt;&gt;"Cancelled")),ROW(),"")</f>
        <v/>
      </c>
      <c r="AB143" s="88" t="str">
        <f aca="false">IF(AND(F143&lt;&gt;"",K143="In Progress"),ROW(),"")</f>
        <v/>
      </c>
      <c r="AC143" s="88" t="str">
        <f aca="false">IF(AND(AND(F143&lt;&gt;"",K143&lt;&gt;"Completed",K143&lt;&gt;"Cancelled"),OR(K143="Blocked",S143&lt;&gt;"")),ROW(),"")</f>
        <v/>
      </c>
      <c r="AD143" s="88" t="str">
        <f aca="false">IF(AND(AND(F143&lt;&gt;"",K143&lt;&gt;"Completed",K143&lt;&gt;"Cancelled"),OR(P143="Yes",AND(M143&lt;&gt;"",M143&lt;='Weekly Report'!$F$7),AND(L143&lt;&gt;"",L143&gt;='Weekly Report'!$F$6,L143&lt;='Weekly Report'!$F$7))),ROW(),"")</f>
        <v/>
      </c>
    </row>
    <row r="144" customFormat="false" ht="15" hidden="false" customHeight="false" outlineLevel="0" collapsed="false">
      <c r="A144" s="56" t="s">
        <v>1625</v>
      </c>
      <c r="B144" s="63"/>
      <c r="C144" s="61"/>
      <c r="D144" s="61"/>
      <c r="E144" s="61"/>
      <c r="F144" s="60"/>
      <c r="G144" s="61"/>
      <c r="H144" s="61"/>
      <c r="I144" s="61"/>
      <c r="J144" s="61"/>
      <c r="K144" s="61"/>
      <c r="L144" s="63"/>
      <c r="M144" s="63"/>
      <c r="N144" s="63"/>
      <c r="O144" s="94"/>
      <c r="P144" s="61"/>
      <c r="Q144" s="63"/>
      <c r="R144" s="60"/>
      <c r="S144" s="60"/>
      <c r="T144" s="63"/>
      <c r="U144" s="60"/>
      <c r="V144" s="60"/>
      <c r="W144" s="87" t="str">
        <f aca="true">IF(B144="","",IF(N144&lt;&gt;"",N144-B144,TODAY()-B144))</f>
        <v/>
      </c>
      <c r="X144" s="62" t="str">
        <f aca="true">IF(OR(M144="",K144="Completed",K144="Cancelled"),"",IF(M144&lt;TODAY(),"OVERDUE",IF(M144-TODAY()&lt;=7,"Due ≤7d","On Schedule")))</f>
        <v/>
      </c>
      <c r="Y144" s="60"/>
      <c r="Z144" s="88" t="str">
        <f aca="false">IF(AND(N144&lt;&gt;"",N144&gt;='Weekly Report'!$F$4,N144&lt;='Weekly Report'!$F$5),ROW(),"")</f>
        <v/>
      </c>
      <c r="AA144" s="88" t="str">
        <f aca="false">IF(AND(AND(Q144&lt;&gt;"",Q144&gt;='Weekly Report'!$F$4,Q144&lt;='Weekly Report'!$F$5),AND(F144&lt;&gt;"",K144&lt;&gt;"Completed",K144&lt;&gt;"Cancelled")),ROW(),"")</f>
        <v/>
      </c>
      <c r="AB144" s="88" t="str">
        <f aca="false">IF(AND(F144&lt;&gt;"",K144="In Progress"),ROW(),"")</f>
        <v/>
      </c>
      <c r="AC144" s="88" t="str">
        <f aca="false">IF(AND(AND(F144&lt;&gt;"",K144&lt;&gt;"Completed",K144&lt;&gt;"Cancelled"),OR(K144="Blocked",S144&lt;&gt;"")),ROW(),"")</f>
        <v/>
      </c>
      <c r="AD144" s="88" t="str">
        <f aca="false">IF(AND(AND(F144&lt;&gt;"",K144&lt;&gt;"Completed",K144&lt;&gt;"Cancelled"),OR(P144="Yes",AND(M144&lt;&gt;"",M144&lt;='Weekly Report'!$F$7),AND(L144&lt;&gt;"",L144&gt;='Weekly Report'!$F$6,L144&lt;='Weekly Report'!$F$7))),ROW(),"")</f>
        <v/>
      </c>
    </row>
    <row r="145" customFormat="false" ht="15" hidden="false" customHeight="false" outlineLevel="0" collapsed="false">
      <c r="A145" s="56" t="s">
        <v>1626</v>
      </c>
      <c r="B145" s="63"/>
      <c r="C145" s="61"/>
      <c r="D145" s="61"/>
      <c r="E145" s="61"/>
      <c r="F145" s="60"/>
      <c r="G145" s="61"/>
      <c r="H145" s="61"/>
      <c r="I145" s="61"/>
      <c r="J145" s="61"/>
      <c r="K145" s="61"/>
      <c r="L145" s="63"/>
      <c r="M145" s="63"/>
      <c r="N145" s="63"/>
      <c r="O145" s="94"/>
      <c r="P145" s="61"/>
      <c r="Q145" s="63"/>
      <c r="R145" s="60"/>
      <c r="S145" s="60"/>
      <c r="T145" s="63"/>
      <c r="U145" s="60"/>
      <c r="V145" s="60"/>
      <c r="W145" s="87" t="str">
        <f aca="true">IF(B145="","",IF(N145&lt;&gt;"",N145-B145,TODAY()-B145))</f>
        <v/>
      </c>
      <c r="X145" s="62" t="str">
        <f aca="true">IF(OR(M145="",K145="Completed",K145="Cancelled"),"",IF(M145&lt;TODAY(),"OVERDUE",IF(M145-TODAY()&lt;=7,"Due ≤7d","On Schedule")))</f>
        <v/>
      </c>
      <c r="Y145" s="60"/>
      <c r="Z145" s="88" t="str">
        <f aca="false">IF(AND(N145&lt;&gt;"",N145&gt;='Weekly Report'!$F$4,N145&lt;='Weekly Report'!$F$5),ROW(),"")</f>
        <v/>
      </c>
      <c r="AA145" s="88" t="str">
        <f aca="false">IF(AND(AND(Q145&lt;&gt;"",Q145&gt;='Weekly Report'!$F$4,Q145&lt;='Weekly Report'!$F$5),AND(F145&lt;&gt;"",K145&lt;&gt;"Completed",K145&lt;&gt;"Cancelled")),ROW(),"")</f>
        <v/>
      </c>
      <c r="AB145" s="88" t="str">
        <f aca="false">IF(AND(F145&lt;&gt;"",K145="In Progress"),ROW(),"")</f>
        <v/>
      </c>
      <c r="AC145" s="88" t="str">
        <f aca="false">IF(AND(AND(F145&lt;&gt;"",K145&lt;&gt;"Completed",K145&lt;&gt;"Cancelled"),OR(K145="Blocked",S145&lt;&gt;"")),ROW(),"")</f>
        <v/>
      </c>
      <c r="AD145" s="88" t="str">
        <f aca="false">IF(AND(AND(F145&lt;&gt;"",K145&lt;&gt;"Completed",K145&lt;&gt;"Cancelled"),OR(P145="Yes",AND(M145&lt;&gt;"",M145&lt;='Weekly Report'!$F$7),AND(L145&lt;&gt;"",L145&gt;='Weekly Report'!$F$6,L145&lt;='Weekly Report'!$F$7))),ROW(),"")</f>
        <v/>
      </c>
    </row>
    <row r="146" customFormat="false" ht="15" hidden="false" customHeight="false" outlineLevel="0" collapsed="false">
      <c r="A146" s="56" t="s">
        <v>1627</v>
      </c>
      <c r="B146" s="63"/>
      <c r="C146" s="61"/>
      <c r="D146" s="61"/>
      <c r="E146" s="61"/>
      <c r="F146" s="60"/>
      <c r="G146" s="61"/>
      <c r="H146" s="61"/>
      <c r="I146" s="61"/>
      <c r="J146" s="61"/>
      <c r="K146" s="61"/>
      <c r="L146" s="63"/>
      <c r="M146" s="63"/>
      <c r="N146" s="63"/>
      <c r="O146" s="94"/>
      <c r="P146" s="61"/>
      <c r="Q146" s="63"/>
      <c r="R146" s="60"/>
      <c r="S146" s="60"/>
      <c r="T146" s="63"/>
      <c r="U146" s="60"/>
      <c r="V146" s="60"/>
      <c r="W146" s="87" t="str">
        <f aca="true">IF(B146="","",IF(N146&lt;&gt;"",N146-B146,TODAY()-B146))</f>
        <v/>
      </c>
      <c r="X146" s="62" t="str">
        <f aca="true">IF(OR(M146="",K146="Completed",K146="Cancelled"),"",IF(M146&lt;TODAY(),"OVERDUE",IF(M146-TODAY()&lt;=7,"Due ≤7d","On Schedule")))</f>
        <v/>
      </c>
      <c r="Y146" s="60"/>
      <c r="Z146" s="88" t="str">
        <f aca="false">IF(AND(N146&lt;&gt;"",N146&gt;='Weekly Report'!$F$4,N146&lt;='Weekly Report'!$F$5),ROW(),"")</f>
        <v/>
      </c>
      <c r="AA146" s="88" t="str">
        <f aca="false">IF(AND(AND(Q146&lt;&gt;"",Q146&gt;='Weekly Report'!$F$4,Q146&lt;='Weekly Report'!$F$5),AND(F146&lt;&gt;"",K146&lt;&gt;"Completed",K146&lt;&gt;"Cancelled")),ROW(),"")</f>
        <v/>
      </c>
      <c r="AB146" s="88" t="str">
        <f aca="false">IF(AND(F146&lt;&gt;"",K146="In Progress"),ROW(),"")</f>
        <v/>
      </c>
      <c r="AC146" s="88" t="str">
        <f aca="false">IF(AND(AND(F146&lt;&gt;"",K146&lt;&gt;"Completed",K146&lt;&gt;"Cancelled"),OR(K146="Blocked",S146&lt;&gt;"")),ROW(),"")</f>
        <v/>
      </c>
      <c r="AD146" s="88" t="str">
        <f aca="false">IF(AND(AND(F146&lt;&gt;"",K146&lt;&gt;"Completed",K146&lt;&gt;"Cancelled"),OR(P146="Yes",AND(M146&lt;&gt;"",M146&lt;='Weekly Report'!$F$7),AND(L146&lt;&gt;"",L146&gt;='Weekly Report'!$F$6,L146&lt;='Weekly Report'!$F$7))),ROW(),"")</f>
        <v/>
      </c>
    </row>
    <row r="147" customFormat="false" ht="15" hidden="false" customHeight="false" outlineLevel="0" collapsed="false">
      <c r="A147" s="56" t="s">
        <v>1628</v>
      </c>
      <c r="B147" s="63"/>
      <c r="C147" s="61"/>
      <c r="D147" s="61"/>
      <c r="E147" s="61"/>
      <c r="F147" s="60"/>
      <c r="G147" s="61"/>
      <c r="H147" s="61"/>
      <c r="I147" s="61"/>
      <c r="J147" s="61"/>
      <c r="K147" s="61"/>
      <c r="L147" s="63"/>
      <c r="M147" s="63"/>
      <c r="N147" s="63"/>
      <c r="O147" s="94"/>
      <c r="P147" s="61"/>
      <c r="Q147" s="63"/>
      <c r="R147" s="60"/>
      <c r="S147" s="60"/>
      <c r="T147" s="63"/>
      <c r="U147" s="60"/>
      <c r="V147" s="60"/>
      <c r="W147" s="87" t="str">
        <f aca="true">IF(B147="","",IF(N147&lt;&gt;"",N147-B147,TODAY()-B147))</f>
        <v/>
      </c>
      <c r="X147" s="62" t="str">
        <f aca="true">IF(OR(M147="",K147="Completed",K147="Cancelled"),"",IF(M147&lt;TODAY(),"OVERDUE",IF(M147-TODAY()&lt;=7,"Due ≤7d","On Schedule")))</f>
        <v/>
      </c>
      <c r="Y147" s="60"/>
      <c r="Z147" s="88" t="str">
        <f aca="false">IF(AND(N147&lt;&gt;"",N147&gt;='Weekly Report'!$F$4,N147&lt;='Weekly Report'!$F$5),ROW(),"")</f>
        <v/>
      </c>
      <c r="AA147" s="88" t="str">
        <f aca="false">IF(AND(AND(Q147&lt;&gt;"",Q147&gt;='Weekly Report'!$F$4,Q147&lt;='Weekly Report'!$F$5),AND(F147&lt;&gt;"",K147&lt;&gt;"Completed",K147&lt;&gt;"Cancelled")),ROW(),"")</f>
        <v/>
      </c>
      <c r="AB147" s="88" t="str">
        <f aca="false">IF(AND(F147&lt;&gt;"",K147="In Progress"),ROW(),"")</f>
        <v/>
      </c>
      <c r="AC147" s="88" t="str">
        <f aca="false">IF(AND(AND(F147&lt;&gt;"",K147&lt;&gt;"Completed",K147&lt;&gt;"Cancelled"),OR(K147="Blocked",S147&lt;&gt;"")),ROW(),"")</f>
        <v/>
      </c>
      <c r="AD147" s="88" t="str">
        <f aca="false">IF(AND(AND(F147&lt;&gt;"",K147&lt;&gt;"Completed",K147&lt;&gt;"Cancelled"),OR(P147="Yes",AND(M147&lt;&gt;"",M147&lt;='Weekly Report'!$F$7),AND(L147&lt;&gt;"",L147&gt;='Weekly Report'!$F$6,L147&lt;='Weekly Report'!$F$7))),ROW(),"")</f>
        <v/>
      </c>
    </row>
    <row r="148" customFormat="false" ht="15" hidden="false" customHeight="false" outlineLevel="0" collapsed="false">
      <c r="A148" s="56" t="s">
        <v>1629</v>
      </c>
      <c r="B148" s="63"/>
      <c r="C148" s="61"/>
      <c r="D148" s="61"/>
      <c r="E148" s="61"/>
      <c r="F148" s="60"/>
      <c r="G148" s="61"/>
      <c r="H148" s="61"/>
      <c r="I148" s="61"/>
      <c r="J148" s="61"/>
      <c r="K148" s="61"/>
      <c r="L148" s="63"/>
      <c r="M148" s="63"/>
      <c r="N148" s="63"/>
      <c r="O148" s="94"/>
      <c r="P148" s="61"/>
      <c r="Q148" s="63"/>
      <c r="R148" s="60"/>
      <c r="S148" s="60"/>
      <c r="T148" s="63"/>
      <c r="U148" s="60"/>
      <c r="V148" s="60"/>
      <c r="W148" s="87" t="str">
        <f aca="true">IF(B148="","",IF(N148&lt;&gt;"",N148-B148,TODAY()-B148))</f>
        <v/>
      </c>
      <c r="X148" s="62" t="str">
        <f aca="true">IF(OR(M148="",K148="Completed",K148="Cancelled"),"",IF(M148&lt;TODAY(),"OVERDUE",IF(M148-TODAY()&lt;=7,"Due ≤7d","On Schedule")))</f>
        <v/>
      </c>
      <c r="Y148" s="60"/>
      <c r="Z148" s="88" t="str">
        <f aca="false">IF(AND(N148&lt;&gt;"",N148&gt;='Weekly Report'!$F$4,N148&lt;='Weekly Report'!$F$5),ROW(),"")</f>
        <v/>
      </c>
      <c r="AA148" s="88" t="str">
        <f aca="false">IF(AND(AND(Q148&lt;&gt;"",Q148&gt;='Weekly Report'!$F$4,Q148&lt;='Weekly Report'!$F$5),AND(F148&lt;&gt;"",K148&lt;&gt;"Completed",K148&lt;&gt;"Cancelled")),ROW(),"")</f>
        <v/>
      </c>
      <c r="AB148" s="88" t="str">
        <f aca="false">IF(AND(F148&lt;&gt;"",K148="In Progress"),ROW(),"")</f>
        <v/>
      </c>
      <c r="AC148" s="88" t="str">
        <f aca="false">IF(AND(AND(F148&lt;&gt;"",K148&lt;&gt;"Completed",K148&lt;&gt;"Cancelled"),OR(K148="Blocked",S148&lt;&gt;"")),ROW(),"")</f>
        <v/>
      </c>
      <c r="AD148" s="88" t="str">
        <f aca="false">IF(AND(AND(F148&lt;&gt;"",K148&lt;&gt;"Completed",K148&lt;&gt;"Cancelled"),OR(P148="Yes",AND(M148&lt;&gt;"",M148&lt;='Weekly Report'!$F$7),AND(L148&lt;&gt;"",L148&gt;='Weekly Report'!$F$6,L148&lt;='Weekly Report'!$F$7))),ROW(),"")</f>
        <v/>
      </c>
    </row>
    <row r="149" customFormat="false" ht="15" hidden="false" customHeight="false" outlineLevel="0" collapsed="false">
      <c r="A149" s="56" t="s">
        <v>1630</v>
      </c>
      <c r="B149" s="63"/>
      <c r="C149" s="61"/>
      <c r="D149" s="61"/>
      <c r="E149" s="61"/>
      <c r="F149" s="60"/>
      <c r="G149" s="61"/>
      <c r="H149" s="61"/>
      <c r="I149" s="61"/>
      <c r="J149" s="61"/>
      <c r="K149" s="61"/>
      <c r="L149" s="63"/>
      <c r="M149" s="63"/>
      <c r="N149" s="63"/>
      <c r="O149" s="94"/>
      <c r="P149" s="61"/>
      <c r="Q149" s="63"/>
      <c r="R149" s="60"/>
      <c r="S149" s="60"/>
      <c r="T149" s="63"/>
      <c r="U149" s="60"/>
      <c r="V149" s="60"/>
      <c r="W149" s="87" t="str">
        <f aca="true">IF(B149="","",IF(N149&lt;&gt;"",N149-B149,TODAY()-B149))</f>
        <v/>
      </c>
      <c r="X149" s="62" t="str">
        <f aca="true">IF(OR(M149="",K149="Completed",K149="Cancelled"),"",IF(M149&lt;TODAY(),"OVERDUE",IF(M149-TODAY()&lt;=7,"Due ≤7d","On Schedule")))</f>
        <v/>
      </c>
      <c r="Y149" s="60"/>
      <c r="Z149" s="88" t="str">
        <f aca="false">IF(AND(N149&lt;&gt;"",N149&gt;='Weekly Report'!$F$4,N149&lt;='Weekly Report'!$F$5),ROW(),"")</f>
        <v/>
      </c>
      <c r="AA149" s="88" t="str">
        <f aca="false">IF(AND(AND(Q149&lt;&gt;"",Q149&gt;='Weekly Report'!$F$4,Q149&lt;='Weekly Report'!$F$5),AND(F149&lt;&gt;"",K149&lt;&gt;"Completed",K149&lt;&gt;"Cancelled")),ROW(),"")</f>
        <v/>
      </c>
      <c r="AB149" s="88" t="str">
        <f aca="false">IF(AND(F149&lt;&gt;"",K149="In Progress"),ROW(),"")</f>
        <v/>
      </c>
      <c r="AC149" s="88" t="str">
        <f aca="false">IF(AND(AND(F149&lt;&gt;"",K149&lt;&gt;"Completed",K149&lt;&gt;"Cancelled"),OR(K149="Blocked",S149&lt;&gt;"")),ROW(),"")</f>
        <v/>
      </c>
      <c r="AD149" s="88" t="str">
        <f aca="false">IF(AND(AND(F149&lt;&gt;"",K149&lt;&gt;"Completed",K149&lt;&gt;"Cancelled"),OR(P149="Yes",AND(M149&lt;&gt;"",M149&lt;='Weekly Report'!$F$7),AND(L149&lt;&gt;"",L149&gt;='Weekly Report'!$F$6,L149&lt;='Weekly Report'!$F$7))),ROW(),"")</f>
        <v/>
      </c>
    </row>
    <row r="150" customFormat="false" ht="15" hidden="false" customHeight="false" outlineLevel="0" collapsed="false">
      <c r="A150" s="56" t="s">
        <v>1631</v>
      </c>
      <c r="B150" s="63"/>
      <c r="C150" s="61"/>
      <c r="D150" s="61"/>
      <c r="E150" s="61"/>
      <c r="F150" s="60"/>
      <c r="G150" s="61"/>
      <c r="H150" s="61"/>
      <c r="I150" s="61"/>
      <c r="J150" s="61"/>
      <c r="K150" s="61"/>
      <c r="L150" s="63"/>
      <c r="M150" s="63"/>
      <c r="N150" s="63"/>
      <c r="O150" s="94"/>
      <c r="P150" s="61"/>
      <c r="Q150" s="63"/>
      <c r="R150" s="60"/>
      <c r="S150" s="60"/>
      <c r="T150" s="63"/>
      <c r="U150" s="60"/>
      <c r="V150" s="60"/>
      <c r="W150" s="87" t="str">
        <f aca="true">IF(B150="","",IF(N150&lt;&gt;"",N150-B150,TODAY()-B150))</f>
        <v/>
      </c>
      <c r="X150" s="62" t="str">
        <f aca="true">IF(OR(M150="",K150="Completed",K150="Cancelled"),"",IF(M150&lt;TODAY(),"OVERDUE",IF(M150-TODAY()&lt;=7,"Due ≤7d","On Schedule")))</f>
        <v/>
      </c>
      <c r="Y150" s="60"/>
      <c r="Z150" s="88" t="str">
        <f aca="false">IF(AND(N150&lt;&gt;"",N150&gt;='Weekly Report'!$F$4,N150&lt;='Weekly Report'!$F$5),ROW(),"")</f>
        <v/>
      </c>
      <c r="AA150" s="88" t="str">
        <f aca="false">IF(AND(AND(Q150&lt;&gt;"",Q150&gt;='Weekly Report'!$F$4,Q150&lt;='Weekly Report'!$F$5),AND(F150&lt;&gt;"",K150&lt;&gt;"Completed",K150&lt;&gt;"Cancelled")),ROW(),"")</f>
        <v/>
      </c>
      <c r="AB150" s="88" t="str">
        <f aca="false">IF(AND(F150&lt;&gt;"",K150="In Progress"),ROW(),"")</f>
        <v/>
      </c>
      <c r="AC150" s="88" t="str">
        <f aca="false">IF(AND(AND(F150&lt;&gt;"",K150&lt;&gt;"Completed",K150&lt;&gt;"Cancelled"),OR(K150="Blocked",S150&lt;&gt;"")),ROW(),"")</f>
        <v/>
      </c>
      <c r="AD150" s="88" t="str">
        <f aca="false">IF(AND(AND(F150&lt;&gt;"",K150&lt;&gt;"Completed",K150&lt;&gt;"Cancelled"),OR(P150="Yes",AND(M150&lt;&gt;"",M150&lt;='Weekly Report'!$F$7),AND(L150&lt;&gt;"",L150&gt;='Weekly Report'!$F$6,L150&lt;='Weekly Report'!$F$7))),ROW(),"")</f>
        <v/>
      </c>
    </row>
    <row r="151" customFormat="false" ht="15" hidden="false" customHeight="false" outlineLevel="0" collapsed="false">
      <c r="A151" s="56" t="s">
        <v>1632</v>
      </c>
      <c r="B151" s="63"/>
      <c r="C151" s="61"/>
      <c r="D151" s="61"/>
      <c r="E151" s="61"/>
      <c r="F151" s="60"/>
      <c r="G151" s="61"/>
      <c r="H151" s="61"/>
      <c r="I151" s="61"/>
      <c r="J151" s="61"/>
      <c r="K151" s="61"/>
      <c r="L151" s="63"/>
      <c r="M151" s="63"/>
      <c r="N151" s="63"/>
      <c r="O151" s="94"/>
      <c r="P151" s="61"/>
      <c r="Q151" s="63"/>
      <c r="R151" s="60"/>
      <c r="S151" s="60"/>
      <c r="T151" s="63"/>
      <c r="U151" s="60"/>
      <c r="V151" s="60"/>
      <c r="W151" s="87" t="str">
        <f aca="true">IF(B151="","",IF(N151&lt;&gt;"",N151-B151,TODAY()-B151))</f>
        <v/>
      </c>
      <c r="X151" s="62" t="str">
        <f aca="true">IF(OR(M151="",K151="Completed",K151="Cancelled"),"",IF(M151&lt;TODAY(),"OVERDUE",IF(M151-TODAY()&lt;=7,"Due ≤7d","On Schedule")))</f>
        <v/>
      </c>
      <c r="Y151" s="60"/>
      <c r="Z151" s="88" t="str">
        <f aca="false">IF(AND(N151&lt;&gt;"",N151&gt;='Weekly Report'!$F$4,N151&lt;='Weekly Report'!$F$5),ROW(),"")</f>
        <v/>
      </c>
      <c r="AA151" s="88" t="str">
        <f aca="false">IF(AND(AND(Q151&lt;&gt;"",Q151&gt;='Weekly Report'!$F$4,Q151&lt;='Weekly Report'!$F$5),AND(F151&lt;&gt;"",K151&lt;&gt;"Completed",K151&lt;&gt;"Cancelled")),ROW(),"")</f>
        <v/>
      </c>
      <c r="AB151" s="88" t="str">
        <f aca="false">IF(AND(F151&lt;&gt;"",K151="In Progress"),ROW(),"")</f>
        <v/>
      </c>
      <c r="AC151" s="88" t="str">
        <f aca="false">IF(AND(AND(F151&lt;&gt;"",K151&lt;&gt;"Completed",K151&lt;&gt;"Cancelled"),OR(K151="Blocked",S151&lt;&gt;"")),ROW(),"")</f>
        <v/>
      </c>
      <c r="AD151" s="88" t="str">
        <f aca="false">IF(AND(AND(F151&lt;&gt;"",K151&lt;&gt;"Completed",K151&lt;&gt;"Cancelled"),OR(P151="Yes",AND(M151&lt;&gt;"",M151&lt;='Weekly Report'!$F$7),AND(L151&lt;&gt;"",L151&gt;='Weekly Report'!$F$6,L151&lt;='Weekly Report'!$F$7))),ROW(),"")</f>
        <v/>
      </c>
    </row>
    <row r="152" customFormat="false" ht="15" hidden="false" customHeight="false" outlineLevel="0" collapsed="false">
      <c r="A152" s="56" t="s">
        <v>1633</v>
      </c>
      <c r="B152" s="63"/>
      <c r="C152" s="61"/>
      <c r="D152" s="61"/>
      <c r="E152" s="61"/>
      <c r="F152" s="60"/>
      <c r="G152" s="61"/>
      <c r="H152" s="61"/>
      <c r="I152" s="61"/>
      <c r="J152" s="61"/>
      <c r="K152" s="61"/>
      <c r="L152" s="63"/>
      <c r="M152" s="63"/>
      <c r="N152" s="63"/>
      <c r="O152" s="94"/>
      <c r="P152" s="61"/>
      <c r="Q152" s="63"/>
      <c r="R152" s="60"/>
      <c r="S152" s="60"/>
      <c r="T152" s="63"/>
      <c r="U152" s="60"/>
      <c r="V152" s="60"/>
      <c r="W152" s="87" t="str">
        <f aca="true">IF(B152="","",IF(N152&lt;&gt;"",N152-B152,TODAY()-B152))</f>
        <v/>
      </c>
      <c r="X152" s="62" t="str">
        <f aca="true">IF(OR(M152="",K152="Completed",K152="Cancelled"),"",IF(M152&lt;TODAY(),"OVERDUE",IF(M152-TODAY()&lt;=7,"Due ≤7d","On Schedule")))</f>
        <v/>
      </c>
      <c r="Y152" s="60"/>
      <c r="Z152" s="88" t="str">
        <f aca="false">IF(AND(N152&lt;&gt;"",N152&gt;='Weekly Report'!$F$4,N152&lt;='Weekly Report'!$F$5),ROW(),"")</f>
        <v/>
      </c>
      <c r="AA152" s="88" t="str">
        <f aca="false">IF(AND(AND(Q152&lt;&gt;"",Q152&gt;='Weekly Report'!$F$4,Q152&lt;='Weekly Report'!$F$5),AND(F152&lt;&gt;"",K152&lt;&gt;"Completed",K152&lt;&gt;"Cancelled")),ROW(),"")</f>
        <v/>
      </c>
      <c r="AB152" s="88" t="str">
        <f aca="false">IF(AND(F152&lt;&gt;"",K152="In Progress"),ROW(),"")</f>
        <v/>
      </c>
      <c r="AC152" s="88" t="str">
        <f aca="false">IF(AND(AND(F152&lt;&gt;"",K152&lt;&gt;"Completed",K152&lt;&gt;"Cancelled"),OR(K152="Blocked",S152&lt;&gt;"")),ROW(),"")</f>
        <v/>
      </c>
      <c r="AD152" s="88" t="str">
        <f aca="false">IF(AND(AND(F152&lt;&gt;"",K152&lt;&gt;"Completed",K152&lt;&gt;"Cancelled"),OR(P152="Yes",AND(M152&lt;&gt;"",M152&lt;='Weekly Report'!$F$7),AND(L152&lt;&gt;"",L152&gt;='Weekly Report'!$F$6,L152&lt;='Weekly Report'!$F$7))),ROW(),"")</f>
        <v/>
      </c>
    </row>
    <row r="153" customFormat="false" ht="15" hidden="false" customHeight="false" outlineLevel="0" collapsed="false">
      <c r="A153" s="56" t="s">
        <v>1634</v>
      </c>
      <c r="B153" s="63"/>
      <c r="C153" s="61"/>
      <c r="D153" s="61"/>
      <c r="E153" s="61"/>
      <c r="F153" s="60"/>
      <c r="G153" s="61"/>
      <c r="H153" s="61"/>
      <c r="I153" s="61"/>
      <c r="J153" s="61"/>
      <c r="K153" s="61"/>
      <c r="L153" s="63"/>
      <c r="M153" s="63"/>
      <c r="N153" s="63"/>
      <c r="O153" s="94"/>
      <c r="P153" s="61"/>
      <c r="Q153" s="63"/>
      <c r="R153" s="60"/>
      <c r="S153" s="60"/>
      <c r="T153" s="63"/>
      <c r="U153" s="60"/>
      <c r="V153" s="60"/>
      <c r="W153" s="87" t="str">
        <f aca="true">IF(B153="","",IF(N153&lt;&gt;"",N153-B153,TODAY()-B153))</f>
        <v/>
      </c>
      <c r="X153" s="62" t="str">
        <f aca="true">IF(OR(M153="",K153="Completed",K153="Cancelled"),"",IF(M153&lt;TODAY(),"OVERDUE",IF(M153-TODAY()&lt;=7,"Due ≤7d","On Schedule")))</f>
        <v/>
      </c>
      <c r="Y153" s="60"/>
      <c r="Z153" s="88" t="str">
        <f aca="false">IF(AND(N153&lt;&gt;"",N153&gt;='Weekly Report'!$F$4,N153&lt;='Weekly Report'!$F$5),ROW(),"")</f>
        <v/>
      </c>
      <c r="AA153" s="88" t="str">
        <f aca="false">IF(AND(AND(Q153&lt;&gt;"",Q153&gt;='Weekly Report'!$F$4,Q153&lt;='Weekly Report'!$F$5),AND(F153&lt;&gt;"",K153&lt;&gt;"Completed",K153&lt;&gt;"Cancelled")),ROW(),"")</f>
        <v/>
      </c>
      <c r="AB153" s="88" t="str">
        <f aca="false">IF(AND(F153&lt;&gt;"",K153="In Progress"),ROW(),"")</f>
        <v/>
      </c>
      <c r="AC153" s="88" t="str">
        <f aca="false">IF(AND(AND(F153&lt;&gt;"",K153&lt;&gt;"Completed",K153&lt;&gt;"Cancelled"),OR(K153="Blocked",S153&lt;&gt;"")),ROW(),"")</f>
        <v/>
      </c>
      <c r="AD153" s="88" t="str">
        <f aca="false">IF(AND(AND(F153&lt;&gt;"",K153&lt;&gt;"Completed",K153&lt;&gt;"Cancelled"),OR(P153="Yes",AND(M153&lt;&gt;"",M153&lt;='Weekly Report'!$F$7),AND(L153&lt;&gt;"",L153&gt;='Weekly Report'!$F$6,L153&lt;='Weekly Report'!$F$7))),ROW(),"")</f>
        <v/>
      </c>
    </row>
    <row r="154" customFormat="false" ht="15" hidden="false" customHeight="false" outlineLevel="0" collapsed="false">
      <c r="A154" s="56" t="s">
        <v>1635</v>
      </c>
      <c r="B154" s="63"/>
      <c r="C154" s="61"/>
      <c r="D154" s="61"/>
      <c r="E154" s="61"/>
      <c r="F154" s="60"/>
      <c r="G154" s="61"/>
      <c r="H154" s="61"/>
      <c r="I154" s="61"/>
      <c r="J154" s="61"/>
      <c r="K154" s="61"/>
      <c r="L154" s="63"/>
      <c r="M154" s="63"/>
      <c r="N154" s="63"/>
      <c r="O154" s="94"/>
      <c r="P154" s="61"/>
      <c r="Q154" s="63"/>
      <c r="R154" s="60"/>
      <c r="S154" s="60"/>
      <c r="T154" s="63"/>
      <c r="U154" s="60"/>
      <c r="V154" s="60"/>
      <c r="W154" s="87" t="str">
        <f aca="true">IF(B154="","",IF(N154&lt;&gt;"",N154-B154,TODAY()-B154))</f>
        <v/>
      </c>
      <c r="X154" s="62" t="str">
        <f aca="true">IF(OR(M154="",K154="Completed",K154="Cancelled"),"",IF(M154&lt;TODAY(),"OVERDUE",IF(M154-TODAY()&lt;=7,"Due ≤7d","On Schedule")))</f>
        <v/>
      </c>
      <c r="Y154" s="60"/>
      <c r="Z154" s="88" t="str">
        <f aca="false">IF(AND(N154&lt;&gt;"",N154&gt;='Weekly Report'!$F$4,N154&lt;='Weekly Report'!$F$5),ROW(),"")</f>
        <v/>
      </c>
      <c r="AA154" s="88" t="str">
        <f aca="false">IF(AND(AND(Q154&lt;&gt;"",Q154&gt;='Weekly Report'!$F$4,Q154&lt;='Weekly Report'!$F$5),AND(F154&lt;&gt;"",K154&lt;&gt;"Completed",K154&lt;&gt;"Cancelled")),ROW(),"")</f>
        <v/>
      </c>
      <c r="AB154" s="88" t="str">
        <f aca="false">IF(AND(F154&lt;&gt;"",K154="In Progress"),ROW(),"")</f>
        <v/>
      </c>
      <c r="AC154" s="88" t="str">
        <f aca="false">IF(AND(AND(F154&lt;&gt;"",K154&lt;&gt;"Completed",K154&lt;&gt;"Cancelled"),OR(K154="Blocked",S154&lt;&gt;"")),ROW(),"")</f>
        <v/>
      </c>
      <c r="AD154" s="88" t="str">
        <f aca="false">IF(AND(AND(F154&lt;&gt;"",K154&lt;&gt;"Completed",K154&lt;&gt;"Cancelled"),OR(P154="Yes",AND(M154&lt;&gt;"",M154&lt;='Weekly Report'!$F$7),AND(L154&lt;&gt;"",L154&gt;='Weekly Report'!$F$6,L154&lt;='Weekly Report'!$F$7))),ROW(),"")</f>
        <v/>
      </c>
    </row>
    <row r="155" customFormat="false" ht="15" hidden="false" customHeight="false" outlineLevel="0" collapsed="false">
      <c r="A155" s="56" t="s">
        <v>1636</v>
      </c>
      <c r="B155" s="63"/>
      <c r="C155" s="61"/>
      <c r="D155" s="61"/>
      <c r="E155" s="61"/>
      <c r="F155" s="60"/>
      <c r="G155" s="61"/>
      <c r="H155" s="61"/>
      <c r="I155" s="61"/>
      <c r="J155" s="61"/>
      <c r="K155" s="61"/>
      <c r="L155" s="63"/>
      <c r="M155" s="63"/>
      <c r="N155" s="63"/>
      <c r="O155" s="94"/>
      <c r="P155" s="61"/>
      <c r="Q155" s="63"/>
      <c r="R155" s="60"/>
      <c r="S155" s="60"/>
      <c r="T155" s="63"/>
      <c r="U155" s="60"/>
      <c r="V155" s="60"/>
      <c r="W155" s="87" t="str">
        <f aca="true">IF(B155="","",IF(N155&lt;&gt;"",N155-B155,TODAY()-B155))</f>
        <v/>
      </c>
      <c r="X155" s="62" t="str">
        <f aca="true">IF(OR(M155="",K155="Completed",K155="Cancelled"),"",IF(M155&lt;TODAY(),"OVERDUE",IF(M155-TODAY()&lt;=7,"Due ≤7d","On Schedule")))</f>
        <v/>
      </c>
      <c r="Y155" s="60"/>
      <c r="Z155" s="88" t="str">
        <f aca="false">IF(AND(N155&lt;&gt;"",N155&gt;='Weekly Report'!$F$4,N155&lt;='Weekly Report'!$F$5),ROW(),"")</f>
        <v/>
      </c>
      <c r="AA155" s="88" t="str">
        <f aca="false">IF(AND(AND(Q155&lt;&gt;"",Q155&gt;='Weekly Report'!$F$4,Q155&lt;='Weekly Report'!$F$5),AND(F155&lt;&gt;"",K155&lt;&gt;"Completed",K155&lt;&gt;"Cancelled")),ROW(),"")</f>
        <v/>
      </c>
      <c r="AB155" s="88" t="str">
        <f aca="false">IF(AND(F155&lt;&gt;"",K155="In Progress"),ROW(),"")</f>
        <v/>
      </c>
      <c r="AC155" s="88" t="str">
        <f aca="false">IF(AND(AND(F155&lt;&gt;"",K155&lt;&gt;"Completed",K155&lt;&gt;"Cancelled"),OR(K155="Blocked",S155&lt;&gt;"")),ROW(),"")</f>
        <v/>
      </c>
      <c r="AD155" s="88" t="str">
        <f aca="false">IF(AND(AND(F155&lt;&gt;"",K155&lt;&gt;"Completed",K155&lt;&gt;"Cancelled"),OR(P155="Yes",AND(M155&lt;&gt;"",M155&lt;='Weekly Report'!$F$7),AND(L155&lt;&gt;"",L155&gt;='Weekly Report'!$F$6,L155&lt;='Weekly Report'!$F$7))),ROW(),"")</f>
        <v/>
      </c>
    </row>
    <row r="156" customFormat="false" ht="15" hidden="false" customHeight="false" outlineLevel="0" collapsed="false">
      <c r="A156" s="56" t="s">
        <v>1637</v>
      </c>
      <c r="B156" s="63"/>
      <c r="C156" s="61"/>
      <c r="D156" s="61"/>
      <c r="E156" s="61"/>
      <c r="F156" s="60"/>
      <c r="G156" s="61"/>
      <c r="H156" s="61"/>
      <c r="I156" s="61"/>
      <c r="J156" s="61"/>
      <c r="K156" s="61"/>
      <c r="L156" s="63"/>
      <c r="M156" s="63"/>
      <c r="N156" s="63"/>
      <c r="O156" s="94"/>
      <c r="P156" s="61"/>
      <c r="Q156" s="63"/>
      <c r="R156" s="60"/>
      <c r="S156" s="60"/>
      <c r="T156" s="63"/>
      <c r="U156" s="60"/>
      <c r="V156" s="60"/>
      <c r="W156" s="87" t="str">
        <f aca="true">IF(B156="","",IF(N156&lt;&gt;"",N156-B156,TODAY()-B156))</f>
        <v/>
      </c>
      <c r="X156" s="62" t="str">
        <f aca="true">IF(OR(M156="",K156="Completed",K156="Cancelled"),"",IF(M156&lt;TODAY(),"OVERDUE",IF(M156-TODAY()&lt;=7,"Due ≤7d","On Schedule")))</f>
        <v/>
      </c>
      <c r="Y156" s="60"/>
      <c r="Z156" s="88" t="str">
        <f aca="false">IF(AND(N156&lt;&gt;"",N156&gt;='Weekly Report'!$F$4,N156&lt;='Weekly Report'!$F$5),ROW(),"")</f>
        <v/>
      </c>
      <c r="AA156" s="88" t="str">
        <f aca="false">IF(AND(AND(Q156&lt;&gt;"",Q156&gt;='Weekly Report'!$F$4,Q156&lt;='Weekly Report'!$F$5),AND(F156&lt;&gt;"",K156&lt;&gt;"Completed",K156&lt;&gt;"Cancelled")),ROW(),"")</f>
        <v/>
      </c>
      <c r="AB156" s="88" t="str">
        <f aca="false">IF(AND(F156&lt;&gt;"",K156="In Progress"),ROW(),"")</f>
        <v/>
      </c>
      <c r="AC156" s="88" t="str">
        <f aca="false">IF(AND(AND(F156&lt;&gt;"",K156&lt;&gt;"Completed",K156&lt;&gt;"Cancelled"),OR(K156="Blocked",S156&lt;&gt;"")),ROW(),"")</f>
        <v/>
      </c>
      <c r="AD156" s="88" t="str">
        <f aca="false">IF(AND(AND(F156&lt;&gt;"",K156&lt;&gt;"Completed",K156&lt;&gt;"Cancelled"),OR(P156="Yes",AND(M156&lt;&gt;"",M156&lt;='Weekly Report'!$F$7),AND(L156&lt;&gt;"",L156&gt;='Weekly Report'!$F$6,L156&lt;='Weekly Report'!$F$7))),ROW(),"")</f>
        <v/>
      </c>
    </row>
    <row r="157" customFormat="false" ht="15" hidden="false" customHeight="false" outlineLevel="0" collapsed="false">
      <c r="A157" s="56" t="s">
        <v>1638</v>
      </c>
      <c r="B157" s="63"/>
      <c r="C157" s="61"/>
      <c r="D157" s="61"/>
      <c r="E157" s="61"/>
      <c r="F157" s="60"/>
      <c r="G157" s="61"/>
      <c r="H157" s="61"/>
      <c r="I157" s="61"/>
      <c r="J157" s="61"/>
      <c r="K157" s="61"/>
      <c r="L157" s="63"/>
      <c r="M157" s="63"/>
      <c r="N157" s="63"/>
      <c r="O157" s="94"/>
      <c r="P157" s="61"/>
      <c r="Q157" s="63"/>
      <c r="R157" s="60"/>
      <c r="S157" s="60"/>
      <c r="T157" s="63"/>
      <c r="U157" s="60"/>
      <c r="V157" s="60"/>
      <c r="W157" s="87" t="str">
        <f aca="true">IF(B157="","",IF(N157&lt;&gt;"",N157-B157,TODAY()-B157))</f>
        <v/>
      </c>
      <c r="X157" s="62" t="str">
        <f aca="true">IF(OR(M157="",K157="Completed",K157="Cancelled"),"",IF(M157&lt;TODAY(),"OVERDUE",IF(M157-TODAY()&lt;=7,"Due ≤7d","On Schedule")))</f>
        <v/>
      </c>
      <c r="Y157" s="60"/>
      <c r="Z157" s="88" t="str">
        <f aca="false">IF(AND(N157&lt;&gt;"",N157&gt;='Weekly Report'!$F$4,N157&lt;='Weekly Report'!$F$5),ROW(),"")</f>
        <v/>
      </c>
      <c r="AA157" s="88" t="str">
        <f aca="false">IF(AND(AND(Q157&lt;&gt;"",Q157&gt;='Weekly Report'!$F$4,Q157&lt;='Weekly Report'!$F$5),AND(F157&lt;&gt;"",K157&lt;&gt;"Completed",K157&lt;&gt;"Cancelled")),ROW(),"")</f>
        <v/>
      </c>
      <c r="AB157" s="88" t="str">
        <f aca="false">IF(AND(F157&lt;&gt;"",K157="In Progress"),ROW(),"")</f>
        <v/>
      </c>
      <c r="AC157" s="88" t="str">
        <f aca="false">IF(AND(AND(F157&lt;&gt;"",K157&lt;&gt;"Completed",K157&lt;&gt;"Cancelled"),OR(K157="Blocked",S157&lt;&gt;"")),ROW(),"")</f>
        <v/>
      </c>
      <c r="AD157" s="88" t="str">
        <f aca="false">IF(AND(AND(F157&lt;&gt;"",K157&lt;&gt;"Completed",K157&lt;&gt;"Cancelled"),OR(P157="Yes",AND(M157&lt;&gt;"",M157&lt;='Weekly Report'!$F$7),AND(L157&lt;&gt;"",L157&gt;='Weekly Report'!$F$6,L157&lt;='Weekly Report'!$F$7))),ROW(),"")</f>
        <v/>
      </c>
    </row>
    <row r="158" customFormat="false" ht="15" hidden="false" customHeight="false" outlineLevel="0" collapsed="false">
      <c r="A158" s="56" t="s">
        <v>1639</v>
      </c>
      <c r="B158" s="63"/>
      <c r="C158" s="61"/>
      <c r="D158" s="61"/>
      <c r="E158" s="61"/>
      <c r="F158" s="60"/>
      <c r="G158" s="61"/>
      <c r="H158" s="61"/>
      <c r="I158" s="61"/>
      <c r="J158" s="61"/>
      <c r="K158" s="61"/>
      <c r="L158" s="63"/>
      <c r="M158" s="63"/>
      <c r="N158" s="63"/>
      <c r="O158" s="94"/>
      <c r="P158" s="61"/>
      <c r="Q158" s="63"/>
      <c r="R158" s="60"/>
      <c r="S158" s="60"/>
      <c r="T158" s="63"/>
      <c r="U158" s="60"/>
      <c r="V158" s="60"/>
      <c r="W158" s="87" t="str">
        <f aca="true">IF(B158="","",IF(N158&lt;&gt;"",N158-B158,TODAY()-B158))</f>
        <v/>
      </c>
      <c r="X158" s="62" t="str">
        <f aca="true">IF(OR(M158="",K158="Completed",K158="Cancelled"),"",IF(M158&lt;TODAY(),"OVERDUE",IF(M158-TODAY()&lt;=7,"Due ≤7d","On Schedule")))</f>
        <v/>
      </c>
      <c r="Y158" s="60"/>
      <c r="Z158" s="88" t="str">
        <f aca="false">IF(AND(N158&lt;&gt;"",N158&gt;='Weekly Report'!$F$4,N158&lt;='Weekly Report'!$F$5),ROW(),"")</f>
        <v/>
      </c>
      <c r="AA158" s="88" t="str">
        <f aca="false">IF(AND(AND(Q158&lt;&gt;"",Q158&gt;='Weekly Report'!$F$4,Q158&lt;='Weekly Report'!$F$5),AND(F158&lt;&gt;"",K158&lt;&gt;"Completed",K158&lt;&gt;"Cancelled")),ROW(),"")</f>
        <v/>
      </c>
      <c r="AB158" s="88" t="str">
        <f aca="false">IF(AND(F158&lt;&gt;"",K158="In Progress"),ROW(),"")</f>
        <v/>
      </c>
      <c r="AC158" s="88" t="str">
        <f aca="false">IF(AND(AND(F158&lt;&gt;"",K158&lt;&gt;"Completed",K158&lt;&gt;"Cancelled"),OR(K158="Blocked",S158&lt;&gt;"")),ROW(),"")</f>
        <v/>
      </c>
      <c r="AD158" s="88" t="str">
        <f aca="false">IF(AND(AND(F158&lt;&gt;"",K158&lt;&gt;"Completed",K158&lt;&gt;"Cancelled"),OR(P158="Yes",AND(M158&lt;&gt;"",M158&lt;='Weekly Report'!$F$7),AND(L158&lt;&gt;"",L158&gt;='Weekly Report'!$F$6,L158&lt;='Weekly Report'!$F$7))),ROW(),"")</f>
        <v/>
      </c>
    </row>
    <row r="159" customFormat="false" ht="15" hidden="false" customHeight="false" outlineLevel="0" collapsed="false">
      <c r="A159" s="56" t="s">
        <v>1640</v>
      </c>
      <c r="B159" s="63"/>
      <c r="C159" s="61"/>
      <c r="D159" s="61"/>
      <c r="E159" s="61"/>
      <c r="F159" s="60"/>
      <c r="G159" s="61"/>
      <c r="H159" s="61"/>
      <c r="I159" s="61"/>
      <c r="J159" s="61"/>
      <c r="K159" s="61"/>
      <c r="L159" s="63"/>
      <c r="M159" s="63"/>
      <c r="N159" s="63"/>
      <c r="O159" s="94"/>
      <c r="P159" s="61"/>
      <c r="Q159" s="63"/>
      <c r="R159" s="60"/>
      <c r="S159" s="60"/>
      <c r="T159" s="63"/>
      <c r="U159" s="60"/>
      <c r="V159" s="60"/>
      <c r="W159" s="87" t="str">
        <f aca="true">IF(B159="","",IF(N159&lt;&gt;"",N159-B159,TODAY()-B159))</f>
        <v/>
      </c>
      <c r="X159" s="62" t="str">
        <f aca="true">IF(OR(M159="",K159="Completed",K159="Cancelled"),"",IF(M159&lt;TODAY(),"OVERDUE",IF(M159-TODAY()&lt;=7,"Due ≤7d","On Schedule")))</f>
        <v/>
      </c>
      <c r="Y159" s="60"/>
      <c r="Z159" s="88" t="str">
        <f aca="false">IF(AND(N159&lt;&gt;"",N159&gt;='Weekly Report'!$F$4,N159&lt;='Weekly Report'!$F$5),ROW(),"")</f>
        <v/>
      </c>
      <c r="AA159" s="88" t="str">
        <f aca="false">IF(AND(AND(Q159&lt;&gt;"",Q159&gt;='Weekly Report'!$F$4,Q159&lt;='Weekly Report'!$F$5),AND(F159&lt;&gt;"",K159&lt;&gt;"Completed",K159&lt;&gt;"Cancelled")),ROW(),"")</f>
        <v/>
      </c>
      <c r="AB159" s="88" t="str">
        <f aca="false">IF(AND(F159&lt;&gt;"",K159="In Progress"),ROW(),"")</f>
        <v/>
      </c>
      <c r="AC159" s="88" t="str">
        <f aca="false">IF(AND(AND(F159&lt;&gt;"",K159&lt;&gt;"Completed",K159&lt;&gt;"Cancelled"),OR(K159="Blocked",S159&lt;&gt;"")),ROW(),"")</f>
        <v/>
      </c>
      <c r="AD159" s="88" t="str">
        <f aca="false">IF(AND(AND(F159&lt;&gt;"",K159&lt;&gt;"Completed",K159&lt;&gt;"Cancelled"),OR(P159="Yes",AND(M159&lt;&gt;"",M159&lt;='Weekly Report'!$F$7),AND(L159&lt;&gt;"",L159&gt;='Weekly Report'!$F$6,L159&lt;='Weekly Report'!$F$7))),ROW(),"")</f>
        <v/>
      </c>
    </row>
    <row r="160" customFormat="false" ht="15" hidden="false" customHeight="false" outlineLevel="0" collapsed="false">
      <c r="A160" s="56" t="s">
        <v>1641</v>
      </c>
      <c r="B160" s="63"/>
      <c r="C160" s="61"/>
      <c r="D160" s="61"/>
      <c r="E160" s="61"/>
      <c r="F160" s="60"/>
      <c r="G160" s="61"/>
      <c r="H160" s="61"/>
      <c r="I160" s="61"/>
      <c r="J160" s="61"/>
      <c r="K160" s="61"/>
      <c r="L160" s="63"/>
      <c r="M160" s="63"/>
      <c r="N160" s="63"/>
      <c r="O160" s="94"/>
      <c r="P160" s="61"/>
      <c r="Q160" s="63"/>
      <c r="R160" s="60"/>
      <c r="S160" s="60"/>
      <c r="T160" s="63"/>
      <c r="U160" s="60"/>
      <c r="V160" s="60"/>
      <c r="W160" s="87" t="str">
        <f aca="true">IF(B160="","",IF(N160&lt;&gt;"",N160-B160,TODAY()-B160))</f>
        <v/>
      </c>
      <c r="X160" s="62" t="str">
        <f aca="true">IF(OR(M160="",K160="Completed",K160="Cancelled"),"",IF(M160&lt;TODAY(),"OVERDUE",IF(M160-TODAY()&lt;=7,"Due ≤7d","On Schedule")))</f>
        <v/>
      </c>
      <c r="Y160" s="60"/>
      <c r="Z160" s="88" t="str">
        <f aca="false">IF(AND(N160&lt;&gt;"",N160&gt;='Weekly Report'!$F$4,N160&lt;='Weekly Report'!$F$5),ROW(),"")</f>
        <v/>
      </c>
      <c r="AA160" s="88" t="str">
        <f aca="false">IF(AND(AND(Q160&lt;&gt;"",Q160&gt;='Weekly Report'!$F$4,Q160&lt;='Weekly Report'!$F$5),AND(F160&lt;&gt;"",K160&lt;&gt;"Completed",K160&lt;&gt;"Cancelled")),ROW(),"")</f>
        <v/>
      </c>
      <c r="AB160" s="88" t="str">
        <f aca="false">IF(AND(F160&lt;&gt;"",K160="In Progress"),ROW(),"")</f>
        <v/>
      </c>
      <c r="AC160" s="88" t="str">
        <f aca="false">IF(AND(AND(F160&lt;&gt;"",K160&lt;&gt;"Completed",K160&lt;&gt;"Cancelled"),OR(K160="Blocked",S160&lt;&gt;"")),ROW(),"")</f>
        <v/>
      </c>
      <c r="AD160" s="88" t="str">
        <f aca="false">IF(AND(AND(F160&lt;&gt;"",K160&lt;&gt;"Completed",K160&lt;&gt;"Cancelled"),OR(P160="Yes",AND(M160&lt;&gt;"",M160&lt;='Weekly Report'!$F$7),AND(L160&lt;&gt;"",L160&gt;='Weekly Report'!$F$6,L160&lt;='Weekly Report'!$F$7))),ROW(),"")</f>
        <v/>
      </c>
    </row>
    <row r="161" customFormat="false" ht="15" hidden="false" customHeight="false" outlineLevel="0" collapsed="false">
      <c r="A161" s="56" t="s">
        <v>1642</v>
      </c>
      <c r="B161" s="63"/>
      <c r="C161" s="61"/>
      <c r="D161" s="61"/>
      <c r="E161" s="61"/>
      <c r="F161" s="60"/>
      <c r="G161" s="61"/>
      <c r="H161" s="61"/>
      <c r="I161" s="61"/>
      <c r="J161" s="61"/>
      <c r="K161" s="61"/>
      <c r="L161" s="63"/>
      <c r="M161" s="63"/>
      <c r="N161" s="63"/>
      <c r="O161" s="94"/>
      <c r="P161" s="61"/>
      <c r="Q161" s="63"/>
      <c r="R161" s="60"/>
      <c r="S161" s="60"/>
      <c r="T161" s="63"/>
      <c r="U161" s="60"/>
      <c r="V161" s="60"/>
      <c r="W161" s="87" t="str">
        <f aca="true">IF(B161="","",IF(N161&lt;&gt;"",N161-B161,TODAY()-B161))</f>
        <v/>
      </c>
      <c r="X161" s="62" t="str">
        <f aca="true">IF(OR(M161="",K161="Completed",K161="Cancelled"),"",IF(M161&lt;TODAY(),"OVERDUE",IF(M161-TODAY()&lt;=7,"Due ≤7d","On Schedule")))</f>
        <v/>
      </c>
      <c r="Y161" s="60"/>
      <c r="Z161" s="88" t="str">
        <f aca="false">IF(AND(N161&lt;&gt;"",N161&gt;='Weekly Report'!$F$4,N161&lt;='Weekly Report'!$F$5),ROW(),"")</f>
        <v/>
      </c>
      <c r="AA161" s="88" t="str">
        <f aca="false">IF(AND(AND(Q161&lt;&gt;"",Q161&gt;='Weekly Report'!$F$4,Q161&lt;='Weekly Report'!$F$5),AND(F161&lt;&gt;"",K161&lt;&gt;"Completed",K161&lt;&gt;"Cancelled")),ROW(),"")</f>
        <v/>
      </c>
      <c r="AB161" s="88" t="str">
        <f aca="false">IF(AND(F161&lt;&gt;"",K161="In Progress"),ROW(),"")</f>
        <v/>
      </c>
      <c r="AC161" s="88" t="str">
        <f aca="false">IF(AND(AND(F161&lt;&gt;"",K161&lt;&gt;"Completed",K161&lt;&gt;"Cancelled"),OR(K161="Blocked",S161&lt;&gt;"")),ROW(),"")</f>
        <v/>
      </c>
      <c r="AD161" s="88" t="str">
        <f aca="false">IF(AND(AND(F161&lt;&gt;"",K161&lt;&gt;"Completed",K161&lt;&gt;"Cancelled"),OR(P161="Yes",AND(M161&lt;&gt;"",M161&lt;='Weekly Report'!$F$7),AND(L161&lt;&gt;"",L161&gt;='Weekly Report'!$F$6,L161&lt;='Weekly Report'!$F$7))),ROW(),"")</f>
        <v/>
      </c>
    </row>
    <row r="162" customFormat="false" ht="15" hidden="false" customHeight="false" outlineLevel="0" collapsed="false">
      <c r="A162" s="56" t="s">
        <v>1643</v>
      </c>
      <c r="B162" s="63"/>
      <c r="C162" s="61"/>
      <c r="D162" s="61"/>
      <c r="E162" s="61"/>
      <c r="F162" s="60"/>
      <c r="G162" s="61"/>
      <c r="H162" s="61"/>
      <c r="I162" s="61"/>
      <c r="J162" s="61"/>
      <c r="K162" s="61"/>
      <c r="L162" s="63"/>
      <c r="M162" s="63"/>
      <c r="N162" s="63"/>
      <c r="O162" s="94"/>
      <c r="P162" s="61"/>
      <c r="Q162" s="63"/>
      <c r="R162" s="60"/>
      <c r="S162" s="60"/>
      <c r="T162" s="63"/>
      <c r="U162" s="60"/>
      <c r="V162" s="60"/>
      <c r="W162" s="87" t="str">
        <f aca="true">IF(B162="","",IF(N162&lt;&gt;"",N162-B162,TODAY()-B162))</f>
        <v/>
      </c>
      <c r="X162" s="62" t="str">
        <f aca="true">IF(OR(M162="",K162="Completed",K162="Cancelled"),"",IF(M162&lt;TODAY(),"OVERDUE",IF(M162-TODAY()&lt;=7,"Due ≤7d","On Schedule")))</f>
        <v/>
      </c>
      <c r="Y162" s="60"/>
      <c r="Z162" s="88" t="str">
        <f aca="false">IF(AND(N162&lt;&gt;"",N162&gt;='Weekly Report'!$F$4,N162&lt;='Weekly Report'!$F$5),ROW(),"")</f>
        <v/>
      </c>
      <c r="AA162" s="88" t="str">
        <f aca="false">IF(AND(AND(Q162&lt;&gt;"",Q162&gt;='Weekly Report'!$F$4,Q162&lt;='Weekly Report'!$F$5),AND(F162&lt;&gt;"",K162&lt;&gt;"Completed",K162&lt;&gt;"Cancelled")),ROW(),"")</f>
        <v/>
      </c>
      <c r="AB162" s="88" t="str">
        <f aca="false">IF(AND(F162&lt;&gt;"",K162="In Progress"),ROW(),"")</f>
        <v/>
      </c>
      <c r="AC162" s="88" t="str">
        <f aca="false">IF(AND(AND(F162&lt;&gt;"",K162&lt;&gt;"Completed",K162&lt;&gt;"Cancelled"),OR(K162="Blocked",S162&lt;&gt;"")),ROW(),"")</f>
        <v/>
      </c>
      <c r="AD162" s="88" t="str">
        <f aca="false">IF(AND(AND(F162&lt;&gt;"",K162&lt;&gt;"Completed",K162&lt;&gt;"Cancelled"),OR(P162="Yes",AND(M162&lt;&gt;"",M162&lt;='Weekly Report'!$F$7),AND(L162&lt;&gt;"",L162&gt;='Weekly Report'!$F$6,L162&lt;='Weekly Report'!$F$7))),ROW(),"")</f>
        <v/>
      </c>
    </row>
    <row r="163" customFormat="false" ht="15" hidden="false" customHeight="false" outlineLevel="0" collapsed="false">
      <c r="A163" s="56" t="s">
        <v>1644</v>
      </c>
      <c r="B163" s="63"/>
      <c r="C163" s="61"/>
      <c r="D163" s="61"/>
      <c r="E163" s="61"/>
      <c r="F163" s="60"/>
      <c r="G163" s="61"/>
      <c r="H163" s="61"/>
      <c r="I163" s="61"/>
      <c r="J163" s="61"/>
      <c r="K163" s="61"/>
      <c r="L163" s="63"/>
      <c r="M163" s="63"/>
      <c r="N163" s="63"/>
      <c r="O163" s="94"/>
      <c r="P163" s="61"/>
      <c r="Q163" s="63"/>
      <c r="R163" s="60"/>
      <c r="S163" s="60"/>
      <c r="T163" s="63"/>
      <c r="U163" s="60"/>
      <c r="V163" s="60"/>
      <c r="W163" s="87" t="str">
        <f aca="true">IF(B163="","",IF(N163&lt;&gt;"",N163-B163,TODAY()-B163))</f>
        <v/>
      </c>
      <c r="X163" s="62" t="str">
        <f aca="true">IF(OR(M163="",K163="Completed",K163="Cancelled"),"",IF(M163&lt;TODAY(),"OVERDUE",IF(M163-TODAY()&lt;=7,"Due ≤7d","On Schedule")))</f>
        <v/>
      </c>
      <c r="Y163" s="60"/>
      <c r="Z163" s="88" t="str">
        <f aca="false">IF(AND(N163&lt;&gt;"",N163&gt;='Weekly Report'!$F$4,N163&lt;='Weekly Report'!$F$5),ROW(),"")</f>
        <v/>
      </c>
      <c r="AA163" s="88" t="str">
        <f aca="false">IF(AND(AND(Q163&lt;&gt;"",Q163&gt;='Weekly Report'!$F$4,Q163&lt;='Weekly Report'!$F$5),AND(F163&lt;&gt;"",K163&lt;&gt;"Completed",K163&lt;&gt;"Cancelled")),ROW(),"")</f>
        <v/>
      </c>
      <c r="AB163" s="88" t="str">
        <f aca="false">IF(AND(F163&lt;&gt;"",K163="In Progress"),ROW(),"")</f>
        <v/>
      </c>
      <c r="AC163" s="88" t="str">
        <f aca="false">IF(AND(AND(F163&lt;&gt;"",K163&lt;&gt;"Completed",K163&lt;&gt;"Cancelled"),OR(K163="Blocked",S163&lt;&gt;"")),ROW(),"")</f>
        <v/>
      </c>
      <c r="AD163" s="88" t="str">
        <f aca="false">IF(AND(AND(F163&lt;&gt;"",K163&lt;&gt;"Completed",K163&lt;&gt;"Cancelled"),OR(P163="Yes",AND(M163&lt;&gt;"",M163&lt;='Weekly Report'!$F$7),AND(L163&lt;&gt;"",L163&gt;='Weekly Report'!$F$6,L163&lt;='Weekly Report'!$F$7))),ROW(),"")</f>
        <v/>
      </c>
    </row>
    <row r="164" customFormat="false" ht="15" hidden="false" customHeight="false" outlineLevel="0" collapsed="false">
      <c r="A164" s="56" t="s">
        <v>1645</v>
      </c>
      <c r="B164" s="63"/>
      <c r="C164" s="61"/>
      <c r="D164" s="61"/>
      <c r="E164" s="61"/>
      <c r="F164" s="60"/>
      <c r="G164" s="61"/>
      <c r="H164" s="61"/>
      <c r="I164" s="61"/>
      <c r="J164" s="61"/>
      <c r="K164" s="61"/>
      <c r="L164" s="63"/>
      <c r="M164" s="63"/>
      <c r="N164" s="63"/>
      <c r="O164" s="94"/>
      <c r="P164" s="61"/>
      <c r="Q164" s="63"/>
      <c r="R164" s="60"/>
      <c r="S164" s="60"/>
      <c r="T164" s="63"/>
      <c r="U164" s="60"/>
      <c r="V164" s="60"/>
      <c r="W164" s="87" t="str">
        <f aca="true">IF(B164="","",IF(N164&lt;&gt;"",N164-B164,TODAY()-B164))</f>
        <v/>
      </c>
      <c r="X164" s="62" t="str">
        <f aca="true">IF(OR(M164="",K164="Completed",K164="Cancelled"),"",IF(M164&lt;TODAY(),"OVERDUE",IF(M164-TODAY()&lt;=7,"Due ≤7d","On Schedule")))</f>
        <v/>
      </c>
      <c r="Y164" s="60"/>
      <c r="Z164" s="88" t="str">
        <f aca="false">IF(AND(N164&lt;&gt;"",N164&gt;='Weekly Report'!$F$4,N164&lt;='Weekly Report'!$F$5),ROW(),"")</f>
        <v/>
      </c>
      <c r="AA164" s="88" t="str">
        <f aca="false">IF(AND(AND(Q164&lt;&gt;"",Q164&gt;='Weekly Report'!$F$4,Q164&lt;='Weekly Report'!$F$5),AND(F164&lt;&gt;"",K164&lt;&gt;"Completed",K164&lt;&gt;"Cancelled")),ROW(),"")</f>
        <v/>
      </c>
      <c r="AB164" s="88" t="str">
        <f aca="false">IF(AND(F164&lt;&gt;"",K164="In Progress"),ROW(),"")</f>
        <v/>
      </c>
      <c r="AC164" s="88" t="str">
        <f aca="false">IF(AND(AND(F164&lt;&gt;"",K164&lt;&gt;"Completed",K164&lt;&gt;"Cancelled"),OR(K164="Blocked",S164&lt;&gt;"")),ROW(),"")</f>
        <v/>
      </c>
      <c r="AD164" s="88" t="str">
        <f aca="false">IF(AND(AND(F164&lt;&gt;"",K164&lt;&gt;"Completed",K164&lt;&gt;"Cancelled"),OR(P164="Yes",AND(M164&lt;&gt;"",M164&lt;='Weekly Report'!$F$7),AND(L164&lt;&gt;"",L164&gt;='Weekly Report'!$F$6,L164&lt;='Weekly Report'!$F$7))),ROW(),"")</f>
        <v/>
      </c>
    </row>
    <row r="165" customFormat="false" ht="15" hidden="false" customHeight="false" outlineLevel="0" collapsed="false">
      <c r="A165" s="56" t="s">
        <v>1646</v>
      </c>
      <c r="B165" s="63"/>
      <c r="C165" s="61"/>
      <c r="D165" s="61"/>
      <c r="E165" s="61"/>
      <c r="F165" s="60"/>
      <c r="G165" s="61"/>
      <c r="H165" s="61"/>
      <c r="I165" s="61"/>
      <c r="J165" s="61"/>
      <c r="K165" s="61"/>
      <c r="L165" s="63"/>
      <c r="M165" s="63"/>
      <c r="N165" s="63"/>
      <c r="O165" s="94"/>
      <c r="P165" s="61"/>
      <c r="Q165" s="63"/>
      <c r="R165" s="60"/>
      <c r="S165" s="60"/>
      <c r="T165" s="63"/>
      <c r="U165" s="60"/>
      <c r="V165" s="60"/>
      <c r="W165" s="87" t="str">
        <f aca="true">IF(B165="","",IF(N165&lt;&gt;"",N165-B165,TODAY()-B165))</f>
        <v/>
      </c>
      <c r="X165" s="62" t="str">
        <f aca="true">IF(OR(M165="",K165="Completed",K165="Cancelled"),"",IF(M165&lt;TODAY(),"OVERDUE",IF(M165-TODAY()&lt;=7,"Due ≤7d","On Schedule")))</f>
        <v/>
      </c>
      <c r="Y165" s="60"/>
      <c r="Z165" s="88" t="str">
        <f aca="false">IF(AND(N165&lt;&gt;"",N165&gt;='Weekly Report'!$F$4,N165&lt;='Weekly Report'!$F$5),ROW(),"")</f>
        <v/>
      </c>
      <c r="AA165" s="88" t="str">
        <f aca="false">IF(AND(AND(Q165&lt;&gt;"",Q165&gt;='Weekly Report'!$F$4,Q165&lt;='Weekly Report'!$F$5),AND(F165&lt;&gt;"",K165&lt;&gt;"Completed",K165&lt;&gt;"Cancelled")),ROW(),"")</f>
        <v/>
      </c>
      <c r="AB165" s="88" t="str">
        <f aca="false">IF(AND(F165&lt;&gt;"",K165="In Progress"),ROW(),"")</f>
        <v/>
      </c>
      <c r="AC165" s="88" t="str">
        <f aca="false">IF(AND(AND(F165&lt;&gt;"",K165&lt;&gt;"Completed",K165&lt;&gt;"Cancelled"),OR(K165="Blocked",S165&lt;&gt;"")),ROW(),"")</f>
        <v/>
      </c>
      <c r="AD165" s="88" t="str">
        <f aca="false">IF(AND(AND(F165&lt;&gt;"",K165&lt;&gt;"Completed",K165&lt;&gt;"Cancelled"),OR(P165="Yes",AND(M165&lt;&gt;"",M165&lt;='Weekly Report'!$F$7),AND(L165&lt;&gt;"",L165&gt;='Weekly Report'!$F$6,L165&lt;='Weekly Report'!$F$7))),ROW(),"")</f>
        <v/>
      </c>
    </row>
    <row r="166" customFormat="false" ht="15" hidden="false" customHeight="false" outlineLevel="0" collapsed="false">
      <c r="A166" s="56" t="s">
        <v>1647</v>
      </c>
      <c r="B166" s="63"/>
      <c r="C166" s="61"/>
      <c r="D166" s="61"/>
      <c r="E166" s="61"/>
      <c r="F166" s="60"/>
      <c r="G166" s="61"/>
      <c r="H166" s="61"/>
      <c r="I166" s="61"/>
      <c r="J166" s="61"/>
      <c r="K166" s="61"/>
      <c r="L166" s="63"/>
      <c r="M166" s="63"/>
      <c r="N166" s="63"/>
      <c r="O166" s="94"/>
      <c r="P166" s="61"/>
      <c r="Q166" s="63"/>
      <c r="R166" s="60"/>
      <c r="S166" s="60"/>
      <c r="T166" s="63"/>
      <c r="U166" s="60"/>
      <c r="V166" s="60"/>
      <c r="W166" s="87" t="str">
        <f aca="true">IF(B166="","",IF(N166&lt;&gt;"",N166-B166,TODAY()-B166))</f>
        <v/>
      </c>
      <c r="X166" s="62" t="str">
        <f aca="true">IF(OR(M166="",K166="Completed",K166="Cancelled"),"",IF(M166&lt;TODAY(),"OVERDUE",IF(M166-TODAY()&lt;=7,"Due ≤7d","On Schedule")))</f>
        <v/>
      </c>
      <c r="Y166" s="60"/>
      <c r="Z166" s="88" t="str">
        <f aca="false">IF(AND(N166&lt;&gt;"",N166&gt;='Weekly Report'!$F$4,N166&lt;='Weekly Report'!$F$5),ROW(),"")</f>
        <v/>
      </c>
      <c r="AA166" s="88" t="str">
        <f aca="false">IF(AND(AND(Q166&lt;&gt;"",Q166&gt;='Weekly Report'!$F$4,Q166&lt;='Weekly Report'!$F$5),AND(F166&lt;&gt;"",K166&lt;&gt;"Completed",K166&lt;&gt;"Cancelled")),ROW(),"")</f>
        <v/>
      </c>
      <c r="AB166" s="88" t="str">
        <f aca="false">IF(AND(F166&lt;&gt;"",K166="In Progress"),ROW(),"")</f>
        <v/>
      </c>
      <c r="AC166" s="88" t="str">
        <f aca="false">IF(AND(AND(F166&lt;&gt;"",K166&lt;&gt;"Completed",K166&lt;&gt;"Cancelled"),OR(K166="Blocked",S166&lt;&gt;"")),ROW(),"")</f>
        <v/>
      </c>
      <c r="AD166" s="88" t="str">
        <f aca="false">IF(AND(AND(F166&lt;&gt;"",K166&lt;&gt;"Completed",K166&lt;&gt;"Cancelled"),OR(P166="Yes",AND(M166&lt;&gt;"",M166&lt;='Weekly Report'!$F$7),AND(L166&lt;&gt;"",L166&gt;='Weekly Report'!$F$6,L166&lt;='Weekly Report'!$F$7))),ROW(),"")</f>
        <v/>
      </c>
    </row>
    <row r="167" customFormat="false" ht="15" hidden="false" customHeight="false" outlineLevel="0" collapsed="false">
      <c r="A167" s="56" t="s">
        <v>1648</v>
      </c>
      <c r="B167" s="63"/>
      <c r="C167" s="61"/>
      <c r="D167" s="61"/>
      <c r="E167" s="61"/>
      <c r="F167" s="60"/>
      <c r="G167" s="61"/>
      <c r="H167" s="61"/>
      <c r="I167" s="61"/>
      <c r="J167" s="61"/>
      <c r="K167" s="61"/>
      <c r="L167" s="63"/>
      <c r="M167" s="63"/>
      <c r="N167" s="63"/>
      <c r="O167" s="94"/>
      <c r="P167" s="61"/>
      <c r="Q167" s="63"/>
      <c r="R167" s="60"/>
      <c r="S167" s="60"/>
      <c r="T167" s="63"/>
      <c r="U167" s="60"/>
      <c r="V167" s="60"/>
      <c r="W167" s="87" t="str">
        <f aca="true">IF(B167="","",IF(N167&lt;&gt;"",N167-B167,TODAY()-B167))</f>
        <v/>
      </c>
      <c r="X167" s="62" t="str">
        <f aca="true">IF(OR(M167="",K167="Completed",K167="Cancelled"),"",IF(M167&lt;TODAY(),"OVERDUE",IF(M167-TODAY()&lt;=7,"Due ≤7d","On Schedule")))</f>
        <v/>
      </c>
      <c r="Y167" s="60"/>
      <c r="Z167" s="88" t="str">
        <f aca="false">IF(AND(N167&lt;&gt;"",N167&gt;='Weekly Report'!$F$4,N167&lt;='Weekly Report'!$F$5),ROW(),"")</f>
        <v/>
      </c>
      <c r="AA167" s="88" t="str">
        <f aca="false">IF(AND(AND(Q167&lt;&gt;"",Q167&gt;='Weekly Report'!$F$4,Q167&lt;='Weekly Report'!$F$5),AND(F167&lt;&gt;"",K167&lt;&gt;"Completed",K167&lt;&gt;"Cancelled")),ROW(),"")</f>
        <v/>
      </c>
      <c r="AB167" s="88" t="str">
        <f aca="false">IF(AND(F167&lt;&gt;"",K167="In Progress"),ROW(),"")</f>
        <v/>
      </c>
      <c r="AC167" s="88" t="str">
        <f aca="false">IF(AND(AND(F167&lt;&gt;"",K167&lt;&gt;"Completed",K167&lt;&gt;"Cancelled"),OR(K167="Blocked",S167&lt;&gt;"")),ROW(),"")</f>
        <v/>
      </c>
      <c r="AD167" s="88" t="str">
        <f aca="false">IF(AND(AND(F167&lt;&gt;"",K167&lt;&gt;"Completed",K167&lt;&gt;"Cancelled"),OR(P167="Yes",AND(M167&lt;&gt;"",M167&lt;='Weekly Report'!$F$7),AND(L167&lt;&gt;"",L167&gt;='Weekly Report'!$F$6,L167&lt;='Weekly Report'!$F$7))),ROW(),"")</f>
        <v/>
      </c>
    </row>
    <row r="168" customFormat="false" ht="15" hidden="false" customHeight="false" outlineLevel="0" collapsed="false">
      <c r="A168" s="56" t="s">
        <v>1649</v>
      </c>
      <c r="B168" s="63"/>
      <c r="C168" s="61"/>
      <c r="D168" s="61"/>
      <c r="E168" s="61"/>
      <c r="F168" s="60"/>
      <c r="G168" s="61"/>
      <c r="H168" s="61"/>
      <c r="I168" s="61"/>
      <c r="J168" s="61"/>
      <c r="K168" s="61"/>
      <c r="L168" s="63"/>
      <c r="M168" s="63"/>
      <c r="N168" s="63"/>
      <c r="O168" s="94"/>
      <c r="P168" s="61"/>
      <c r="Q168" s="63"/>
      <c r="R168" s="60"/>
      <c r="S168" s="60"/>
      <c r="T168" s="63"/>
      <c r="U168" s="60"/>
      <c r="V168" s="60"/>
      <c r="W168" s="87" t="str">
        <f aca="true">IF(B168="","",IF(N168&lt;&gt;"",N168-B168,TODAY()-B168))</f>
        <v/>
      </c>
      <c r="X168" s="62" t="str">
        <f aca="true">IF(OR(M168="",K168="Completed",K168="Cancelled"),"",IF(M168&lt;TODAY(),"OVERDUE",IF(M168-TODAY()&lt;=7,"Due ≤7d","On Schedule")))</f>
        <v/>
      </c>
      <c r="Y168" s="60"/>
      <c r="Z168" s="88" t="str">
        <f aca="false">IF(AND(N168&lt;&gt;"",N168&gt;='Weekly Report'!$F$4,N168&lt;='Weekly Report'!$F$5),ROW(),"")</f>
        <v/>
      </c>
      <c r="AA168" s="88" t="str">
        <f aca="false">IF(AND(AND(Q168&lt;&gt;"",Q168&gt;='Weekly Report'!$F$4,Q168&lt;='Weekly Report'!$F$5),AND(F168&lt;&gt;"",K168&lt;&gt;"Completed",K168&lt;&gt;"Cancelled")),ROW(),"")</f>
        <v/>
      </c>
      <c r="AB168" s="88" t="str">
        <f aca="false">IF(AND(F168&lt;&gt;"",K168="In Progress"),ROW(),"")</f>
        <v/>
      </c>
      <c r="AC168" s="88" t="str">
        <f aca="false">IF(AND(AND(F168&lt;&gt;"",K168&lt;&gt;"Completed",K168&lt;&gt;"Cancelled"),OR(K168="Blocked",S168&lt;&gt;"")),ROW(),"")</f>
        <v/>
      </c>
      <c r="AD168" s="88" t="str">
        <f aca="false">IF(AND(AND(F168&lt;&gt;"",K168&lt;&gt;"Completed",K168&lt;&gt;"Cancelled"),OR(P168="Yes",AND(M168&lt;&gt;"",M168&lt;='Weekly Report'!$F$7),AND(L168&lt;&gt;"",L168&gt;='Weekly Report'!$F$6,L168&lt;='Weekly Report'!$F$7))),ROW(),"")</f>
        <v/>
      </c>
    </row>
    <row r="169" customFormat="false" ht="15" hidden="false" customHeight="false" outlineLevel="0" collapsed="false">
      <c r="A169" s="56" t="s">
        <v>1650</v>
      </c>
      <c r="B169" s="63"/>
      <c r="C169" s="61"/>
      <c r="D169" s="61"/>
      <c r="E169" s="61"/>
      <c r="F169" s="60"/>
      <c r="G169" s="61"/>
      <c r="H169" s="61"/>
      <c r="I169" s="61"/>
      <c r="J169" s="61"/>
      <c r="K169" s="61"/>
      <c r="L169" s="63"/>
      <c r="M169" s="63"/>
      <c r="N169" s="63"/>
      <c r="O169" s="94"/>
      <c r="P169" s="61"/>
      <c r="Q169" s="63"/>
      <c r="R169" s="60"/>
      <c r="S169" s="60"/>
      <c r="T169" s="63"/>
      <c r="U169" s="60"/>
      <c r="V169" s="60"/>
      <c r="W169" s="87" t="str">
        <f aca="true">IF(B169="","",IF(N169&lt;&gt;"",N169-B169,TODAY()-B169))</f>
        <v/>
      </c>
      <c r="X169" s="62" t="str">
        <f aca="true">IF(OR(M169="",K169="Completed",K169="Cancelled"),"",IF(M169&lt;TODAY(),"OVERDUE",IF(M169-TODAY()&lt;=7,"Due ≤7d","On Schedule")))</f>
        <v/>
      </c>
      <c r="Y169" s="60"/>
      <c r="Z169" s="88" t="str">
        <f aca="false">IF(AND(N169&lt;&gt;"",N169&gt;='Weekly Report'!$F$4,N169&lt;='Weekly Report'!$F$5),ROW(),"")</f>
        <v/>
      </c>
      <c r="AA169" s="88" t="str">
        <f aca="false">IF(AND(AND(Q169&lt;&gt;"",Q169&gt;='Weekly Report'!$F$4,Q169&lt;='Weekly Report'!$F$5),AND(F169&lt;&gt;"",K169&lt;&gt;"Completed",K169&lt;&gt;"Cancelled")),ROW(),"")</f>
        <v/>
      </c>
      <c r="AB169" s="88" t="str">
        <f aca="false">IF(AND(F169&lt;&gt;"",K169="In Progress"),ROW(),"")</f>
        <v/>
      </c>
      <c r="AC169" s="88" t="str">
        <f aca="false">IF(AND(AND(F169&lt;&gt;"",K169&lt;&gt;"Completed",K169&lt;&gt;"Cancelled"),OR(K169="Blocked",S169&lt;&gt;"")),ROW(),"")</f>
        <v/>
      </c>
      <c r="AD169" s="88" t="str">
        <f aca="false">IF(AND(AND(F169&lt;&gt;"",K169&lt;&gt;"Completed",K169&lt;&gt;"Cancelled"),OR(P169="Yes",AND(M169&lt;&gt;"",M169&lt;='Weekly Report'!$F$7),AND(L169&lt;&gt;"",L169&gt;='Weekly Report'!$F$6,L169&lt;='Weekly Report'!$F$7))),ROW(),"")</f>
        <v/>
      </c>
    </row>
    <row r="170" customFormat="false" ht="15" hidden="false" customHeight="false" outlineLevel="0" collapsed="false">
      <c r="A170" s="56" t="s">
        <v>1651</v>
      </c>
      <c r="B170" s="63"/>
      <c r="C170" s="61"/>
      <c r="D170" s="61"/>
      <c r="E170" s="61"/>
      <c r="F170" s="60"/>
      <c r="G170" s="61"/>
      <c r="H170" s="61"/>
      <c r="I170" s="61"/>
      <c r="J170" s="61"/>
      <c r="K170" s="61"/>
      <c r="L170" s="63"/>
      <c r="M170" s="63"/>
      <c r="N170" s="63"/>
      <c r="O170" s="94"/>
      <c r="P170" s="61"/>
      <c r="Q170" s="63"/>
      <c r="R170" s="60"/>
      <c r="S170" s="60"/>
      <c r="T170" s="63"/>
      <c r="U170" s="60"/>
      <c r="V170" s="60"/>
      <c r="W170" s="87" t="str">
        <f aca="true">IF(B170="","",IF(N170&lt;&gt;"",N170-B170,TODAY()-B170))</f>
        <v/>
      </c>
      <c r="X170" s="62" t="str">
        <f aca="true">IF(OR(M170="",K170="Completed",K170="Cancelled"),"",IF(M170&lt;TODAY(),"OVERDUE",IF(M170-TODAY()&lt;=7,"Due ≤7d","On Schedule")))</f>
        <v/>
      </c>
      <c r="Y170" s="60"/>
      <c r="Z170" s="88" t="str">
        <f aca="false">IF(AND(N170&lt;&gt;"",N170&gt;='Weekly Report'!$F$4,N170&lt;='Weekly Report'!$F$5),ROW(),"")</f>
        <v/>
      </c>
      <c r="AA170" s="88" t="str">
        <f aca="false">IF(AND(AND(Q170&lt;&gt;"",Q170&gt;='Weekly Report'!$F$4,Q170&lt;='Weekly Report'!$F$5),AND(F170&lt;&gt;"",K170&lt;&gt;"Completed",K170&lt;&gt;"Cancelled")),ROW(),"")</f>
        <v/>
      </c>
      <c r="AB170" s="88" t="str">
        <f aca="false">IF(AND(F170&lt;&gt;"",K170="In Progress"),ROW(),"")</f>
        <v/>
      </c>
      <c r="AC170" s="88" t="str">
        <f aca="false">IF(AND(AND(F170&lt;&gt;"",K170&lt;&gt;"Completed",K170&lt;&gt;"Cancelled"),OR(K170="Blocked",S170&lt;&gt;"")),ROW(),"")</f>
        <v/>
      </c>
      <c r="AD170" s="88" t="str">
        <f aca="false">IF(AND(AND(F170&lt;&gt;"",K170&lt;&gt;"Completed",K170&lt;&gt;"Cancelled"),OR(P170="Yes",AND(M170&lt;&gt;"",M170&lt;='Weekly Report'!$F$7),AND(L170&lt;&gt;"",L170&gt;='Weekly Report'!$F$6,L170&lt;='Weekly Report'!$F$7))),ROW(),"")</f>
        <v/>
      </c>
    </row>
    <row r="171" customFormat="false" ht="15" hidden="false" customHeight="false" outlineLevel="0" collapsed="false">
      <c r="A171" s="56" t="s">
        <v>1652</v>
      </c>
      <c r="B171" s="63"/>
      <c r="C171" s="61"/>
      <c r="D171" s="61"/>
      <c r="E171" s="61"/>
      <c r="F171" s="60"/>
      <c r="G171" s="61"/>
      <c r="H171" s="61"/>
      <c r="I171" s="61"/>
      <c r="J171" s="61"/>
      <c r="K171" s="61"/>
      <c r="L171" s="63"/>
      <c r="M171" s="63"/>
      <c r="N171" s="63"/>
      <c r="O171" s="94"/>
      <c r="P171" s="61"/>
      <c r="Q171" s="63"/>
      <c r="R171" s="60"/>
      <c r="S171" s="60"/>
      <c r="T171" s="63"/>
      <c r="U171" s="60"/>
      <c r="V171" s="60"/>
      <c r="W171" s="87" t="str">
        <f aca="true">IF(B171="","",IF(N171&lt;&gt;"",N171-B171,TODAY()-B171))</f>
        <v/>
      </c>
      <c r="X171" s="62" t="str">
        <f aca="true">IF(OR(M171="",K171="Completed",K171="Cancelled"),"",IF(M171&lt;TODAY(),"OVERDUE",IF(M171-TODAY()&lt;=7,"Due ≤7d","On Schedule")))</f>
        <v/>
      </c>
      <c r="Y171" s="60"/>
      <c r="Z171" s="88" t="str">
        <f aca="false">IF(AND(N171&lt;&gt;"",N171&gt;='Weekly Report'!$F$4,N171&lt;='Weekly Report'!$F$5),ROW(),"")</f>
        <v/>
      </c>
      <c r="AA171" s="88" t="str">
        <f aca="false">IF(AND(AND(Q171&lt;&gt;"",Q171&gt;='Weekly Report'!$F$4,Q171&lt;='Weekly Report'!$F$5),AND(F171&lt;&gt;"",K171&lt;&gt;"Completed",K171&lt;&gt;"Cancelled")),ROW(),"")</f>
        <v/>
      </c>
      <c r="AB171" s="88" t="str">
        <f aca="false">IF(AND(F171&lt;&gt;"",K171="In Progress"),ROW(),"")</f>
        <v/>
      </c>
      <c r="AC171" s="88" t="str">
        <f aca="false">IF(AND(AND(F171&lt;&gt;"",K171&lt;&gt;"Completed",K171&lt;&gt;"Cancelled"),OR(K171="Blocked",S171&lt;&gt;"")),ROW(),"")</f>
        <v/>
      </c>
      <c r="AD171" s="88" t="str">
        <f aca="false">IF(AND(AND(F171&lt;&gt;"",K171&lt;&gt;"Completed",K171&lt;&gt;"Cancelled"),OR(P171="Yes",AND(M171&lt;&gt;"",M171&lt;='Weekly Report'!$F$7),AND(L171&lt;&gt;"",L171&gt;='Weekly Report'!$F$6,L171&lt;='Weekly Report'!$F$7))),ROW(),"")</f>
        <v/>
      </c>
    </row>
    <row r="172" customFormat="false" ht="15" hidden="false" customHeight="false" outlineLevel="0" collapsed="false">
      <c r="A172" s="56" t="s">
        <v>1653</v>
      </c>
      <c r="B172" s="63"/>
      <c r="C172" s="61"/>
      <c r="D172" s="61"/>
      <c r="E172" s="61"/>
      <c r="F172" s="60"/>
      <c r="G172" s="61"/>
      <c r="H172" s="61"/>
      <c r="I172" s="61"/>
      <c r="J172" s="61"/>
      <c r="K172" s="61"/>
      <c r="L172" s="63"/>
      <c r="M172" s="63"/>
      <c r="N172" s="63"/>
      <c r="O172" s="94"/>
      <c r="P172" s="61"/>
      <c r="Q172" s="63"/>
      <c r="R172" s="60"/>
      <c r="S172" s="60"/>
      <c r="T172" s="63"/>
      <c r="U172" s="60"/>
      <c r="V172" s="60"/>
      <c r="W172" s="87" t="str">
        <f aca="true">IF(B172="","",IF(N172&lt;&gt;"",N172-B172,TODAY()-B172))</f>
        <v/>
      </c>
      <c r="X172" s="62" t="str">
        <f aca="true">IF(OR(M172="",K172="Completed",K172="Cancelled"),"",IF(M172&lt;TODAY(),"OVERDUE",IF(M172-TODAY()&lt;=7,"Due ≤7d","On Schedule")))</f>
        <v/>
      </c>
      <c r="Y172" s="60"/>
      <c r="Z172" s="88" t="str">
        <f aca="false">IF(AND(N172&lt;&gt;"",N172&gt;='Weekly Report'!$F$4,N172&lt;='Weekly Report'!$F$5),ROW(),"")</f>
        <v/>
      </c>
      <c r="AA172" s="88" t="str">
        <f aca="false">IF(AND(AND(Q172&lt;&gt;"",Q172&gt;='Weekly Report'!$F$4,Q172&lt;='Weekly Report'!$F$5),AND(F172&lt;&gt;"",K172&lt;&gt;"Completed",K172&lt;&gt;"Cancelled")),ROW(),"")</f>
        <v/>
      </c>
      <c r="AB172" s="88" t="str">
        <f aca="false">IF(AND(F172&lt;&gt;"",K172="In Progress"),ROW(),"")</f>
        <v/>
      </c>
      <c r="AC172" s="88" t="str">
        <f aca="false">IF(AND(AND(F172&lt;&gt;"",K172&lt;&gt;"Completed",K172&lt;&gt;"Cancelled"),OR(K172="Blocked",S172&lt;&gt;"")),ROW(),"")</f>
        <v/>
      </c>
      <c r="AD172" s="88" t="str">
        <f aca="false">IF(AND(AND(F172&lt;&gt;"",K172&lt;&gt;"Completed",K172&lt;&gt;"Cancelled"),OR(P172="Yes",AND(M172&lt;&gt;"",M172&lt;='Weekly Report'!$F$7),AND(L172&lt;&gt;"",L172&gt;='Weekly Report'!$F$6,L172&lt;='Weekly Report'!$F$7))),ROW(),"")</f>
        <v/>
      </c>
    </row>
    <row r="173" customFormat="false" ht="15" hidden="false" customHeight="false" outlineLevel="0" collapsed="false">
      <c r="A173" s="56" t="s">
        <v>1654</v>
      </c>
      <c r="B173" s="63"/>
      <c r="C173" s="61"/>
      <c r="D173" s="61"/>
      <c r="E173" s="61"/>
      <c r="F173" s="60"/>
      <c r="G173" s="61"/>
      <c r="H173" s="61"/>
      <c r="I173" s="61"/>
      <c r="J173" s="61"/>
      <c r="K173" s="61"/>
      <c r="L173" s="63"/>
      <c r="M173" s="63"/>
      <c r="N173" s="63"/>
      <c r="O173" s="94"/>
      <c r="P173" s="61"/>
      <c r="Q173" s="63"/>
      <c r="R173" s="60"/>
      <c r="S173" s="60"/>
      <c r="T173" s="63"/>
      <c r="U173" s="60"/>
      <c r="V173" s="60"/>
      <c r="W173" s="87" t="str">
        <f aca="true">IF(B173="","",IF(N173&lt;&gt;"",N173-B173,TODAY()-B173))</f>
        <v/>
      </c>
      <c r="X173" s="62" t="str">
        <f aca="true">IF(OR(M173="",K173="Completed",K173="Cancelled"),"",IF(M173&lt;TODAY(),"OVERDUE",IF(M173-TODAY()&lt;=7,"Due ≤7d","On Schedule")))</f>
        <v/>
      </c>
      <c r="Y173" s="60"/>
      <c r="Z173" s="88" t="str">
        <f aca="false">IF(AND(N173&lt;&gt;"",N173&gt;='Weekly Report'!$F$4,N173&lt;='Weekly Report'!$F$5),ROW(),"")</f>
        <v/>
      </c>
      <c r="AA173" s="88" t="str">
        <f aca="false">IF(AND(AND(Q173&lt;&gt;"",Q173&gt;='Weekly Report'!$F$4,Q173&lt;='Weekly Report'!$F$5),AND(F173&lt;&gt;"",K173&lt;&gt;"Completed",K173&lt;&gt;"Cancelled")),ROW(),"")</f>
        <v/>
      </c>
      <c r="AB173" s="88" t="str">
        <f aca="false">IF(AND(F173&lt;&gt;"",K173="In Progress"),ROW(),"")</f>
        <v/>
      </c>
      <c r="AC173" s="88" t="str">
        <f aca="false">IF(AND(AND(F173&lt;&gt;"",K173&lt;&gt;"Completed",K173&lt;&gt;"Cancelled"),OR(K173="Blocked",S173&lt;&gt;"")),ROW(),"")</f>
        <v/>
      </c>
      <c r="AD173" s="88" t="str">
        <f aca="false">IF(AND(AND(F173&lt;&gt;"",K173&lt;&gt;"Completed",K173&lt;&gt;"Cancelled"),OR(P173="Yes",AND(M173&lt;&gt;"",M173&lt;='Weekly Report'!$F$7),AND(L173&lt;&gt;"",L173&gt;='Weekly Report'!$F$6,L173&lt;='Weekly Report'!$F$7))),ROW(),"")</f>
        <v/>
      </c>
    </row>
    <row r="174" customFormat="false" ht="15" hidden="false" customHeight="false" outlineLevel="0" collapsed="false">
      <c r="A174" s="56" t="s">
        <v>1655</v>
      </c>
      <c r="B174" s="63"/>
      <c r="C174" s="61"/>
      <c r="D174" s="61"/>
      <c r="E174" s="61"/>
      <c r="F174" s="60"/>
      <c r="G174" s="61"/>
      <c r="H174" s="61"/>
      <c r="I174" s="61"/>
      <c r="J174" s="61"/>
      <c r="K174" s="61"/>
      <c r="L174" s="63"/>
      <c r="M174" s="63"/>
      <c r="N174" s="63"/>
      <c r="O174" s="94"/>
      <c r="P174" s="61"/>
      <c r="Q174" s="63"/>
      <c r="R174" s="60"/>
      <c r="S174" s="60"/>
      <c r="T174" s="63"/>
      <c r="U174" s="60"/>
      <c r="V174" s="60"/>
      <c r="W174" s="87" t="str">
        <f aca="true">IF(B174="","",IF(N174&lt;&gt;"",N174-B174,TODAY()-B174))</f>
        <v/>
      </c>
      <c r="X174" s="62" t="str">
        <f aca="true">IF(OR(M174="",K174="Completed",K174="Cancelled"),"",IF(M174&lt;TODAY(),"OVERDUE",IF(M174-TODAY()&lt;=7,"Due ≤7d","On Schedule")))</f>
        <v/>
      </c>
      <c r="Y174" s="60"/>
      <c r="Z174" s="88" t="str">
        <f aca="false">IF(AND(N174&lt;&gt;"",N174&gt;='Weekly Report'!$F$4,N174&lt;='Weekly Report'!$F$5),ROW(),"")</f>
        <v/>
      </c>
      <c r="AA174" s="88" t="str">
        <f aca="false">IF(AND(AND(Q174&lt;&gt;"",Q174&gt;='Weekly Report'!$F$4,Q174&lt;='Weekly Report'!$F$5),AND(F174&lt;&gt;"",K174&lt;&gt;"Completed",K174&lt;&gt;"Cancelled")),ROW(),"")</f>
        <v/>
      </c>
      <c r="AB174" s="88" t="str">
        <f aca="false">IF(AND(F174&lt;&gt;"",K174="In Progress"),ROW(),"")</f>
        <v/>
      </c>
      <c r="AC174" s="88" t="str">
        <f aca="false">IF(AND(AND(F174&lt;&gt;"",K174&lt;&gt;"Completed",K174&lt;&gt;"Cancelled"),OR(K174="Blocked",S174&lt;&gt;"")),ROW(),"")</f>
        <v/>
      </c>
      <c r="AD174" s="88" t="str">
        <f aca="false">IF(AND(AND(F174&lt;&gt;"",K174&lt;&gt;"Completed",K174&lt;&gt;"Cancelled"),OR(P174="Yes",AND(M174&lt;&gt;"",M174&lt;='Weekly Report'!$F$7),AND(L174&lt;&gt;"",L174&gt;='Weekly Report'!$F$6,L174&lt;='Weekly Report'!$F$7))),ROW(),"")</f>
        <v/>
      </c>
    </row>
    <row r="175" customFormat="false" ht="15" hidden="false" customHeight="false" outlineLevel="0" collapsed="false">
      <c r="A175" s="56" t="s">
        <v>1656</v>
      </c>
      <c r="B175" s="63"/>
      <c r="C175" s="61"/>
      <c r="D175" s="61"/>
      <c r="E175" s="61"/>
      <c r="F175" s="60"/>
      <c r="G175" s="61"/>
      <c r="H175" s="61"/>
      <c r="I175" s="61"/>
      <c r="J175" s="61"/>
      <c r="K175" s="61"/>
      <c r="L175" s="63"/>
      <c r="M175" s="63"/>
      <c r="N175" s="63"/>
      <c r="O175" s="94"/>
      <c r="P175" s="61"/>
      <c r="Q175" s="63"/>
      <c r="R175" s="60"/>
      <c r="S175" s="60"/>
      <c r="T175" s="63"/>
      <c r="U175" s="60"/>
      <c r="V175" s="60"/>
      <c r="W175" s="87" t="str">
        <f aca="true">IF(B175="","",IF(N175&lt;&gt;"",N175-B175,TODAY()-B175))</f>
        <v/>
      </c>
      <c r="X175" s="62" t="str">
        <f aca="true">IF(OR(M175="",K175="Completed",K175="Cancelled"),"",IF(M175&lt;TODAY(),"OVERDUE",IF(M175-TODAY()&lt;=7,"Due ≤7d","On Schedule")))</f>
        <v/>
      </c>
      <c r="Y175" s="60"/>
      <c r="Z175" s="88" t="str">
        <f aca="false">IF(AND(N175&lt;&gt;"",N175&gt;='Weekly Report'!$F$4,N175&lt;='Weekly Report'!$F$5),ROW(),"")</f>
        <v/>
      </c>
      <c r="AA175" s="88" t="str">
        <f aca="false">IF(AND(AND(Q175&lt;&gt;"",Q175&gt;='Weekly Report'!$F$4,Q175&lt;='Weekly Report'!$F$5),AND(F175&lt;&gt;"",K175&lt;&gt;"Completed",K175&lt;&gt;"Cancelled")),ROW(),"")</f>
        <v/>
      </c>
      <c r="AB175" s="88" t="str">
        <f aca="false">IF(AND(F175&lt;&gt;"",K175="In Progress"),ROW(),"")</f>
        <v/>
      </c>
      <c r="AC175" s="88" t="str">
        <f aca="false">IF(AND(AND(F175&lt;&gt;"",K175&lt;&gt;"Completed",K175&lt;&gt;"Cancelled"),OR(K175="Blocked",S175&lt;&gt;"")),ROW(),"")</f>
        <v/>
      </c>
      <c r="AD175" s="88" t="str">
        <f aca="false">IF(AND(AND(F175&lt;&gt;"",K175&lt;&gt;"Completed",K175&lt;&gt;"Cancelled"),OR(P175="Yes",AND(M175&lt;&gt;"",M175&lt;='Weekly Report'!$F$7),AND(L175&lt;&gt;"",L175&gt;='Weekly Report'!$F$6,L175&lt;='Weekly Report'!$F$7))),ROW(),"")</f>
        <v/>
      </c>
    </row>
    <row r="176" customFormat="false" ht="15" hidden="false" customHeight="false" outlineLevel="0" collapsed="false">
      <c r="A176" s="56" t="s">
        <v>1657</v>
      </c>
      <c r="B176" s="63"/>
      <c r="C176" s="61"/>
      <c r="D176" s="61"/>
      <c r="E176" s="61"/>
      <c r="F176" s="60"/>
      <c r="G176" s="61"/>
      <c r="H176" s="61"/>
      <c r="I176" s="61"/>
      <c r="J176" s="61"/>
      <c r="K176" s="61"/>
      <c r="L176" s="63"/>
      <c r="M176" s="63"/>
      <c r="N176" s="63"/>
      <c r="O176" s="94"/>
      <c r="P176" s="61"/>
      <c r="Q176" s="63"/>
      <c r="R176" s="60"/>
      <c r="S176" s="60"/>
      <c r="T176" s="63"/>
      <c r="U176" s="60"/>
      <c r="V176" s="60"/>
      <c r="W176" s="87" t="str">
        <f aca="true">IF(B176="","",IF(N176&lt;&gt;"",N176-B176,TODAY()-B176))</f>
        <v/>
      </c>
      <c r="X176" s="62" t="str">
        <f aca="true">IF(OR(M176="",K176="Completed",K176="Cancelled"),"",IF(M176&lt;TODAY(),"OVERDUE",IF(M176-TODAY()&lt;=7,"Due ≤7d","On Schedule")))</f>
        <v/>
      </c>
      <c r="Y176" s="60"/>
      <c r="Z176" s="88" t="str">
        <f aca="false">IF(AND(N176&lt;&gt;"",N176&gt;='Weekly Report'!$F$4,N176&lt;='Weekly Report'!$F$5),ROW(),"")</f>
        <v/>
      </c>
      <c r="AA176" s="88" t="str">
        <f aca="false">IF(AND(AND(Q176&lt;&gt;"",Q176&gt;='Weekly Report'!$F$4,Q176&lt;='Weekly Report'!$F$5),AND(F176&lt;&gt;"",K176&lt;&gt;"Completed",K176&lt;&gt;"Cancelled")),ROW(),"")</f>
        <v/>
      </c>
      <c r="AB176" s="88" t="str">
        <f aca="false">IF(AND(F176&lt;&gt;"",K176="In Progress"),ROW(),"")</f>
        <v/>
      </c>
      <c r="AC176" s="88" t="str">
        <f aca="false">IF(AND(AND(F176&lt;&gt;"",K176&lt;&gt;"Completed",K176&lt;&gt;"Cancelled"),OR(K176="Blocked",S176&lt;&gt;"")),ROW(),"")</f>
        <v/>
      </c>
      <c r="AD176" s="88" t="str">
        <f aca="false">IF(AND(AND(F176&lt;&gt;"",K176&lt;&gt;"Completed",K176&lt;&gt;"Cancelled"),OR(P176="Yes",AND(M176&lt;&gt;"",M176&lt;='Weekly Report'!$F$7),AND(L176&lt;&gt;"",L176&gt;='Weekly Report'!$F$6,L176&lt;='Weekly Report'!$F$7))),ROW(),"")</f>
        <v/>
      </c>
    </row>
    <row r="177" customFormat="false" ht="15" hidden="false" customHeight="false" outlineLevel="0" collapsed="false">
      <c r="A177" s="56" t="s">
        <v>1658</v>
      </c>
      <c r="B177" s="63"/>
      <c r="C177" s="61"/>
      <c r="D177" s="61"/>
      <c r="E177" s="61"/>
      <c r="F177" s="60"/>
      <c r="G177" s="61"/>
      <c r="H177" s="61"/>
      <c r="I177" s="61"/>
      <c r="J177" s="61"/>
      <c r="K177" s="61"/>
      <c r="L177" s="63"/>
      <c r="M177" s="63"/>
      <c r="N177" s="63"/>
      <c r="O177" s="94"/>
      <c r="P177" s="61"/>
      <c r="Q177" s="63"/>
      <c r="R177" s="60"/>
      <c r="S177" s="60"/>
      <c r="T177" s="63"/>
      <c r="U177" s="60"/>
      <c r="V177" s="60"/>
      <c r="W177" s="87" t="str">
        <f aca="true">IF(B177="","",IF(N177&lt;&gt;"",N177-B177,TODAY()-B177))</f>
        <v/>
      </c>
      <c r="X177" s="62" t="str">
        <f aca="true">IF(OR(M177="",K177="Completed",K177="Cancelled"),"",IF(M177&lt;TODAY(),"OVERDUE",IF(M177-TODAY()&lt;=7,"Due ≤7d","On Schedule")))</f>
        <v/>
      </c>
      <c r="Y177" s="60"/>
      <c r="Z177" s="88" t="str">
        <f aca="false">IF(AND(N177&lt;&gt;"",N177&gt;='Weekly Report'!$F$4,N177&lt;='Weekly Report'!$F$5),ROW(),"")</f>
        <v/>
      </c>
      <c r="AA177" s="88" t="str">
        <f aca="false">IF(AND(AND(Q177&lt;&gt;"",Q177&gt;='Weekly Report'!$F$4,Q177&lt;='Weekly Report'!$F$5),AND(F177&lt;&gt;"",K177&lt;&gt;"Completed",K177&lt;&gt;"Cancelled")),ROW(),"")</f>
        <v/>
      </c>
      <c r="AB177" s="88" t="str">
        <f aca="false">IF(AND(F177&lt;&gt;"",K177="In Progress"),ROW(),"")</f>
        <v/>
      </c>
      <c r="AC177" s="88" t="str">
        <f aca="false">IF(AND(AND(F177&lt;&gt;"",K177&lt;&gt;"Completed",K177&lt;&gt;"Cancelled"),OR(K177="Blocked",S177&lt;&gt;"")),ROW(),"")</f>
        <v/>
      </c>
      <c r="AD177" s="88" t="str">
        <f aca="false">IF(AND(AND(F177&lt;&gt;"",K177&lt;&gt;"Completed",K177&lt;&gt;"Cancelled"),OR(P177="Yes",AND(M177&lt;&gt;"",M177&lt;='Weekly Report'!$F$7),AND(L177&lt;&gt;"",L177&gt;='Weekly Report'!$F$6,L177&lt;='Weekly Report'!$F$7))),ROW(),"")</f>
        <v/>
      </c>
    </row>
    <row r="178" customFormat="false" ht="15" hidden="false" customHeight="false" outlineLevel="0" collapsed="false">
      <c r="A178" s="56" t="s">
        <v>1659</v>
      </c>
      <c r="B178" s="63"/>
      <c r="C178" s="61"/>
      <c r="D178" s="61"/>
      <c r="E178" s="61"/>
      <c r="F178" s="60"/>
      <c r="G178" s="61"/>
      <c r="H178" s="61"/>
      <c r="I178" s="61"/>
      <c r="J178" s="61"/>
      <c r="K178" s="61"/>
      <c r="L178" s="63"/>
      <c r="M178" s="63"/>
      <c r="N178" s="63"/>
      <c r="O178" s="94"/>
      <c r="P178" s="61"/>
      <c r="Q178" s="63"/>
      <c r="R178" s="60"/>
      <c r="S178" s="60"/>
      <c r="T178" s="63"/>
      <c r="U178" s="60"/>
      <c r="V178" s="60"/>
      <c r="W178" s="87" t="str">
        <f aca="true">IF(B178="","",IF(N178&lt;&gt;"",N178-B178,TODAY()-B178))</f>
        <v/>
      </c>
      <c r="X178" s="62" t="str">
        <f aca="true">IF(OR(M178="",K178="Completed",K178="Cancelled"),"",IF(M178&lt;TODAY(),"OVERDUE",IF(M178-TODAY()&lt;=7,"Due ≤7d","On Schedule")))</f>
        <v/>
      </c>
      <c r="Y178" s="60"/>
      <c r="Z178" s="88" t="str">
        <f aca="false">IF(AND(N178&lt;&gt;"",N178&gt;='Weekly Report'!$F$4,N178&lt;='Weekly Report'!$F$5),ROW(),"")</f>
        <v/>
      </c>
      <c r="AA178" s="88" t="str">
        <f aca="false">IF(AND(AND(Q178&lt;&gt;"",Q178&gt;='Weekly Report'!$F$4,Q178&lt;='Weekly Report'!$F$5),AND(F178&lt;&gt;"",K178&lt;&gt;"Completed",K178&lt;&gt;"Cancelled")),ROW(),"")</f>
        <v/>
      </c>
      <c r="AB178" s="88" t="str">
        <f aca="false">IF(AND(F178&lt;&gt;"",K178="In Progress"),ROW(),"")</f>
        <v/>
      </c>
      <c r="AC178" s="88" t="str">
        <f aca="false">IF(AND(AND(F178&lt;&gt;"",K178&lt;&gt;"Completed",K178&lt;&gt;"Cancelled"),OR(K178="Blocked",S178&lt;&gt;"")),ROW(),"")</f>
        <v/>
      </c>
      <c r="AD178" s="88" t="str">
        <f aca="false">IF(AND(AND(F178&lt;&gt;"",K178&lt;&gt;"Completed",K178&lt;&gt;"Cancelled"),OR(P178="Yes",AND(M178&lt;&gt;"",M178&lt;='Weekly Report'!$F$7),AND(L178&lt;&gt;"",L178&gt;='Weekly Report'!$F$6,L178&lt;='Weekly Report'!$F$7))),ROW(),"")</f>
        <v/>
      </c>
    </row>
    <row r="179" customFormat="false" ht="15" hidden="false" customHeight="false" outlineLevel="0" collapsed="false">
      <c r="A179" s="56" t="s">
        <v>1660</v>
      </c>
      <c r="B179" s="63"/>
      <c r="C179" s="61"/>
      <c r="D179" s="61"/>
      <c r="E179" s="61"/>
      <c r="F179" s="60"/>
      <c r="G179" s="61"/>
      <c r="H179" s="61"/>
      <c r="I179" s="61"/>
      <c r="J179" s="61"/>
      <c r="K179" s="61"/>
      <c r="L179" s="63"/>
      <c r="M179" s="63"/>
      <c r="N179" s="63"/>
      <c r="O179" s="94"/>
      <c r="P179" s="61"/>
      <c r="Q179" s="63"/>
      <c r="R179" s="60"/>
      <c r="S179" s="60"/>
      <c r="T179" s="63"/>
      <c r="U179" s="60"/>
      <c r="V179" s="60"/>
      <c r="W179" s="87" t="str">
        <f aca="true">IF(B179="","",IF(N179&lt;&gt;"",N179-B179,TODAY()-B179))</f>
        <v/>
      </c>
      <c r="X179" s="62" t="str">
        <f aca="true">IF(OR(M179="",K179="Completed",K179="Cancelled"),"",IF(M179&lt;TODAY(),"OVERDUE",IF(M179-TODAY()&lt;=7,"Due ≤7d","On Schedule")))</f>
        <v/>
      </c>
      <c r="Y179" s="60"/>
      <c r="Z179" s="88" t="str">
        <f aca="false">IF(AND(N179&lt;&gt;"",N179&gt;='Weekly Report'!$F$4,N179&lt;='Weekly Report'!$F$5),ROW(),"")</f>
        <v/>
      </c>
      <c r="AA179" s="88" t="str">
        <f aca="false">IF(AND(AND(Q179&lt;&gt;"",Q179&gt;='Weekly Report'!$F$4,Q179&lt;='Weekly Report'!$F$5),AND(F179&lt;&gt;"",K179&lt;&gt;"Completed",K179&lt;&gt;"Cancelled")),ROW(),"")</f>
        <v/>
      </c>
      <c r="AB179" s="88" t="str">
        <f aca="false">IF(AND(F179&lt;&gt;"",K179="In Progress"),ROW(),"")</f>
        <v/>
      </c>
      <c r="AC179" s="88" t="str">
        <f aca="false">IF(AND(AND(F179&lt;&gt;"",K179&lt;&gt;"Completed",K179&lt;&gt;"Cancelled"),OR(K179="Blocked",S179&lt;&gt;"")),ROW(),"")</f>
        <v/>
      </c>
      <c r="AD179" s="88" t="str">
        <f aca="false">IF(AND(AND(F179&lt;&gt;"",K179&lt;&gt;"Completed",K179&lt;&gt;"Cancelled"),OR(P179="Yes",AND(M179&lt;&gt;"",M179&lt;='Weekly Report'!$F$7),AND(L179&lt;&gt;"",L179&gt;='Weekly Report'!$F$6,L179&lt;='Weekly Report'!$F$7))),ROW(),"")</f>
        <v/>
      </c>
    </row>
    <row r="180" customFormat="false" ht="15" hidden="false" customHeight="false" outlineLevel="0" collapsed="false">
      <c r="A180" s="56" t="s">
        <v>1661</v>
      </c>
      <c r="B180" s="63"/>
      <c r="C180" s="61"/>
      <c r="D180" s="61"/>
      <c r="E180" s="61"/>
      <c r="F180" s="60"/>
      <c r="G180" s="61"/>
      <c r="H180" s="61"/>
      <c r="I180" s="61"/>
      <c r="J180" s="61"/>
      <c r="K180" s="61"/>
      <c r="L180" s="63"/>
      <c r="M180" s="63"/>
      <c r="N180" s="63"/>
      <c r="O180" s="94"/>
      <c r="P180" s="61"/>
      <c r="Q180" s="63"/>
      <c r="R180" s="60"/>
      <c r="S180" s="60"/>
      <c r="T180" s="63"/>
      <c r="U180" s="60"/>
      <c r="V180" s="60"/>
      <c r="W180" s="87" t="str">
        <f aca="true">IF(B180="","",IF(N180&lt;&gt;"",N180-B180,TODAY()-B180))</f>
        <v/>
      </c>
      <c r="X180" s="62" t="str">
        <f aca="true">IF(OR(M180="",K180="Completed",K180="Cancelled"),"",IF(M180&lt;TODAY(),"OVERDUE",IF(M180-TODAY()&lt;=7,"Due ≤7d","On Schedule")))</f>
        <v/>
      </c>
      <c r="Y180" s="60"/>
      <c r="Z180" s="88" t="str">
        <f aca="false">IF(AND(N180&lt;&gt;"",N180&gt;='Weekly Report'!$F$4,N180&lt;='Weekly Report'!$F$5),ROW(),"")</f>
        <v/>
      </c>
      <c r="AA180" s="88" t="str">
        <f aca="false">IF(AND(AND(Q180&lt;&gt;"",Q180&gt;='Weekly Report'!$F$4,Q180&lt;='Weekly Report'!$F$5),AND(F180&lt;&gt;"",K180&lt;&gt;"Completed",K180&lt;&gt;"Cancelled")),ROW(),"")</f>
        <v/>
      </c>
      <c r="AB180" s="88" t="str">
        <f aca="false">IF(AND(F180&lt;&gt;"",K180="In Progress"),ROW(),"")</f>
        <v/>
      </c>
      <c r="AC180" s="88" t="str">
        <f aca="false">IF(AND(AND(F180&lt;&gt;"",K180&lt;&gt;"Completed",K180&lt;&gt;"Cancelled"),OR(K180="Blocked",S180&lt;&gt;"")),ROW(),"")</f>
        <v/>
      </c>
      <c r="AD180" s="88" t="str">
        <f aca="false">IF(AND(AND(F180&lt;&gt;"",K180&lt;&gt;"Completed",K180&lt;&gt;"Cancelled"),OR(P180="Yes",AND(M180&lt;&gt;"",M180&lt;='Weekly Report'!$F$7),AND(L180&lt;&gt;"",L180&gt;='Weekly Report'!$F$6,L180&lt;='Weekly Report'!$F$7))),ROW(),"")</f>
        <v/>
      </c>
    </row>
    <row r="181" customFormat="false" ht="15" hidden="false" customHeight="false" outlineLevel="0" collapsed="false">
      <c r="A181" s="56" t="s">
        <v>1662</v>
      </c>
      <c r="B181" s="63"/>
      <c r="C181" s="61"/>
      <c r="D181" s="61"/>
      <c r="E181" s="61"/>
      <c r="F181" s="60"/>
      <c r="G181" s="61"/>
      <c r="H181" s="61"/>
      <c r="I181" s="61"/>
      <c r="J181" s="61"/>
      <c r="K181" s="61"/>
      <c r="L181" s="63"/>
      <c r="M181" s="63"/>
      <c r="N181" s="63"/>
      <c r="O181" s="94"/>
      <c r="P181" s="61"/>
      <c r="Q181" s="63"/>
      <c r="R181" s="60"/>
      <c r="S181" s="60"/>
      <c r="T181" s="63"/>
      <c r="U181" s="60"/>
      <c r="V181" s="60"/>
      <c r="W181" s="87" t="str">
        <f aca="true">IF(B181="","",IF(N181&lt;&gt;"",N181-B181,TODAY()-B181))</f>
        <v/>
      </c>
      <c r="X181" s="62" t="str">
        <f aca="true">IF(OR(M181="",K181="Completed",K181="Cancelled"),"",IF(M181&lt;TODAY(),"OVERDUE",IF(M181-TODAY()&lt;=7,"Due ≤7d","On Schedule")))</f>
        <v/>
      </c>
      <c r="Y181" s="60"/>
      <c r="Z181" s="88" t="str">
        <f aca="false">IF(AND(N181&lt;&gt;"",N181&gt;='Weekly Report'!$F$4,N181&lt;='Weekly Report'!$F$5),ROW(),"")</f>
        <v/>
      </c>
      <c r="AA181" s="88" t="str">
        <f aca="false">IF(AND(AND(Q181&lt;&gt;"",Q181&gt;='Weekly Report'!$F$4,Q181&lt;='Weekly Report'!$F$5),AND(F181&lt;&gt;"",K181&lt;&gt;"Completed",K181&lt;&gt;"Cancelled")),ROW(),"")</f>
        <v/>
      </c>
      <c r="AB181" s="88" t="str">
        <f aca="false">IF(AND(F181&lt;&gt;"",K181="In Progress"),ROW(),"")</f>
        <v/>
      </c>
      <c r="AC181" s="88" t="str">
        <f aca="false">IF(AND(AND(F181&lt;&gt;"",K181&lt;&gt;"Completed",K181&lt;&gt;"Cancelled"),OR(K181="Blocked",S181&lt;&gt;"")),ROW(),"")</f>
        <v/>
      </c>
      <c r="AD181" s="88" t="str">
        <f aca="false">IF(AND(AND(F181&lt;&gt;"",K181&lt;&gt;"Completed",K181&lt;&gt;"Cancelled"),OR(P181="Yes",AND(M181&lt;&gt;"",M181&lt;='Weekly Report'!$F$7),AND(L181&lt;&gt;"",L181&gt;='Weekly Report'!$F$6,L181&lt;='Weekly Report'!$F$7))),ROW(),"")</f>
        <v/>
      </c>
    </row>
    <row r="182" customFormat="false" ht="15" hidden="false" customHeight="false" outlineLevel="0" collapsed="false">
      <c r="A182" s="56" t="s">
        <v>1663</v>
      </c>
      <c r="B182" s="63"/>
      <c r="C182" s="61"/>
      <c r="D182" s="61"/>
      <c r="E182" s="61"/>
      <c r="F182" s="60"/>
      <c r="G182" s="61"/>
      <c r="H182" s="61"/>
      <c r="I182" s="61"/>
      <c r="J182" s="61"/>
      <c r="K182" s="61"/>
      <c r="L182" s="63"/>
      <c r="M182" s="63"/>
      <c r="N182" s="63"/>
      <c r="O182" s="94"/>
      <c r="P182" s="61"/>
      <c r="Q182" s="63"/>
      <c r="R182" s="60"/>
      <c r="S182" s="60"/>
      <c r="T182" s="63"/>
      <c r="U182" s="60"/>
      <c r="V182" s="60"/>
      <c r="W182" s="87" t="str">
        <f aca="true">IF(B182="","",IF(N182&lt;&gt;"",N182-B182,TODAY()-B182))</f>
        <v/>
      </c>
      <c r="X182" s="62" t="str">
        <f aca="true">IF(OR(M182="",K182="Completed",K182="Cancelled"),"",IF(M182&lt;TODAY(),"OVERDUE",IF(M182-TODAY()&lt;=7,"Due ≤7d","On Schedule")))</f>
        <v/>
      </c>
      <c r="Y182" s="60"/>
      <c r="Z182" s="88" t="str">
        <f aca="false">IF(AND(N182&lt;&gt;"",N182&gt;='Weekly Report'!$F$4,N182&lt;='Weekly Report'!$F$5),ROW(),"")</f>
        <v/>
      </c>
      <c r="AA182" s="88" t="str">
        <f aca="false">IF(AND(AND(Q182&lt;&gt;"",Q182&gt;='Weekly Report'!$F$4,Q182&lt;='Weekly Report'!$F$5),AND(F182&lt;&gt;"",K182&lt;&gt;"Completed",K182&lt;&gt;"Cancelled")),ROW(),"")</f>
        <v/>
      </c>
      <c r="AB182" s="88" t="str">
        <f aca="false">IF(AND(F182&lt;&gt;"",K182="In Progress"),ROW(),"")</f>
        <v/>
      </c>
      <c r="AC182" s="88" t="str">
        <f aca="false">IF(AND(AND(F182&lt;&gt;"",K182&lt;&gt;"Completed",K182&lt;&gt;"Cancelled"),OR(K182="Blocked",S182&lt;&gt;"")),ROW(),"")</f>
        <v/>
      </c>
      <c r="AD182" s="88" t="str">
        <f aca="false">IF(AND(AND(F182&lt;&gt;"",K182&lt;&gt;"Completed",K182&lt;&gt;"Cancelled"),OR(P182="Yes",AND(M182&lt;&gt;"",M182&lt;='Weekly Report'!$F$7),AND(L182&lt;&gt;"",L182&gt;='Weekly Report'!$F$6,L182&lt;='Weekly Report'!$F$7))),ROW(),"")</f>
        <v/>
      </c>
    </row>
    <row r="183" customFormat="false" ht="15" hidden="false" customHeight="false" outlineLevel="0" collapsed="false">
      <c r="A183" s="56" t="s">
        <v>1664</v>
      </c>
      <c r="B183" s="63"/>
      <c r="C183" s="61"/>
      <c r="D183" s="61"/>
      <c r="E183" s="61"/>
      <c r="F183" s="60"/>
      <c r="G183" s="61"/>
      <c r="H183" s="61"/>
      <c r="I183" s="61"/>
      <c r="J183" s="61"/>
      <c r="K183" s="61"/>
      <c r="L183" s="63"/>
      <c r="M183" s="63"/>
      <c r="N183" s="63"/>
      <c r="O183" s="94"/>
      <c r="P183" s="61"/>
      <c r="Q183" s="63"/>
      <c r="R183" s="60"/>
      <c r="S183" s="60"/>
      <c r="T183" s="63"/>
      <c r="U183" s="60"/>
      <c r="V183" s="60"/>
      <c r="W183" s="87" t="str">
        <f aca="true">IF(B183="","",IF(N183&lt;&gt;"",N183-B183,TODAY()-B183))</f>
        <v/>
      </c>
      <c r="X183" s="62" t="str">
        <f aca="true">IF(OR(M183="",K183="Completed",K183="Cancelled"),"",IF(M183&lt;TODAY(),"OVERDUE",IF(M183-TODAY()&lt;=7,"Due ≤7d","On Schedule")))</f>
        <v/>
      </c>
      <c r="Y183" s="60"/>
      <c r="Z183" s="88" t="str">
        <f aca="false">IF(AND(N183&lt;&gt;"",N183&gt;='Weekly Report'!$F$4,N183&lt;='Weekly Report'!$F$5),ROW(),"")</f>
        <v/>
      </c>
      <c r="AA183" s="88" t="str">
        <f aca="false">IF(AND(AND(Q183&lt;&gt;"",Q183&gt;='Weekly Report'!$F$4,Q183&lt;='Weekly Report'!$F$5),AND(F183&lt;&gt;"",K183&lt;&gt;"Completed",K183&lt;&gt;"Cancelled")),ROW(),"")</f>
        <v/>
      </c>
      <c r="AB183" s="88" t="str">
        <f aca="false">IF(AND(F183&lt;&gt;"",K183="In Progress"),ROW(),"")</f>
        <v/>
      </c>
      <c r="AC183" s="88" t="str">
        <f aca="false">IF(AND(AND(F183&lt;&gt;"",K183&lt;&gt;"Completed",K183&lt;&gt;"Cancelled"),OR(K183="Blocked",S183&lt;&gt;"")),ROW(),"")</f>
        <v/>
      </c>
      <c r="AD183" s="88" t="str">
        <f aca="false">IF(AND(AND(F183&lt;&gt;"",K183&lt;&gt;"Completed",K183&lt;&gt;"Cancelled"),OR(P183="Yes",AND(M183&lt;&gt;"",M183&lt;='Weekly Report'!$F$7),AND(L183&lt;&gt;"",L183&gt;='Weekly Report'!$F$6,L183&lt;='Weekly Report'!$F$7))),ROW(),"")</f>
        <v/>
      </c>
    </row>
    <row r="184" customFormat="false" ht="15" hidden="false" customHeight="false" outlineLevel="0" collapsed="false">
      <c r="A184" s="56" t="s">
        <v>1665</v>
      </c>
      <c r="B184" s="63"/>
      <c r="C184" s="61"/>
      <c r="D184" s="61"/>
      <c r="E184" s="61"/>
      <c r="F184" s="60"/>
      <c r="G184" s="61"/>
      <c r="H184" s="61"/>
      <c r="I184" s="61"/>
      <c r="J184" s="61"/>
      <c r="K184" s="61"/>
      <c r="L184" s="63"/>
      <c r="M184" s="63"/>
      <c r="N184" s="63"/>
      <c r="O184" s="94"/>
      <c r="P184" s="61"/>
      <c r="Q184" s="63"/>
      <c r="R184" s="60"/>
      <c r="S184" s="60"/>
      <c r="T184" s="63"/>
      <c r="U184" s="60"/>
      <c r="V184" s="60"/>
      <c r="W184" s="87" t="str">
        <f aca="true">IF(B184="","",IF(N184&lt;&gt;"",N184-B184,TODAY()-B184))</f>
        <v/>
      </c>
      <c r="X184" s="62" t="str">
        <f aca="true">IF(OR(M184="",K184="Completed",K184="Cancelled"),"",IF(M184&lt;TODAY(),"OVERDUE",IF(M184-TODAY()&lt;=7,"Due ≤7d","On Schedule")))</f>
        <v/>
      </c>
      <c r="Y184" s="60"/>
      <c r="Z184" s="88" t="str">
        <f aca="false">IF(AND(N184&lt;&gt;"",N184&gt;='Weekly Report'!$F$4,N184&lt;='Weekly Report'!$F$5),ROW(),"")</f>
        <v/>
      </c>
      <c r="AA184" s="88" t="str">
        <f aca="false">IF(AND(AND(Q184&lt;&gt;"",Q184&gt;='Weekly Report'!$F$4,Q184&lt;='Weekly Report'!$F$5),AND(F184&lt;&gt;"",K184&lt;&gt;"Completed",K184&lt;&gt;"Cancelled")),ROW(),"")</f>
        <v/>
      </c>
      <c r="AB184" s="88" t="str">
        <f aca="false">IF(AND(F184&lt;&gt;"",K184="In Progress"),ROW(),"")</f>
        <v/>
      </c>
      <c r="AC184" s="88" t="str">
        <f aca="false">IF(AND(AND(F184&lt;&gt;"",K184&lt;&gt;"Completed",K184&lt;&gt;"Cancelled"),OR(K184="Blocked",S184&lt;&gt;"")),ROW(),"")</f>
        <v/>
      </c>
      <c r="AD184" s="88" t="str">
        <f aca="false">IF(AND(AND(F184&lt;&gt;"",K184&lt;&gt;"Completed",K184&lt;&gt;"Cancelled"),OR(P184="Yes",AND(M184&lt;&gt;"",M184&lt;='Weekly Report'!$F$7),AND(L184&lt;&gt;"",L184&gt;='Weekly Report'!$F$6,L184&lt;='Weekly Report'!$F$7))),ROW(),"")</f>
        <v/>
      </c>
    </row>
    <row r="185" customFormat="false" ht="15" hidden="false" customHeight="false" outlineLevel="0" collapsed="false">
      <c r="A185" s="56" t="s">
        <v>1666</v>
      </c>
      <c r="B185" s="63"/>
      <c r="C185" s="61"/>
      <c r="D185" s="61"/>
      <c r="E185" s="61"/>
      <c r="F185" s="60"/>
      <c r="G185" s="61"/>
      <c r="H185" s="61"/>
      <c r="I185" s="61"/>
      <c r="J185" s="61"/>
      <c r="K185" s="61"/>
      <c r="L185" s="63"/>
      <c r="M185" s="63"/>
      <c r="N185" s="63"/>
      <c r="O185" s="94"/>
      <c r="P185" s="61"/>
      <c r="Q185" s="63"/>
      <c r="R185" s="60"/>
      <c r="S185" s="60"/>
      <c r="T185" s="63"/>
      <c r="U185" s="60"/>
      <c r="V185" s="60"/>
      <c r="W185" s="87" t="str">
        <f aca="true">IF(B185="","",IF(N185&lt;&gt;"",N185-B185,TODAY()-B185))</f>
        <v/>
      </c>
      <c r="X185" s="62" t="str">
        <f aca="true">IF(OR(M185="",K185="Completed",K185="Cancelled"),"",IF(M185&lt;TODAY(),"OVERDUE",IF(M185-TODAY()&lt;=7,"Due ≤7d","On Schedule")))</f>
        <v/>
      </c>
      <c r="Y185" s="60"/>
      <c r="Z185" s="88" t="str">
        <f aca="false">IF(AND(N185&lt;&gt;"",N185&gt;='Weekly Report'!$F$4,N185&lt;='Weekly Report'!$F$5),ROW(),"")</f>
        <v/>
      </c>
      <c r="AA185" s="88" t="str">
        <f aca="false">IF(AND(AND(Q185&lt;&gt;"",Q185&gt;='Weekly Report'!$F$4,Q185&lt;='Weekly Report'!$F$5),AND(F185&lt;&gt;"",K185&lt;&gt;"Completed",K185&lt;&gt;"Cancelled")),ROW(),"")</f>
        <v/>
      </c>
      <c r="AB185" s="88" t="str">
        <f aca="false">IF(AND(F185&lt;&gt;"",K185="In Progress"),ROW(),"")</f>
        <v/>
      </c>
      <c r="AC185" s="88" t="str">
        <f aca="false">IF(AND(AND(F185&lt;&gt;"",K185&lt;&gt;"Completed",K185&lt;&gt;"Cancelled"),OR(K185="Blocked",S185&lt;&gt;"")),ROW(),"")</f>
        <v/>
      </c>
      <c r="AD185" s="88" t="str">
        <f aca="false">IF(AND(AND(F185&lt;&gt;"",K185&lt;&gt;"Completed",K185&lt;&gt;"Cancelled"),OR(P185="Yes",AND(M185&lt;&gt;"",M185&lt;='Weekly Report'!$F$7),AND(L185&lt;&gt;"",L185&gt;='Weekly Report'!$F$6,L185&lt;='Weekly Report'!$F$7))),ROW(),"")</f>
        <v/>
      </c>
    </row>
    <row r="186" customFormat="false" ht="15" hidden="false" customHeight="false" outlineLevel="0" collapsed="false">
      <c r="A186" s="56" t="s">
        <v>1667</v>
      </c>
      <c r="B186" s="63"/>
      <c r="C186" s="61"/>
      <c r="D186" s="61"/>
      <c r="E186" s="61"/>
      <c r="F186" s="60"/>
      <c r="G186" s="61"/>
      <c r="H186" s="61"/>
      <c r="I186" s="61"/>
      <c r="J186" s="61"/>
      <c r="K186" s="61"/>
      <c r="L186" s="63"/>
      <c r="M186" s="63"/>
      <c r="N186" s="63"/>
      <c r="O186" s="94"/>
      <c r="P186" s="61"/>
      <c r="Q186" s="63"/>
      <c r="R186" s="60"/>
      <c r="S186" s="60"/>
      <c r="T186" s="63"/>
      <c r="U186" s="60"/>
      <c r="V186" s="60"/>
      <c r="W186" s="87" t="str">
        <f aca="true">IF(B186="","",IF(N186&lt;&gt;"",N186-B186,TODAY()-B186))</f>
        <v/>
      </c>
      <c r="X186" s="62" t="str">
        <f aca="true">IF(OR(M186="",K186="Completed",K186="Cancelled"),"",IF(M186&lt;TODAY(),"OVERDUE",IF(M186-TODAY()&lt;=7,"Due ≤7d","On Schedule")))</f>
        <v/>
      </c>
      <c r="Y186" s="60"/>
      <c r="Z186" s="88" t="str">
        <f aca="false">IF(AND(N186&lt;&gt;"",N186&gt;='Weekly Report'!$F$4,N186&lt;='Weekly Report'!$F$5),ROW(),"")</f>
        <v/>
      </c>
      <c r="AA186" s="88" t="str">
        <f aca="false">IF(AND(AND(Q186&lt;&gt;"",Q186&gt;='Weekly Report'!$F$4,Q186&lt;='Weekly Report'!$F$5),AND(F186&lt;&gt;"",K186&lt;&gt;"Completed",K186&lt;&gt;"Cancelled")),ROW(),"")</f>
        <v/>
      </c>
      <c r="AB186" s="88" t="str">
        <f aca="false">IF(AND(F186&lt;&gt;"",K186="In Progress"),ROW(),"")</f>
        <v/>
      </c>
      <c r="AC186" s="88" t="str">
        <f aca="false">IF(AND(AND(F186&lt;&gt;"",K186&lt;&gt;"Completed",K186&lt;&gt;"Cancelled"),OR(K186="Blocked",S186&lt;&gt;"")),ROW(),"")</f>
        <v/>
      </c>
      <c r="AD186" s="88" t="str">
        <f aca="false">IF(AND(AND(F186&lt;&gt;"",K186&lt;&gt;"Completed",K186&lt;&gt;"Cancelled"),OR(P186="Yes",AND(M186&lt;&gt;"",M186&lt;='Weekly Report'!$F$7),AND(L186&lt;&gt;"",L186&gt;='Weekly Report'!$F$6,L186&lt;='Weekly Report'!$F$7))),ROW(),"")</f>
        <v/>
      </c>
    </row>
    <row r="187" customFormat="false" ht="15" hidden="false" customHeight="false" outlineLevel="0" collapsed="false">
      <c r="A187" s="56" t="s">
        <v>1668</v>
      </c>
      <c r="B187" s="63"/>
      <c r="C187" s="61"/>
      <c r="D187" s="61"/>
      <c r="E187" s="61"/>
      <c r="F187" s="60"/>
      <c r="G187" s="61"/>
      <c r="H187" s="61"/>
      <c r="I187" s="61"/>
      <c r="J187" s="61"/>
      <c r="K187" s="61"/>
      <c r="L187" s="63"/>
      <c r="M187" s="63"/>
      <c r="N187" s="63"/>
      <c r="O187" s="94"/>
      <c r="P187" s="61"/>
      <c r="Q187" s="63"/>
      <c r="R187" s="60"/>
      <c r="S187" s="60"/>
      <c r="T187" s="63"/>
      <c r="U187" s="60"/>
      <c r="V187" s="60"/>
      <c r="W187" s="87" t="str">
        <f aca="true">IF(B187="","",IF(N187&lt;&gt;"",N187-B187,TODAY()-B187))</f>
        <v/>
      </c>
      <c r="X187" s="62" t="str">
        <f aca="true">IF(OR(M187="",K187="Completed",K187="Cancelled"),"",IF(M187&lt;TODAY(),"OVERDUE",IF(M187-TODAY()&lt;=7,"Due ≤7d","On Schedule")))</f>
        <v/>
      </c>
      <c r="Y187" s="60"/>
      <c r="Z187" s="88" t="str">
        <f aca="false">IF(AND(N187&lt;&gt;"",N187&gt;='Weekly Report'!$F$4,N187&lt;='Weekly Report'!$F$5),ROW(),"")</f>
        <v/>
      </c>
      <c r="AA187" s="88" t="str">
        <f aca="false">IF(AND(AND(Q187&lt;&gt;"",Q187&gt;='Weekly Report'!$F$4,Q187&lt;='Weekly Report'!$F$5),AND(F187&lt;&gt;"",K187&lt;&gt;"Completed",K187&lt;&gt;"Cancelled")),ROW(),"")</f>
        <v/>
      </c>
      <c r="AB187" s="88" t="str">
        <f aca="false">IF(AND(F187&lt;&gt;"",K187="In Progress"),ROW(),"")</f>
        <v/>
      </c>
      <c r="AC187" s="88" t="str">
        <f aca="false">IF(AND(AND(F187&lt;&gt;"",K187&lt;&gt;"Completed",K187&lt;&gt;"Cancelled"),OR(K187="Blocked",S187&lt;&gt;"")),ROW(),"")</f>
        <v/>
      </c>
      <c r="AD187" s="88" t="str">
        <f aca="false">IF(AND(AND(F187&lt;&gt;"",K187&lt;&gt;"Completed",K187&lt;&gt;"Cancelled"),OR(P187="Yes",AND(M187&lt;&gt;"",M187&lt;='Weekly Report'!$F$7),AND(L187&lt;&gt;"",L187&gt;='Weekly Report'!$F$6,L187&lt;='Weekly Report'!$F$7))),ROW(),"")</f>
        <v/>
      </c>
    </row>
    <row r="188" customFormat="false" ht="15" hidden="false" customHeight="false" outlineLevel="0" collapsed="false">
      <c r="A188" s="56" t="s">
        <v>1669</v>
      </c>
      <c r="B188" s="63"/>
      <c r="C188" s="61"/>
      <c r="D188" s="61"/>
      <c r="E188" s="61"/>
      <c r="F188" s="60"/>
      <c r="G188" s="61"/>
      <c r="H188" s="61"/>
      <c r="I188" s="61"/>
      <c r="J188" s="61"/>
      <c r="K188" s="61"/>
      <c r="L188" s="63"/>
      <c r="M188" s="63"/>
      <c r="N188" s="63"/>
      <c r="O188" s="94"/>
      <c r="P188" s="61"/>
      <c r="Q188" s="63"/>
      <c r="R188" s="60"/>
      <c r="S188" s="60"/>
      <c r="T188" s="63"/>
      <c r="U188" s="60"/>
      <c r="V188" s="60"/>
      <c r="W188" s="87" t="str">
        <f aca="true">IF(B188="","",IF(N188&lt;&gt;"",N188-B188,TODAY()-B188))</f>
        <v/>
      </c>
      <c r="X188" s="62" t="str">
        <f aca="true">IF(OR(M188="",K188="Completed",K188="Cancelled"),"",IF(M188&lt;TODAY(),"OVERDUE",IF(M188-TODAY()&lt;=7,"Due ≤7d","On Schedule")))</f>
        <v/>
      </c>
      <c r="Y188" s="60"/>
      <c r="Z188" s="88" t="str">
        <f aca="false">IF(AND(N188&lt;&gt;"",N188&gt;='Weekly Report'!$F$4,N188&lt;='Weekly Report'!$F$5),ROW(),"")</f>
        <v/>
      </c>
      <c r="AA188" s="88" t="str">
        <f aca="false">IF(AND(AND(Q188&lt;&gt;"",Q188&gt;='Weekly Report'!$F$4,Q188&lt;='Weekly Report'!$F$5),AND(F188&lt;&gt;"",K188&lt;&gt;"Completed",K188&lt;&gt;"Cancelled")),ROW(),"")</f>
        <v/>
      </c>
      <c r="AB188" s="88" t="str">
        <f aca="false">IF(AND(F188&lt;&gt;"",K188="In Progress"),ROW(),"")</f>
        <v/>
      </c>
      <c r="AC188" s="88" t="str">
        <f aca="false">IF(AND(AND(F188&lt;&gt;"",K188&lt;&gt;"Completed",K188&lt;&gt;"Cancelled"),OR(K188="Blocked",S188&lt;&gt;"")),ROW(),"")</f>
        <v/>
      </c>
      <c r="AD188" s="88" t="str">
        <f aca="false">IF(AND(AND(F188&lt;&gt;"",K188&lt;&gt;"Completed",K188&lt;&gt;"Cancelled"),OR(P188="Yes",AND(M188&lt;&gt;"",M188&lt;='Weekly Report'!$F$7),AND(L188&lt;&gt;"",L188&gt;='Weekly Report'!$F$6,L188&lt;='Weekly Report'!$F$7))),ROW(),"")</f>
        <v/>
      </c>
    </row>
    <row r="189" customFormat="false" ht="15" hidden="false" customHeight="false" outlineLevel="0" collapsed="false">
      <c r="A189" s="56" t="s">
        <v>1670</v>
      </c>
      <c r="B189" s="63"/>
      <c r="C189" s="61"/>
      <c r="D189" s="61"/>
      <c r="E189" s="61"/>
      <c r="F189" s="60"/>
      <c r="G189" s="61"/>
      <c r="H189" s="61"/>
      <c r="I189" s="61"/>
      <c r="J189" s="61"/>
      <c r="K189" s="61"/>
      <c r="L189" s="63"/>
      <c r="M189" s="63"/>
      <c r="N189" s="63"/>
      <c r="O189" s="94"/>
      <c r="P189" s="61"/>
      <c r="Q189" s="63"/>
      <c r="R189" s="60"/>
      <c r="S189" s="60"/>
      <c r="T189" s="63"/>
      <c r="U189" s="60"/>
      <c r="V189" s="60"/>
      <c r="W189" s="87" t="str">
        <f aca="true">IF(B189="","",IF(N189&lt;&gt;"",N189-B189,TODAY()-B189))</f>
        <v/>
      </c>
      <c r="X189" s="62" t="str">
        <f aca="true">IF(OR(M189="",K189="Completed",K189="Cancelled"),"",IF(M189&lt;TODAY(),"OVERDUE",IF(M189-TODAY()&lt;=7,"Due ≤7d","On Schedule")))</f>
        <v/>
      </c>
      <c r="Y189" s="60"/>
      <c r="Z189" s="88" t="str">
        <f aca="false">IF(AND(N189&lt;&gt;"",N189&gt;='Weekly Report'!$F$4,N189&lt;='Weekly Report'!$F$5),ROW(),"")</f>
        <v/>
      </c>
      <c r="AA189" s="88" t="str">
        <f aca="false">IF(AND(AND(Q189&lt;&gt;"",Q189&gt;='Weekly Report'!$F$4,Q189&lt;='Weekly Report'!$F$5),AND(F189&lt;&gt;"",K189&lt;&gt;"Completed",K189&lt;&gt;"Cancelled")),ROW(),"")</f>
        <v/>
      </c>
      <c r="AB189" s="88" t="str">
        <f aca="false">IF(AND(F189&lt;&gt;"",K189="In Progress"),ROW(),"")</f>
        <v/>
      </c>
      <c r="AC189" s="88" t="str">
        <f aca="false">IF(AND(AND(F189&lt;&gt;"",K189&lt;&gt;"Completed",K189&lt;&gt;"Cancelled"),OR(K189="Blocked",S189&lt;&gt;"")),ROW(),"")</f>
        <v/>
      </c>
      <c r="AD189" s="88" t="str">
        <f aca="false">IF(AND(AND(F189&lt;&gt;"",K189&lt;&gt;"Completed",K189&lt;&gt;"Cancelled"),OR(P189="Yes",AND(M189&lt;&gt;"",M189&lt;='Weekly Report'!$F$7),AND(L189&lt;&gt;"",L189&gt;='Weekly Report'!$F$6,L189&lt;='Weekly Report'!$F$7))),ROW(),"")</f>
        <v/>
      </c>
    </row>
    <row r="190" customFormat="false" ht="15" hidden="false" customHeight="false" outlineLevel="0" collapsed="false">
      <c r="A190" s="56" t="s">
        <v>1671</v>
      </c>
      <c r="B190" s="63"/>
      <c r="C190" s="61"/>
      <c r="D190" s="61"/>
      <c r="E190" s="61"/>
      <c r="F190" s="60"/>
      <c r="G190" s="61"/>
      <c r="H190" s="61"/>
      <c r="I190" s="61"/>
      <c r="J190" s="61"/>
      <c r="K190" s="61"/>
      <c r="L190" s="63"/>
      <c r="M190" s="63"/>
      <c r="N190" s="63"/>
      <c r="O190" s="94"/>
      <c r="P190" s="61"/>
      <c r="Q190" s="63"/>
      <c r="R190" s="60"/>
      <c r="S190" s="60"/>
      <c r="T190" s="63"/>
      <c r="U190" s="60"/>
      <c r="V190" s="60"/>
      <c r="W190" s="87" t="str">
        <f aca="true">IF(B190="","",IF(N190&lt;&gt;"",N190-B190,TODAY()-B190))</f>
        <v/>
      </c>
      <c r="X190" s="62" t="str">
        <f aca="true">IF(OR(M190="",K190="Completed",K190="Cancelled"),"",IF(M190&lt;TODAY(),"OVERDUE",IF(M190-TODAY()&lt;=7,"Due ≤7d","On Schedule")))</f>
        <v/>
      </c>
      <c r="Y190" s="60"/>
      <c r="Z190" s="88" t="str">
        <f aca="false">IF(AND(N190&lt;&gt;"",N190&gt;='Weekly Report'!$F$4,N190&lt;='Weekly Report'!$F$5),ROW(),"")</f>
        <v/>
      </c>
      <c r="AA190" s="88" t="str">
        <f aca="false">IF(AND(AND(Q190&lt;&gt;"",Q190&gt;='Weekly Report'!$F$4,Q190&lt;='Weekly Report'!$F$5),AND(F190&lt;&gt;"",K190&lt;&gt;"Completed",K190&lt;&gt;"Cancelled")),ROW(),"")</f>
        <v/>
      </c>
      <c r="AB190" s="88" t="str">
        <f aca="false">IF(AND(F190&lt;&gt;"",K190="In Progress"),ROW(),"")</f>
        <v/>
      </c>
      <c r="AC190" s="88" t="str">
        <f aca="false">IF(AND(AND(F190&lt;&gt;"",K190&lt;&gt;"Completed",K190&lt;&gt;"Cancelled"),OR(K190="Blocked",S190&lt;&gt;"")),ROW(),"")</f>
        <v/>
      </c>
      <c r="AD190" s="88" t="str">
        <f aca="false">IF(AND(AND(F190&lt;&gt;"",K190&lt;&gt;"Completed",K190&lt;&gt;"Cancelled"),OR(P190="Yes",AND(M190&lt;&gt;"",M190&lt;='Weekly Report'!$F$7),AND(L190&lt;&gt;"",L190&gt;='Weekly Report'!$F$6,L190&lt;='Weekly Report'!$F$7))),ROW(),"")</f>
        <v/>
      </c>
    </row>
    <row r="191" customFormat="false" ht="15" hidden="false" customHeight="false" outlineLevel="0" collapsed="false">
      <c r="A191" s="56" t="s">
        <v>1672</v>
      </c>
      <c r="B191" s="63"/>
      <c r="C191" s="61"/>
      <c r="D191" s="61"/>
      <c r="E191" s="61"/>
      <c r="F191" s="60"/>
      <c r="G191" s="61"/>
      <c r="H191" s="61"/>
      <c r="I191" s="61"/>
      <c r="J191" s="61"/>
      <c r="K191" s="61"/>
      <c r="L191" s="63"/>
      <c r="M191" s="63"/>
      <c r="N191" s="63"/>
      <c r="O191" s="94"/>
      <c r="P191" s="61"/>
      <c r="Q191" s="63"/>
      <c r="R191" s="60"/>
      <c r="S191" s="60"/>
      <c r="T191" s="63"/>
      <c r="U191" s="60"/>
      <c r="V191" s="60"/>
      <c r="W191" s="87" t="str">
        <f aca="true">IF(B191="","",IF(N191&lt;&gt;"",N191-B191,TODAY()-B191))</f>
        <v/>
      </c>
      <c r="X191" s="62" t="str">
        <f aca="true">IF(OR(M191="",K191="Completed",K191="Cancelled"),"",IF(M191&lt;TODAY(),"OVERDUE",IF(M191-TODAY()&lt;=7,"Due ≤7d","On Schedule")))</f>
        <v/>
      </c>
      <c r="Y191" s="60"/>
      <c r="Z191" s="88" t="str">
        <f aca="false">IF(AND(N191&lt;&gt;"",N191&gt;='Weekly Report'!$F$4,N191&lt;='Weekly Report'!$F$5),ROW(),"")</f>
        <v/>
      </c>
      <c r="AA191" s="88" t="str">
        <f aca="false">IF(AND(AND(Q191&lt;&gt;"",Q191&gt;='Weekly Report'!$F$4,Q191&lt;='Weekly Report'!$F$5),AND(F191&lt;&gt;"",K191&lt;&gt;"Completed",K191&lt;&gt;"Cancelled")),ROW(),"")</f>
        <v/>
      </c>
      <c r="AB191" s="88" t="str">
        <f aca="false">IF(AND(F191&lt;&gt;"",K191="In Progress"),ROW(),"")</f>
        <v/>
      </c>
      <c r="AC191" s="88" t="str">
        <f aca="false">IF(AND(AND(F191&lt;&gt;"",K191&lt;&gt;"Completed",K191&lt;&gt;"Cancelled"),OR(K191="Blocked",S191&lt;&gt;"")),ROW(),"")</f>
        <v/>
      </c>
      <c r="AD191" s="88" t="str">
        <f aca="false">IF(AND(AND(F191&lt;&gt;"",K191&lt;&gt;"Completed",K191&lt;&gt;"Cancelled"),OR(P191="Yes",AND(M191&lt;&gt;"",M191&lt;='Weekly Report'!$F$7),AND(L191&lt;&gt;"",L191&gt;='Weekly Report'!$F$6,L191&lt;='Weekly Report'!$F$7))),ROW(),"")</f>
        <v/>
      </c>
    </row>
    <row r="192" customFormat="false" ht="15" hidden="false" customHeight="false" outlineLevel="0" collapsed="false">
      <c r="A192" s="56" t="s">
        <v>1673</v>
      </c>
      <c r="B192" s="63"/>
      <c r="C192" s="61"/>
      <c r="D192" s="61"/>
      <c r="E192" s="61"/>
      <c r="F192" s="60"/>
      <c r="G192" s="61"/>
      <c r="H192" s="61"/>
      <c r="I192" s="61"/>
      <c r="J192" s="61"/>
      <c r="K192" s="61"/>
      <c r="L192" s="63"/>
      <c r="M192" s="63"/>
      <c r="N192" s="63"/>
      <c r="O192" s="94"/>
      <c r="P192" s="61"/>
      <c r="Q192" s="63"/>
      <c r="R192" s="60"/>
      <c r="S192" s="60"/>
      <c r="T192" s="63"/>
      <c r="U192" s="60"/>
      <c r="V192" s="60"/>
      <c r="W192" s="87" t="str">
        <f aca="true">IF(B192="","",IF(N192&lt;&gt;"",N192-B192,TODAY()-B192))</f>
        <v/>
      </c>
      <c r="X192" s="62" t="str">
        <f aca="true">IF(OR(M192="",K192="Completed",K192="Cancelled"),"",IF(M192&lt;TODAY(),"OVERDUE",IF(M192-TODAY()&lt;=7,"Due ≤7d","On Schedule")))</f>
        <v/>
      </c>
      <c r="Y192" s="60"/>
      <c r="Z192" s="88" t="str">
        <f aca="false">IF(AND(N192&lt;&gt;"",N192&gt;='Weekly Report'!$F$4,N192&lt;='Weekly Report'!$F$5),ROW(),"")</f>
        <v/>
      </c>
      <c r="AA192" s="88" t="str">
        <f aca="false">IF(AND(AND(Q192&lt;&gt;"",Q192&gt;='Weekly Report'!$F$4,Q192&lt;='Weekly Report'!$F$5),AND(F192&lt;&gt;"",K192&lt;&gt;"Completed",K192&lt;&gt;"Cancelled")),ROW(),"")</f>
        <v/>
      </c>
      <c r="AB192" s="88" t="str">
        <f aca="false">IF(AND(F192&lt;&gt;"",K192="In Progress"),ROW(),"")</f>
        <v/>
      </c>
      <c r="AC192" s="88" t="str">
        <f aca="false">IF(AND(AND(F192&lt;&gt;"",K192&lt;&gt;"Completed",K192&lt;&gt;"Cancelled"),OR(K192="Blocked",S192&lt;&gt;"")),ROW(),"")</f>
        <v/>
      </c>
      <c r="AD192" s="88" t="str">
        <f aca="false">IF(AND(AND(F192&lt;&gt;"",K192&lt;&gt;"Completed",K192&lt;&gt;"Cancelled"),OR(P192="Yes",AND(M192&lt;&gt;"",M192&lt;='Weekly Report'!$F$7),AND(L192&lt;&gt;"",L192&gt;='Weekly Report'!$F$6,L192&lt;='Weekly Report'!$F$7))),ROW(),"")</f>
        <v/>
      </c>
    </row>
    <row r="193" customFormat="false" ht="15" hidden="false" customHeight="false" outlineLevel="0" collapsed="false">
      <c r="A193" s="56" t="s">
        <v>1674</v>
      </c>
      <c r="B193" s="63"/>
      <c r="C193" s="61"/>
      <c r="D193" s="61"/>
      <c r="E193" s="61"/>
      <c r="F193" s="60"/>
      <c r="G193" s="61"/>
      <c r="H193" s="61"/>
      <c r="I193" s="61"/>
      <c r="J193" s="61"/>
      <c r="K193" s="61"/>
      <c r="L193" s="63"/>
      <c r="M193" s="63"/>
      <c r="N193" s="63"/>
      <c r="O193" s="94"/>
      <c r="P193" s="61"/>
      <c r="Q193" s="63"/>
      <c r="R193" s="60"/>
      <c r="S193" s="60"/>
      <c r="T193" s="63"/>
      <c r="U193" s="60"/>
      <c r="V193" s="60"/>
      <c r="W193" s="87" t="str">
        <f aca="true">IF(B193="","",IF(N193&lt;&gt;"",N193-B193,TODAY()-B193))</f>
        <v/>
      </c>
      <c r="X193" s="62" t="str">
        <f aca="true">IF(OR(M193="",K193="Completed",K193="Cancelled"),"",IF(M193&lt;TODAY(),"OVERDUE",IF(M193-TODAY()&lt;=7,"Due ≤7d","On Schedule")))</f>
        <v/>
      </c>
      <c r="Y193" s="60"/>
      <c r="Z193" s="88" t="str">
        <f aca="false">IF(AND(N193&lt;&gt;"",N193&gt;='Weekly Report'!$F$4,N193&lt;='Weekly Report'!$F$5),ROW(),"")</f>
        <v/>
      </c>
      <c r="AA193" s="88" t="str">
        <f aca="false">IF(AND(AND(Q193&lt;&gt;"",Q193&gt;='Weekly Report'!$F$4,Q193&lt;='Weekly Report'!$F$5),AND(F193&lt;&gt;"",K193&lt;&gt;"Completed",K193&lt;&gt;"Cancelled")),ROW(),"")</f>
        <v/>
      </c>
      <c r="AB193" s="88" t="str">
        <f aca="false">IF(AND(F193&lt;&gt;"",K193="In Progress"),ROW(),"")</f>
        <v/>
      </c>
      <c r="AC193" s="88" t="str">
        <f aca="false">IF(AND(AND(F193&lt;&gt;"",K193&lt;&gt;"Completed",K193&lt;&gt;"Cancelled"),OR(K193="Blocked",S193&lt;&gt;"")),ROW(),"")</f>
        <v/>
      </c>
      <c r="AD193" s="88" t="str">
        <f aca="false">IF(AND(AND(F193&lt;&gt;"",K193&lt;&gt;"Completed",K193&lt;&gt;"Cancelled"),OR(P193="Yes",AND(M193&lt;&gt;"",M193&lt;='Weekly Report'!$F$7),AND(L193&lt;&gt;"",L193&gt;='Weekly Report'!$F$6,L193&lt;='Weekly Report'!$F$7))),ROW(),"")</f>
        <v/>
      </c>
    </row>
    <row r="194" customFormat="false" ht="15" hidden="false" customHeight="false" outlineLevel="0" collapsed="false">
      <c r="A194" s="56" t="s">
        <v>1675</v>
      </c>
      <c r="B194" s="63"/>
      <c r="C194" s="61"/>
      <c r="D194" s="61"/>
      <c r="E194" s="61"/>
      <c r="F194" s="60"/>
      <c r="G194" s="61"/>
      <c r="H194" s="61"/>
      <c r="I194" s="61"/>
      <c r="J194" s="61"/>
      <c r="K194" s="61"/>
      <c r="L194" s="63"/>
      <c r="M194" s="63"/>
      <c r="N194" s="63"/>
      <c r="O194" s="94"/>
      <c r="P194" s="61"/>
      <c r="Q194" s="63"/>
      <c r="R194" s="60"/>
      <c r="S194" s="60"/>
      <c r="T194" s="63"/>
      <c r="U194" s="60"/>
      <c r="V194" s="60"/>
      <c r="W194" s="87" t="str">
        <f aca="true">IF(B194="","",IF(N194&lt;&gt;"",N194-B194,TODAY()-B194))</f>
        <v/>
      </c>
      <c r="X194" s="62" t="str">
        <f aca="true">IF(OR(M194="",K194="Completed",K194="Cancelled"),"",IF(M194&lt;TODAY(),"OVERDUE",IF(M194-TODAY()&lt;=7,"Due ≤7d","On Schedule")))</f>
        <v/>
      </c>
      <c r="Y194" s="60"/>
      <c r="Z194" s="88" t="str">
        <f aca="false">IF(AND(N194&lt;&gt;"",N194&gt;='Weekly Report'!$F$4,N194&lt;='Weekly Report'!$F$5),ROW(),"")</f>
        <v/>
      </c>
      <c r="AA194" s="88" t="str">
        <f aca="false">IF(AND(AND(Q194&lt;&gt;"",Q194&gt;='Weekly Report'!$F$4,Q194&lt;='Weekly Report'!$F$5),AND(F194&lt;&gt;"",K194&lt;&gt;"Completed",K194&lt;&gt;"Cancelled")),ROW(),"")</f>
        <v/>
      </c>
      <c r="AB194" s="88" t="str">
        <f aca="false">IF(AND(F194&lt;&gt;"",K194="In Progress"),ROW(),"")</f>
        <v/>
      </c>
      <c r="AC194" s="88" t="str">
        <f aca="false">IF(AND(AND(F194&lt;&gt;"",K194&lt;&gt;"Completed",K194&lt;&gt;"Cancelled"),OR(K194="Blocked",S194&lt;&gt;"")),ROW(),"")</f>
        <v/>
      </c>
      <c r="AD194" s="88" t="str">
        <f aca="false">IF(AND(AND(F194&lt;&gt;"",K194&lt;&gt;"Completed",K194&lt;&gt;"Cancelled"),OR(P194="Yes",AND(M194&lt;&gt;"",M194&lt;='Weekly Report'!$F$7),AND(L194&lt;&gt;"",L194&gt;='Weekly Report'!$F$6,L194&lt;='Weekly Report'!$F$7))),ROW(),"")</f>
        <v/>
      </c>
    </row>
    <row r="195" customFormat="false" ht="15" hidden="false" customHeight="false" outlineLevel="0" collapsed="false">
      <c r="A195" s="56" t="s">
        <v>1676</v>
      </c>
      <c r="B195" s="63"/>
      <c r="C195" s="61"/>
      <c r="D195" s="61"/>
      <c r="E195" s="61"/>
      <c r="F195" s="60"/>
      <c r="G195" s="61"/>
      <c r="H195" s="61"/>
      <c r="I195" s="61"/>
      <c r="J195" s="61"/>
      <c r="K195" s="61"/>
      <c r="L195" s="63"/>
      <c r="M195" s="63"/>
      <c r="N195" s="63"/>
      <c r="O195" s="94"/>
      <c r="P195" s="61"/>
      <c r="Q195" s="63"/>
      <c r="R195" s="60"/>
      <c r="S195" s="60"/>
      <c r="T195" s="63"/>
      <c r="U195" s="60"/>
      <c r="V195" s="60"/>
      <c r="W195" s="87" t="str">
        <f aca="true">IF(B195="","",IF(N195&lt;&gt;"",N195-B195,TODAY()-B195))</f>
        <v/>
      </c>
      <c r="X195" s="62" t="str">
        <f aca="true">IF(OR(M195="",K195="Completed",K195="Cancelled"),"",IF(M195&lt;TODAY(),"OVERDUE",IF(M195-TODAY()&lt;=7,"Due ≤7d","On Schedule")))</f>
        <v/>
      </c>
      <c r="Y195" s="60"/>
      <c r="Z195" s="88" t="str">
        <f aca="false">IF(AND(N195&lt;&gt;"",N195&gt;='Weekly Report'!$F$4,N195&lt;='Weekly Report'!$F$5),ROW(),"")</f>
        <v/>
      </c>
      <c r="AA195" s="88" t="str">
        <f aca="false">IF(AND(AND(Q195&lt;&gt;"",Q195&gt;='Weekly Report'!$F$4,Q195&lt;='Weekly Report'!$F$5),AND(F195&lt;&gt;"",K195&lt;&gt;"Completed",K195&lt;&gt;"Cancelled")),ROW(),"")</f>
        <v/>
      </c>
      <c r="AB195" s="88" t="str">
        <f aca="false">IF(AND(F195&lt;&gt;"",K195="In Progress"),ROW(),"")</f>
        <v/>
      </c>
      <c r="AC195" s="88" t="str">
        <f aca="false">IF(AND(AND(F195&lt;&gt;"",K195&lt;&gt;"Completed",K195&lt;&gt;"Cancelled"),OR(K195="Blocked",S195&lt;&gt;"")),ROW(),"")</f>
        <v/>
      </c>
      <c r="AD195" s="88" t="str">
        <f aca="false">IF(AND(AND(F195&lt;&gt;"",K195&lt;&gt;"Completed",K195&lt;&gt;"Cancelled"),OR(P195="Yes",AND(M195&lt;&gt;"",M195&lt;='Weekly Report'!$F$7),AND(L195&lt;&gt;"",L195&gt;='Weekly Report'!$F$6,L195&lt;='Weekly Report'!$F$7))),ROW(),"")</f>
        <v/>
      </c>
    </row>
    <row r="196" customFormat="false" ht="15" hidden="false" customHeight="false" outlineLevel="0" collapsed="false">
      <c r="A196" s="56" t="s">
        <v>1677</v>
      </c>
      <c r="B196" s="63"/>
      <c r="C196" s="61"/>
      <c r="D196" s="61"/>
      <c r="E196" s="61"/>
      <c r="F196" s="60"/>
      <c r="G196" s="61"/>
      <c r="H196" s="61"/>
      <c r="I196" s="61"/>
      <c r="J196" s="61"/>
      <c r="K196" s="61"/>
      <c r="L196" s="63"/>
      <c r="M196" s="63"/>
      <c r="N196" s="63"/>
      <c r="O196" s="94"/>
      <c r="P196" s="61"/>
      <c r="Q196" s="63"/>
      <c r="R196" s="60"/>
      <c r="S196" s="60"/>
      <c r="T196" s="63"/>
      <c r="U196" s="60"/>
      <c r="V196" s="60"/>
      <c r="W196" s="87" t="str">
        <f aca="true">IF(B196="","",IF(N196&lt;&gt;"",N196-B196,TODAY()-B196))</f>
        <v/>
      </c>
      <c r="X196" s="62" t="str">
        <f aca="true">IF(OR(M196="",K196="Completed",K196="Cancelled"),"",IF(M196&lt;TODAY(),"OVERDUE",IF(M196-TODAY()&lt;=7,"Due ≤7d","On Schedule")))</f>
        <v/>
      </c>
      <c r="Y196" s="60"/>
      <c r="Z196" s="88" t="str">
        <f aca="false">IF(AND(N196&lt;&gt;"",N196&gt;='Weekly Report'!$F$4,N196&lt;='Weekly Report'!$F$5),ROW(),"")</f>
        <v/>
      </c>
      <c r="AA196" s="88" t="str">
        <f aca="false">IF(AND(AND(Q196&lt;&gt;"",Q196&gt;='Weekly Report'!$F$4,Q196&lt;='Weekly Report'!$F$5),AND(F196&lt;&gt;"",K196&lt;&gt;"Completed",K196&lt;&gt;"Cancelled")),ROW(),"")</f>
        <v/>
      </c>
      <c r="AB196" s="88" t="str">
        <f aca="false">IF(AND(F196&lt;&gt;"",K196="In Progress"),ROW(),"")</f>
        <v/>
      </c>
      <c r="AC196" s="88" t="str">
        <f aca="false">IF(AND(AND(F196&lt;&gt;"",K196&lt;&gt;"Completed",K196&lt;&gt;"Cancelled"),OR(K196="Blocked",S196&lt;&gt;"")),ROW(),"")</f>
        <v/>
      </c>
      <c r="AD196" s="88" t="str">
        <f aca="false">IF(AND(AND(F196&lt;&gt;"",K196&lt;&gt;"Completed",K196&lt;&gt;"Cancelled"),OR(P196="Yes",AND(M196&lt;&gt;"",M196&lt;='Weekly Report'!$F$7),AND(L196&lt;&gt;"",L196&gt;='Weekly Report'!$F$6,L196&lt;='Weekly Report'!$F$7))),ROW(),"")</f>
        <v/>
      </c>
    </row>
    <row r="197" customFormat="false" ht="15" hidden="false" customHeight="false" outlineLevel="0" collapsed="false">
      <c r="A197" s="56" t="s">
        <v>1678</v>
      </c>
      <c r="B197" s="63"/>
      <c r="C197" s="61"/>
      <c r="D197" s="61"/>
      <c r="E197" s="61"/>
      <c r="F197" s="60"/>
      <c r="G197" s="61"/>
      <c r="H197" s="61"/>
      <c r="I197" s="61"/>
      <c r="J197" s="61"/>
      <c r="K197" s="61"/>
      <c r="L197" s="63"/>
      <c r="M197" s="63"/>
      <c r="N197" s="63"/>
      <c r="O197" s="94"/>
      <c r="P197" s="61"/>
      <c r="Q197" s="63"/>
      <c r="R197" s="60"/>
      <c r="S197" s="60"/>
      <c r="T197" s="63"/>
      <c r="U197" s="60"/>
      <c r="V197" s="60"/>
      <c r="W197" s="87" t="str">
        <f aca="true">IF(B197="","",IF(N197&lt;&gt;"",N197-B197,TODAY()-B197))</f>
        <v/>
      </c>
      <c r="X197" s="62" t="str">
        <f aca="true">IF(OR(M197="",K197="Completed",K197="Cancelled"),"",IF(M197&lt;TODAY(),"OVERDUE",IF(M197-TODAY()&lt;=7,"Due ≤7d","On Schedule")))</f>
        <v/>
      </c>
      <c r="Y197" s="60"/>
      <c r="Z197" s="88" t="str">
        <f aca="false">IF(AND(N197&lt;&gt;"",N197&gt;='Weekly Report'!$F$4,N197&lt;='Weekly Report'!$F$5),ROW(),"")</f>
        <v/>
      </c>
      <c r="AA197" s="88" t="str">
        <f aca="false">IF(AND(AND(Q197&lt;&gt;"",Q197&gt;='Weekly Report'!$F$4,Q197&lt;='Weekly Report'!$F$5),AND(F197&lt;&gt;"",K197&lt;&gt;"Completed",K197&lt;&gt;"Cancelled")),ROW(),"")</f>
        <v/>
      </c>
      <c r="AB197" s="88" t="str">
        <f aca="false">IF(AND(F197&lt;&gt;"",K197="In Progress"),ROW(),"")</f>
        <v/>
      </c>
      <c r="AC197" s="88" t="str">
        <f aca="false">IF(AND(AND(F197&lt;&gt;"",K197&lt;&gt;"Completed",K197&lt;&gt;"Cancelled"),OR(K197="Blocked",S197&lt;&gt;"")),ROW(),"")</f>
        <v/>
      </c>
      <c r="AD197" s="88" t="str">
        <f aca="false">IF(AND(AND(F197&lt;&gt;"",K197&lt;&gt;"Completed",K197&lt;&gt;"Cancelled"),OR(P197="Yes",AND(M197&lt;&gt;"",M197&lt;='Weekly Report'!$F$7),AND(L197&lt;&gt;"",L197&gt;='Weekly Report'!$F$6,L197&lt;='Weekly Report'!$F$7))),ROW(),"")</f>
        <v/>
      </c>
    </row>
    <row r="198" customFormat="false" ht="15" hidden="false" customHeight="false" outlineLevel="0" collapsed="false">
      <c r="A198" s="56" t="s">
        <v>1679</v>
      </c>
      <c r="B198" s="63"/>
      <c r="C198" s="61"/>
      <c r="D198" s="61"/>
      <c r="E198" s="61"/>
      <c r="F198" s="60"/>
      <c r="G198" s="61"/>
      <c r="H198" s="61"/>
      <c r="I198" s="61"/>
      <c r="J198" s="61"/>
      <c r="K198" s="61"/>
      <c r="L198" s="63"/>
      <c r="M198" s="63"/>
      <c r="N198" s="63"/>
      <c r="O198" s="94"/>
      <c r="P198" s="61"/>
      <c r="Q198" s="63"/>
      <c r="R198" s="60"/>
      <c r="S198" s="60"/>
      <c r="T198" s="63"/>
      <c r="U198" s="60"/>
      <c r="V198" s="60"/>
      <c r="W198" s="87" t="str">
        <f aca="true">IF(B198="","",IF(N198&lt;&gt;"",N198-B198,TODAY()-B198))</f>
        <v/>
      </c>
      <c r="X198" s="62" t="str">
        <f aca="true">IF(OR(M198="",K198="Completed",K198="Cancelled"),"",IF(M198&lt;TODAY(),"OVERDUE",IF(M198-TODAY()&lt;=7,"Due ≤7d","On Schedule")))</f>
        <v/>
      </c>
      <c r="Y198" s="60"/>
      <c r="Z198" s="88" t="str">
        <f aca="false">IF(AND(N198&lt;&gt;"",N198&gt;='Weekly Report'!$F$4,N198&lt;='Weekly Report'!$F$5),ROW(),"")</f>
        <v/>
      </c>
      <c r="AA198" s="88" t="str">
        <f aca="false">IF(AND(AND(Q198&lt;&gt;"",Q198&gt;='Weekly Report'!$F$4,Q198&lt;='Weekly Report'!$F$5),AND(F198&lt;&gt;"",K198&lt;&gt;"Completed",K198&lt;&gt;"Cancelled")),ROW(),"")</f>
        <v/>
      </c>
      <c r="AB198" s="88" t="str">
        <f aca="false">IF(AND(F198&lt;&gt;"",K198="In Progress"),ROW(),"")</f>
        <v/>
      </c>
      <c r="AC198" s="88" t="str">
        <f aca="false">IF(AND(AND(F198&lt;&gt;"",K198&lt;&gt;"Completed",K198&lt;&gt;"Cancelled"),OR(K198="Blocked",S198&lt;&gt;"")),ROW(),"")</f>
        <v/>
      </c>
      <c r="AD198" s="88" t="str">
        <f aca="false">IF(AND(AND(F198&lt;&gt;"",K198&lt;&gt;"Completed",K198&lt;&gt;"Cancelled"),OR(P198="Yes",AND(M198&lt;&gt;"",M198&lt;='Weekly Report'!$F$7),AND(L198&lt;&gt;"",L198&gt;='Weekly Report'!$F$6,L198&lt;='Weekly Report'!$F$7))),ROW(),"")</f>
        <v/>
      </c>
    </row>
    <row r="199" customFormat="false" ht="15" hidden="false" customHeight="false" outlineLevel="0" collapsed="false">
      <c r="A199" s="56" t="s">
        <v>1680</v>
      </c>
      <c r="B199" s="63"/>
      <c r="C199" s="61"/>
      <c r="D199" s="61"/>
      <c r="E199" s="61"/>
      <c r="F199" s="60"/>
      <c r="G199" s="61"/>
      <c r="H199" s="61"/>
      <c r="I199" s="61"/>
      <c r="J199" s="61"/>
      <c r="K199" s="61"/>
      <c r="L199" s="63"/>
      <c r="M199" s="63"/>
      <c r="N199" s="63"/>
      <c r="O199" s="94"/>
      <c r="P199" s="61"/>
      <c r="Q199" s="63"/>
      <c r="R199" s="60"/>
      <c r="S199" s="60"/>
      <c r="T199" s="63"/>
      <c r="U199" s="60"/>
      <c r="V199" s="60"/>
      <c r="W199" s="87" t="str">
        <f aca="true">IF(B199="","",IF(N199&lt;&gt;"",N199-B199,TODAY()-B199))</f>
        <v/>
      </c>
      <c r="X199" s="62" t="str">
        <f aca="true">IF(OR(M199="",K199="Completed",K199="Cancelled"),"",IF(M199&lt;TODAY(),"OVERDUE",IF(M199-TODAY()&lt;=7,"Due ≤7d","On Schedule")))</f>
        <v/>
      </c>
      <c r="Y199" s="60"/>
      <c r="Z199" s="88" t="str">
        <f aca="false">IF(AND(N199&lt;&gt;"",N199&gt;='Weekly Report'!$F$4,N199&lt;='Weekly Report'!$F$5),ROW(),"")</f>
        <v/>
      </c>
      <c r="AA199" s="88" t="str">
        <f aca="false">IF(AND(AND(Q199&lt;&gt;"",Q199&gt;='Weekly Report'!$F$4,Q199&lt;='Weekly Report'!$F$5),AND(F199&lt;&gt;"",K199&lt;&gt;"Completed",K199&lt;&gt;"Cancelled")),ROW(),"")</f>
        <v/>
      </c>
      <c r="AB199" s="88" t="str">
        <f aca="false">IF(AND(F199&lt;&gt;"",K199="In Progress"),ROW(),"")</f>
        <v/>
      </c>
      <c r="AC199" s="88" t="str">
        <f aca="false">IF(AND(AND(F199&lt;&gt;"",K199&lt;&gt;"Completed",K199&lt;&gt;"Cancelled"),OR(K199="Blocked",S199&lt;&gt;"")),ROW(),"")</f>
        <v/>
      </c>
      <c r="AD199" s="88" t="str">
        <f aca="false">IF(AND(AND(F199&lt;&gt;"",K199&lt;&gt;"Completed",K199&lt;&gt;"Cancelled"),OR(P199="Yes",AND(M199&lt;&gt;"",M199&lt;='Weekly Report'!$F$7),AND(L199&lt;&gt;"",L199&gt;='Weekly Report'!$F$6,L199&lt;='Weekly Report'!$F$7))),ROW(),"")</f>
        <v/>
      </c>
    </row>
    <row r="200" customFormat="false" ht="15" hidden="false" customHeight="false" outlineLevel="0" collapsed="false">
      <c r="A200" s="56" t="s">
        <v>1681</v>
      </c>
      <c r="B200" s="63"/>
      <c r="C200" s="61"/>
      <c r="D200" s="61"/>
      <c r="E200" s="61"/>
      <c r="F200" s="60"/>
      <c r="G200" s="61"/>
      <c r="H200" s="61"/>
      <c r="I200" s="61"/>
      <c r="J200" s="61"/>
      <c r="K200" s="61"/>
      <c r="L200" s="63"/>
      <c r="M200" s="63"/>
      <c r="N200" s="63"/>
      <c r="O200" s="94"/>
      <c r="P200" s="61"/>
      <c r="Q200" s="63"/>
      <c r="R200" s="60"/>
      <c r="S200" s="60"/>
      <c r="T200" s="63"/>
      <c r="U200" s="60"/>
      <c r="V200" s="60"/>
      <c r="W200" s="87" t="str">
        <f aca="true">IF(B200="","",IF(N200&lt;&gt;"",N200-B200,TODAY()-B200))</f>
        <v/>
      </c>
      <c r="X200" s="62" t="str">
        <f aca="true">IF(OR(M200="",K200="Completed",K200="Cancelled"),"",IF(M200&lt;TODAY(),"OVERDUE",IF(M200-TODAY()&lt;=7,"Due ≤7d","On Schedule")))</f>
        <v/>
      </c>
      <c r="Y200" s="60"/>
      <c r="Z200" s="88" t="str">
        <f aca="false">IF(AND(N200&lt;&gt;"",N200&gt;='Weekly Report'!$F$4,N200&lt;='Weekly Report'!$F$5),ROW(),"")</f>
        <v/>
      </c>
      <c r="AA200" s="88" t="str">
        <f aca="false">IF(AND(AND(Q200&lt;&gt;"",Q200&gt;='Weekly Report'!$F$4,Q200&lt;='Weekly Report'!$F$5),AND(F200&lt;&gt;"",K200&lt;&gt;"Completed",K200&lt;&gt;"Cancelled")),ROW(),"")</f>
        <v/>
      </c>
      <c r="AB200" s="88" t="str">
        <f aca="false">IF(AND(F200&lt;&gt;"",K200="In Progress"),ROW(),"")</f>
        <v/>
      </c>
      <c r="AC200" s="88" t="str">
        <f aca="false">IF(AND(AND(F200&lt;&gt;"",K200&lt;&gt;"Completed",K200&lt;&gt;"Cancelled"),OR(K200="Blocked",S200&lt;&gt;"")),ROW(),"")</f>
        <v/>
      </c>
      <c r="AD200" s="88" t="str">
        <f aca="false">IF(AND(AND(F200&lt;&gt;"",K200&lt;&gt;"Completed",K200&lt;&gt;"Cancelled"),OR(P200="Yes",AND(M200&lt;&gt;"",M200&lt;='Weekly Report'!$F$7),AND(L200&lt;&gt;"",L200&gt;='Weekly Report'!$F$6,L200&lt;='Weekly Report'!$F$7))),ROW(),"")</f>
        <v/>
      </c>
    </row>
    <row r="201" customFormat="false" ht="15" hidden="false" customHeight="false" outlineLevel="0" collapsed="false">
      <c r="A201" s="56" t="s">
        <v>1682</v>
      </c>
      <c r="B201" s="63"/>
      <c r="C201" s="61"/>
      <c r="D201" s="61"/>
      <c r="E201" s="61"/>
      <c r="F201" s="60"/>
      <c r="G201" s="61"/>
      <c r="H201" s="61"/>
      <c r="I201" s="61"/>
      <c r="J201" s="61"/>
      <c r="K201" s="61"/>
      <c r="L201" s="63"/>
      <c r="M201" s="63"/>
      <c r="N201" s="63"/>
      <c r="O201" s="94"/>
      <c r="P201" s="61"/>
      <c r="Q201" s="63"/>
      <c r="R201" s="60"/>
      <c r="S201" s="60"/>
      <c r="T201" s="63"/>
      <c r="U201" s="60"/>
      <c r="V201" s="60"/>
      <c r="W201" s="87" t="str">
        <f aca="true">IF(B201="","",IF(N201&lt;&gt;"",N201-B201,TODAY()-B201))</f>
        <v/>
      </c>
      <c r="X201" s="62" t="str">
        <f aca="true">IF(OR(M201="",K201="Completed",K201="Cancelled"),"",IF(M201&lt;TODAY(),"OVERDUE",IF(M201-TODAY()&lt;=7,"Due ≤7d","On Schedule")))</f>
        <v/>
      </c>
      <c r="Y201" s="60"/>
      <c r="Z201" s="88" t="str">
        <f aca="false">IF(AND(N201&lt;&gt;"",N201&gt;='Weekly Report'!$F$4,N201&lt;='Weekly Report'!$F$5),ROW(),"")</f>
        <v/>
      </c>
      <c r="AA201" s="88" t="str">
        <f aca="false">IF(AND(AND(Q201&lt;&gt;"",Q201&gt;='Weekly Report'!$F$4,Q201&lt;='Weekly Report'!$F$5),AND(F201&lt;&gt;"",K201&lt;&gt;"Completed",K201&lt;&gt;"Cancelled")),ROW(),"")</f>
        <v/>
      </c>
      <c r="AB201" s="88" t="str">
        <f aca="false">IF(AND(F201&lt;&gt;"",K201="In Progress"),ROW(),"")</f>
        <v/>
      </c>
      <c r="AC201" s="88" t="str">
        <f aca="false">IF(AND(AND(F201&lt;&gt;"",K201&lt;&gt;"Completed",K201&lt;&gt;"Cancelled"),OR(K201="Blocked",S201&lt;&gt;"")),ROW(),"")</f>
        <v/>
      </c>
      <c r="AD201" s="88" t="str">
        <f aca="false">IF(AND(AND(F201&lt;&gt;"",K201&lt;&gt;"Completed",K201&lt;&gt;"Cancelled"),OR(P201="Yes",AND(M201&lt;&gt;"",M201&lt;='Weekly Report'!$F$7),AND(L201&lt;&gt;"",L201&gt;='Weekly Report'!$F$6,L201&lt;='Weekly Report'!$F$7))),ROW(),"")</f>
        <v/>
      </c>
    </row>
    <row r="202" customFormat="false" ht="15" hidden="false" customHeight="false" outlineLevel="0" collapsed="false">
      <c r="A202" s="56" t="s">
        <v>1683</v>
      </c>
      <c r="B202" s="63"/>
      <c r="C202" s="61"/>
      <c r="D202" s="61"/>
      <c r="E202" s="61"/>
      <c r="F202" s="60"/>
      <c r="G202" s="61"/>
      <c r="H202" s="61"/>
      <c r="I202" s="61"/>
      <c r="J202" s="61"/>
      <c r="K202" s="61"/>
      <c r="L202" s="63"/>
      <c r="M202" s="63"/>
      <c r="N202" s="63"/>
      <c r="O202" s="94"/>
      <c r="P202" s="61"/>
      <c r="Q202" s="63"/>
      <c r="R202" s="60"/>
      <c r="S202" s="60"/>
      <c r="T202" s="63"/>
      <c r="U202" s="60"/>
      <c r="V202" s="60"/>
      <c r="W202" s="87" t="str">
        <f aca="true">IF(B202="","",IF(N202&lt;&gt;"",N202-B202,TODAY()-B202))</f>
        <v/>
      </c>
      <c r="X202" s="62" t="str">
        <f aca="true">IF(OR(M202="",K202="Completed",K202="Cancelled"),"",IF(M202&lt;TODAY(),"OVERDUE",IF(M202-TODAY()&lt;=7,"Due ≤7d","On Schedule")))</f>
        <v/>
      </c>
      <c r="Y202" s="60"/>
      <c r="Z202" s="88" t="str">
        <f aca="false">IF(AND(N202&lt;&gt;"",N202&gt;='Weekly Report'!$F$4,N202&lt;='Weekly Report'!$F$5),ROW(),"")</f>
        <v/>
      </c>
      <c r="AA202" s="88" t="str">
        <f aca="false">IF(AND(AND(Q202&lt;&gt;"",Q202&gt;='Weekly Report'!$F$4,Q202&lt;='Weekly Report'!$F$5),AND(F202&lt;&gt;"",K202&lt;&gt;"Completed",K202&lt;&gt;"Cancelled")),ROW(),"")</f>
        <v/>
      </c>
      <c r="AB202" s="88" t="str">
        <f aca="false">IF(AND(F202&lt;&gt;"",K202="In Progress"),ROW(),"")</f>
        <v/>
      </c>
      <c r="AC202" s="88" t="str">
        <f aca="false">IF(AND(AND(F202&lt;&gt;"",K202&lt;&gt;"Completed",K202&lt;&gt;"Cancelled"),OR(K202="Blocked",S202&lt;&gt;"")),ROW(),"")</f>
        <v/>
      </c>
      <c r="AD202" s="88" t="str">
        <f aca="false">IF(AND(AND(F202&lt;&gt;"",K202&lt;&gt;"Completed",K202&lt;&gt;"Cancelled"),OR(P202="Yes",AND(M202&lt;&gt;"",M202&lt;='Weekly Report'!$F$7),AND(L202&lt;&gt;"",L202&gt;='Weekly Report'!$F$6,L202&lt;='Weekly Report'!$F$7))),ROW(),"")</f>
        <v/>
      </c>
    </row>
    <row r="203" customFormat="false" ht="15" hidden="false" customHeight="false" outlineLevel="0" collapsed="false">
      <c r="A203" s="56" t="s">
        <v>1684</v>
      </c>
      <c r="B203" s="63"/>
      <c r="C203" s="61"/>
      <c r="D203" s="61"/>
      <c r="E203" s="61"/>
      <c r="F203" s="60"/>
      <c r="G203" s="61"/>
      <c r="H203" s="61"/>
      <c r="I203" s="61"/>
      <c r="J203" s="61"/>
      <c r="K203" s="61"/>
      <c r="L203" s="63"/>
      <c r="M203" s="63"/>
      <c r="N203" s="63"/>
      <c r="O203" s="94"/>
      <c r="P203" s="61"/>
      <c r="Q203" s="63"/>
      <c r="R203" s="60"/>
      <c r="S203" s="60"/>
      <c r="T203" s="63"/>
      <c r="U203" s="60"/>
      <c r="V203" s="60"/>
      <c r="W203" s="87" t="str">
        <f aca="true">IF(B203="","",IF(N203&lt;&gt;"",N203-B203,TODAY()-B203))</f>
        <v/>
      </c>
      <c r="X203" s="62" t="str">
        <f aca="true">IF(OR(M203="",K203="Completed",K203="Cancelled"),"",IF(M203&lt;TODAY(),"OVERDUE",IF(M203-TODAY()&lt;=7,"Due ≤7d","On Schedule")))</f>
        <v/>
      </c>
      <c r="Y203" s="60"/>
      <c r="Z203" s="88" t="str">
        <f aca="false">IF(AND(N203&lt;&gt;"",N203&gt;='Weekly Report'!$F$4,N203&lt;='Weekly Report'!$F$5),ROW(),"")</f>
        <v/>
      </c>
      <c r="AA203" s="88" t="str">
        <f aca="false">IF(AND(AND(Q203&lt;&gt;"",Q203&gt;='Weekly Report'!$F$4,Q203&lt;='Weekly Report'!$F$5),AND(F203&lt;&gt;"",K203&lt;&gt;"Completed",K203&lt;&gt;"Cancelled")),ROW(),"")</f>
        <v/>
      </c>
      <c r="AB203" s="88" t="str">
        <f aca="false">IF(AND(F203&lt;&gt;"",K203="In Progress"),ROW(),"")</f>
        <v/>
      </c>
      <c r="AC203" s="88" t="str">
        <f aca="false">IF(AND(AND(F203&lt;&gt;"",K203&lt;&gt;"Completed",K203&lt;&gt;"Cancelled"),OR(K203="Blocked",S203&lt;&gt;"")),ROW(),"")</f>
        <v/>
      </c>
      <c r="AD203" s="88" t="str">
        <f aca="false">IF(AND(AND(F203&lt;&gt;"",K203&lt;&gt;"Completed",K203&lt;&gt;"Cancelled"),OR(P203="Yes",AND(M203&lt;&gt;"",M203&lt;='Weekly Report'!$F$7),AND(L203&lt;&gt;"",L203&gt;='Weekly Report'!$F$6,L203&lt;='Weekly Report'!$F$7))),ROW(),"")</f>
        <v/>
      </c>
    </row>
    <row r="204" customFormat="false" ht="15" hidden="false" customHeight="false" outlineLevel="0" collapsed="false">
      <c r="A204" s="56" t="s">
        <v>1685</v>
      </c>
      <c r="B204" s="63"/>
      <c r="C204" s="61"/>
      <c r="D204" s="61"/>
      <c r="E204" s="61"/>
      <c r="F204" s="60"/>
      <c r="G204" s="61"/>
      <c r="H204" s="61"/>
      <c r="I204" s="61"/>
      <c r="J204" s="61"/>
      <c r="K204" s="61"/>
      <c r="L204" s="63"/>
      <c r="M204" s="63"/>
      <c r="N204" s="63"/>
      <c r="O204" s="94"/>
      <c r="P204" s="61"/>
      <c r="Q204" s="63"/>
      <c r="R204" s="60"/>
      <c r="S204" s="60"/>
      <c r="T204" s="63"/>
      <c r="U204" s="60"/>
      <c r="V204" s="60"/>
      <c r="W204" s="87" t="str">
        <f aca="true">IF(B204="","",IF(N204&lt;&gt;"",N204-B204,TODAY()-B204))</f>
        <v/>
      </c>
      <c r="X204" s="62" t="str">
        <f aca="true">IF(OR(M204="",K204="Completed",K204="Cancelled"),"",IF(M204&lt;TODAY(),"OVERDUE",IF(M204-TODAY()&lt;=7,"Due ≤7d","On Schedule")))</f>
        <v/>
      </c>
      <c r="Y204" s="60"/>
      <c r="Z204" s="88" t="str">
        <f aca="false">IF(AND(N204&lt;&gt;"",N204&gt;='Weekly Report'!$F$4,N204&lt;='Weekly Report'!$F$5),ROW(),"")</f>
        <v/>
      </c>
      <c r="AA204" s="88" t="str">
        <f aca="false">IF(AND(AND(Q204&lt;&gt;"",Q204&gt;='Weekly Report'!$F$4,Q204&lt;='Weekly Report'!$F$5),AND(F204&lt;&gt;"",K204&lt;&gt;"Completed",K204&lt;&gt;"Cancelled")),ROW(),"")</f>
        <v/>
      </c>
      <c r="AB204" s="88" t="str">
        <f aca="false">IF(AND(F204&lt;&gt;"",K204="In Progress"),ROW(),"")</f>
        <v/>
      </c>
      <c r="AC204" s="88" t="str">
        <f aca="false">IF(AND(AND(F204&lt;&gt;"",K204&lt;&gt;"Completed",K204&lt;&gt;"Cancelled"),OR(K204="Blocked",S204&lt;&gt;"")),ROW(),"")</f>
        <v/>
      </c>
      <c r="AD204" s="88" t="str">
        <f aca="false">IF(AND(AND(F204&lt;&gt;"",K204&lt;&gt;"Completed",K204&lt;&gt;"Cancelled"),OR(P204="Yes",AND(M204&lt;&gt;"",M204&lt;='Weekly Report'!$F$7),AND(L204&lt;&gt;"",L204&gt;='Weekly Report'!$F$6,L204&lt;='Weekly Report'!$F$7))),ROW(),"")</f>
        <v/>
      </c>
    </row>
    <row r="205" customFormat="false" ht="15" hidden="false" customHeight="false" outlineLevel="0" collapsed="false">
      <c r="A205" s="56" t="s">
        <v>1686</v>
      </c>
      <c r="B205" s="63"/>
      <c r="C205" s="61"/>
      <c r="D205" s="61"/>
      <c r="E205" s="61"/>
      <c r="F205" s="60"/>
      <c r="G205" s="61"/>
      <c r="H205" s="61"/>
      <c r="I205" s="61"/>
      <c r="J205" s="61"/>
      <c r="K205" s="61"/>
      <c r="L205" s="63"/>
      <c r="M205" s="63"/>
      <c r="N205" s="63"/>
      <c r="O205" s="94"/>
      <c r="P205" s="61"/>
      <c r="Q205" s="63"/>
      <c r="R205" s="60"/>
      <c r="S205" s="60"/>
      <c r="T205" s="63"/>
      <c r="U205" s="60"/>
      <c r="V205" s="60"/>
      <c r="W205" s="87" t="str">
        <f aca="true">IF(B205="","",IF(N205&lt;&gt;"",N205-B205,TODAY()-B205))</f>
        <v/>
      </c>
      <c r="X205" s="62" t="str">
        <f aca="true">IF(OR(M205="",K205="Completed",K205="Cancelled"),"",IF(M205&lt;TODAY(),"OVERDUE",IF(M205-TODAY()&lt;=7,"Due ≤7d","On Schedule")))</f>
        <v/>
      </c>
      <c r="Y205" s="60"/>
      <c r="Z205" s="88" t="str">
        <f aca="false">IF(AND(N205&lt;&gt;"",N205&gt;='Weekly Report'!$F$4,N205&lt;='Weekly Report'!$F$5),ROW(),"")</f>
        <v/>
      </c>
      <c r="AA205" s="88" t="str">
        <f aca="false">IF(AND(AND(Q205&lt;&gt;"",Q205&gt;='Weekly Report'!$F$4,Q205&lt;='Weekly Report'!$F$5),AND(F205&lt;&gt;"",K205&lt;&gt;"Completed",K205&lt;&gt;"Cancelled")),ROW(),"")</f>
        <v/>
      </c>
      <c r="AB205" s="88" t="str">
        <f aca="false">IF(AND(F205&lt;&gt;"",K205="In Progress"),ROW(),"")</f>
        <v/>
      </c>
      <c r="AC205" s="88" t="str">
        <f aca="false">IF(AND(AND(F205&lt;&gt;"",K205&lt;&gt;"Completed",K205&lt;&gt;"Cancelled"),OR(K205="Blocked",S205&lt;&gt;"")),ROW(),"")</f>
        <v/>
      </c>
      <c r="AD205" s="88" t="str">
        <f aca="false">IF(AND(AND(F205&lt;&gt;"",K205&lt;&gt;"Completed",K205&lt;&gt;"Cancelled"),OR(P205="Yes",AND(M205&lt;&gt;"",M205&lt;='Weekly Report'!$F$7),AND(L205&lt;&gt;"",L205&gt;='Weekly Report'!$F$6,L205&lt;='Weekly Report'!$F$7))),ROW(),"")</f>
        <v/>
      </c>
    </row>
    <row r="206" customFormat="false" ht="15" hidden="false" customHeight="false" outlineLevel="0" collapsed="false">
      <c r="A206" s="56" t="s">
        <v>1687</v>
      </c>
      <c r="B206" s="63"/>
      <c r="C206" s="61"/>
      <c r="D206" s="61"/>
      <c r="E206" s="61"/>
      <c r="F206" s="60"/>
      <c r="G206" s="61"/>
      <c r="H206" s="61"/>
      <c r="I206" s="61"/>
      <c r="J206" s="61"/>
      <c r="K206" s="61"/>
      <c r="L206" s="63"/>
      <c r="M206" s="63"/>
      <c r="N206" s="63"/>
      <c r="O206" s="94"/>
      <c r="P206" s="61"/>
      <c r="Q206" s="63"/>
      <c r="R206" s="60"/>
      <c r="S206" s="60"/>
      <c r="T206" s="63"/>
      <c r="U206" s="60"/>
      <c r="V206" s="60"/>
      <c r="W206" s="87" t="str">
        <f aca="true">IF(B206="","",IF(N206&lt;&gt;"",N206-B206,TODAY()-B206))</f>
        <v/>
      </c>
      <c r="X206" s="62" t="str">
        <f aca="true">IF(OR(M206="",K206="Completed",K206="Cancelled"),"",IF(M206&lt;TODAY(),"OVERDUE",IF(M206-TODAY()&lt;=7,"Due ≤7d","On Schedule")))</f>
        <v/>
      </c>
      <c r="Y206" s="60"/>
      <c r="Z206" s="88" t="str">
        <f aca="false">IF(AND(N206&lt;&gt;"",N206&gt;='Weekly Report'!$F$4,N206&lt;='Weekly Report'!$F$5),ROW(),"")</f>
        <v/>
      </c>
      <c r="AA206" s="88" t="str">
        <f aca="false">IF(AND(AND(Q206&lt;&gt;"",Q206&gt;='Weekly Report'!$F$4,Q206&lt;='Weekly Report'!$F$5),AND(F206&lt;&gt;"",K206&lt;&gt;"Completed",K206&lt;&gt;"Cancelled")),ROW(),"")</f>
        <v/>
      </c>
      <c r="AB206" s="88" t="str">
        <f aca="false">IF(AND(F206&lt;&gt;"",K206="In Progress"),ROW(),"")</f>
        <v/>
      </c>
      <c r="AC206" s="88" t="str">
        <f aca="false">IF(AND(AND(F206&lt;&gt;"",K206&lt;&gt;"Completed",K206&lt;&gt;"Cancelled"),OR(K206="Blocked",S206&lt;&gt;"")),ROW(),"")</f>
        <v/>
      </c>
      <c r="AD206" s="88" t="str">
        <f aca="false">IF(AND(AND(F206&lt;&gt;"",K206&lt;&gt;"Completed",K206&lt;&gt;"Cancelled"),OR(P206="Yes",AND(M206&lt;&gt;"",M206&lt;='Weekly Report'!$F$7),AND(L206&lt;&gt;"",L206&gt;='Weekly Report'!$F$6,L206&lt;='Weekly Report'!$F$7))),ROW(),"")</f>
        <v/>
      </c>
    </row>
    <row r="207" customFormat="false" ht="15" hidden="false" customHeight="false" outlineLevel="0" collapsed="false">
      <c r="A207" s="56" t="s">
        <v>1688</v>
      </c>
      <c r="B207" s="63"/>
      <c r="C207" s="61"/>
      <c r="D207" s="61"/>
      <c r="E207" s="61"/>
      <c r="F207" s="60"/>
      <c r="G207" s="61"/>
      <c r="H207" s="61"/>
      <c r="I207" s="61"/>
      <c r="J207" s="61"/>
      <c r="K207" s="61"/>
      <c r="L207" s="63"/>
      <c r="M207" s="63"/>
      <c r="N207" s="63"/>
      <c r="O207" s="94"/>
      <c r="P207" s="61"/>
      <c r="Q207" s="63"/>
      <c r="R207" s="60"/>
      <c r="S207" s="60"/>
      <c r="T207" s="63"/>
      <c r="U207" s="60"/>
      <c r="V207" s="60"/>
      <c r="W207" s="87" t="str">
        <f aca="true">IF(B207="","",IF(N207&lt;&gt;"",N207-B207,TODAY()-B207))</f>
        <v/>
      </c>
      <c r="X207" s="62" t="str">
        <f aca="true">IF(OR(M207="",K207="Completed",K207="Cancelled"),"",IF(M207&lt;TODAY(),"OVERDUE",IF(M207-TODAY()&lt;=7,"Due ≤7d","On Schedule")))</f>
        <v/>
      </c>
      <c r="Y207" s="60"/>
      <c r="Z207" s="88" t="str">
        <f aca="false">IF(AND(N207&lt;&gt;"",N207&gt;='Weekly Report'!$F$4,N207&lt;='Weekly Report'!$F$5),ROW(),"")</f>
        <v/>
      </c>
      <c r="AA207" s="88" t="str">
        <f aca="false">IF(AND(AND(Q207&lt;&gt;"",Q207&gt;='Weekly Report'!$F$4,Q207&lt;='Weekly Report'!$F$5),AND(F207&lt;&gt;"",K207&lt;&gt;"Completed",K207&lt;&gt;"Cancelled")),ROW(),"")</f>
        <v/>
      </c>
      <c r="AB207" s="88" t="str">
        <f aca="false">IF(AND(F207&lt;&gt;"",K207="In Progress"),ROW(),"")</f>
        <v/>
      </c>
      <c r="AC207" s="88" t="str">
        <f aca="false">IF(AND(AND(F207&lt;&gt;"",K207&lt;&gt;"Completed",K207&lt;&gt;"Cancelled"),OR(K207="Blocked",S207&lt;&gt;"")),ROW(),"")</f>
        <v/>
      </c>
      <c r="AD207" s="88" t="str">
        <f aca="false">IF(AND(AND(F207&lt;&gt;"",K207&lt;&gt;"Completed",K207&lt;&gt;"Cancelled"),OR(P207="Yes",AND(M207&lt;&gt;"",M207&lt;='Weekly Report'!$F$7),AND(L207&lt;&gt;"",L207&gt;='Weekly Report'!$F$6,L207&lt;='Weekly Report'!$F$7))),ROW(),"")</f>
        <v/>
      </c>
    </row>
    <row r="208" customFormat="false" ht="15" hidden="false" customHeight="false" outlineLevel="0" collapsed="false">
      <c r="A208" s="56" t="s">
        <v>1689</v>
      </c>
      <c r="B208" s="63"/>
      <c r="C208" s="61"/>
      <c r="D208" s="61"/>
      <c r="E208" s="61"/>
      <c r="F208" s="60"/>
      <c r="G208" s="61"/>
      <c r="H208" s="61"/>
      <c r="I208" s="61"/>
      <c r="J208" s="61"/>
      <c r="K208" s="61"/>
      <c r="L208" s="63"/>
      <c r="M208" s="63"/>
      <c r="N208" s="63"/>
      <c r="O208" s="94"/>
      <c r="P208" s="61"/>
      <c r="Q208" s="63"/>
      <c r="R208" s="60"/>
      <c r="S208" s="60"/>
      <c r="T208" s="63"/>
      <c r="U208" s="60"/>
      <c r="V208" s="60"/>
      <c r="W208" s="87" t="str">
        <f aca="true">IF(B208="","",IF(N208&lt;&gt;"",N208-B208,TODAY()-B208))</f>
        <v/>
      </c>
      <c r="X208" s="62" t="str">
        <f aca="true">IF(OR(M208="",K208="Completed",K208="Cancelled"),"",IF(M208&lt;TODAY(),"OVERDUE",IF(M208-TODAY()&lt;=7,"Due ≤7d","On Schedule")))</f>
        <v/>
      </c>
      <c r="Y208" s="60"/>
      <c r="Z208" s="88" t="str">
        <f aca="false">IF(AND(N208&lt;&gt;"",N208&gt;='Weekly Report'!$F$4,N208&lt;='Weekly Report'!$F$5),ROW(),"")</f>
        <v/>
      </c>
      <c r="AA208" s="88" t="str">
        <f aca="false">IF(AND(AND(Q208&lt;&gt;"",Q208&gt;='Weekly Report'!$F$4,Q208&lt;='Weekly Report'!$F$5),AND(F208&lt;&gt;"",K208&lt;&gt;"Completed",K208&lt;&gt;"Cancelled")),ROW(),"")</f>
        <v/>
      </c>
      <c r="AB208" s="88" t="str">
        <f aca="false">IF(AND(F208&lt;&gt;"",K208="In Progress"),ROW(),"")</f>
        <v/>
      </c>
      <c r="AC208" s="88" t="str">
        <f aca="false">IF(AND(AND(F208&lt;&gt;"",K208&lt;&gt;"Completed",K208&lt;&gt;"Cancelled"),OR(K208="Blocked",S208&lt;&gt;"")),ROW(),"")</f>
        <v/>
      </c>
      <c r="AD208" s="88" t="str">
        <f aca="false">IF(AND(AND(F208&lt;&gt;"",K208&lt;&gt;"Completed",K208&lt;&gt;"Cancelled"),OR(P208="Yes",AND(M208&lt;&gt;"",M208&lt;='Weekly Report'!$F$7),AND(L208&lt;&gt;"",L208&gt;='Weekly Report'!$F$6,L208&lt;='Weekly Report'!$F$7))),ROW(),"")</f>
        <v/>
      </c>
    </row>
    <row r="209" customFormat="false" ht="15" hidden="false" customHeight="false" outlineLevel="0" collapsed="false">
      <c r="A209" s="56" t="s">
        <v>1690</v>
      </c>
      <c r="B209" s="63"/>
      <c r="C209" s="61"/>
      <c r="D209" s="61"/>
      <c r="E209" s="61"/>
      <c r="F209" s="60"/>
      <c r="G209" s="61"/>
      <c r="H209" s="61"/>
      <c r="I209" s="61"/>
      <c r="J209" s="61"/>
      <c r="K209" s="61"/>
      <c r="L209" s="63"/>
      <c r="M209" s="63"/>
      <c r="N209" s="63"/>
      <c r="O209" s="94"/>
      <c r="P209" s="61"/>
      <c r="Q209" s="63"/>
      <c r="R209" s="60"/>
      <c r="S209" s="60"/>
      <c r="T209" s="63"/>
      <c r="U209" s="60"/>
      <c r="V209" s="60"/>
      <c r="W209" s="87" t="str">
        <f aca="true">IF(B209="","",IF(N209&lt;&gt;"",N209-B209,TODAY()-B209))</f>
        <v/>
      </c>
      <c r="X209" s="62" t="str">
        <f aca="true">IF(OR(M209="",K209="Completed",K209="Cancelled"),"",IF(M209&lt;TODAY(),"OVERDUE",IF(M209-TODAY()&lt;=7,"Due ≤7d","On Schedule")))</f>
        <v/>
      </c>
      <c r="Y209" s="60"/>
      <c r="Z209" s="88" t="str">
        <f aca="false">IF(AND(N209&lt;&gt;"",N209&gt;='Weekly Report'!$F$4,N209&lt;='Weekly Report'!$F$5),ROW(),"")</f>
        <v/>
      </c>
      <c r="AA209" s="88" t="str">
        <f aca="false">IF(AND(AND(Q209&lt;&gt;"",Q209&gt;='Weekly Report'!$F$4,Q209&lt;='Weekly Report'!$F$5),AND(F209&lt;&gt;"",K209&lt;&gt;"Completed",K209&lt;&gt;"Cancelled")),ROW(),"")</f>
        <v/>
      </c>
      <c r="AB209" s="88" t="str">
        <f aca="false">IF(AND(F209&lt;&gt;"",K209="In Progress"),ROW(),"")</f>
        <v/>
      </c>
      <c r="AC209" s="88" t="str">
        <f aca="false">IF(AND(AND(F209&lt;&gt;"",K209&lt;&gt;"Completed",K209&lt;&gt;"Cancelled"),OR(K209="Blocked",S209&lt;&gt;"")),ROW(),"")</f>
        <v/>
      </c>
      <c r="AD209" s="88" t="str">
        <f aca="false">IF(AND(AND(F209&lt;&gt;"",K209&lt;&gt;"Completed",K209&lt;&gt;"Cancelled"),OR(P209="Yes",AND(M209&lt;&gt;"",M209&lt;='Weekly Report'!$F$7),AND(L209&lt;&gt;"",L209&gt;='Weekly Report'!$F$6,L209&lt;='Weekly Report'!$F$7))),ROW(),"")</f>
        <v/>
      </c>
    </row>
    <row r="210" customFormat="false" ht="15" hidden="false" customHeight="false" outlineLevel="0" collapsed="false">
      <c r="A210" s="56" t="s">
        <v>1691</v>
      </c>
      <c r="B210" s="63"/>
      <c r="C210" s="61"/>
      <c r="D210" s="61"/>
      <c r="E210" s="61"/>
      <c r="F210" s="60"/>
      <c r="G210" s="61"/>
      <c r="H210" s="61"/>
      <c r="I210" s="61"/>
      <c r="J210" s="61"/>
      <c r="K210" s="61"/>
      <c r="L210" s="63"/>
      <c r="M210" s="63"/>
      <c r="N210" s="63"/>
      <c r="O210" s="94"/>
      <c r="P210" s="61"/>
      <c r="Q210" s="63"/>
      <c r="R210" s="60"/>
      <c r="S210" s="60"/>
      <c r="T210" s="63"/>
      <c r="U210" s="60"/>
      <c r="V210" s="60"/>
      <c r="W210" s="87" t="str">
        <f aca="true">IF(B210="","",IF(N210&lt;&gt;"",N210-B210,TODAY()-B210))</f>
        <v/>
      </c>
      <c r="X210" s="62" t="str">
        <f aca="true">IF(OR(M210="",K210="Completed",K210="Cancelled"),"",IF(M210&lt;TODAY(),"OVERDUE",IF(M210-TODAY()&lt;=7,"Due ≤7d","On Schedule")))</f>
        <v/>
      </c>
      <c r="Y210" s="60"/>
      <c r="Z210" s="88" t="str">
        <f aca="false">IF(AND(N210&lt;&gt;"",N210&gt;='Weekly Report'!$F$4,N210&lt;='Weekly Report'!$F$5),ROW(),"")</f>
        <v/>
      </c>
      <c r="AA210" s="88" t="str">
        <f aca="false">IF(AND(AND(Q210&lt;&gt;"",Q210&gt;='Weekly Report'!$F$4,Q210&lt;='Weekly Report'!$F$5),AND(F210&lt;&gt;"",K210&lt;&gt;"Completed",K210&lt;&gt;"Cancelled")),ROW(),"")</f>
        <v/>
      </c>
      <c r="AB210" s="88" t="str">
        <f aca="false">IF(AND(F210&lt;&gt;"",K210="In Progress"),ROW(),"")</f>
        <v/>
      </c>
      <c r="AC210" s="88" t="str">
        <f aca="false">IF(AND(AND(F210&lt;&gt;"",K210&lt;&gt;"Completed",K210&lt;&gt;"Cancelled"),OR(K210="Blocked",S210&lt;&gt;"")),ROW(),"")</f>
        <v/>
      </c>
      <c r="AD210" s="88" t="str">
        <f aca="false">IF(AND(AND(F210&lt;&gt;"",K210&lt;&gt;"Completed",K210&lt;&gt;"Cancelled"),OR(P210="Yes",AND(M210&lt;&gt;"",M210&lt;='Weekly Report'!$F$7),AND(L210&lt;&gt;"",L210&gt;='Weekly Report'!$F$6,L210&lt;='Weekly Report'!$F$7))),ROW(),"")</f>
        <v/>
      </c>
    </row>
    <row r="211" customFormat="false" ht="15" hidden="false" customHeight="false" outlineLevel="0" collapsed="false">
      <c r="A211" s="56" t="s">
        <v>1692</v>
      </c>
      <c r="B211" s="63"/>
      <c r="C211" s="61"/>
      <c r="D211" s="61"/>
      <c r="E211" s="61"/>
      <c r="F211" s="60"/>
      <c r="G211" s="61"/>
      <c r="H211" s="61"/>
      <c r="I211" s="61"/>
      <c r="J211" s="61"/>
      <c r="K211" s="61"/>
      <c r="L211" s="63"/>
      <c r="M211" s="63"/>
      <c r="N211" s="63"/>
      <c r="O211" s="94"/>
      <c r="P211" s="61"/>
      <c r="Q211" s="63"/>
      <c r="R211" s="60"/>
      <c r="S211" s="60"/>
      <c r="T211" s="63"/>
      <c r="U211" s="60"/>
      <c r="V211" s="60"/>
      <c r="W211" s="87" t="str">
        <f aca="true">IF(B211="","",IF(N211&lt;&gt;"",N211-B211,TODAY()-B211))</f>
        <v/>
      </c>
      <c r="X211" s="62" t="str">
        <f aca="true">IF(OR(M211="",K211="Completed",K211="Cancelled"),"",IF(M211&lt;TODAY(),"OVERDUE",IF(M211-TODAY()&lt;=7,"Due ≤7d","On Schedule")))</f>
        <v/>
      </c>
      <c r="Y211" s="60"/>
      <c r="Z211" s="88" t="str">
        <f aca="false">IF(AND(N211&lt;&gt;"",N211&gt;='Weekly Report'!$F$4,N211&lt;='Weekly Report'!$F$5),ROW(),"")</f>
        <v/>
      </c>
      <c r="AA211" s="88" t="str">
        <f aca="false">IF(AND(AND(Q211&lt;&gt;"",Q211&gt;='Weekly Report'!$F$4,Q211&lt;='Weekly Report'!$F$5),AND(F211&lt;&gt;"",K211&lt;&gt;"Completed",K211&lt;&gt;"Cancelled")),ROW(),"")</f>
        <v/>
      </c>
      <c r="AB211" s="88" t="str">
        <f aca="false">IF(AND(F211&lt;&gt;"",K211="In Progress"),ROW(),"")</f>
        <v/>
      </c>
      <c r="AC211" s="88" t="str">
        <f aca="false">IF(AND(AND(F211&lt;&gt;"",K211&lt;&gt;"Completed",K211&lt;&gt;"Cancelled"),OR(K211="Blocked",S211&lt;&gt;"")),ROW(),"")</f>
        <v/>
      </c>
      <c r="AD211" s="88" t="str">
        <f aca="false">IF(AND(AND(F211&lt;&gt;"",K211&lt;&gt;"Completed",K211&lt;&gt;"Cancelled"),OR(P211="Yes",AND(M211&lt;&gt;"",M211&lt;='Weekly Report'!$F$7),AND(L211&lt;&gt;"",L211&gt;='Weekly Report'!$F$6,L211&lt;='Weekly Report'!$F$7))),ROW(),"")</f>
        <v/>
      </c>
    </row>
    <row r="212" customFormat="false" ht="15" hidden="false" customHeight="false" outlineLevel="0" collapsed="false">
      <c r="A212" s="56" t="s">
        <v>1693</v>
      </c>
      <c r="B212" s="63"/>
      <c r="C212" s="61"/>
      <c r="D212" s="61"/>
      <c r="E212" s="61"/>
      <c r="F212" s="60"/>
      <c r="G212" s="61"/>
      <c r="H212" s="61"/>
      <c r="I212" s="61"/>
      <c r="J212" s="61"/>
      <c r="K212" s="61"/>
      <c r="L212" s="63"/>
      <c r="M212" s="63"/>
      <c r="N212" s="63"/>
      <c r="O212" s="94"/>
      <c r="P212" s="61"/>
      <c r="Q212" s="63"/>
      <c r="R212" s="60"/>
      <c r="S212" s="60"/>
      <c r="T212" s="63"/>
      <c r="U212" s="60"/>
      <c r="V212" s="60"/>
      <c r="W212" s="87" t="str">
        <f aca="true">IF(B212="","",IF(N212&lt;&gt;"",N212-B212,TODAY()-B212))</f>
        <v/>
      </c>
      <c r="X212" s="62" t="str">
        <f aca="true">IF(OR(M212="",K212="Completed",K212="Cancelled"),"",IF(M212&lt;TODAY(),"OVERDUE",IF(M212-TODAY()&lt;=7,"Due ≤7d","On Schedule")))</f>
        <v/>
      </c>
      <c r="Y212" s="60"/>
      <c r="Z212" s="88" t="str">
        <f aca="false">IF(AND(N212&lt;&gt;"",N212&gt;='Weekly Report'!$F$4,N212&lt;='Weekly Report'!$F$5),ROW(),"")</f>
        <v/>
      </c>
      <c r="AA212" s="88" t="str">
        <f aca="false">IF(AND(AND(Q212&lt;&gt;"",Q212&gt;='Weekly Report'!$F$4,Q212&lt;='Weekly Report'!$F$5),AND(F212&lt;&gt;"",K212&lt;&gt;"Completed",K212&lt;&gt;"Cancelled")),ROW(),"")</f>
        <v/>
      </c>
      <c r="AB212" s="88" t="str">
        <f aca="false">IF(AND(F212&lt;&gt;"",K212="In Progress"),ROW(),"")</f>
        <v/>
      </c>
      <c r="AC212" s="88" t="str">
        <f aca="false">IF(AND(AND(F212&lt;&gt;"",K212&lt;&gt;"Completed",K212&lt;&gt;"Cancelled"),OR(K212="Blocked",S212&lt;&gt;"")),ROW(),"")</f>
        <v/>
      </c>
      <c r="AD212" s="88" t="str">
        <f aca="false">IF(AND(AND(F212&lt;&gt;"",K212&lt;&gt;"Completed",K212&lt;&gt;"Cancelled"),OR(P212="Yes",AND(M212&lt;&gt;"",M212&lt;='Weekly Report'!$F$7),AND(L212&lt;&gt;"",L212&gt;='Weekly Report'!$F$6,L212&lt;='Weekly Report'!$F$7))),ROW(),"")</f>
        <v/>
      </c>
    </row>
    <row r="213" customFormat="false" ht="15" hidden="false" customHeight="false" outlineLevel="0" collapsed="false">
      <c r="A213" s="56" t="s">
        <v>1694</v>
      </c>
      <c r="B213" s="63"/>
      <c r="C213" s="61"/>
      <c r="D213" s="61"/>
      <c r="E213" s="61"/>
      <c r="F213" s="60"/>
      <c r="G213" s="61"/>
      <c r="H213" s="61"/>
      <c r="I213" s="61"/>
      <c r="J213" s="61"/>
      <c r="K213" s="61"/>
      <c r="L213" s="63"/>
      <c r="M213" s="63"/>
      <c r="N213" s="63"/>
      <c r="O213" s="94"/>
      <c r="P213" s="61"/>
      <c r="Q213" s="63"/>
      <c r="R213" s="60"/>
      <c r="S213" s="60"/>
      <c r="T213" s="63"/>
      <c r="U213" s="60"/>
      <c r="V213" s="60"/>
      <c r="W213" s="87" t="str">
        <f aca="true">IF(B213="","",IF(N213&lt;&gt;"",N213-B213,TODAY()-B213))</f>
        <v/>
      </c>
      <c r="X213" s="62" t="str">
        <f aca="true">IF(OR(M213="",K213="Completed",K213="Cancelled"),"",IF(M213&lt;TODAY(),"OVERDUE",IF(M213-TODAY()&lt;=7,"Due ≤7d","On Schedule")))</f>
        <v/>
      </c>
      <c r="Y213" s="60"/>
      <c r="Z213" s="88" t="str">
        <f aca="false">IF(AND(N213&lt;&gt;"",N213&gt;='Weekly Report'!$F$4,N213&lt;='Weekly Report'!$F$5),ROW(),"")</f>
        <v/>
      </c>
      <c r="AA213" s="88" t="str">
        <f aca="false">IF(AND(AND(Q213&lt;&gt;"",Q213&gt;='Weekly Report'!$F$4,Q213&lt;='Weekly Report'!$F$5),AND(F213&lt;&gt;"",K213&lt;&gt;"Completed",K213&lt;&gt;"Cancelled")),ROW(),"")</f>
        <v/>
      </c>
      <c r="AB213" s="88" t="str">
        <f aca="false">IF(AND(F213&lt;&gt;"",K213="In Progress"),ROW(),"")</f>
        <v/>
      </c>
      <c r="AC213" s="88" t="str">
        <f aca="false">IF(AND(AND(F213&lt;&gt;"",K213&lt;&gt;"Completed",K213&lt;&gt;"Cancelled"),OR(K213="Blocked",S213&lt;&gt;"")),ROW(),"")</f>
        <v/>
      </c>
      <c r="AD213" s="88" t="str">
        <f aca="false">IF(AND(AND(F213&lt;&gt;"",K213&lt;&gt;"Completed",K213&lt;&gt;"Cancelled"),OR(P213="Yes",AND(M213&lt;&gt;"",M213&lt;='Weekly Report'!$F$7),AND(L213&lt;&gt;"",L213&gt;='Weekly Report'!$F$6,L213&lt;='Weekly Report'!$F$7))),ROW(),"")</f>
        <v/>
      </c>
    </row>
    <row r="214" customFormat="false" ht="15" hidden="false" customHeight="false" outlineLevel="0" collapsed="false">
      <c r="A214" s="56" t="s">
        <v>1695</v>
      </c>
      <c r="B214" s="63"/>
      <c r="C214" s="61"/>
      <c r="D214" s="61"/>
      <c r="E214" s="61"/>
      <c r="F214" s="60"/>
      <c r="G214" s="61"/>
      <c r="H214" s="61"/>
      <c r="I214" s="61"/>
      <c r="J214" s="61"/>
      <c r="K214" s="61"/>
      <c r="L214" s="63"/>
      <c r="M214" s="63"/>
      <c r="N214" s="63"/>
      <c r="O214" s="94"/>
      <c r="P214" s="61"/>
      <c r="Q214" s="63"/>
      <c r="R214" s="60"/>
      <c r="S214" s="60"/>
      <c r="T214" s="63"/>
      <c r="U214" s="60"/>
      <c r="V214" s="60"/>
      <c r="W214" s="87" t="str">
        <f aca="true">IF(B214="","",IF(N214&lt;&gt;"",N214-B214,TODAY()-B214))</f>
        <v/>
      </c>
      <c r="X214" s="62" t="str">
        <f aca="true">IF(OR(M214="",K214="Completed",K214="Cancelled"),"",IF(M214&lt;TODAY(),"OVERDUE",IF(M214-TODAY()&lt;=7,"Due ≤7d","On Schedule")))</f>
        <v/>
      </c>
      <c r="Y214" s="60"/>
      <c r="Z214" s="88" t="str">
        <f aca="false">IF(AND(N214&lt;&gt;"",N214&gt;='Weekly Report'!$F$4,N214&lt;='Weekly Report'!$F$5),ROW(),"")</f>
        <v/>
      </c>
      <c r="AA214" s="88" t="str">
        <f aca="false">IF(AND(AND(Q214&lt;&gt;"",Q214&gt;='Weekly Report'!$F$4,Q214&lt;='Weekly Report'!$F$5),AND(F214&lt;&gt;"",K214&lt;&gt;"Completed",K214&lt;&gt;"Cancelled")),ROW(),"")</f>
        <v/>
      </c>
      <c r="AB214" s="88" t="str">
        <f aca="false">IF(AND(F214&lt;&gt;"",K214="In Progress"),ROW(),"")</f>
        <v/>
      </c>
      <c r="AC214" s="88" t="str">
        <f aca="false">IF(AND(AND(F214&lt;&gt;"",K214&lt;&gt;"Completed",K214&lt;&gt;"Cancelled"),OR(K214="Blocked",S214&lt;&gt;"")),ROW(),"")</f>
        <v/>
      </c>
      <c r="AD214" s="88" t="str">
        <f aca="false">IF(AND(AND(F214&lt;&gt;"",K214&lt;&gt;"Completed",K214&lt;&gt;"Cancelled"),OR(P214="Yes",AND(M214&lt;&gt;"",M214&lt;='Weekly Report'!$F$7),AND(L214&lt;&gt;"",L214&gt;='Weekly Report'!$F$6,L214&lt;='Weekly Report'!$F$7))),ROW(),"")</f>
        <v/>
      </c>
    </row>
    <row r="215" customFormat="false" ht="15" hidden="false" customHeight="false" outlineLevel="0" collapsed="false">
      <c r="A215" s="56" t="s">
        <v>1696</v>
      </c>
      <c r="B215" s="63"/>
      <c r="C215" s="61"/>
      <c r="D215" s="61"/>
      <c r="E215" s="61"/>
      <c r="F215" s="60"/>
      <c r="G215" s="61"/>
      <c r="H215" s="61"/>
      <c r="I215" s="61"/>
      <c r="J215" s="61"/>
      <c r="K215" s="61"/>
      <c r="L215" s="63"/>
      <c r="M215" s="63"/>
      <c r="N215" s="63"/>
      <c r="O215" s="94"/>
      <c r="P215" s="61"/>
      <c r="Q215" s="63"/>
      <c r="R215" s="60"/>
      <c r="S215" s="60"/>
      <c r="T215" s="63"/>
      <c r="U215" s="60"/>
      <c r="V215" s="60"/>
      <c r="W215" s="87" t="str">
        <f aca="true">IF(B215="","",IF(N215&lt;&gt;"",N215-B215,TODAY()-B215))</f>
        <v/>
      </c>
      <c r="X215" s="62" t="str">
        <f aca="true">IF(OR(M215="",K215="Completed",K215="Cancelled"),"",IF(M215&lt;TODAY(),"OVERDUE",IF(M215-TODAY()&lt;=7,"Due ≤7d","On Schedule")))</f>
        <v/>
      </c>
      <c r="Y215" s="60"/>
      <c r="Z215" s="88" t="str">
        <f aca="false">IF(AND(N215&lt;&gt;"",N215&gt;='Weekly Report'!$F$4,N215&lt;='Weekly Report'!$F$5),ROW(),"")</f>
        <v/>
      </c>
      <c r="AA215" s="88" t="str">
        <f aca="false">IF(AND(AND(Q215&lt;&gt;"",Q215&gt;='Weekly Report'!$F$4,Q215&lt;='Weekly Report'!$F$5),AND(F215&lt;&gt;"",K215&lt;&gt;"Completed",K215&lt;&gt;"Cancelled")),ROW(),"")</f>
        <v/>
      </c>
      <c r="AB215" s="88" t="str">
        <f aca="false">IF(AND(F215&lt;&gt;"",K215="In Progress"),ROW(),"")</f>
        <v/>
      </c>
      <c r="AC215" s="88" t="str">
        <f aca="false">IF(AND(AND(F215&lt;&gt;"",K215&lt;&gt;"Completed",K215&lt;&gt;"Cancelled"),OR(K215="Blocked",S215&lt;&gt;"")),ROW(),"")</f>
        <v/>
      </c>
      <c r="AD215" s="88" t="str">
        <f aca="false">IF(AND(AND(F215&lt;&gt;"",K215&lt;&gt;"Completed",K215&lt;&gt;"Cancelled"),OR(P215="Yes",AND(M215&lt;&gt;"",M215&lt;='Weekly Report'!$F$7),AND(L215&lt;&gt;"",L215&gt;='Weekly Report'!$F$6,L215&lt;='Weekly Report'!$F$7))),ROW(),"")</f>
        <v/>
      </c>
    </row>
    <row r="216" customFormat="false" ht="15" hidden="false" customHeight="false" outlineLevel="0" collapsed="false">
      <c r="A216" s="56" t="s">
        <v>1697</v>
      </c>
      <c r="B216" s="63"/>
      <c r="C216" s="61"/>
      <c r="D216" s="61"/>
      <c r="E216" s="61"/>
      <c r="F216" s="60"/>
      <c r="G216" s="61"/>
      <c r="H216" s="61"/>
      <c r="I216" s="61"/>
      <c r="J216" s="61"/>
      <c r="K216" s="61"/>
      <c r="L216" s="63"/>
      <c r="M216" s="63"/>
      <c r="N216" s="63"/>
      <c r="O216" s="94"/>
      <c r="P216" s="61"/>
      <c r="Q216" s="63"/>
      <c r="R216" s="60"/>
      <c r="S216" s="60"/>
      <c r="T216" s="63"/>
      <c r="U216" s="60"/>
      <c r="V216" s="60"/>
      <c r="W216" s="87" t="str">
        <f aca="true">IF(B216="","",IF(N216&lt;&gt;"",N216-B216,TODAY()-B216))</f>
        <v/>
      </c>
      <c r="X216" s="62" t="str">
        <f aca="true">IF(OR(M216="",K216="Completed",K216="Cancelled"),"",IF(M216&lt;TODAY(),"OVERDUE",IF(M216-TODAY()&lt;=7,"Due ≤7d","On Schedule")))</f>
        <v/>
      </c>
      <c r="Y216" s="60"/>
      <c r="Z216" s="88" t="str">
        <f aca="false">IF(AND(N216&lt;&gt;"",N216&gt;='Weekly Report'!$F$4,N216&lt;='Weekly Report'!$F$5),ROW(),"")</f>
        <v/>
      </c>
      <c r="AA216" s="88" t="str">
        <f aca="false">IF(AND(AND(Q216&lt;&gt;"",Q216&gt;='Weekly Report'!$F$4,Q216&lt;='Weekly Report'!$F$5),AND(F216&lt;&gt;"",K216&lt;&gt;"Completed",K216&lt;&gt;"Cancelled")),ROW(),"")</f>
        <v/>
      </c>
      <c r="AB216" s="88" t="str">
        <f aca="false">IF(AND(F216&lt;&gt;"",K216="In Progress"),ROW(),"")</f>
        <v/>
      </c>
      <c r="AC216" s="88" t="str">
        <f aca="false">IF(AND(AND(F216&lt;&gt;"",K216&lt;&gt;"Completed",K216&lt;&gt;"Cancelled"),OR(K216="Blocked",S216&lt;&gt;"")),ROW(),"")</f>
        <v/>
      </c>
      <c r="AD216" s="88" t="str">
        <f aca="false">IF(AND(AND(F216&lt;&gt;"",K216&lt;&gt;"Completed",K216&lt;&gt;"Cancelled"),OR(P216="Yes",AND(M216&lt;&gt;"",M216&lt;='Weekly Report'!$F$7),AND(L216&lt;&gt;"",L216&gt;='Weekly Report'!$F$6,L216&lt;='Weekly Report'!$F$7))),ROW(),"")</f>
        <v/>
      </c>
    </row>
    <row r="217" customFormat="false" ht="15" hidden="false" customHeight="false" outlineLevel="0" collapsed="false">
      <c r="A217" s="56" t="s">
        <v>1698</v>
      </c>
      <c r="B217" s="63"/>
      <c r="C217" s="61"/>
      <c r="D217" s="61"/>
      <c r="E217" s="61"/>
      <c r="F217" s="60"/>
      <c r="G217" s="61"/>
      <c r="H217" s="61"/>
      <c r="I217" s="61"/>
      <c r="J217" s="61"/>
      <c r="K217" s="61"/>
      <c r="L217" s="63"/>
      <c r="M217" s="63"/>
      <c r="N217" s="63"/>
      <c r="O217" s="94"/>
      <c r="P217" s="61"/>
      <c r="Q217" s="63"/>
      <c r="R217" s="60"/>
      <c r="S217" s="60"/>
      <c r="T217" s="63"/>
      <c r="U217" s="60"/>
      <c r="V217" s="60"/>
      <c r="W217" s="87" t="str">
        <f aca="true">IF(B217="","",IF(N217&lt;&gt;"",N217-B217,TODAY()-B217))</f>
        <v/>
      </c>
      <c r="X217" s="62" t="str">
        <f aca="true">IF(OR(M217="",K217="Completed",K217="Cancelled"),"",IF(M217&lt;TODAY(),"OVERDUE",IF(M217-TODAY()&lt;=7,"Due ≤7d","On Schedule")))</f>
        <v/>
      </c>
      <c r="Y217" s="60"/>
      <c r="Z217" s="88" t="str">
        <f aca="false">IF(AND(N217&lt;&gt;"",N217&gt;='Weekly Report'!$F$4,N217&lt;='Weekly Report'!$F$5),ROW(),"")</f>
        <v/>
      </c>
      <c r="AA217" s="88" t="str">
        <f aca="false">IF(AND(AND(Q217&lt;&gt;"",Q217&gt;='Weekly Report'!$F$4,Q217&lt;='Weekly Report'!$F$5),AND(F217&lt;&gt;"",K217&lt;&gt;"Completed",K217&lt;&gt;"Cancelled")),ROW(),"")</f>
        <v/>
      </c>
      <c r="AB217" s="88" t="str">
        <f aca="false">IF(AND(F217&lt;&gt;"",K217="In Progress"),ROW(),"")</f>
        <v/>
      </c>
      <c r="AC217" s="88" t="str">
        <f aca="false">IF(AND(AND(F217&lt;&gt;"",K217&lt;&gt;"Completed",K217&lt;&gt;"Cancelled"),OR(K217="Blocked",S217&lt;&gt;"")),ROW(),"")</f>
        <v/>
      </c>
      <c r="AD217" s="88" t="str">
        <f aca="false">IF(AND(AND(F217&lt;&gt;"",K217&lt;&gt;"Completed",K217&lt;&gt;"Cancelled"),OR(P217="Yes",AND(M217&lt;&gt;"",M217&lt;='Weekly Report'!$F$7),AND(L217&lt;&gt;"",L217&gt;='Weekly Report'!$F$6,L217&lt;='Weekly Report'!$F$7))),ROW(),"")</f>
        <v/>
      </c>
    </row>
    <row r="218" customFormat="false" ht="15" hidden="false" customHeight="false" outlineLevel="0" collapsed="false">
      <c r="A218" s="56" t="s">
        <v>1699</v>
      </c>
      <c r="B218" s="63"/>
      <c r="C218" s="61"/>
      <c r="D218" s="61"/>
      <c r="E218" s="61"/>
      <c r="F218" s="60"/>
      <c r="G218" s="61"/>
      <c r="H218" s="61"/>
      <c r="I218" s="61"/>
      <c r="J218" s="61"/>
      <c r="K218" s="61"/>
      <c r="L218" s="63"/>
      <c r="M218" s="63"/>
      <c r="N218" s="63"/>
      <c r="O218" s="94"/>
      <c r="P218" s="61"/>
      <c r="Q218" s="63"/>
      <c r="R218" s="60"/>
      <c r="S218" s="60"/>
      <c r="T218" s="63"/>
      <c r="U218" s="60"/>
      <c r="V218" s="60"/>
      <c r="W218" s="87" t="str">
        <f aca="true">IF(B218="","",IF(N218&lt;&gt;"",N218-B218,TODAY()-B218))</f>
        <v/>
      </c>
      <c r="X218" s="62" t="str">
        <f aca="true">IF(OR(M218="",K218="Completed",K218="Cancelled"),"",IF(M218&lt;TODAY(),"OVERDUE",IF(M218-TODAY()&lt;=7,"Due ≤7d","On Schedule")))</f>
        <v/>
      </c>
      <c r="Y218" s="60"/>
      <c r="Z218" s="88" t="str">
        <f aca="false">IF(AND(N218&lt;&gt;"",N218&gt;='Weekly Report'!$F$4,N218&lt;='Weekly Report'!$F$5),ROW(),"")</f>
        <v/>
      </c>
      <c r="AA218" s="88" t="str">
        <f aca="false">IF(AND(AND(Q218&lt;&gt;"",Q218&gt;='Weekly Report'!$F$4,Q218&lt;='Weekly Report'!$F$5),AND(F218&lt;&gt;"",K218&lt;&gt;"Completed",K218&lt;&gt;"Cancelled")),ROW(),"")</f>
        <v/>
      </c>
      <c r="AB218" s="88" t="str">
        <f aca="false">IF(AND(F218&lt;&gt;"",K218="In Progress"),ROW(),"")</f>
        <v/>
      </c>
      <c r="AC218" s="88" t="str">
        <f aca="false">IF(AND(AND(F218&lt;&gt;"",K218&lt;&gt;"Completed",K218&lt;&gt;"Cancelled"),OR(K218="Blocked",S218&lt;&gt;"")),ROW(),"")</f>
        <v/>
      </c>
      <c r="AD218" s="88" t="str">
        <f aca="false">IF(AND(AND(F218&lt;&gt;"",K218&lt;&gt;"Completed",K218&lt;&gt;"Cancelled"),OR(P218="Yes",AND(M218&lt;&gt;"",M218&lt;='Weekly Report'!$F$7),AND(L218&lt;&gt;"",L218&gt;='Weekly Report'!$F$6,L218&lt;='Weekly Report'!$F$7))),ROW(),"")</f>
        <v/>
      </c>
    </row>
    <row r="219" customFormat="false" ht="15" hidden="false" customHeight="false" outlineLevel="0" collapsed="false">
      <c r="A219" s="56" t="s">
        <v>1700</v>
      </c>
      <c r="B219" s="63"/>
      <c r="C219" s="61"/>
      <c r="D219" s="61"/>
      <c r="E219" s="61"/>
      <c r="F219" s="60"/>
      <c r="G219" s="61"/>
      <c r="H219" s="61"/>
      <c r="I219" s="61"/>
      <c r="J219" s="61"/>
      <c r="K219" s="61"/>
      <c r="L219" s="63"/>
      <c r="M219" s="63"/>
      <c r="N219" s="63"/>
      <c r="O219" s="94"/>
      <c r="P219" s="61"/>
      <c r="Q219" s="63"/>
      <c r="R219" s="60"/>
      <c r="S219" s="60"/>
      <c r="T219" s="63"/>
      <c r="U219" s="60"/>
      <c r="V219" s="60"/>
      <c r="W219" s="87" t="str">
        <f aca="true">IF(B219="","",IF(N219&lt;&gt;"",N219-B219,TODAY()-B219))</f>
        <v/>
      </c>
      <c r="X219" s="62" t="str">
        <f aca="true">IF(OR(M219="",K219="Completed",K219="Cancelled"),"",IF(M219&lt;TODAY(),"OVERDUE",IF(M219-TODAY()&lt;=7,"Due ≤7d","On Schedule")))</f>
        <v/>
      </c>
      <c r="Y219" s="60"/>
      <c r="Z219" s="88" t="str">
        <f aca="false">IF(AND(N219&lt;&gt;"",N219&gt;='Weekly Report'!$F$4,N219&lt;='Weekly Report'!$F$5),ROW(),"")</f>
        <v/>
      </c>
      <c r="AA219" s="88" t="str">
        <f aca="false">IF(AND(AND(Q219&lt;&gt;"",Q219&gt;='Weekly Report'!$F$4,Q219&lt;='Weekly Report'!$F$5),AND(F219&lt;&gt;"",K219&lt;&gt;"Completed",K219&lt;&gt;"Cancelled")),ROW(),"")</f>
        <v/>
      </c>
      <c r="AB219" s="88" t="str">
        <f aca="false">IF(AND(F219&lt;&gt;"",K219="In Progress"),ROW(),"")</f>
        <v/>
      </c>
      <c r="AC219" s="88" t="str">
        <f aca="false">IF(AND(AND(F219&lt;&gt;"",K219&lt;&gt;"Completed",K219&lt;&gt;"Cancelled"),OR(K219="Blocked",S219&lt;&gt;"")),ROW(),"")</f>
        <v/>
      </c>
      <c r="AD219" s="88" t="str">
        <f aca="false">IF(AND(AND(F219&lt;&gt;"",K219&lt;&gt;"Completed",K219&lt;&gt;"Cancelled"),OR(P219="Yes",AND(M219&lt;&gt;"",M219&lt;='Weekly Report'!$F$7),AND(L219&lt;&gt;"",L219&gt;='Weekly Report'!$F$6,L219&lt;='Weekly Report'!$F$7))),ROW(),"")</f>
        <v/>
      </c>
    </row>
    <row r="220" customFormat="false" ht="15" hidden="false" customHeight="false" outlineLevel="0" collapsed="false">
      <c r="A220" s="56" t="s">
        <v>1701</v>
      </c>
      <c r="B220" s="63"/>
      <c r="C220" s="61"/>
      <c r="D220" s="61"/>
      <c r="E220" s="61"/>
      <c r="F220" s="60"/>
      <c r="G220" s="61"/>
      <c r="H220" s="61"/>
      <c r="I220" s="61"/>
      <c r="J220" s="61"/>
      <c r="K220" s="61"/>
      <c r="L220" s="63"/>
      <c r="M220" s="63"/>
      <c r="N220" s="63"/>
      <c r="O220" s="94"/>
      <c r="P220" s="61"/>
      <c r="Q220" s="63"/>
      <c r="R220" s="60"/>
      <c r="S220" s="60"/>
      <c r="T220" s="63"/>
      <c r="U220" s="60"/>
      <c r="V220" s="60"/>
      <c r="W220" s="87" t="str">
        <f aca="true">IF(B220="","",IF(N220&lt;&gt;"",N220-B220,TODAY()-B220))</f>
        <v/>
      </c>
      <c r="X220" s="62" t="str">
        <f aca="true">IF(OR(M220="",K220="Completed",K220="Cancelled"),"",IF(M220&lt;TODAY(),"OVERDUE",IF(M220-TODAY()&lt;=7,"Due ≤7d","On Schedule")))</f>
        <v/>
      </c>
      <c r="Y220" s="60"/>
      <c r="Z220" s="88" t="str">
        <f aca="false">IF(AND(N220&lt;&gt;"",N220&gt;='Weekly Report'!$F$4,N220&lt;='Weekly Report'!$F$5),ROW(),"")</f>
        <v/>
      </c>
      <c r="AA220" s="88" t="str">
        <f aca="false">IF(AND(AND(Q220&lt;&gt;"",Q220&gt;='Weekly Report'!$F$4,Q220&lt;='Weekly Report'!$F$5),AND(F220&lt;&gt;"",K220&lt;&gt;"Completed",K220&lt;&gt;"Cancelled")),ROW(),"")</f>
        <v/>
      </c>
      <c r="AB220" s="88" t="str">
        <f aca="false">IF(AND(F220&lt;&gt;"",K220="In Progress"),ROW(),"")</f>
        <v/>
      </c>
      <c r="AC220" s="88" t="str">
        <f aca="false">IF(AND(AND(F220&lt;&gt;"",K220&lt;&gt;"Completed",K220&lt;&gt;"Cancelled"),OR(K220="Blocked",S220&lt;&gt;"")),ROW(),"")</f>
        <v/>
      </c>
      <c r="AD220" s="88" t="str">
        <f aca="false">IF(AND(AND(F220&lt;&gt;"",K220&lt;&gt;"Completed",K220&lt;&gt;"Cancelled"),OR(P220="Yes",AND(M220&lt;&gt;"",M220&lt;='Weekly Report'!$F$7),AND(L220&lt;&gt;"",L220&gt;='Weekly Report'!$F$6,L220&lt;='Weekly Report'!$F$7))),ROW(),"")</f>
        <v/>
      </c>
    </row>
    <row r="221" customFormat="false" ht="15" hidden="false" customHeight="false" outlineLevel="0" collapsed="false">
      <c r="A221" s="56" t="s">
        <v>1702</v>
      </c>
      <c r="B221" s="63"/>
      <c r="C221" s="61"/>
      <c r="D221" s="61"/>
      <c r="E221" s="61"/>
      <c r="F221" s="60"/>
      <c r="G221" s="61"/>
      <c r="H221" s="61"/>
      <c r="I221" s="61"/>
      <c r="J221" s="61"/>
      <c r="K221" s="61"/>
      <c r="L221" s="63"/>
      <c r="M221" s="63"/>
      <c r="N221" s="63"/>
      <c r="O221" s="94"/>
      <c r="P221" s="61"/>
      <c r="Q221" s="63"/>
      <c r="R221" s="60"/>
      <c r="S221" s="60"/>
      <c r="T221" s="63"/>
      <c r="U221" s="60"/>
      <c r="V221" s="60"/>
      <c r="W221" s="87" t="str">
        <f aca="true">IF(B221="","",IF(N221&lt;&gt;"",N221-B221,TODAY()-B221))</f>
        <v/>
      </c>
      <c r="X221" s="62" t="str">
        <f aca="true">IF(OR(M221="",K221="Completed",K221="Cancelled"),"",IF(M221&lt;TODAY(),"OVERDUE",IF(M221-TODAY()&lt;=7,"Due ≤7d","On Schedule")))</f>
        <v/>
      </c>
      <c r="Y221" s="60"/>
      <c r="Z221" s="88" t="str">
        <f aca="false">IF(AND(N221&lt;&gt;"",N221&gt;='Weekly Report'!$F$4,N221&lt;='Weekly Report'!$F$5),ROW(),"")</f>
        <v/>
      </c>
      <c r="AA221" s="88" t="str">
        <f aca="false">IF(AND(AND(Q221&lt;&gt;"",Q221&gt;='Weekly Report'!$F$4,Q221&lt;='Weekly Report'!$F$5),AND(F221&lt;&gt;"",K221&lt;&gt;"Completed",K221&lt;&gt;"Cancelled")),ROW(),"")</f>
        <v/>
      </c>
      <c r="AB221" s="88" t="str">
        <f aca="false">IF(AND(F221&lt;&gt;"",K221="In Progress"),ROW(),"")</f>
        <v/>
      </c>
      <c r="AC221" s="88" t="str">
        <f aca="false">IF(AND(AND(F221&lt;&gt;"",K221&lt;&gt;"Completed",K221&lt;&gt;"Cancelled"),OR(K221="Blocked",S221&lt;&gt;"")),ROW(),"")</f>
        <v/>
      </c>
      <c r="AD221" s="88" t="str">
        <f aca="false">IF(AND(AND(F221&lt;&gt;"",K221&lt;&gt;"Completed",K221&lt;&gt;"Cancelled"),OR(P221="Yes",AND(M221&lt;&gt;"",M221&lt;='Weekly Report'!$F$7),AND(L221&lt;&gt;"",L221&gt;='Weekly Report'!$F$6,L221&lt;='Weekly Report'!$F$7))),ROW(),"")</f>
        <v/>
      </c>
    </row>
    <row r="222" customFormat="false" ht="15" hidden="false" customHeight="false" outlineLevel="0" collapsed="false">
      <c r="A222" s="56" t="s">
        <v>1703</v>
      </c>
      <c r="B222" s="63"/>
      <c r="C222" s="61"/>
      <c r="D222" s="61"/>
      <c r="E222" s="61"/>
      <c r="F222" s="60"/>
      <c r="G222" s="61"/>
      <c r="H222" s="61"/>
      <c r="I222" s="61"/>
      <c r="J222" s="61"/>
      <c r="K222" s="61"/>
      <c r="L222" s="63"/>
      <c r="M222" s="63"/>
      <c r="N222" s="63"/>
      <c r="O222" s="94"/>
      <c r="P222" s="61"/>
      <c r="Q222" s="63"/>
      <c r="R222" s="60"/>
      <c r="S222" s="60"/>
      <c r="T222" s="63"/>
      <c r="U222" s="60"/>
      <c r="V222" s="60"/>
      <c r="W222" s="87" t="str">
        <f aca="true">IF(B222="","",IF(N222&lt;&gt;"",N222-B222,TODAY()-B222))</f>
        <v/>
      </c>
      <c r="X222" s="62" t="str">
        <f aca="true">IF(OR(M222="",K222="Completed",K222="Cancelled"),"",IF(M222&lt;TODAY(),"OVERDUE",IF(M222-TODAY()&lt;=7,"Due ≤7d","On Schedule")))</f>
        <v/>
      </c>
      <c r="Y222" s="60"/>
      <c r="Z222" s="88" t="str">
        <f aca="false">IF(AND(N222&lt;&gt;"",N222&gt;='Weekly Report'!$F$4,N222&lt;='Weekly Report'!$F$5),ROW(),"")</f>
        <v/>
      </c>
      <c r="AA222" s="88" t="str">
        <f aca="false">IF(AND(AND(Q222&lt;&gt;"",Q222&gt;='Weekly Report'!$F$4,Q222&lt;='Weekly Report'!$F$5),AND(F222&lt;&gt;"",K222&lt;&gt;"Completed",K222&lt;&gt;"Cancelled")),ROW(),"")</f>
        <v/>
      </c>
      <c r="AB222" s="88" t="str">
        <f aca="false">IF(AND(F222&lt;&gt;"",K222="In Progress"),ROW(),"")</f>
        <v/>
      </c>
      <c r="AC222" s="88" t="str">
        <f aca="false">IF(AND(AND(F222&lt;&gt;"",K222&lt;&gt;"Completed",K222&lt;&gt;"Cancelled"),OR(K222="Blocked",S222&lt;&gt;"")),ROW(),"")</f>
        <v/>
      </c>
      <c r="AD222" s="88" t="str">
        <f aca="false">IF(AND(AND(F222&lt;&gt;"",K222&lt;&gt;"Completed",K222&lt;&gt;"Cancelled"),OR(P222="Yes",AND(M222&lt;&gt;"",M222&lt;='Weekly Report'!$F$7),AND(L222&lt;&gt;"",L222&gt;='Weekly Report'!$F$6,L222&lt;='Weekly Report'!$F$7))),ROW(),"")</f>
        <v/>
      </c>
    </row>
    <row r="223" customFormat="false" ht="15" hidden="false" customHeight="false" outlineLevel="0" collapsed="false">
      <c r="A223" s="56" t="s">
        <v>1704</v>
      </c>
      <c r="B223" s="63"/>
      <c r="C223" s="61"/>
      <c r="D223" s="61"/>
      <c r="E223" s="61"/>
      <c r="F223" s="60"/>
      <c r="G223" s="61"/>
      <c r="H223" s="61"/>
      <c r="I223" s="61"/>
      <c r="J223" s="61"/>
      <c r="K223" s="61"/>
      <c r="L223" s="63"/>
      <c r="M223" s="63"/>
      <c r="N223" s="63"/>
      <c r="O223" s="94"/>
      <c r="P223" s="61"/>
      <c r="Q223" s="63"/>
      <c r="R223" s="60"/>
      <c r="S223" s="60"/>
      <c r="T223" s="63"/>
      <c r="U223" s="60"/>
      <c r="V223" s="60"/>
      <c r="W223" s="87" t="str">
        <f aca="true">IF(B223="","",IF(N223&lt;&gt;"",N223-B223,TODAY()-B223))</f>
        <v/>
      </c>
      <c r="X223" s="62" t="str">
        <f aca="true">IF(OR(M223="",K223="Completed",K223="Cancelled"),"",IF(M223&lt;TODAY(),"OVERDUE",IF(M223-TODAY()&lt;=7,"Due ≤7d","On Schedule")))</f>
        <v/>
      </c>
      <c r="Y223" s="60"/>
      <c r="Z223" s="88" t="str">
        <f aca="false">IF(AND(N223&lt;&gt;"",N223&gt;='Weekly Report'!$F$4,N223&lt;='Weekly Report'!$F$5),ROW(),"")</f>
        <v/>
      </c>
      <c r="AA223" s="88" t="str">
        <f aca="false">IF(AND(AND(Q223&lt;&gt;"",Q223&gt;='Weekly Report'!$F$4,Q223&lt;='Weekly Report'!$F$5),AND(F223&lt;&gt;"",K223&lt;&gt;"Completed",K223&lt;&gt;"Cancelled")),ROW(),"")</f>
        <v/>
      </c>
      <c r="AB223" s="88" t="str">
        <f aca="false">IF(AND(F223&lt;&gt;"",K223="In Progress"),ROW(),"")</f>
        <v/>
      </c>
      <c r="AC223" s="88" t="str">
        <f aca="false">IF(AND(AND(F223&lt;&gt;"",K223&lt;&gt;"Completed",K223&lt;&gt;"Cancelled"),OR(K223="Blocked",S223&lt;&gt;"")),ROW(),"")</f>
        <v/>
      </c>
      <c r="AD223" s="88" t="str">
        <f aca="false">IF(AND(AND(F223&lt;&gt;"",K223&lt;&gt;"Completed",K223&lt;&gt;"Cancelled"),OR(P223="Yes",AND(M223&lt;&gt;"",M223&lt;='Weekly Report'!$F$7),AND(L223&lt;&gt;"",L223&gt;='Weekly Report'!$F$6,L223&lt;='Weekly Report'!$F$7))),ROW(),"")</f>
        <v/>
      </c>
    </row>
    <row r="224" customFormat="false" ht="15" hidden="false" customHeight="false" outlineLevel="0" collapsed="false">
      <c r="A224" s="56" t="s">
        <v>1705</v>
      </c>
      <c r="B224" s="63"/>
      <c r="C224" s="61"/>
      <c r="D224" s="61"/>
      <c r="E224" s="61"/>
      <c r="F224" s="60"/>
      <c r="G224" s="61"/>
      <c r="H224" s="61"/>
      <c r="I224" s="61"/>
      <c r="J224" s="61"/>
      <c r="K224" s="61"/>
      <c r="L224" s="63"/>
      <c r="M224" s="63"/>
      <c r="N224" s="63"/>
      <c r="O224" s="94"/>
      <c r="P224" s="61"/>
      <c r="Q224" s="63"/>
      <c r="R224" s="60"/>
      <c r="S224" s="60"/>
      <c r="T224" s="63"/>
      <c r="U224" s="60"/>
      <c r="V224" s="60"/>
      <c r="W224" s="87" t="str">
        <f aca="true">IF(B224="","",IF(N224&lt;&gt;"",N224-B224,TODAY()-B224))</f>
        <v/>
      </c>
      <c r="X224" s="62" t="str">
        <f aca="true">IF(OR(M224="",K224="Completed",K224="Cancelled"),"",IF(M224&lt;TODAY(),"OVERDUE",IF(M224-TODAY()&lt;=7,"Due ≤7d","On Schedule")))</f>
        <v/>
      </c>
      <c r="Y224" s="60"/>
      <c r="Z224" s="88" t="str">
        <f aca="false">IF(AND(N224&lt;&gt;"",N224&gt;='Weekly Report'!$F$4,N224&lt;='Weekly Report'!$F$5),ROW(),"")</f>
        <v/>
      </c>
      <c r="AA224" s="88" t="str">
        <f aca="false">IF(AND(AND(Q224&lt;&gt;"",Q224&gt;='Weekly Report'!$F$4,Q224&lt;='Weekly Report'!$F$5),AND(F224&lt;&gt;"",K224&lt;&gt;"Completed",K224&lt;&gt;"Cancelled")),ROW(),"")</f>
        <v/>
      </c>
      <c r="AB224" s="88" t="str">
        <f aca="false">IF(AND(F224&lt;&gt;"",K224="In Progress"),ROW(),"")</f>
        <v/>
      </c>
      <c r="AC224" s="88" t="str">
        <f aca="false">IF(AND(AND(F224&lt;&gt;"",K224&lt;&gt;"Completed",K224&lt;&gt;"Cancelled"),OR(K224="Blocked",S224&lt;&gt;"")),ROW(),"")</f>
        <v/>
      </c>
      <c r="AD224" s="88" t="str">
        <f aca="false">IF(AND(AND(F224&lt;&gt;"",K224&lt;&gt;"Completed",K224&lt;&gt;"Cancelled"),OR(P224="Yes",AND(M224&lt;&gt;"",M224&lt;='Weekly Report'!$F$7),AND(L224&lt;&gt;"",L224&gt;='Weekly Report'!$F$6,L224&lt;='Weekly Report'!$F$7))),ROW(),"")</f>
        <v/>
      </c>
    </row>
    <row r="225" customFormat="false" ht="15" hidden="false" customHeight="false" outlineLevel="0" collapsed="false">
      <c r="A225" s="56" t="s">
        <v>1706</v>
      </c>
      <c r="B225" s="63"/>
      <c r="C225" s="61"/>
      <c r="D225" s="61"/>
      <c r="E225" s="61"/>
      <c r="F225" s="60"/>
      <c r="G225" s="61"/>
      <c r="H225" s="61"/>
      <c r="I225" s="61"/>
      <c r="J225" s="61"/>
      <c r="K225" s="61"/>
      <c r="L225" s="63"/>
      <c r="M225" s="63"/>
      <c r="N225" s="63"/>
      <c r="O225" s="94"/>
      <c r="P225" s="61"/>
      <c r="Q225" s="63"/>
      <c r="R225" s="60"/>
      <c r="S225" s="60"/>
      <c r="T225" s="63"/>
      <c r="U225" s="60"/>
      <c r="V225" s="60"/>
      <c r="W225" s="87" t="str">
        <f aca="true">IF(B225="","",IF(N225&lt;&gt;"",N225-B225,TODAY()-B225))</f>
        <v/>
      </c>
      <c r="X225" s="62" t="str">
        <f aca="true">IF(OR(M225="",K225="Completed",K225="Cancelled"),"",IF(M225&lt;TODAY(),"OVERDUE",IF(M225-TODAY()&lt;=7,"Due ≤7d","On Schedule")))</f>
        <v/>
      </c>
      <c r="Y225" s="60"/>
      <c r="Z225" s="88" t="str">
        <f aca="false">IF(AND(N225&lt;&gt;"",N225&gt;='Weekly Report'!$F$4,N225&lt;='Weekly Report'!$F$5),ROW(),"")</f>
        <v/>
      </c>
      <c r="AA225" s="88" t="str">
        <f aca="false">IF(AND(AND(Q225&lt;&gt;"",Q225&gt;='Weekly Report'!$F$4,Q225&lt;='Weekly Report'!$F$5),AND(F225&lt;&gt;"",K225&lt;&gt;"Completed",K225&lt;&gt;"Cancelled")),ROW(),"")</f>
        <v/>
      </c>
      <c r="AB225" s="88" t="str">
        <f aca="false">IF(AND(F225&lt;&gt;"",K225="In Progress"),ROW(),"")</f>
        <v/>
      </c>
      <c r="AC225" s="88" t="str">
        <f aca="false">IF(AND(AND(F225&lt;&gt;"",K225&lt;&gt;"Completed",K225&lt;&gt;"Cancelled"),OR(K225="Blocked",S225&lt;&gt;"")),ROW(),"")</f>
        <v/>
      </c>
      <c r="AD225" s="88" t="str">
        <f aca="false">IF(AND(AND(F225&lt;&gt;"",K225&lt;&gt;"Completed",K225&lt;&gt;"Cancelled"),OR(P225="Yes",AND(M225&lt;&gt;"",M225&lt;='Weekly Report'!$F$7),AND(L225&lt;&gt;"",L225&gt;='Weekly Report'!$F$6,L225&lt;='Weekly Report'!$F$7))),ROW(),"")</f>
        <v/>
      </c>
    </row>
    <row r="226" customFormat="false" ht="15" hidden="false" customHeight="false" outlineLevel="0" collapsed="false">
      <c r="A226" s="56" t="s">
        <v>1707</v>
      </c>
      <c r="B226" s="63"/>
      <c r="C226" s="61"/>
      <c r="D226" s="61"/>
      <c r="E226" s="61"/>
      <c r="F226" s="60"/>
      <c r="G226" s="61"/>
      <c r="H226" s="61"/>
      <c r="I226" s="61"/>
      <c r="J226" s="61"/>
      <c r="K226" s="61"/>
      <c r="L226" s="63"/>
      <c r="M226" s="63"/>
      <c r="N226" s="63"/>
      <c r="O226" s="94"/>
      <c r="P226" s="61"/>
      <c r="Q226" s="63"/>
      <c r="R226" s="60"/>
      <c r="S226" s="60"/>
      <c r="T226" s="63"/>
      <c r="U226" s="60"/>
      <c r="V226" s="60"/>
      <c r="W226" s="87" t="str">
        <f aca="true">IF(B226="","",IF(N226&lt;&gt;"",N226-B226,TODAY()-B226))</f>
        <v/>
      </c>
      <c r="X226" s="62" t="str">
        <f aca="true">IF(OR(M226="",K226="Completed",K226="Cancelled"),"",IF(M226&lt;TODAY(),"OVERDUE",IF(M226-TODAY()&lt;=7,"Due ≤7d","On Schedule")))</f>
        <v/>
      </c>
      <c r="Y226" s="60"/>
      <c r="Z226" s="88" t="str">
        <f aca="false">IF(AND(N226&lt;&gt;"",N226&gt;='Weekly Report'!$F$4,N226&lt;='Weekly Report'!$F$5),ROW(),"")</f>
        <v/>
      </c>
      <c r="AA226" s="88" t="str">
        <f aca="false">IF(AND(AND(Q226&lt;&gt;"",Q226&gt;='Weekly Report'!$F$4,Q226&lt;='Weekly Report'!$F$5),AND(F226&lt;&gt;"",K226&lt;&gt;"Completed",K226&lt;&gt;"Cancelled")),ROW(),"")</f>
        <v/>
      </c>
      <c r="AB226" s="88" t="str">
        <f aca="false">IF(AND(F226&lt;&gt;"",K226="In Progress"),ROW(),"")</f>
        <v/>
      </c>
      <c r="AC226" s="88" t="str">
        <f aca="false">IF(AND(AND(F226&lt;&gt;"",K226&lt;&gt;"Completed",K226&lt;&gt;"Cancelled"),OR(K226="Blocked",S226&lt;&gt;"")),ROW(),"")</f>
        <v/>
      </c>
      <c r="AD226" s="88" t="str">
        <f aca="false">IF(AND(AND(F226&lt;&gt;"",K226&lt;&gt;"Completed",K226&lt;&gt;"Cancelled"),OR(P226="Yes",AND(M226&lt;&gt;"",M226&lt;='Weekly Report'!$F$7),AND(L226&lt;&gt;"",L226&gt;='Weekly Report'!$F$6,L226&lt;='Weekly Report'!$F$7))),ROW(),"")</f>
        <v/>
      </c>
    </row>
    <row r="227" customFormat="false" ht="15" hidden="false" customHeight="false" outlineLevel="0" collapsed="false">
      <c r="A227" s="56" t="s">
        <v>1708</v>
      </c>
      <c r="B227" s="63"/>
      <c r="C227" s="61"/>
      <c r="D227" s="61"/>
      <c r="E227" s="61"/>
      <c r="F227" s="60"/>
      <c r="G227" s="61"/>
      <c r="H227" s="61"/>
      <c r="I227" s="61"/>
      <c r="J227" s="61"/>
      <c r="K227" s="61"/>
      <c r="L227" s="63"/>
      <c r="M227" s="63"/>
      <c r="N227" s="63"/>
      <c r="O227" s="94"/>
      <c r="P227" s="61"/>
      <c r="Q227" s="63"/>
      <c r="R227" s="60"/>
      <c r="S227" s="60"/>
      <c r="T227" s="63"/>
      <c r="U227" s="60"/>
      <c r="V227" s="60"/>
      <c r="W227" s="87" t="str">
        <f aca="true">IF(B227="","",IF(N227&lt;&gt;"",N227-B227,TODAY()-B227))</f>
        <v/>
      </c>
      <c r="X227" s="62" t="str">
        <f aca="true">IF(OR(M227="",K227="Completed",K227="Cancelled"),"",IF(M227&lt;TODAY(),"OVERDUE",IF(M227-TODAY()&lt;=7,"Due ≤7d","On Schedule")))</f>
        <v/>
      </c>
      <c r="Y227" s="60"/>
      <c r="Z227" s="88" t="str">
        <f aca="false">IF(AND(N227&lt;&gt;"",N227&gt;='Weekly Report'!$F$4,N227&lt;='Weekly Report'!$F$5),ROW(),"")</f>
        <v/>
      </c>
      <c r="AA227" s="88" t="str">
        <f aca="false">IF(AND(AND(Q227&lt;&gt;"",Q227&gt;='Weekly Report'!$F$4,Q227&lt;='Weekly Report'!$F$5),AND(F227&lt;&gt;"",K227&lt;&gt;"Completed",K227&lt;&gt;"Cancelled")),ROW(),"")</f>
        <v/>
      </c>
      <c r="AB227" s="88" t="str">
        <f aca="false">IF(AND(F227&lt;&gt;"",K227="In Progress"),ROW(),"")</f>
        <v/>
      </c>
      <c r="AC227" s="88" t="str">
        <f aca="false">IF(AND(AND(F227&lt;&gt;"",K227&lt;&gt;"Completed",K227&lt;&gt;"Cancelled"),OR(K227="Blocked",S227&lt;&gt;"")),ROW(),"")</f>
        <v/>
      </c>
      <c r="AD227" s="88" t="str">
        <f aca="false">IF(AND(AND(F227&lt;&gt;"",K227&lt;&gt;"Completed",K227&lt;&gt;"Cancelled"),OR(P227="Yes",AND(M227&lt;&gt;"",M227&lt;='Weekly Report'!$F$7),AND(L227&lt;&gt;"",L227&gt;='Weekly Report'!$F$6,L227&lt;='Weekly Report'!$F$7))),ROW(),"")</f>
        <v/>
      </c>
    </row>
    <row r="228" customFormat="false" ht="15" hidden="false" customHeight="false" outlineLevel="0" collapsed="false">
      <c r="A228" s="56" t="s">
        <v>1709</v>
      </c>
      <c r="B228" s="63"/>
      <c r="C228" s="61"/>
      <c r="D228" s="61"/>
      <c r="E228" s="61"/>
      <c r="F228" s="60"/>
      <c r="G228" s="61"/>
      <c r="H228" s="61"/>
      <c r="I228" s="61"/>
      <c r="J228" s="61"/>
      <c r="K228" s="61"/>
      <c r="L228" s="63"/>
      <c r="M228" s="63"/>
      <c r="N228" s="63"/>
      <c r="O228" s="94"/>
      <c r="P228" s="61"/>
      <c r="Q228" s="63"/>
      <c r="R228" s="60"/>
      <c r="S228" s="60"/>
      <c r="T228" s="63"/>
      <c r="U228" s="60"/>
      <c r="V228" s="60"/>
      <c r="W228" s="87" t="str">
        <f aca="true">IF(B228="","",IF(N228&lt;&gt;"",N228-B228,TODAY()-B228))</f>
        <v/>
      </c>
      <c r="X228" s="62" t="str">
        <f aca="true">IF(OR(M228="",K228="Completed",K228="Cancelled"),"",IF(M228&lt;TODAY(),"OVERDUE",IF(M228-TODAY()&lt;=7,"Due ≤7d","On Schedule")))</f>
        <v/>
      </c>
      <c r="Y228" s="60"/>
      <c r="Z228" s="88" t="str">
        <f aca="false">IF(AND(N228&lt;&gt;"",N228&gt;='Weekly Report'!$F$4,N228&lt;='Weekly Report'!$F$5),ROW(),"")</f>
        <v/>
      </c>
      <c r="AA228" s="88" t="str">
        <f aca="false">IF(AND(AND(Q228&lt;&gt;"",Q228&gt;='Weekly Report'!$F$4,Q228&lt;='Weekly Report'!$F$5),AND(F228&lt;&gt;"",K228&lt;&gt;"Completed",K228&lt;&gt;"Cancelled")),ROW(),"")</f>
        <v/>
      </c>
      <c r="AB228" s="88" t="str">
        <f aca="false">IF(AND(F228&lt;&gt;"",K228="In Progress"),ROW(),"")</f>
        <v/>
      </c>
      <c r="AC228" s="88" t="str">
        <f aca="false">IF(AND(AND(F228&lt;&gt;"",K228&lt;&gt;"Completed",K228&lt;&gt;"Cancelled"),OR(K228="Blocked",S228&lt;&gt;"")),ROW(),"")</f>
        <v/>
      </c>
      <c r="AD228" s="88" t="str">
        <f aca="false">IF(AND(AND(F228&lt;&gt;"",K228&lt;&gt;"Completed",K228&lt;&gt;"Cancelled"),OR(P228="Yes",AND(M228&lt;&gt;"",M228&lt;='Weekly Report'!$F$7),AND(L228&lt;&gt;"",L228&gt;='Weekly Report'!$F$6,L228&lt;='Weekly Report'!$F$7))),ROW(),"")</f>
        <v/>
      </c>
    </row>
    <row r="229" customFormat="false" ht="15" hidden="false" customHeight="false" outlineLevel="0" collapsed="false">
      <c r="A229" s="56" t="s">
        <v>1710</v>
      </c>
      <c r="B229" s="63"/>
      <c r="C229" s="61"/>
      <c r="D229" s="61"/>
      <c r="E229" s="61"/>
      <c r="F229" s="60"/>
      <c r="G229" s="61"/>
      <c r="H229" s="61"/>
      <c r="I229" s="61"/>
      <c r="J229" s="61"/>
      <c r="K229" s="61"/>
      <c r="L229" s="63"/>
      <c r="M229" s="63"/>
      <c r="N229" s="63"/>
      <c r="O229" s="94"/>
      <c r="P229" s="61"/>
      <c r="Q229" s="63"/>
      <c r="R229" s="60"/>
      <c r="S229" s="60"/>
      <c r="T229" s="63"/>
      <c r="U229" s="60"/>
      <c r="V229" s="60"/>
      <c r="W229" s="87" t="str">
        <f aca="true">IF(B229="","",IF(N229&lt;&gt;"",N229-B229,TODAY()-B229))</f>
        <v/>
      </c>
      <c r="X229" s="62" t="str">
        <f aca="true">IF(OR(M229="",K229="Completed",K229="Cancelled"),"",IF(M229&lt;TODAY(),"OVERDUE",IF(M229-TODAY()&lt;=7,"Due ≤7d","On Schedule")))</f>
        <v/>
      </c>
      <c r="Y229" s="60"/>
      <c r="Z229" s="88" t="str">
        <f aca="false">IF(AND(N229&lt;&gt;"",N229&gt;='Weekly Report'!$F$4,N229&lt;='Weekly Report'!$F$5),ROW(),"")</f>
        <v/>
      </c>
      <c r="AA229" s="88" t="str">
        <f aca="false">IF(AND(AND(Q229&lt;&gt;"",Q229&gt;='Weekly Report'!$F$4,Q229&lt;='Weekly Report'!$F$5),AND(F229&lt;&gt;"",K229&lt;&gt;"Completed",K229&lt;&gt;"Cancelled")),ROW(),"")</f>
        <v/>
      </c>
      <c r="AB229" s="88" t="str">
        <f aca="false">IF(AND(F229&lt;&gt;"",K229="In Progress"),ROW(),"")</f>
        <v/>
      </c>
      <c r="AC229" s="88" t="str">
        <f aca="false">IF(AND(AND(F229&lt;&gt;"",K229&lt;&gt;"Completed",K229&lt;&gt;"Cancelled"),OR(K229="Blocked",S229&lt;&gt;"")),ROW(),"")</f>
        <v/>
      </c>
      <c r="AD229" s="88" t="str">
        <f aca="false">IF(AND(AND(F229&lt;&gt;"",K229&lt;&gt;"Completed",K229&lt;&gt;"Cancelled"),OR(P229="Yes",AND(M229&lt;&gt;"",M229&lt;='Weekly Report'!$F$7),AND(L229&lt;&gt;"",L229&gt;='Weekly Report'!$F$6,L229&lt;='Weekly Report'!$F$7))),ROW(),"")</f>
        <v/>
      </c>
    </row>
    <row r="230" customFormat="false" ht="15" hidden="false" customHeight="false" outlineLevel="0" collapsed="false">
      <c r="A230" s="56" t="s">
        <v>1711</v>
      </c>
      <c r="B230" s="63"/>
      <c r="C230" s="61"/>
      <c r="D230" s="61"/>
      <c r="E230" s="61"/>
      <c r="F230" s="60"/>
      <c r="G230" s="61"/>
      <c r="H230" s="61"/>
      <c r="I230" s="61"/>
      <c r="J230" s="61"/>
      <c r="K230" s="61"/>
      <c r="L230" s="63"/>
      <c r="M230" s="63"/>
      <c r="N230" s="63"/>
      <c r="O230" s="94"/>
      <c r="P230" s="61"/>
      <c r="Q230" s="63"/>
      <c r="R230" s="60"/>
      <c r="S230" s="60"/>
      <c r="T230" s="63"/>
      <c r="U230" s="60"/>
      <c r="V230" s="60"/>
      <c r="W230" s="87" t="str">
        <f aca="true">IF(B230="","",IF(N230&lt;&gt;"",N230-B230,TODAY()-B230))</f>
        <v/>
      </c>
      <c r="X230" s="62" t="str">
        <f aca="true">IF(OR(M230="",K230="Completed",K230="Cancelled"),"",IF(M230&lt;TODAY(),"OVERDUE",IF(M230-TODAY()&lt;=7,"Due ≤7d","On Schedule")))</f>
        <v/>
      </c>
      <c r="Y230" s="60"/>
      <c r="Z230" s="88" t="str">
        <f aca="false">IF(AND(N230&lt;&gt;"",N230&gt;='Weekly Report'!$F$4,N230&lt;='Weekly Report'!$F$5),ROW(),"")</f>
        <v/>
      </c>
      <c r="AA230" s="88" t="str">
        <f aca="false">IF(AND(AND(Q230&lt;&gt;"",Q230&gt;='Weekly Report'!$F$4,Q230&lt;='Weekly Report'!$F$5),AND(F230&lt;&gt;"",K230&lt;&gt;"Completed",K230&lt;&gt;"Cancelled")),ROW(),"")</f>
        <v/>
      </c>
      <c r="AB230" s="88" t="str">
        <f aca="false">IF(AND(F230&lt;&gt;"",K230="In Progress"),ROW(),"")</f>
        <v/>
      </c>
      <c r="AC230" s="88" t="str">
        <f aca="false">IF(AND(AND(F230&lt;&gt;"",K230&lt;&gt;"Completed",K230&lt;&gt;"Cancelled"),OR(K230="Blocked",S230&lt;&gt;"")),ROW(),"")</f>
        <v/>
      </c>
      <c r="AD230" s="88" t="str">
        <f aca="false">IF(AND(AND(F230&lt;&gt;"",K230&lt;&gt;"Completed",K230&lt;&gt;"Cancelled"),OR(P230="Yes",AND(M230&lt;&gt;"",M230&lt;='Weekly Report'!$F$7),AND(L230&lt;&gt;"",L230&gt;='Weekly Report'!$F$6,L230&lt;='Weekly Report'!$F$7))),ROW(),"")</f>
        <v/>
      </c>
    </row>
    <row r="231" customFormat="false" ht="15" hidden="false" customHeight="false" outlineLevel="0" collapsed="false">
      <c r="A231" s="56" t="s">
        <v>1712</v>
      </c>
      <c r="B231" s="63"/>
      <c r="C231" s="61"/>
      <c r="D231" s="61"/>
      <c r="E231" s="61"/>
      <c r="F231" s="60"/>
      <c r="G231" s="61"/>
      <c r="H231" s="61"/>
      <c r="I231" s="61"/>
      <c r="J231" s="61"/>
      <c r="K231" s="61"/>
      <c r="L231" s="63"/>
      <c r="M231" s="63"/>
      <c r="N231" s="63"/>
      <c r="O231" s="94"/>
      <c r="P231" s="61"/>
      <c r="Q231" s="63"/>
      <c r="R231" s="60"/>
      <c r="S231" s="60"/>
      <c r="T231" s="63"/>
      <c r="U231" s="60"/>
      <c r="V231" s="60"/>
      <c r="W231" s="87" t="str">
        <f aca="true">IF(B231="","",IF(N231&lt;&gt;"",N231-B231,TODAY()-B231))</f>
        <v/>
      </c>
      <c r="X231" s="62" t="str">
        <f aca="true">IF(OR(M231="",K231="Completed",K231="Cancelled"),"",IF(M231&lt;TODAY(),"OVERDUE",IF(M231-TODAY()&lt;=7,"Due ≤7d","On Schedule")))</f>
        <v/>
      </c>
      <c r="Y231" s="60"/>
      <c r="Z231" s="88" t="str">
        <f aca="false">IF(AND(N231&lt;&gt;"",N231&gt;='Weekly Report'!$F$4,N231&lt;='Weekly Report'!$F$5),ROW(),"")</f>
        <v/>
      </c>
      <c r="AA231" s="88" t="str">
        <f aca="false">IF(AND(AND(Q231&lt;&gt;"",Q231&gt;='Weekly Report'!$F$4,Q231&lt;='Weekly Report'!$F$5),AND(F231&lt;&gt;"",K231&lt;&gt;"Completed",K231&lt;&gt;"Cancelled")),ROW(),"")</f>
        <v/>
      </c>
      <c r="AB231" s="88" t="str">
        <f aca="false">IF(AND(F231&lt;&gt;"",K231="In Progress"),ROW(),"")</f>
        <v/>
      </c>
      <c r="AC231" s="88" t="str">
        <f aca="false">IF(AND(AND(F231&lt;&gt;"",K231&lt;&gt;"Completed",K231&lt;&gt;"Cancelled"),OR(K231="Blocked",S231&lt;&gt;"")),ROW(),"")</f>
        <v/>
      </c>
      <c r="AD231" s="88" t="str">
        <f aca="false">IF(AND(AND(F231&lt;&gt;"",K231&lt;&gt;"Completed",K231&lt;&gt;"Cancelled"),OR(P231="Yes",AND(M231&lt;&gt;"",M231&lt;='Weekly Report'!$F$7),AND(L231&lt;&gt;"",L231&gt;='Weekly Report'!$F$6,L231&lt;='Weekly Report'!$F$7))),ROW(),"")</f>
        <v/>
      </c>
    </row>
    <row r="232" customFormat="false" ht="15" hidden="false" customHeight="false" outlineLevel="0" collapsed="false">
      <c r="A232" s="56" t="s">
        <v>1713</v>
      </c>
      <c r="B232" s="63"/>
      <c r="C232" s="61"/>
      <c r="D232" s="61"/>
      <c r="E232" s="61"/>
      <c r="F232" s="60"/>
      <c r="G232" s="61"/>
      <c r="H232" s="61"/>
      <c r="I232" s="61"/>
      <c r="J232" s="61"/>
      <c r="K232" s="61"/>
      <c r="L232" s="63"/>
      <c r="M232" s="63"/>
      <c r="N232" s="63"/>
      <c r="O232" s="94"/>
      <c r="P232" s="61"/>
      <c r="Q232" s="63"/>
      <c r="R232" s="60"/>
      <c r="S232" s="60"/>
      <c r="T232" s="63"/>
      <c r="U232" s="60"/>
      <c r="V232" s="60"/>
      <c r="W232" s="87" t="str">
        <f aca="true">IF(B232="","",IF(N232&lt;&gt;"",N232-B232,TODAY()-B232))</f>
        <v/>
      </c>
      <c r="X232" s="62" t="str">
        <f aca="true">IF(OR(M232="",K232="Completed",K232="Cancelled"),"",IF(M232&lt;TODAY(),"OVERDUE",IF(M232-TODAY()&lt;=7,"Due ≤7d","On Schedule")))</f>
        <v/>
      </c>
      <c r="Y232" s="60"/>
      <c r="Z232" s="88" t="str">
        <f aca="false">IF(AND(N232&lt;&gt;"",N232&gt;='Weekly Report'!$F$4,N232&lt;='Weekly Report'!$F$5),ROW(),"")</f>
        <v/>
      </c>
      <c r="AA232" s="88" t="str">
        <f aca="false">IF(AND(AND(Q232&lt;&gt;"",Q232&gt;='Weekly Report'!$F$4,Q232&lt;='Weekly Report'!$F$5),AND(F232&lt;&gt;"",K232&lt;&gt;"Completed",K232&lt;&gt;"Cancelled")),ROW(),"")</f>
        <v/>
      </c>
      <c r="AB232" s="88" t="str">
        <f aca="false">IF(AND(F232&lt;&gt;"",K232="In Progress"),ROW(),"")</f>
        <v/>
      </c>
      <c r="AC232" s="88" t="str">
        <f aca="false">IF(AND(AND(F232&lt;&gt;"",K232&lt;&gt;"Completed",K232&lt;&gt;"Cancelled"),OR(K232="Blocked",S232&lt;&gt;"")),ROW(),"")</f>
        <v/>
      </c>
      <c r="AD232" s="88" t="str">
        <f aca="false">IF(AND(AND(F232&lt;&gt;"",K232&lt;&gt;"Completed",K232&lt;&gt;"Cancelled"),OR(P232="Yes",AND(M232&lt;&gt;"",M232&lt;='Weekly Report'!$F$7),AND(L232&lt;&gt;"",L232&gt;='Weekly Report'!$F$6,L232&lt;='Weekly Report'!$F$7))),ROW(),"")</f>
        <v/>
      </c>
    </row>
    <row r="233" customFormat="false" ht="15" hidden="false" customHeight="false" outlineLevel="0" collapsed="false">
      <c r="A233" s="56" t="s">
        <v>1714</v>
      </c>
      <c r="B233" s="63"/>
      <c r="C233" s="61"/>
      <c r="D233" s="61"/>
      <c r="E233" s="61"/>
      <c r="F233" s="60"/>
      <c r="G233" s="61"/>
      <c r="H233" s="61"/>
      <c r="I233" s="61"/>
      <c r="J233" s="61"/>
      <c r="K233" s="61"/>
      <c r="L233" s="63"/>
      <c r="M233" s="63"/>
      <c r="N233" s="63"/>
      <c r="O233" s="94"/>
      <c r="P233" s="61"/>
      <c r="Q233" s="63"/>
      <c r="R233" s="60"/>
      <c r="S233" s="60"/>
      <c r="T233" s="63"/>
      <c r="U233" s="60"/>
      <c r="V233" s="60"/>
      <c r="W233" s="87" t="str">
        <f aca="true">IF(B233="","",IF(N233&lt;&gt;"",N233-B233,TODAY()-B233))</f>
        <v/>
      </c>
      <c r="X233" s="62" t="str">
        <f aca="true">IF(OR(M233="",K233="Completed",K233="Cancelled"),"",IF(M233&lt;TODAY(),"OVERDUE",IF(M233-TODAY()&lt;=7,"Due ≤7d","On Schedule")))</f>
        <v/>
      </c>
      <c r="Y233" s="60"/>
      <c r="Z233" s="88" t="str">
        <f aca="false">IF(AND(N233&lt;&gt;"",N233&gt;='Weekly Report'!$F$4,N233&lt;='Weekly Report'!$F$5),ROW(),"")</f>
        <v/>
      </c>
      <c r="AA233" s="88" t="str">
        <f aca="false">IF(AND(AND(Q233&lt;&gt;"",Q233&gt;='Weekly Report'!$F$4,Q233&lt;='Weekly Report'!$F$5),AND(F233&lt;&gt;"",K233&lt;&gt;"Completed",K233&lt;&gt;"Cancelled")),ROW(),"")</f>
        <v/>
      </c>
      <c r="AB233" s="88" t="str">
        <f aca="false">IF(AND(F233&lt;&gt;"",K233="In Progress"),ROW(),"")</f>
        <v/>
      </c>
      <c r="AC233" s="88" t="str">
        <f aca="false">IF(AND(AND(F233&lt;&gt;"",K233&lt;&gt;"Completed",K233&lt;&gt;"Cancelled"),OR(K233="Blocked",S233&lt;&gt;"")),ROW(),"")</f>
        <v/>
      </c>
      <c r="AD233" s="88" t="str">
        <f aca="false">IF(AND(AND(F233&lt;&gt;"",K233&lt;&gt;"Completed",K233&lt;&gt;"Cancelled"),OR(P233="Yes",AND(M233&lt;&gt;"",M233&lt;='Weekly Report'!$F$7),AND(L233&lt;&gt;"",L233&gt;='Weekly Report'!$F$6,L233&lt;='Weekly Report'!$F$7))),ROW(),"")</f>
        <v/>
      </c>
    </row>
    <row r="234" customFormat="false" ht="15" hidden="false" customHeight="false" outlineLevel="0" collapsed="false">
      <c r="A234" s="56" t="s">
        <v>1715</v>
      </c>
      <c r="B234" s="63"/>
      <c r="C234" s="61"/>
      <c r="D234" s="61"/>
      <c r="E234" s="61"/>
      <c r="F234" s="60"/>
      <c r="G234" s="61"/>
      <c r="H234" s="61"/>
      <c r="I234" s="61"/>
      <c r="J234" s="61"/>
      <c r="K234" s="61"/>
      <c r="L234" s="63"/>
      <c r="M234" s="63"/>
      <c r="N234" s="63"/>
      <c r="O234" s="94"/>
      <c r="P234" s="61"/>
      <c r="Q234" s="63"/>
      <c r="R234" s="60"/>
      <c r="S234" s="60"/>
      <c r="T234" s="63"/>
      <c r="U234" s="60"/>
      <c r="V234" s="60"/>
      <c r="W234" s="87" t="str">
        <f aca="true">IF(B234="","",IF(N234&lt;&gt;"",N234-B234,TODAY()-B234))</f>
        <v/>
      </c>
      <c r="X234" s="62" t="str">
        <f aca="true">IF(OR(M234="",K234="Completed",K234="Cancelled"),"",IF(M234&lt;TODAY(),"OVERDUE",IF(M234-TODAY()&lt;=7,"Due ≤7d","On Schedule")))</f>
        <v/>
      </c>
      <c r="Y234" s="60"/>
      <c r="Z234" s="88" t="str">
        <f aca="false">IF(AND(N234&lt;&gt;"",N234&gt;='Weekly Report'!$F$4,N234&lt;='Weekly Report'!$F$5),ROW(),"")</f>
        <v/>
      </c>
      <c r="AA234" s="88" t="str">
        <f aca="false">IF(AND(AND(Q234&lt;&gt;"",Q234&gt;='Weekly Report'!$F$4,Q234&lt;='Weekly Report'!$F$5),AND(F234&lt;&gt;"",K234&lt;&gt;"Completed",K234&lt;&gt;"Cancelled")),ROW(),"")</f>
        <v/>
      </c>
      <c r="AB234" s="88" t="str">
        <f aca="false">IF(AND(F234&lt;&gt;"",K234="In Progress"),ROW(),"")</f>
        <v/>
      </c>
      <c r="AC234" s="88" t="str">
        <f aca="false">IF(AND(AND(F234&lt;&gt;"",K234&lt;&gt;"Completed",K234&lt;&gt;"Cancelled"),OR(K234="Blocked",S234&lt;&gt;"")),ROW(),"")</f>
        <v/>
      </c>
      <c r="AD234" s="88" t="str">
        <f aca="false">IF(AND(AND(F234&lt;&gt;"",K234&lt;&gt;"Completed",K234&lt;&gt;"Cancelled"),OR(P234="Yes",AND(M234&lt;&gt;"",M234&lt;='Weekly Report'!$F$7),AND(L234&lt;&gt;"",L234&gt;='Weekly Report'!$F$6,L234&lt;='Weekly Report'!$F$7))),ROW(),"")</f>
        <v/>
      </c>
    </row>
    <row r="235" customFormat="false" ht="15" hidden="false" customHeight="false" outlineLevel="0" collapsed="false">
      <c r="A235" s="56" t="s">
        <v>1716</v>
      </c>
      <c r="B235" s="63"/>
      <c r="C235" s="61"/>
      <c r="D235" s="61"/>
      <c r="E235" s="61"/>
      <c r="F235" s="60"/>
      <c r="G235" s="61"/>
      <c r="H235" s="61"/>
      <c r="I235" s="61"/>
      <c r="J235" s="61"/>
      <c r="K235" s="61"/>
      <c r="L235" s="63"/>
      <c r="M235" s="63"/>
      <c r="N235" s="63"/>
      <c r="O235" s="94"/>
      <c r="P235" s="61"/>
      <c r="Q235" s="63"/>
      <c r="R235" s="60"/>
      <c r="S235" s="60"/>
      <c r="T235" s="63"/>
      <c r="U235" s="60"/>
      <c r="V235" s="60"/>
      <c r="W235" s="87" t="str">
        <f aca="true">IF(B235="","",IF(N235&lt;&gt;"",N235-B235,TODAY()-B235))</f>
        <v/>
      </c>
      <c r="X235" s="62" t="str">
        <f aca="true">IF(OR(M235="",K235="Completed",K235="Cancelled"),"",IF(M235&lt;TODAY(),"OVERDUE",IF(M235-TODAY()&lt;=7,"Due ≤7d","On Schedule")))</f>
        <v/>
      </c>
      <c r="Y235" s="60"/>
      <c r="Z235" s="88" t="str">
        <f aca="false">IF(AND(N235&lt;&gt;"",N235&gt;='Weekly Report'!$F$4,N235&lt;='Weekly Report'!$F$5),ROW(),"")</f>
        <v/>
      </c>
      <c r="AA235" s="88" t="str">
        <f aca="false">IF(AND(AND(Q235&lt;&gt;"",Q235&gt;='Weekly Report'!$F$4,Q235&lt;='Weekly Report'!$F$5),AND(F235&lt;&gt;"",K235&lt;&gt;"Completed",K235&lt;&gt;"Cancelled")),ROW(),"")</f>
        <v/>
      </c>
      <c r="AB235" s="88" t="str">
        <f aca="false">IF(AND(F235&lt;&gt;"",K235="In Progress"),ROW(),"")</f>
        <v/>
      </c>
      <c r="AC235" s="88" t="str">
        <f aca="false">IF(AND(AND(F235&lt;&gt;"",K235&lt;&gt;"Completed",K235&lt;&gt;"Cancelled"),OR(K235="Blocked",S235&lt;&gt;"")),ROW(),"")</f>
        <v/>
      </c>
      <c r="AD235" s="88" t="str">
        <f aca="false">IF(AND(AND(F235&lt;&gt;"",K235&lt;&gt;"Completed",K235&lt;&gt;"Cancelled"),OR(P235="Yes",AND(M235&lt;&gt;"",M235&lt;='Weekly Report'!$F$7),AND(L235&lt;&gt;"",L235&gt;='Weekly Report'!$F$6,L235&lt;='Weekly Report'!$F$7))),ROW(),"")</f>
        <v/>
      </c>
    </row>
    <row r="236" customFormat="false" ht="15" hidden="false" customHeight="false" outlineLevel="0" collapsed="false">
      <c r="A236" s="56" t="s">
        <v>1717</v>
      </c>
      <c r="B236" s="63"/>
      <c r="C236" s="61"/>
      <c r="D236" s="61"/>
      <c r="E236" s="61"/>
      <c r="F236" s="60"/>
      <c r="G236" s="61"/>
      <c r="H236" s="61"/>
      <c r="I236" s="61"/>
      <c r="J236" s="61"/>
      <c r="K236" s="61"/>
      <c r="L236" s="63"/>
      <c r="M236" s="63"/>
      <c r="N236" s="63"/>
      <c r="O236" s="94"/>
      <c r="P236" s="61"/>
      <c r="Q236" s="63"/>
      <c r="R236" s="60"/>
      <c r="S236" s="60"/>
      <c r="T236" s="63"/>
      <c r="U236" s="60"/>
      <c r="V236" s="60"/>
      <c r="W236" s="87" t="str">
        <f aca="true">IF(B236="","",IF(N236&lt;&gt;"",N236-B236,TODAY()-B236))</f>
        <v/>
      </c>
      <c r="X236" s="62" t="str">
        <f aca="true">IF(OR(M236="",K236="Completed",K236="Cancelled"),"",IF(M236&lt;TODAY(),"OVERDUE",IF(M236-TODAY()&lt;=7,"Due ≤7d","On Schedule")))</f>
        <v/>
      </c>
      <c r="Y236" s="60"/>
      <c r="Z236" s="88" t="str">
        <f aca="false">IF(AND(N236&lt;&gt;"",N236&gt;='Weekly Report'!$F$4,N236&lt;='Weekly Report'!$F$5),ROW(),"")</f>
        <v/>
      </c>
      <c r="AA236" s="88" t="str">
        <f aca="false">IF(AND(AND(Q236&lt;&gt;"",Q236&gt;='Weekly Report'!$F$4,Q236&lt;='Weekly Report'!$F$5),AND(F236&lt;&gt;"",K236&lt;&gt;"Completed",K236&lt;&gt;"Cancelled")),ROW(),"")</f>
        <v/>
      </c>
      <c r="AB236" s="88" t="str">
        <f aca="false">IF(AND(F236&lt;&gt;"",K236="In Progress"),ROW(),"")</f>
        <v/>
      </c>
      <c r="AC236" s="88" t="str">
        <f aca="false">IF(AND(AND(F236&lt;&gt;"",K236&lt;&gt;"Completed",K236&lt;&gt;"Cancelled"),OR(K236="Blocked",S236&lt;&gt;"")),ROW(),"")</f>
        <v/>
      </c>
      <c r="AD236" s="88" t="str">
        <f aca="false">IF(AND(AND(F236&lt;&gt;"",K236&lt;&gt;"Completed",K236&lt;&gt;"Cancelled"),OR(P236="Yes",AND(M236&lt;&gt;"",M236&lt;='Weekly Report'!$F$7),AND(L236&lt;&gt;"",L236&gt;='Weekly Report'!$F$6,L236&lt;='Weekly Report'!$F$7))),ROW(),"")</f>
        <v/>
      </c>
    </row>
    <row r="237" customFormat="false" ht="15" hidden="false" customHeight="false" outlineLevel="0" collapsed="false">
      <c r="A237" s="56" t="s">
        <v>1718</v>
      </c>
      <c r="B237" s="63"/>
      <c r="C237" s="61"/>
      <c r="D237" s="61"/>
      <c r="E237" s="61"/>
      <c r="F237" s="60"/>
      <c r="G237" s="61"/>
      <c r="H237" s="61"/>
      <c r="I237" s="61"/>
      <c r="J237" s="61"/>
      <c r="K237" s="61"/>
      <c r="L237" s="63"/>
      <c r="M237" s="63"/>
      <c r="N237" s="63"/>
      <c r="O237" s="94"/>
      <c r="P237" s="61"/>
      <c r="Q237" s="63"/>
      <c r="R237" s="60"/>
      <c r="S237" s="60"/>
      <c r="T237" s="63"/>
      <c r="U237" s="60"/>
      <c r="V237" s="60"/>
      <c r="W237" s="87" t="str">
        <f aca="true">IF(B237="","",IF(N237&lt;&gt;"",N237-B237,TODAY()-B237))</f>
        <v/>
      </c>
      <c r="X237" s="62" t="str">
        <f aca="true">IF(OR(M237="",K237="Completed",K237="Cancelled"),"",IF(M237&lt;TODAY(),"OVERDUE",IF(M237-TODAY()&lt;=7,"Due ≤7d","On Schedule")))</f>
        <v/>
      </c>
      <c r="Y237" s="60"/>
      <c r="Z237" s="88" t="str">
        <f aca="false">IF(AND(N237&lt;&gt;"",N237&gt;='Weekly Report'!$F$4,N237&lt;='Weekly Report'!$F$5),ROW(),"")</f>
        <v/>
      </c>
      <c r="AA237" s="88" t="str">
        <f aca="false">IF(AND(AND(Q237&lt;&gt;"",Q237&gt;='Weekly Report'!$F$4,Q237&lt;='Weekly Report'!$F$5),AND(F237&lt;&gt;"",K237&lt;&gt;"Completed",K237&lt;&gt;"Cancelled")),ROW(),"")</f>
        <v/>
      </c>
      <c r="AB237" s="88" t="str">
        <f aca="false">IF(AND(F237&lt;&gt;"",K237="In Progress"),ROW(),"")</f>
        <v/>
      </c>
      <c r="AC237" s="88" t="str">
        <f aca="false">IF(AND(AND(F237&lt;&gt;"",K237&lt;&gt;"Completed",K237&lt;&gt;"Cancelled"),OR(K237="Blocked",S237&lt;&gt;"")),ROW(),"")</f>
        <v/>
      </c>
      <c r="AD237" s="88" t="str">
        <f aca="false">IF(AND(AND(F237&lt;&gt;"",K237&lt;&gt;"Completed",K237&lt;&gt;"Cancelled"),OR(P237="Yes",AND(M237&lt;&gt;"",M237&lt;='Weekly Report'!$F$7),AND(L237&lt;&gt;"",L237&gt;='Weekly Report'!$F$6,L237&lt;='Weekly Report'!$F$7))),ROW(),"")</f>
        <v/>
      </c>
    </row>
    <row r="238" customFormat="false" ht="15" hidden="false" customHeight="false" outlineLevel="0" collapsed="false">
      <c r="A238" s="56" t="s">
        <v>1719</v>
      </c>
      <c r="B238" s="63"/>
      <c r="C238" s="61"/>
      <c r="D238" s="61"/>
      <c r="E238" s="61"/>
      <c r="F238" s="60"/>
      <c r="G238" s="61"/>
      <c r="H238" s="61"/>
      <c r="I238" s="61"/>
      <c r="J238" s="61"/>
      <c r="K238" s="61"/>
      <c r="L238" s="63"/>
      <c r="M238" s="63"/>
      <c r="N238" s="63"/>
      <c r="O238" s="94"/>
      <c r="P238" s="61"/>
      <c r="Q238" s="63"/>
      <c r="R238" s="60"/>
      <c r="S238" s="60"/>
      <c r="T238" s="63"/>
      <c r="U238" s="60"/>
      <c r="V238" s="60"/>
      <c r="W238" s="87" t="str">
        <f aca="true">IF(B238="","",IF(N238&lt;&gt;"",N238-B238,TODAY()-B238))</f>
        <v/>
      </c>
      <c r="X238" s="62" t="str">
        <f aca="true">IF(OR(M238="",K238="Completed",K238="Cancelled"),"",IF(M238&lt;TODAY(),"OVERDUE",IF(M238-TODAY()&lt;=7,"Due ≤7d","On Schedule")))</f>
        <v/>
      </c>
      <c r="Y238" s="60"/>
      <c r="Z238" s="88" t="str">
        <f aca="false">IF(AND(N238&lt;&gt;"",N238&gt;='Weekly Report'!$F$4,N238&lt;='Weekly Report'!$F$5),ROW(),"")</f>
        <v/>
      </c>
      <c r="AA238" s="88" t="str">
        <f aca="false">IF(AND(AND(Q238&lt;&gt;"",Q238&gt;='Weekly Report'!$F$4,Q238&lt;='Weekly Report'!$F$5),AND(F238&lt;&gt;"",K238&lt;&gt;"Completed",K238&lt;&gt;"Cancelled")),ROW(),"")</f>
        <v/>
      </c>
      <c r="AB238" s="88" t="str">
        <f aca="false">IF(AND(F238&lt;&gt;"",K238="In Progress"),ROW(),"")</f>
        <v/>
      </c>
      <c r="AC238" s="88" t="str">
        <f aca="false">IF(AND(AND(F238&lt;&gt;"",K238&lt;&gt;"Completed",K238&lt;&gt;"Cancelled"),OR(K238="Blocked",S238&lt;&gt;"")),ROW(),"")</f>
        <v/>
      </c>
      <c r="AD238" s="88" t="str">
        <f aca="false">IF(AND(AND(F238&lt;&gt;"",K238&lt;&gt;"Completed",K238&lt;&gt;"Cancelled"),OR(P238="Yes",AND(M238&lt;&gt;"",M238&lt;='Weekly Report'!$F$7),AND(L238&lt;&gt;"",L238&gt;='Weekly Report'!$F$6,L238&lt;='Weekly Report'!$F$7))),ROW(),"")</f>
        <v/>
      </c>
    </row>
    <row r="239" customFormat="false" ht="15" hidden="false" customHeight="false" outlineLevel="0" collapsed="false">
      <c r="A239" s="56" t="s">
        <v>1720</v>
      </c>
      <c r="B239" s="63"/>
      <c r="C239" s="61"/>
      <c r="D239" s="61"/>
      <c r="E239" s="61"/>
      <c r="F239" s="60"/>
      <c r="G239" s="61"/>
      <c r="H239" s="61"/>
      <c r="I239" s="61"/>
      <c r="J239" s="61"/>
      <c r="K239" s="61"/>
      <c r="L239" s="63"/>
      <c r="M239" s="63"/>
      <c r="N239" s="63"/>
      <c r="O239" s="94"/>
      <c r="P239" s="61"/>
      <c r="Q239" s="63"/>
      <c r="R239" s="60"/>
      <c r="S239" s="60"/>
      <c r="T239" s="63"/>
      <c r="U239" s="60"/>
      <c r="V239" s="60"/>
      <c r="W239" s="87" t="str">
        <f aca="true">IF(B239="","",IF(N239&lt;&gt;"",N239-B239,TODAY()-B239))</f>
        <v/>
      </c>
      <c r="X239" s="62" t="str">
        <f aca="true">IF(OR(M239="",K239="Completed",K239="Cancelled"),"",IF(M239&lt;TODAY(),"OVERDUE",IF(M239-TODAY()&lt;=7,"Due ≤7d","On Schedule")))</f>
        <v/>
      </c>
      <c r="Y239" s="60"/>
      <c r="Z239" s="88" t="str">
        <f aca="false">IF(AND(N239&lt;&gt;"",N239&gt;='Weekly Report'!$F$4,N239&lt;='Weekly Report'!$F$5),ROW(),"")</f>
        <v/>
      </c>
      <c r="AA239" s="88" t="str">
        <f aca="false">IF(AND(AND(Q239&lt;&gt;"",Q239&gt;='Weekly Report'!$F$4,Q239&lt;='Weekly Report'!$F$5),AND(F239&lt;&gt;"",K239&lt;&gt;"Completed",K239&lt;&gt;"Cancelled")),ROW(),"")</f>
        <v/>
      </c>
      <c r="AB239" s="88" t="str">
        <f aca="false">IF(AND(F239&lt;&gt;"",K239="In Progress"),ROW(),"")</f>
        <v/>
      </c>
      <c r="AC239" s="88" t="str">
        <f aca="false">IF(AND(AND(F239&lt;&gt;"",K239&lt;&gt;"Completed",K239&lt;&gt;"Cancelled"),OR(K239="Blocked",S239&lt;&gt;"")),ROW(),"")</f>
        <v/>
      </c>
      <c r="AD239" s="88" t="str">
        <f aca="false">IF(AND(AND(F239&lt;&gt;"",K239&lt;&gt;"Completed",K239&lt;&gt;"Cancelled"),OR(P239="Yes",AND(M239&lt;&gt;"",M239&lt;='Weekly Report'!$F$7),AND(L239&lt;&gt;"",L239&gt;='Weekly Report'!$F$6,L239&lt;='Weekly Report'!$F$7))),ROW(),"")</f>
        <v/>
      </c>
    </row>
    <row r="240" customFormat="false" ht="15" hidden="false" customHeight="false" outlineLevel="0" collapsed="false">
      <c r="A240" s="56" t="s">
        <v>1721</v>
      </c>
      <c r="B240" s="63"/>
      <c r="C240" s="61"/>
      <c r="D240" s="61"/>
      <c r="E240" s="61"/>
      <c r="F240" s="60"/>
      <c r="G240" s="61"/>
      <c r="H240" s="61"/>
      <c r="I240" s="61"/>
      <c r="J240" s="61"/>
      <c r="K240" s="61"/>
      <c r="L240" s="63"/>
      <c r="M240" s="63"/>
      <c r="N240" s="63"/>
      <c r="O240" s="94"/>
      <c r="P240" s="61"/>
      <c r="Q240" s="63"/>
      <c r="R240" s="60"/>
      <c r="S240" s="60"/>
      <c r="T240" s="63"/>
      <c r="U240" s="60"/>
      <c r="V240" s="60"/>
      <c r="W240" s="87" t="str">
        <f aca="true">IF(B240="","",IF(N240&lt;&gt;"",N240-B240,TODAY()-B240))</f>
        <v/>
      </c>
      <c r="X240" s="62" t="str">
        <f aca="true">IF(OR(M240="",K240="Completed",K240="Cancelled"),"",IF(M240&lt;TODAY(),"OVERDUE",IF(M240-TODAY()&lt;=7,"Due ≤7d","On Schedule")))</f>
        <v/>
      </c>
      <c r="Y240" s="60"/>
      <c r="Z240" s="88" t="str">
        <f aca="false">IF(AND(N240&lt;&gt;"",N240&gt;='Weekly Report'!$F$4,N240&lt;='Weekly Report'!$F$5),ROW(),"")</f>
        <v/>
      </c>
      <c r="AA240" s="88" t="str">
        <f aca="false">IF(AND(AND(Q240&lt;&gt;"",Q240&gt;='Weekly Report'!$F$4,Q240&lt;='Weekly Report'!$F$5),AND(F240&lt;&gt;"",K240&lt;&gt;"Completed",K240&lt;&gt;"Cancelled")),ROW(),"")</f>
        <v/>
      </c>
      <c r="AB240" s="88" t="str">
        <f aca="false">IF(AND(F240&lt;&gt;"",K240="In Progress"),ROW(),"")</f>
        <v/>
      </c>
      <c r="AC240" s="88" t="str">
        <f aca="false">IF(AND(AND(F240&lt;&gt;"",K240&lt;&gt;"Completed",K240&lt;&gt;"Cancelled"),OR(K240="Blocked",S240&lt;&gt;"")),ROW(),"")</f>
        <v/>
      </c>
      <c r="AD240" s="88" t="str">
        <f aca="false">IF(AND(AND(F240&lt;&gt;"",K240&lt;&gt;"Completed",K240&lt;&gt;"Cancelled"),OR(P240="Yes",AND(M240&lt;&gt;"",M240&lt;='Weekly Report'!$F$7),AND(L240&lt;&gt;"",L240&gt;='Weekly Report'!$F$6,L240&lt;='Weekly Report'!$F$7))),ROW(),"")</f>
        <v/>
      </c>
    </row>
    <row r="241" customFormat="false" ht="15" hidden="false" customHeight="false" outlineLevel="0" collapsed="false">
      <c r="A241" s="56" t="s">
        <v>1722</v>
      </c>
      <c r="B241" s="63"/>
      <c r="C241" s="61"/>
      <c r="D241" s="61"/>
      <c r="E241" s="61"/>
      <c r="F241" s="60"/>
      <c r="G241" s="61"/>
      <c r="H241" s="61"/>
      <c r="I241" s="61"/>
      <c r="J241" s="61"/>
      <c r="K241" s="61"/>
      <c r="L241" s="63"/>
      <c r="M241" s="63"/>
      <c r="N241" s="63"/>
      <c r="O241" s="94"/>
      <c r="P241" s="61"/>
      <c r="Q241" s="63"/>
      <c r="R241" s="60"/>
      <c r="S241" s="60"/>
      <c r="T241" s="63"/>
      <c r="U241" s="60"/>
      <c r="V241" s="60"/>
      <c r="W241" s="87" t="str">
        <f aca="true">IF(B241="","",IF(N241&lt;&gt;"",N241-B241,TODAY()-B241))</f>
        <v/>
      </c>
      <c r="X241" s="62" t="str">
        <f aca="true">IF(OR(M241="",K241="Completed",K241="Cancelled"),"",IF(M241&lt;TODAY(),"OVERDUE",IF(M241-TODAY()&lt;=7,"Due ≤7d","On Schedule")))</f>
        <v/>
      </c>
      <c r="Y241" s="60"/>
      <c r="Z241" s="88" t="str">
        <f aca="false">IF(AND(N241&lt;&gt;"",N241&gt;='Weekly Report'!$F$4,N241&lt;='Weekly Report'!$F$5),ROW(),"")</f>
        <v/>
      </c>
      <c r="AA241" s="88" t="str">
        <f aca="false">IF(AND(AND(Q241&lt;&gt;"",Q241&gt;='Weekly Report'!$F$4,Q241&lt;='Weekly Report'!$F$5),AND(F241&lt;&gt;"",K241&lt;&gt;"Completed",K241&lt;&gt;"Cancelled")),ROW(),"")</f>
        <v/>
      </c>
      <c r="AB241" s="88" t="str">
        <f aca="false">IF(AND(F241&lt;&gt;"",K241="In Progress"),ROW(),"")</f>
        <v/>
      </c>
      <c r="AC241" s="88" t="str">
        <f aca="false">IF(AND(AND(F241&lt;&gt;"",K241&lt;&gt;"Completed",K241&lt;&gt;"Cancelled"),OR(K241="Blocked",S241&lt;&gt;"")),ROW(),"")</f>
        <v/>
      </c>
      <c r="AD241" s="88" t="str">
        <f aca="false">IF(AND(AND(F241&lt;&gt;"",K241&lt;&gt;"Completed",K241&lt;&gt;"Cancelled"),OR(P241="Yes",AND(M241&lt;&gt;"",M241&lt;='Weekly Report'!$F$7),AND(L241&lt;&gt;"",L241&gt;='Weekly Report'!$F$6,L241&lt;='Weekly Report'!$F$7))),ROW(),"")</f>
        <v/>
      </c>
    </row>
    <row r="242" customFormat="false" ht="15" hidden="false" customHeight="false" outlineLevel="0" collapsed="false">
      <c r="A242" s="56" t="s">
        <v>1723</v>
      </c>
      <c r="B242" s="63"/>
      <c r="C242" s="61"/>
      <c r="D242" s="61"/>
      <c r="E242" s="61"/>
      <c r="F242" s="60"/>
      <c r="G242" s="61"/>
      <c r="H242" s="61"/>
      <c r="I242" s="61"/>
      <c r="J242" s="61"/>
      <c r="K242" s="61"/>
      <c r="L242" s="63"/>
      <c r="M242" s="63"/>
      <c r="N242" s="63"/>
      <c r="O242" s="94"/>
      <c r="P242" s="61"/>
      <c r="Q242" s="63"/>
      <c r="R242" s="60"/>
      <c r="S242" s="60"/>
      <c r="T242" s="63"/>
      <c r="U242" s="60"/>
      <c r="V242" s="60"/>
      <c r="W242" s="87" t="str">
        <f aca="true">IF(B242="","",IF(N242&lt;&gt;"",N242-B242,TODAY()-B242))</f>
        <v/>
      </c>
      <c r="X242" s="62" t="str">
        <f aca="true">IF(OR(M242="",K242="Completed",K242="Cancelled"),"",IF(M242&lt;TODAY(),"OVERDUE",IF(M242-TODAY()&lt;=7,"Due ≤7d","On Schedule")))</f>
        <v/>
      </c>
      <c r="Y242" s="60"/>
      <c r="Z242" s="88" t="str">
        <f aca="false">IF(AND(N242&lt;&gt;"",N242&gt;='Weekly Report'!$F$4,N242&lt;='Weekly Report'!$F$5),ROW(),"")</f>
        <v/>
      </c>
      <c r="AA242" s="88" t="str">
        <f aca="false">IF(AND(AND(Q242&lt;&gt;"",Q242&gt;='Weekly Report'!$F$4,Q242&lt;='Weekly Report'!$F$5),AND(F242&lt;&gt;"",K242&lt;&gt;"Completed",K242&lt;&gt;"Cancelled")),ROW(),"")</f>
        <v/>
      </c>
      <c r="AB242" s="88" t="str">
        <f aca="false">IF(AND(F242&lt;&gt;"",K242="In Progress"),ROW(),"")</f>
        <v/>
      </c>
      <c r="AC242" s="88" t="str">
        <f aca="false">IF(AND(AND(F242&lt;&gt;"",K242&lt;&gt;"Completed",K242&lt;&gt;"Cancelled"),OR(K242="Blocked",S242&lt;&gt;"")),ROW(),"")</f>
        <v/>
      </c>
      <c r="AD242" s="88" t="str">
        <f aca="false">IF(AND(AND(F242&lt;&gt;"",K242&lt;&gt;"Completed",K242&lt;&gt;"Cancelled"),OR(P242="Yes",AND(M242&lt;&gt;"",M242&lt;='Weekly Report'!$F$7),AND(L242&lt;&gt;"",L242&gt;='Weekly Report'!$F$6,L242&lt;='Weekly Report'!$F$7))),ROW(),"")</f>
        <v/>
      </c>
    </row>
    <row r="243" customFormat="false" ht="15" hidden="false" customHeight="false" outlineLevel="0" collapsed="false">
      <c r="A243" s="56" t="s">
        <v>1724</v>
      </c>
      <c r="B243" s="63"/>
      <c r="C243" s="61"/>
      <c r="D243" s="61"/>
      <c r="E243" s="61"/>
      <c r="F243" s="60"/>
      <c r="G243" s="61"/>
      <c r="H243" s="61"/>
      <c r="I243" s="61"/>
      <c r="J243" s="61"/>
      <c r="K243" s="61"/>
      <c r="L243" s="63"/>
      <c r="M243" s="63"/>
      <c r="N243" s="63"/>
      <c r="O243" s="94"/>
      <c r="P243" s="61"/>
      <c r="Q243" s="63"/>
      <c r="R243" s="60"/>
      <c r="S243" s="60"/>
      <c r="T243" s="63"/>
      <c r="U243" s="60"/>
      <c r="V243" s="60"/>
      <c r="W243" s="87" t="str">
        <f aca="true">IF(B243="","",IF(N243&lt;&gt;"",N243-B243,TODAY()-B243))</f>
        <v/>
      </c>
      <c r="X243" s="62" t="str">
        <f aca="true">IF(OR(M243="",K243="Completed",K243="Cancelled"),"",IF(M243&lt;TODAY(),"OVERDUE",IF(M243-TODAY()&lt;=7,"Due ≤7d","On Schedule")))</f>
        <v/>
      </c>
      <c r="Y243" s="60"/>
      <c r="Z243" s="88" t="str">
        <f aca="false">IF(AND(N243&lt;&gt;"",N243&gt;='Weekly Report'!$F$4,N243&lt;='Weekly Report'!$F$5),ROW(),"")</f>
        <v/>
      </c>
      <c r="AA243" s="88" t="str">
        <f aca="false">IF(AND(AND(Q243&lt;&gt;"",Q243&gt;='Weekly Report'!$F$4,Q243&lt;='Weekly Report'!$F$5),AND(F243&lt;&gt;"",K243&lt;&gt;"Completed",K243&lt;&gt;"Cancelled")),ROW(),"")</f>
        <v/>
      </c>
      <c r="AB243" s="88" t="str">
        <f aca="false">IF(AND(F243&lt;&gt;"",K243="In Progress"),ROW(),"")</f>
        <v/>
      </c>
      <c r="AC243" s="88" t="str">
        <f aca="false">IF(AND(AND(F243&lt;&gt;"",K243&lt;&gt;"Completed",K243&lt;&gt;"Cancelled"),OR(K243="Blocked",S243&lt;&gt;"")),ROW(),"")</f>
        <v/>
      </c>
      <c r="AD243" s="88" t="str">
        <f aca="false">IF(AND(AND(F243&lt;&gt;"",K243&lt;&gt;"Completed",K243&lt;&gt;"Cancelled"),OR(P243="Yes",AND(M243&lt;&gt;"",M243&lt;='Weekly Report'!$F$7),AND(L243&lt;&gt;"",L243&gt;='Weekly Report'!$F$6,L243&lt;='Weekly Report'!$F$7))),ROW(),"")</f>
        <v/>
      </c>
    </row>
    <row r="244" customFormat="false" ht="15" hidden="false" customHeight="false" outlineLevel="0" collapsed="false">
      <c r="A244" s="56" t="s">
        <v>1725</v>
      </c>
      <c r="B244" s="63"/>
      <c r="C244" s="61"/>
      <c r="D244" s="61"/>
      <c r="E244" s="61"/>
      <c r="F244" s="60"/>
      <c r="G244" s="61"/>
      <c r="H244" s="61"/>
      <c r="I244" s="61"/>
      <c r="J244" s="61"/>
      <c r="K244" s="61"/>
      <c r="L244" s="63"/>
      <c r="M244" s="63"/>
      <c r="N244" s="63"/>
      <c r="O244" s="94"/>
      <c r="P244" s="61"/>
      <c r="Q244" s="63"/>
      <c r="R244" s="60"/>
      <c r="S244" s="60"/>
      <c r="T244" s="63"/>
      <c r="U244" s="60"/>
      <c r="V244" s="60"/>
      <c r="W244" s="87" t="str">
        <f aca="true">IF(B244="","",IF(N244&lt;&gt;"",N244-B244,TODAY()-B244))</f>
        <v/>
      </c>
      <c r="X244" s="62" t="str">
        <f aca="true">IF(OR(M244="",K244="Completed",K244="Cancelled"),"",IF(M244&lt;TODAY(),"OVERDUE",IF(M244-TODAY()&lt;=7,"Due ≤7d","On Schedule")))</f>
        <v/>
      </c>
      <c r="Y244" s="60"/>
      <c r="Z244" s="88" t="str">
        <f aca="false">IF(AND(N244&lt;&gt;"",N244&gt;='Weekly Report'!$F$4,N244&lt;='Weekly Report'!$F$5),ROW(),"")</f>
        <v/>
      </c>
      <c r="AA244" s="88" t="str">
        <f aca="false">IF(AND(AND(Q244&lt;&gt;"",Q244&gt;='Weekly Report'!$F$4,Q244&lt;='Weekly Report'!$F$5),AND(F244&lt;&gt;"",K244&lt;&gt;"Completed",K244&lt;&gt;"Cancelled")),ROW(),"")</f>
        <v/>
      </c>
      <c r="AB244" s="88" t="str">
        <f aca="false">IF(AND(F244&lt;&gt;"",K244="In Progress"),ROW(),"")</f>
        <v/>
      </c>
      <c r="AC244" s="88" t="str">
        <f aca="false">IF(AND(AND(F244&lt;&gt;"",K244&lt;&gt;"Completed",K244&lt;&gt;"Cancelled"),OR(K244="Blocked",S244&lt;&gt;"")),ROW(),"")</f>
        <v/>
      </c>
      <c r="AD244" s="88" t="str">
        <f aca="false">IF(AND(AND(F244&lt;&gt;"",K244&lt;&gt;"Completed",K244&lt;&gt;"Cancelled"),OR(P244="Yes",AND(M244&lt;&gt;"",M244&lt;='Weekly Report'!$F$7),AND(L244&lt;&gt;"",L244&gt;='Weekly Report'!$F$6,L244&lt;='Weekly Report'!$F$7))),ROW(),"")</f>
        <v/>
      </c>
    </row>
    <row r="245" customFormat="false" ht="15" hidden="false" customHeight="false" outlineLevel="0" collapsed="false">
      <c r="A245" s="56" t="s">
        <v>1726</v>
      </c>
      <c r="B245" s="63"/>
      <c r="C245" s="61"/>
      <c r="D245" s="61"/>
      <c r="E245" s="61"/>
      <c r="F245" s="60"/>
      <c r="G245" s="61"/>
      <c r="H245" s="61"/>
      <c r="I245" s="61"/>
      <c r="J245" s="61"/>
      <c r="K245" s="61"/>
      <c r="L245" s="63"/>
      <c r="M245" s="63"/>
      <c r="N245" s="63"/>
      <c r="O245" s="94"/>
      <c r="P245" s="61"/>
      <c r="Q245" s="63"/>
      <c r="R245" s="60"/>
      <c r="S245" s="60"/>
      <c r="T245" s="63"/>
      <c r="U245" s="60"/>
      <c r="V245" s="60"/>
      <c r="W245" s="87" t="str">
        <f aca="true">IF(B245="","",IF(N245&lt;&gt;"",N245-B245,TODAY()-B245))</f>
        <v/>
      </c>
      <c r="X245" s="62" t="str">
        <f aca="true">IF(OR(M245="",K245="Completed",K245="Cancelled"),"",IF(M245&lt;TODAY(),"OVERDUE",IF(M245-TODAY()&lt;=7,"Due ≤7d","On Schedule")))</f>
        <v/>
      </c>
      <c r="Y245" s="60"/>
      <c r="Z245" s="88" t="str">
        <f aca="false">IF(AND(N245&lt;&gt;"",N245&gt;='Weekly Report'!$F$4,N245&lt;='Weekly Report'!$F$5),ROW(),"")</f>
        <v/>
      </c>
      <c r="AA245" s="88" t="str">
        <f aca="false">IF(AND(AND(Q245&lt;&gt;"",Q245&gt;='Weekly Report'!$F$4,Q245&lt;='Weekly Report'!$F$5),AND(F245&lt;&gt;"",K245&lt;&gt;"Completed",K245&lt;&gt;"Cancelled")),ROW(),"")</f>
        <v/>
      </c>
      <c r="AB245" s="88" t="str">
        <f aca="false">IF(AND(F245&lt;&gt;"",K245="In Progress"),ROW(),"")</f>
        <v/>
      </c>
      <c r="AC245" s="88" t="str">
        <f aca="false">IF(AND(AND(F245&lt;&gt;"",K245&lt;&gt;"Completed",K245&lt;&gt;"Cancelled"),OR(K245="Blocked",S245&lt;&gt;"")),ROW(),"")</f>
        <v/>
      </c>
      <c r="AD245" s="88" t="str">
        <f aca="false">IF(AND(AND(F245&lt;&gt;"",K245&lt;&gt;"Completed",K245&lt;&gt;"Cancelled"),OR(P245="Yes",AND(M245&lt;&gt;"",M245&lt;='Weekly Report'!$F$7),AND(L245&lt;&gt;"",L245&gt;='Weekly Report'!$F$6,L245&lt;='Weekly Report'!$F$7))),ROW(),"")</f>
        <v/>
      </c>
    </row>
    <row r="246" customFormat="false" ht="15" hidden="false" customHeight="false" outlineLevel="0" collapsed="false">
      <c r="A246" s="56" t="s">
        <v>1727</v>
      </c>
      <c r="B246" s="63"/>
      <c r="C246" s="61"/>
      <c r="D246" s="61"/>
      <c r="E246" s="61"/>
      <c r="F246" s="60"/>
      <c r="G246" s="61"/>
      <c r="H246" s="61"/>
      <c r="I246" s="61"/>
      <c r="J246" s="61"/>
      <c r="K246" s="61"/>
      <c r="L246" s="63"/>
      <c r="M246" s="63"/>
      <c r="N246" s="63"/>
      <c r="O246" s="94"/>
      <c r="P246" s="61"/>
      <c r="Q246" s="63"/>
      <c r="R246" s="60"/>
      <c r="S246" s="60"/>
      <c r="T246" s="63"/>
      <c r="U246" s="60"/>
      <c r="V246" s="60"/>
      <c r="W246" s="87" t="str">
        <f aca="true">IF(B246="","",IF(N246&lt;&gt;"",N246-B246,TODAY()-B246))</f>
        <v/>
      </c>
      <c r="X246" s="62" t="str">
        <f aca="true">IF(OR(M246="",K246="Completed",K246="Cancelled"),"",IF(M246&lt;TODAY(),"OVERDUE",IF(M246-TODAY()&lt;=7,"Due ≤7d","On Schedule")))</f>
        <v/>
      </c>
      <c r="Y246" s="60"/>
      <c r="Z246" s="88" t="str">
        <f aca="false">IF(AND(N246&lt;&gt;"",N246&gt;='Weekly Report'!$F$4,N246&lt;='Weekly Report'!$F$5),ROW(),"")</f>
        <v/>
      </c>
      <c r="AA246" s="88" t="str">
        <f aca="false">IF(AND(AND(Q246&lt;&gt;"",Q246&gt;='Weekly Report'!$F$4,Q246&lt;='Weekly Report'!$F$5),AND(F246&lt;&gt;"",K246&lt;&gt;"Completed",K246&lt;&gt;"Cancelled")),ROW(),"")</f>
        <v/>
      </c>
      <c r="AB246" s="88" t="str">
        <f aca="false">IF(AND(F246&lt;&gt;"",K246="In Progress"),ROW(),"")</f>
        <v/>
      </c>
      <c r="AC246" s="88" t="str">
        <f aca="false">IF(AND(AND(F246&lt;&gt;"",K246&lt;&gt;"Completed",K246&lt;&gt;"Cancelled"),OR(K246="Blocked",S246&lt;&gt;"")),ROW(),"")</f>
        <v/>
      </c>
      <c r="AD246" s="88" t="str">
        <f aca="false">IF(AND(AND(F246&lt;&gt;"",K246&lt;&gt;"Completed",K246&lt;&gt;"Cancelled"),OR(P246="Yes",AND(M246&lt;&gt;"",M246&lt;='Weekly Report'!$F$7),AND(L246&lt;&gt;"",L246&gt;='Weekly Report'!$F$6,L246&lt;='Weekly Report'!$F$7))),ROW(),"")</f>
        <v/>
      </c>
    </row>
    <row r="247" customFormat="false" ht="15" hidden="false" customHeight="false" outlineLevel="0" collapsed="false">
      <c r="A247" s="56" t="s">
        <v>1728</v>
      </c>
      <c r="B247" s="63"/>
      <c r="C247" s="61"/>
      <c r="D247" s="61"/>
      <c r="E247" s="61"/>
      <c r="F247" s="60"/>
      <c r="G247" s="61"/>
      <c r="H247" s="61"/>
      <c r="I247" s="61"/>
      <c r="J247" s="61"/>
      <c r="K247" s="61"/>
      <c r="L247" s="63"/>
      <c r="M247" s="63"/>
      <c r="N247" s="63"/>
      <c r="O247" s="94"/>
      <c r="P247" s="61"/>
      <c r="Q247" s="63"/>
      <c r="R247" s="60"/>
      <c r="S247" s="60"/>
      <c r="T247" s="63"/>
      <c r="U247" s="60"/>
      <c r="V247" s="60"/>
      <c r="W247" s="87" t="str">
        <f aca="true">IF(B247="","",IF(N247&lt;&gt;"",N247-B247,TODAY()-B247))</f>
        <v/>
      </c>
      <c r="X247" s="62" t="str">
        <f aca="true">IF(OR(M247="",K247="Completed",K247="Cancelled"),"",IF(M247&lt;TODAY(),"OVERDUE",IF(M247-TODAY()&lt;=7,"Due ≤7d","On Schedule")))</f>
        <v/>
      </c>
      <c r="Y247" s="60"/>
      <c r="Z247" s="88" t="str">
        <f aca="false">IF(AND(N247&lt;&gt;"",N247&gt;='Weekly Report'!$F$4,N247&lt;='Weekly Report'!$F$5),ROW(),"")</f>
        <v/>
      </c>
      <c r="AA247" s="88" t="str">
        <f aca="false">IF(AND(AND(Q247&lt;&gt;"",Q247&gt;='Weekly Report'!$F$4,Q247&lt;='Weekly Report'!$F$5),AND(F247&lt;&gt;"",K247&lt;&gt;"Completed",K247&lt;&gt;"Cancelled")),ROW(),"")</f>
        <v/>
      </c>
      <c r="AB247" s="88" t="str">
        <f aca="false">IF(AND(F247&lt;&gt;"",K247="In Progress"),ROW(),"")</f>
        <v/>
      </c>
      <c r="AC247" s="88" t="str">
        <f aca="false">IF(AND(AND(F247&lt;&gt;"",K247&lt;&gt;"Completed",K247&lt;&gt;"Cancelled"),OR(K247="Blocked",S247&lt;&gt;"")),ROW(),"")</f>
        <v/>
      </c>
      <c r="AD247" s="88" t="str">
        <f aca="false">IF(AND(AND(F247&lt;&gt;"",K247&lt;&gt;"Completed",K247&lt;&gt;"Cancelled"),OR(P247="Yes",AND(M247&lt;&gt;"",M247&lt;='Weekly Report'!$F$7),AND(L247&lt;&gt;"",L247&gt;='Weekly Report'!$F$6,L247&lt;='Weekly Report'!$F$7))),ROW(),"")</f>
        <v/>
      </c>
    </row>
    <row r="248" customFormat="false" ht="15" hidden="false" customHeight="false" outlineLevel="0" collapsed="false">
      <c r="A248" s="56" t="s">
        <v>1729</v>
      </c>
      <c r="B248" s="63"/>
      <c r="C248" s="61"/>
      <c r="D248" s="61"/>
      <c r="E248" s="61"/>
      <c r="F248" s="60"/>
      <c r="G248" s="61"/>
      <c r="H248" s="61"/>
      <c r="I248" s="61"/>
      <c r="J248" s="61"/>
      <c r="K248" s="61"/>
      <c r="L248" s="63"/>
      <c r="M248" s="63"/>
      <c r="N248" s="63"/>
      <c r="O248" s="94"/>
      <c r="P248" s="61"/>
      <c r="Q248" s="63"/>
      <c r="R248" s="60"/>
      <c r="S248" s="60"/>
      <c r="T248" s="63"/>
      <c r="U248" s="60"/>
      <c r="V248" s="60"/>
      <c r="W248" s="87" t="str">
        <f aca="true">IF(B248="","",IF(N248&lt;&gt;"",N248-B248,TODAY()-B248))</f>
        <v/>
      </c>
      <c r="X248" s="62" t="str">
        <f aca="true">IF(OR(M248="",K248="Completed",K248="Cancelled"),"",IF(M248&lt;TODAY(),"OVERDUE",IF(M248-TODAY()&lt;=7,"Due ≤7d","On Schedule")))</f>
        <v/>
      </c>
      <c r="Y248" s="60"/>
      <c r="Z248" s="88" t="str">
        <f aca="false">IF(AND(N248&lt;&gt;"",N248&gt;='Weekly Report'!$F$4,N248&lt;='Weekly Report'!$F$5),ROW(),"")</f>
        <v/>
      </c>
      <c r="AA248" s="88" t="str">
        <f aca="false">IF(AND(AND(Q248&lt;&gt;"",Q248&gt;='Weekly Report'!$F$4,Q248&lt;='Weekly Report'!$F$5),AND(F248&lt;&gt;"",K248&lt;&gt;"Completed",K248&lt;&gt;"Cancelled")),ROW(),"")</f>
        <v/>
      </c>
      <c r="AB248" s="88" t="str">
        <f aca="false">IF(AND(F248&lt;&gt;"",K248="In Progress"),ROW(),"")</f>
        <v/>
      </c>
      <c r="AC248" s="88" t="str">
        <f aca="false">IF(AND(AND(F248&lt;&gt;"",K248&lt;&gt;"Completed",K248&lt;&gt;"Cancelled"),OR(K248="Blocked",S248&lt;&gt;"")),ROW(),"")</f>
        <v/>
      </c>
      <c r="AD248" s="88" t="str">
        <f aca="false">IF(AND(AND(F248&lt;&gt;"",K248&lt;&gt;"Completed",K248&lt;&gt;"Cancelled"),OR(P248="Yes",AND(M248&lt;&gt;"",M248&lt;='Weekly Report'!$F$7),AND(L248&lt;&gt;"",L248&gt;='Weekly Report'!$F$6,L248&lt;='Weekly Report'!$F$7))),ROW(),"")</f>
        <v/>
      </c>
    </row>
    <row r="249" customFormat="false" ht="15" hidden="false" customHeight="false" outlineLevel="0" collapsed="false">
      <c r="A249" s="56" t="s">
        <v>1730</v>
      </c>
      <c r="B249" s="63"/>
      <c r="C249" s="61"/>
      <c r="D249" s="61"/>
      <c r="E249" s="61"/>
      <c r="F249" s="60"/>
      <c r="G249" s="61"/>
      <c r="H249" s="61"/>
      <c r="I249" s="61"/>
      <c r="J249" s="61"/>
      <c r="K249" s="61"/>
      <c r="L249" s="63"/>
      <c r="M249" s="63"/>
      <c r="N249" s="63"/>
      <c r="O249" s="94"/>
      <c r="P249" s="61"/>
      <c r="Q249" s="63"/>
      <c r="R249" s="60"/>
      <c r="S249" s="60"/>
      <c r="T249" s="63"/>
      <c r="U249" s="60"/>
      <c r="V249" s="60"/>
      <c r="W249" s="87" t="str">
        <f aca="true">IF(B249="","",IF(N249&lt;&gt;"",N249-B249,TODAY()-B249))</f>
        <v/>
      </c>
      <c r="X249" s="62" t="str">
        <f aca="true">IF(OR(M249="",K249="Completed",K249="Cancelled"),"",IF(M249&lt;TODAY(),"OVERDUE",IF(M249-TODAY()&lt;=7,"Due ≤7d","On Schedule")))</f>
        <v/>
      </c>
      <c r="Y249" s="60"/>
      <c r="Z249" s="88" t="str">
        <f aca="false">IF(AND(N249&lt;&gt;"",N249&gt;='Weekly Report'!$F$4,N249&lt;='Weekly Report'!$F$5),ROW(),"")</f>
        <v/>
      </c>
      <c r="AA249" s="88" t="str">
        <f aca="false">IF(AND(AND(Q249&lt;&gt;"",Q249&gt;='Weekly Report'!$F$4,Q249&lt;='Weekly Report'!$F$5),AND(F249&lt;&gt;"",K249&lt;&gt;"Completed",K249&lt;&gt;"Cancelled")),ROW(),"")</f>
        <v/>
      </c>
      <c r="AB249" s="88" t="str">
        <f aca="false">IF(AND(F249&lt;&gt;"",K249="In Progress"),ROW(),"")</f>
        <v/>
      </c>
      <c r="AC249" s="88" t="str">
        <f aca="false">IF(AND(AND(F249&lt;&gt;"",K249&lt;&gt;"Completed",K249&lt;&gt;"Cancelled"),OR(K249="Blocked",S249&lt;&gt;"")),ROW(),"")</f>
        <v/>
      </c>
      <c r="AD249" s="88" t="str">
        <f aca="false">IF(AND(AND(F249&lt;&gt;"",K249&lt;&gt;"Completed",K249&lt;&gt;"Cancelled"),OR(P249="Yes",AND(M249&lt;&gt;"",M249&lt;='Weekly Report'!$F$7),AND(L249&lt;&gt;"",L249&gt;='Weekly Report'!$F$6,L249&lt;='Weekly Report'!$F$7))),ROW(),"")</f>
        <v/>
      </c>
    </row>
    <row r="250" customFormat="false" ht="15" hidden="false" customHeight="false" outlineLevel="0" collapsed="false">
      <c r="A250" s="56" t="s">
        <v>1731</v>
      </c>
      <c r="B250" s="63"/>
      <c r="C250" s="61"/>
      <c r="D250" s="61"/>
      <c r="E250" s="61"/>
      <c r="F250" s="60"/>
      <c r="G250" s="61"/>
      <c r="H250" s="61"/>
      <c r="I250" s="61"/>
      <c r="J250" s="61"/>
      <c r="K250" s="61"/>
      <c r="L250" s="63"/>
      <c r="M250" s="63"/>
      <c r="N250" s="63"/>
      <c r="O250" s="94"/>
      <c r="P250" s="61"/>
      <c r="Q250" s="63"/>
      <c r="R250" s="60"/>
      <c r="S250" s="60"/>
      <c r="T250" s="63"/>
      <c r="U250" s="60"/>
      <c r="V250" s="60"/>
      <c r="W250" s="87" t="str">
        <f aca="true">IF(B250="","",IF(N250&lt;&gt;"",N250-B250,TODAY()-B250))</f>
        <v/>
      </c>
      <c r="X250" s="62" t="str">
        <f aca="true">IF(OR(M250="",K250="Completed",K250="Cancelled"),"",IF(M250&lt;TODAY(),"OVERDUE",IF(M250-TODAY()&lt;=7,"Due ≤7d","On Schedule")))</f>
        <v/>
      </c>
      <c r="Y250" s="60"/>
      <c r="Z250" s="88" t="str">
        <f aca="false">IF(AND(N250&lt;&gt;"",N250&gt;='Weekly Report'!$F$4,N250&lt;='Weekly Report'!$F$5),ROW(),"")</f>
        <v/>
      </c>
      <c r="AA250" s="88" t="str">
        <f aca="false">IF(AND(AND(Q250&lt;&gt;"",Q250&gt;='Weekly Report'!$F$4,Q250&lt;='Weekly Report'!$F$5),AND(F250&lt;&gt;"",K250&lt;&gt;"Completed",K250&lt;&gt;"Cancelled")),ROW(),"")</f>
        <v/>
      </c>
      <c r="AB250" s="88" t="str">
        <f aca="false">IF(AND(F250&lt;&gt;"",K250="In Progress"),ROW(),"")</f>
        <v/>
      </c>
      <c r="AC250" s="88" t="str">
        <f aca="false">IF(AND(AND(F250&lt;&gt;"",K250&lt;&gt;"Completed",K250&lt;&gt;"Cancelled"),OR(K250="Blocked",S250&lt;&gt;"")),ROW(),"")</f>
        <v/>
      </c>
      <c r="AD250" s="88" t="str">
        <f aca="false">IF(AND(AND(F250&lt;&gt;"",K250&lt;&gt;"Completed",K250&lt;&gt;"Cancelled"),OR(P250="Yes",AND(M250&lt;&gt;"",M250&lt;='Weekly Report'!$F$7),AND(L250&lt;&gt;"",L250&gt;='Weekly Report'!$F$6,L250&lt;='Weekly Report'!$F$7))),ROW(),"")</f>
        <v/>
      </c>
    </row>
    <row r="251" customFormat="false" ht="15" hidden="false" customHeight="false" outlineLevel="0" collapsed="false">
      <c r="A251" s="56" t="s">
        <v>1732</v>
      </c>
      <c r="B251" s="63"/>
      <c r="C251" s="61"/>
      <c r="D251" s="61"/>
      <c r="E251" s="61"/>
      <c r="F251" s="60"/>
      <c r="G251" s="61"/>
      <c r="H251" s="61"/>
      <c r="I251" s="61"/>
      <c r="J251" s="61"/>
      <c r="K251" s="61"/>
      <c r="L251" s="63"/>
      <c r="M251" s="63"/>
      <c r="N251" s="63"/>
      <c r="O251" s="94"/>
      <c r="P251" s="61"/>
      <c r="Q251" s="63"/>
      <c r="R251" s="60"/>
      <c r="S251" s="60"/>
      <c r="T251" s="63"/>
      <c r="U251" s="60"/>
      <c r="V251" s="60"/>
      <c r="W251" s="87" t="str">
        <f aca="true">IF(B251="","",IF(N251&lt;&gt;"",N251-B251,TODAY()-B251))</f>
        <v/>
      </c>
      <c r="X251" s="62" t="str">
        <f aca="true">IF(OR(M251="",K251="Completed",K251="Cancelled"),"",IF(M251&lt;TODAY(),"OVERDUE",IF(M251-TODAY()&lt;=7,"Due ≤7d","On Schedule")))</f>
        <v/>
      </c>
      <c r="Y251" s="60"/>
      <c r="Z251" s="88" t="str">
        <f aca="false">IF(AND(N251&lt;&gt;"",N251&gt;='Weekly Report'!$F$4,N251&lt;='Weekly Report'!$F$5),ROW(),"")</f>
        <v/>
      </c>
      <c r="AA251" s="88" t="str">
        <f aca="false">IF(AND(AND(Q251&lt;&gt;"",Q251&gt;='Weekly Report'!$F$4,Q251&lt;='Weekly Report'!$F$5),AND(F251&lt;&gt;"",K251&lt;&gt;"Completed",K251&lt;&gt;"Cancelled")),ROW(),"")</f>
        <v/>
      </c>
      <c r="AB251" s="88" t="str">
        <f aca="false">IF(AND(F251&lt;&gt;"",K251="In Progress"),ROW(),"")</f>
        <v/>
      </c>
      <c r="AC251" s="88" t="str">
        <f aca="false">IF(AND(AND(F251&lt;&gt;"",K251&lt;&gt;"Completed",K251&lt;&gt;"Cancelled"),OR(K251="Blocked",S251&lt;&gt;"")),ROW(),"")</f>
        <v/>
      </c>
      <c r="AD251" s="88" t="str">
        <f aca="false">IF(AND(AND(F251&lt;&gt;"",K251&lt;&gt;"Completed",K251&lt;&gt;"Cancelled"),OR(P251="Yes",AND(M251&lt;&gt;"",M251&lt;='Weekly Report'!$F$7),AND(L251&lt;&gt;"",L251&gt;='Weekly Report'!$F$6,L251&lt;='Weekly Report'!$F$7))),ROW(),"")</f>
        <v/>
      </c>
    </row>
    <row r="252" customFormat="false" ht="15" hidden="false" customHeight="false" outlineLevel="0" collapsed="false">
      <c r="A252" s="56" t="s">
        <v>1733</v>
      </c>
      <c r="B252" s="63"/>
      <c r="C252" s="61"/>
      <c r="D252" s="61"/>
      <c r="E252" s="61"/>
      <c r="F252" s="60"/>
      <c r="G252" s="61"/>
      <c r="H252" s="61"/>
      <c r="I252" s="61"/>
      <c r="J252" s="61"/>
      <c r="K252" s="61"/>
      <c r="L252" s="63"/>
      <c r="M252" s="63"/>
      <c r="N252" s="63"/>
      <c r="O252" s="94"/>
      <c r="P252" s="61"/>
      <c r="Q252" s="63"/>
      <c r="R252" s="60"/>
      <c r="S252" s="60"/>
      <c r="T252" s="63"/>
      <c r="U252" s="60"/>
      <c r="V252" s="60"/>
      <c r="W252" s="87" t="str">
        <f aca="true">IF(B252="","",IF(N252&lt;&gt;"",N252-B252,TODAY()-B252))</f>
        <v/>
      </c>
      <c r="X252" s="62" t="str">
        <f aca="true">IF(OR(M252="",K252="Completed",K252="Cancelled"),"",IF(M252&lt;TODAY(),"OVERDUE",IF(M252-TODAY()&lt;=7,"Due ≤7d","On Schedule")))</f>
        <v/>
      </c>
      <c r="Y252" s="60"/>
      <c r="Z252" s="88" t="str">
        <f aca="false">IF(AND(N252&lt;&gt;"",N252&gt;='Weekly Report'!$F$4,N252&lt;='Weekly Report'!$F$5),ROW(),"")</f>
        <v/>
      </c>
      <c r="AA252" s="88" t="str">
        <f aca="false">IF(AND(AND(Q252&lt;&gt;"",Q252&gt;='Weekly Report'!$F$4,Q252&lt;='Weekly Report'!$F$5),AND(F252&lt;&gt;"",K252&lt;&gt;"Completed",K252&lt;&gt;"Cancelled")),ROW(),"")</f>
        <v/>
      </c>
      <c r="AB252" s="88" t="str">
        <f aca="false">IF(AND(F252&lt;&gt;"",K252="In Progress"),ROW(),"")</f>
        <v/>
      </c>
      <c r="AC252" s="88" t="str">
        <f aca="false">IF(AND(AND(F252&lt;&gt;"",K252&lt;&gt;"Completed",K252&lt;&gt;"Cancelled"),OR(K252="Blocked",S252&lt;&gt;"")),ROW(),"")</f>
        <v/>
      </c>
      <c r="AD252" s="88" t="str">
        <f aca="false">IF(AND(AND(F252&lt;&gt;"",K252&lt;&gt;"Completed",K252&lt;&gt;"Cancelled"),OR(P252="Yes",AND(M252&lt;&gt;"",M252&lt;='Weekly Report'!$F$7),AND(L252&lt;&gt;"",L252&gt;='Weekly Report'!$F$6,L252&lt;='Weekly Report'!$F$7))),ROW(),"")</f>
        <v/>
      </c>
    </row>
    <row r="253" customFormat="false" ht="15" hidden="false" customHeight="false" outlineLevel="0" collapsed="false">
      <c r="A253" s="56" t="s">
        <v>1734</v>
      </c>
      <c r="B253" s="63"/>
      <c r="C253" s="61"/>
      <c r="D253" s="61"/>
      <c r="E253" s="61"/>
      <c r="F253" s="60"/>
      <c r="G253" s="61"/>
      <c r="H253" s="61"/>
      <c r="I253" s="61"/>
      <c r="J253" s="61"/>
      <c r="K253" s="61"/>
      <c r="L253" s="63"/>
      <c r="M253" s="63"/>
      <c r="N253" s="63"/>
      <c r="O253" s="94"/>
      <c r="P253" s="61"/>
      <c r="Q253" s="63"/>
      <c r="R253" s="60"/>
      <c r="S253" s="60"/>
      <c r="T253" s="63"/>
      <c r="U253" s="60"/>
      <c r="V253" s="60"/>
      <c r="W253" s="87" t="str">
        <f aca="true">IF(B253="","",IF(N253&lt;&gt;"",N253-B253,TODAY()-B253))</f>
        <v/>
      </c>
      <c r="X253" s="62" t="str">
        <f aca="true">IF(OR(M253="",K253="Completed",K253="Cancelled"),"",IF(M253&lt;TODAY(),"OVERDUE",IF(M253-TODAY()&lt;=7,"Due ≤7d","On Schedule")))</f>
        <v/>
      </c>
      <c r="Y253" s="60"/>
      <c r="Z253" s="88" t="str">
        <f aca="false">IF(AND(N253&lt;&gt;"",N253&gt;='Weekly Report'!$F$4,N253&lt;='Weekly Report'!$F$5),ROW(),"")</f>
        <v/>
      </c>
      <c r="AA253" s="88" t="str">
        <f aca="false">IF(AND(AND(Q253&lt;&gt;"",Q253&gt;='Weekly Report'!$F$4,Q253&lt;='Weekly Report'!$F$5),AND(F253&lt;&gt;"",K253&lt;&gt;"Completed",K253&lt;&gt;"Cancelled")),ROW(),"")</f>
        <v/>
      </c>
      <c r="AB253" s="88" t="str">
        <f aca="false">IF(AND(F253&lt;&gt;"",K253="In Progress"),ROW(),"")</f>
        <v/>
      </c>
      <c r="AC253" s="88" t="str">
        <f aca="false">IF(AND(AND(F253&lt;&gt;"",K253&lt;&gt;"Completed",K253&lt;&gt;"Cancelled"),OR(K253="Blocked",S253&lt;&gt;"")),ROW(),"")</f>
        <v/>
      </c>
      <c r="AD253" s="88" t="str">
        <f aca="false">IF(AND(AND(F253&lt;&gt;"",K253&lt;&gt;"Completed",K253&lt;&gt;"Cancelled"),OR(P253="Yes",AND(M253&lt;&gt;"",M253&lt;='Weekly Report'!$F$7),AND(L253&lt;&gt;"",L253&gt;='Weekly Report'!$F$6,L253&lt;='Weekly Report'!$F$7))),ROW(),"")</f>
        <v/>
      </c>
    </row>
    <row r="254" customFormat="false" ht="15" hidden="false" customHeight="false" outlineLevel="0" collapsed="false">
      <c r="A254" s="56" t="s">
        <v>1735</v>
      </c>
      <c r="B254" s="63"/>
      <c r="C254" s="61"/>
      <c r="D254" s="61"/>
      <c r="E254" s="61"/>
      <c r="F254" s="60"/>
      <c r="G254" s="61"/>
      <c r="H254" s="61"/>
      <c r="I254" s="61"/>
      <c r="J254" s="61"/>
      <c r="K254" s="61"/>
      <c r="L254" s="63"/>
      <c r="M254" s="63"/>
      <c r="N254" s="63"/>
      <c r="O254" s="94"/>
      <c r="P254" s="61"/>
      <c r="Q254" s="63"/>
      <c r="R254" s="60"/>
      <c r="S254" s="60"/>
      <c r="T254" s="63"/>
      <c r="U254" s="60"/>
      <c r="V254" s="60"/>
      <c r="W254" s="87" t="str">
        <f aca="true">IF(B254="","",IF(N254&lt;&gt;"",N254-B254,TODAY()-B254))</f>
        <v/>
      </c>
      <c r="X254" s="62" t="str">
        <f aca="true">IF(OR(M254="",K254="Completed",K254="Cancelled"),"",IF(M254&lt;TODAY(),"OVERDUE",IF(M254-TODAY()&lt;=7,"Due ≤7d","On Schedule")))</f>
        <v/>
      </c>
      <c r="Y254" s="60"/>
      <c r="Z254" s="88" t="str">
        <f aca="false">IF(AND(N254&lt;&gt;"",N254&gt;='Weekly Report'!$F$4,N254&lt;='Weekly Report'!$F$5),ROW(),"")</f>
        <v/>
      </c>
      <c r="AA254" s="88" t="str">
        <f aca="false">IF(AND(AND(Q254&lt;&gt;"",Q254&gt;='Weekly Report'!$F$4,Q254&lt;='Weekly Report'!$F$5),AND(F254&lt;&gt;"",K254&lt;&gt;"Completed",K254&lt;&gt;"Cancelled")),ROW(),"")</f>
        <v/>
      </c>
      <c r="AB254" s="88" t="str">
        <f aca="false">IF(AND(F254&lt;&gt;"",K254="In Progress"),ROW(),"")</f>
        <v/>
      </c>
      <c r="AC254" s="88" t="str">
        <f aca="false">IF(AND(AND(F254&lt;&gt;"",K254&lt;&gt;"Completed",K254&lt;&gt;"Cancelled"),OR(K254="Blocked",S254&lt;&gt;"")),ROW(),"")</f>
        <v/>
      </c>
      <c r="AD254" s="88" t="str">
        <f aca="false">IF(AND(AND(F254&lt;&gt;"",K254&lt;&gt;"Completed",K254&lt;&gt;"Cancelled"),OR(P254="Yes",AND(M254&lt;&gt;"",M254&lt;='Weekly Report'!$F$7),AND(L254&lt;&gt;"",L254&gt;='Weekly Report'!$F$6,L254&lt;='Weekly Report'!$F$7))),ROW(),"")</f>
        <v/>
      </c>
    </row>
    <row r="255" customFormat="false" ht="15" hidden="false" customHeight="false" outlineLevel="0" collapsed="false">
      <c r="A255" s="56" t="s">
        <v>1736</v>
      </c>
      <c r="B255" s="63"/>
      <c r="C255" s="61"/>
      <c r="D255" s="61"/>
      <c r="E255" s="61"/>
      <c r="F255" s="60"/>
      <c r="G255" s="61"/>
      <c r="H255" s="61"/>
      <c r="I255" s="61"/>
      <c r="J255" s="61"/>
      <c r="K255" s="61"/>
      <c r="L255" s="63"/>
      <c r="M255" s="63"/>
      <c r="N255" s="63"/>
      <c r="O255" s="94"/>
      <c r="P255" s="61"/>
      <c r="Q255" s="63"/>
      <c r="R255" s="60"/>
      <c r="S255" s="60"/>
      <c r="T255" s="63"/>
      <c r="U255" s="60"/>
      <c r="V255" s="60"/>
      <c r="W255" s="87" t="str">
        <f aca="true">IF(B255="","",IF(N255&lt;&gt;"",N255-B255,TODAY()-B255))</f>
        <v/>
      </c>
      <c r="X255" s="62" t="str">
        <f aca="true">IF(OR(M255="",K255="Completed",K255="Cancelled"),"",IF(M255&lt;TODAY(),"OVERDUE",IF(M255-TODAY()&lt;=7,"Due ≤7d","On Schedule")))</f>
        <v/>
      </c>
      <c r="Y255" s="60"/>
      <c r="Z255" s="88" t="str">
        <f aca="false">IF(AND(N255&lt;&gt;"",N255&gt;='Weekly Report'!$F$4,N255&lt;='Weekly Report'!$F$5),ROW(),"")</f>
        <v/>
      </c>
      <c r="AA255" s="88" t="str">
        <f aca="false">IF(AND(AND(Q255&lt;&gt;"",Q255&gt;='Weekly Report'!$F$4,Q255&lt;='Weekly Report'!$F$5),AND(F255&lt;&gt;"",K255&lt;&gt;"Completed",K255&lt;&gt;"Cancelled")),ROW(),"")</f>
        <v/>
      </c>
      <c r="AB255" s="88" t="str">
        <f aca="false">IF(AND(F255&lt;&gt;"",K255="In Progress"),ROW(),"")</f>
        <v/>
      </c>
      <c r="AC255" s="88" t="str">
        <f aca="false">IF(AND(AND(F255&lt;&gt;"",K255&lt;&gt;"Completed",K255&lt;&gt;"Cancelled"),OR(K255="Blocked",S255&lt;&gt;"")),ROW(),"")</f>
        <v/>
      </c>
      <c r="AD255" s="88" t="str">
        <f aca="false">IF(AND(AND(F255&lt;&gt;"",K255&lt;&gt;"Completed",K255&lt;&gt;"Cancelled"),OR(P255="Yes",AND(M255&lt;&gt;"",M255&lt;='Weekly Report'!$F$7),AND(L255&lt;&gt;"",L255&gt;='Weekly Report'!$F$6,L255&lt;='Weekly Report'!$F$7))),ROW(),"")</f>
        <v/>
      </c>
    </row>
    <row r="256" customFormat="false" ht="15" hidden="false" customHeight="false" outlineLevel="0" collapsed="false">
      <c r="A256" s="56" t="s">
        <v>1737</v>
      </c>
      <c r="B256" s="63"/>
      <c r="C256" s="61"/>
      <c r="D256" s="61"/>
      <c r="E256" s="61"/>
      <c r="F256" s="60"/>
      <c r="G256" s="61"/>
      <c r="H256" s="61"/>
      <c r="I256" s="61"/>
      <c r="J256" s="61"/>
      <c r="K256" s="61"/>
      <c r="L256" s="63"/>
      <c r="M256" s="63"/>
      <c r="N256" s="63"/>
      <c r="O256" s="94"/>
      <c r="P256" s="61"/>
      <c r="Q256" s="63"/>
      <c r="R256" s="60"/>
      <c r="S256" s="60"/>
      <c r="T256" s="63"/>
      <c r="U256" s="60"/>
      <c r="V256" s="60"/>
      <c r="W256" s="87" t="str">
        <f aca="true">IF(B256="","",IF(N256&lt;&gt;"",N256-B256,TODAY()-B256))</f>
        <v/>
      </c>
      <c r="X256" s="62" t="str">
        <f aca="true">IF(OR(M256="",K256="Completed",K256="Cancelled"),"",IF(M256&lt;TODAY(),"OVERDUE",IF(M256-TODAY()&lt;=7,"Due ≤7d","On Schedule")))</f>
        <v/>
      </c>
      <c r="Y256" s="60"/>
      <c r="Z256" s="88" t="str">
        <f aca="false">IF(AND(N256&lt;&gt;"",N256&gt;='Weekly Report'!$F$4,N256&lt;='Weekly Report'!$F$5),ROW(),"")</f>
        <v/>
      </c>
      <c r="AA256" s="88" t="str">
        <f aca="false">IF(AND(AND(Q256&lt;&gt;"",Q256&gt;='Weekly Report'!$F$4,Q256&lt;='Weekly Report'!$F$5),AND(F256&lt;&gt;"",K256&lt;&gt;"Completed",K256&lt;&gt;"Cancelled")),ROW(),"")</f>
        <v/>
      </c>
      <c r="AB256" s="88" t="str">
        <f aca="false">IF(AND(F256&lt;&gt;"",K256="In Progress"),ROW(),"")</f>
        <v/>
      </c>
      <c r="AC256" s="88" t="str">
        <f aca="false">IF(AND(AND(F256&lt;&gt;"",K256&lt;&gt;"Completed",K256&lt;&gt;"Cancelled"),OR(K256="Blocked",S256&lt;&gt;"")),ROW(),"")</f>
        <v/>
      </c>
      <c r="AD256" s="88" t="str">
        <f aca="false">IF(AND(AND(F256&lt;&gt;"",K256&lt;&gt;"Completed",K256&lt;&gt;"Cancelled"),OR(P256="Yes",AND(M256&lt;&gt;"",M256&lt;='Weekly Report'!$F$7),AND(L256&lt;&gt;"",L256&gt;='Weekly Report'!$F$6,L256&lt;='Weekly Report'!$F$7))),ROW(),"")</f>
        <v/>
      </c>
    </row>
    <row r="257" customFormat="false" ht="15" hidden="false" customHeight="false" outlineLevel="0" collapsed="false">
      <c r="A257" s="56" t="s">
        <v>1738</v>
      </c>
      <c r="B257" s="63"/>
      <c r="C257" s="61"/>
      <c r="D257" s="61"/>
      <c r="E257" s="61"/>
      <c r="F257" s="60"/>
      <c r="G257" s="61"/>
      <c r="H257" s="61"/>
      <c r="I257" s="61"/>
      <c r="J257" s="61"/>
      <c r="K257" s="61"/>
      <c r="L257" s="63"/>
      <c r="M257" s="63"/>
      <c r="N257" s="63"/>
      <c r="O257" s="94"/>
      <c r="P257" s="61"/>
      <c r="Q257" s="63"/>
      <c r="R257" s="60"/>
      <c r="S257" s="60"/>
      <c r="T257" s="63"/>
      <c r="U257" s="60"/>
      <c r="V257" s="60"/>
      <c r="W257" s="87" t="str">
        <f aca="true">IF(B257="","",IF(N257&lt;&gt;"",N257-B257,TODAY()-B257))</f>
        <v/>
      </c>
      <c r="X257" s="62" t="str">
        <f aca="true">IF(OR(M257="",K257="Completed",K257="Cancelled"),"",IF(M257&lt;TODAY(),"OVERDUE",IF(M257-TODAY()&lt;=7,"Due ≤7d","On Schedule")))</f>
        <v/>
      </c>
      <c r="Y257" s="60"/>
      <c r="Z257" s="88" t="str">
        <f aca="false">IF(AND(N257&lt;&gt;"",N257&gt;='Weekly Report'!$F$4,N257&lt;='Weekly Report'!$F$5),ROW(),"")</f>
        <v/>
      </c>
      <c r="AA257" s="88" t="str">
        <f aca="false">IF(AND(AND(Q257&lt;&gt;"",Q257&gt;='Weekly Report'!$F$4,Q257&lt;='Weekly Report'!$F$5),AND(F257&lt;&gt;"",K257&lt;&gt;"Completed",K257&lt;&gt;"Cancelled")),ROW(),"")</f>
        <v/>
      </c>
      <c r="AB257" s="88" t="str">
        <f aca="false">IF(AND(F257&lt;&gt;"",K257="In Progress"),ROW(),"")</f>
        <v/>
      </c>
      <c r="AC257" s="88" t="str">
        <f aca="false">IF(AND(AND(F257&lt;&gt;"",K257&lt;&gt;"Completed",K257&lt;&gt;"Cancelled"),OR(K257="Blocked",S257&lt;&gt;"")),ROW(),"")</f>
        <v/>
      </c>
      <c r="AD257" s="88" t="str">
        <f aca="false">IF(AND(AND(F257&lt;&gt;"",K257&lt;&gt;"Completed",K257&lt;&gt;"Cancelled"),OR(P257="Yes",AND(M257&lt;&gt;"",M257&lt;='Weekly Report'!$F$7),AND(L257&lt;&gt;"",L257&gt;='Weekly Report'!$F$6,L257&lt;='Weekly Report'!$F$7))),ROW(),"")</f>
        <v/>
      </c>
    </row>
    <row r="258" customFormat="false" ht="15" hidden="false" customHeight="false" outlineLevel="0" collapsed="false">
      <c r="A258" s="56" t="s">
        <v>1739</v>
      </c>
      <c r="B258" s="63"/>
      <c r="C258" s="61"/>
      <c r="D258" s="61"/>
      <c r="E258" s="61"/>
      <c r="F258" s="60"/>
      <c r="G258" s="61"/>
      <c r="H258" s="61"/>
      <c r="I258" s="61"/>
      <c r="J258" s="61"/>
      <c r="K258" s="61"/>
      <c r="L258" s="63"/>
      <c r="M258" s="63"/>
      <c r="N258" s="63"/>
      <c r="O258" s="94"/>
      <c r="P258" s="61"/>
      <c r="Q258" s="63"/>
      <c r="R258" s="60"/>
      <c r="S258" s="60"/>
      <c r="T258" s="63"/>
      <c r="U258" s="60"/>
      <c r="V258" s="60"/>
      <c r="W258" s="87" t="str">
        <f aca="true">IF(B258="","",IF(N258&lt;&gt;"",N258-B258,TODAY()-B258))</f>
        <v/>
      </c>
      <c r="X258" s="62" t="str">
        <f aca="true">IF(OR(M258="",K258="Completed",K258="Cancelled"),"",IF(M258&lt;TODAY(),"OVERDUE",IF(M258-TODAY()&lt;=7,"Due ≤7d","On Schedule")))</f>
        <v/>
      </c>
      <c r="Y258" s="60"/>
      <c r="Z258" s="88" t="str">
        <f aca="false">IF(AND(N258&lt;&gt;"",N258&gt;='Weekly Report'!$F$4,N258&lt;='Weekly Report'!$F$5),ROW(),"")</f>
        <v/>
      </c>
      <c r="AA258" s="88" t="str">
        <f aca="false">IF(AND(AND(Q258&lt;&gt;"",Q258&gt;='Weekly Report'!$F$4,Q258&lt;='Weekly Report'!$F$5),AND(F258&lt;&gt;"",K258&lt;&gt;"Completed",K258&lt;&gt;"Cancelled")),ROW(),"")</f>
        <v/>
      </c>
      <c r="AB258" s="88" t="str">
        <f aca="false">IF(AND(F258&lt;&gt;"",K258="In Progress"),ROW(),"")</f>
        <v/>
      </c>
      <c r="AC258" s="88" t="str">
        <f aca="false">IF(AND(AND(F258&lt;&gt;"",K258&lt;&gt;"Completed",K258&lt;&gt;"Cancelled"),OR(K258="Blocked",S258&lt;&gt;"")),ROW(),"")</f>
        <v/>
      </c>
      <c r="AD258" s="88" t="str">
        <f aca="false">IF(AND(AND(F258&lt;&gt;"",K258&lt;&gt;"Completed",K258&lt;&gt;"Cancelled"),OR(P258="Yes",AND(M258&lt;&gt;"",M258&lt;='Weekly Report'!$F$7),AND(L258&lt;&gt;"",L258&gt;='Weekly Report'!$F$6,L258&lt;='Weekly Report'!$F$7))),ROW(),"")</f>
        <v/>
      </c>
    </row>
    <row r="259" customFormat="false" ht="15" hidden="false" customHeight="false" outlineLevel="0" collapsed="false">
      <c r="A259" s="56" t="s">
        <v>1740</v>
      </c>
      <c r="B259" s="63"/>
      <c r="C259" s="61"/>
      <c r="D259" s="61"/>
      <c r="E259" s="61"/>
      <c r="F259" s="60"/>
      <c r="G259" s="61"/>
      <c r="H259" s="61"/>
      <c r="I259" s="61"/>
      <c r="J259" s="61"/>
      <c r="K259" s="61"/>
      <c r="L259" s="63"/>
      <c r="M259" s="63"/>
      <c r="N259" s="63"/>
      <c r="O259" s="94"/>
      <c r="P259" s="61"/>
      <c r="Q259" s="63"/>
      <c r="R259" s="60"/>
      <c r="S259" s="60"/>
      <c r="T259" s="63"/>
      <c r="U259" s="60"/>
      <c r="V259" s="60"/>
      <c r="W259" s="87" t="str">
        <f aca="true">IF(B259="","",IF(N259&lt;&gt;"",N259-B259,TODAY()-B259))</f>
        <v/>
      </c>
      <c r="X259" s="62" t="str">
        <f aca="true">IF(OR(M259="",K259="Completed",K259="Cancelled"),"",IF(M259&lt;TODAY(),"OVERDUE",IF(M259-TODAY()&lt;=7,"Due ≤7d","On Schedule")))</f>
        <v/>
      </c>
      <c r="Y259" s="60"/>
      <c r="Z259" s="88" t="str">
        <f aca="false">IF(AND(N259&lt;&gt;"",N259&gt;='Weekly Report'!$F$4,N259&lt;='Weekly Report'!$F$5),ROW(),"")</f>
        <v/>
      </c>
      <c r="AA259" s="88" t="str">
        <f aca="false">IF(AND(AND(Q259&lt;&gt;"",Q259&gt;='Weekly Report'!$F$4,Q259&lt;='Weekly Report'!$F$5),AND(F259&lt;&gt;"",K259&lt;&gt;"Completed",K259&lt;&gt;"Cancelled")),ROW(),"")</f>
        <v/>
      </c>
      <c r="AB259" s="88" t="str">
        <f aca="false">IF(AND(F259&lt;&gt;"",K259="In Progress"),ROW(),"")</f>
        <v/>
      </c>
      <c r="AC259" s="88" t="str">
        <f aca="false">IF(AND(AND(F259&lt;&gt;"",K259&lt;&gt;"Completed",K259&lt;&gt;"Cancelled"),OR(K259="Blocked",S259&lt;&gt;"")),ROW(),"")</f>
        <v/>
      </c>
      <c r="AD259" s="88" t="str">
        <f aca="false">IF(AND(AND(F259&lt;&gt;"",K259&lt;&gt;"Completed",K259&lt;&gt;"Cancelled"),OR(P259="Yes",AND(M259&lt;&gt;"",M259&lt;='Weekly Report'!$F$7),AND(L259&lt;&gt;"",L259&gt;='Weekly Report'!$F$6,L259&lt;='Weekly Report'!$F$7))),ROW(),"")</f>
        <v/>
      </c>
    </row>
    <row r="260" customFormat="false" ht="15" hidden="false" customHeight="false" outlineLevel="0" collapsed="false">
      <c r="A260" s="56" t="s">
        <v>1741</v>
      </c>
      <c r="B260" s="63"/>
      <c r="C260" s="61"/>
      <c r="D260" s="61"/>
      <c r="E260" s="61"/>
      <c r="F260" s="60"/>
      <c r="G260" s="61"/>
      <c r="H260" s="61"/>
      <c r="I260" s="61"/>
      <c r="J260" s="61"/>
      <c r="K260" s="61"/>
      <c r="L260" s="63"/>
      <c r="M260" s="63"/>
      <c r="N260" s="63"/>
      <c r="O260" s="94"/>
      <c r="P260" s="61"/>
      <c r="Q260" s="63"/>
      <c r="R260" s="60"/>
      <c r="S260" s="60"/>
      <c r="T260" s="63"/>
      <c r="U260" s="60"/>
      <c r="V260" s="60"/>
      <c r="W260" s="87" t="str">
        <f aca="true">IF(B260="","",IF(N260&lt;&gt;"",N260-B260,TODAY()-B260))</f>
        <v/>
      </c>
      <c r="X260" s="62" t="str">
        <f aca="true">IF(OR(M260="",K260="Completed",K260="Cancelled"),"",IF(M260&lt;TODAY(),"OVERDUE",IF(M260-TODAY()&lt;=7,"Due ≤7d","On Schedule")))</f>
        <v/>
      </c>
      <c r="Y260" s="60"/>
      <c r="Z260" s="88" t="str">
        <f aca="false">IF(AND(N260&lt;&gt;"",N260&gt;='Weekly Report'!$F$4,N260&lt;='Weekly Report'!$F$5),ROW(),"")</f>
        <v/>
      </c>
      <c r="AA260" s="88" t="str">
        <f aca="false">IF(AND(AND(Q260&lt;&gt;"",Q260&gt;='Weekly Report'!$F$4,Q260&lt;='Weekly Report'!$F$5),AND(F260&lt;&gt;"",K260&lt;&gt;"Completed",K260&lt;&gt;"Cancelled")),ROW(),"")</f>
        <v/>
      </c>
      <c r="AB260" s="88" t="str">
        <f aca="false">IF(AND(F260&lt;&gt;"",K260="In Progress"),ROW(),"")</f>
        <v/>
      </c>
      <c r="AC260" s="88" t="str">
        <f aca="false">IF(AND(AND(F260&lt;&gt;"",K260&lt;&gt;"Completed",K260&lt;&gt;"Cancelled"),OR(K260="Blocked",S260&lt;&gt;"")),ROW(),"")</f>
        <v/>
      </c>
      <c r="AD260" s="88" t="str">
        <f aca="false">IF(AND(AND(F260&lt;&gt;"",K260&lt;&gt;"Completed",K260&lt;&gt;"Cancelled"),OR(P260="Yes",AND(M260&lt;&gt;"",M260&lt;='Weekly Report'!$F$7),AND(L260&lt;&gt;"",L260&gt;='Weekly Report'!$F$6,L260&lt;='Weekly Report'!$F$7))),ROW(),"")</f>
        <v/>
      </c>
    </row>
    <row r="261" customFormat="false" ht="15" hidden="false" customHeight="false" outlineLevel="0" collapsed="false">
      <c r="A261" s="56" t="s">
        <v>1742</v>
      </c>
      <c r="B261" s="63"/>
      <c r="C261" s="61"/>
      <c r="D261" s="61"/>
      <c r="E261" s="61"/>
      <c r="F261" s="60"/>
      <c r="G261" s="61"/>
      <c r="H261" s="61"/>
      <c r="I261" s="61"/>
      <c r="J261" s="61"/>
      <c r="K261" s="61"/>
      <c r="L261" s="63"/>
      <c r="M261" s="63"/>
      <c r="N261" s="63"/>
      <c r="O261" s="94"/>
      <c r="P261" s="61"/>
      <c r="Q261" s="63"/>
      <c r="R261" s="60"/>
      <c r="S261" s="60"/>
      <c r="T261" s="63"/>
      <c r="U261" s="60"/>
      <c r="V261" s="60"/>
      <c r="W261" s="87" t="str">
        <f aca="true">IF(B261="","",IF(N261&lt;&gt;"",N261-B261,TODAY()-B261))</f>
        <v/>
      </c>
      <c r="X261" s="62" t="str">
        <f aca="true">IF(OR(M261="",K261="Completed",K261="Cancelled"),"",IF(M261&lt;TODAY(),"OVERDUE",IF(M261-TODAY()&lt;=7,"Due ≤7d","On Schedule")))</f>
        <v/>
      </c>
      <c r="Y261" s="60"/>
      <c r="Z261" s="88" t="str">
        <f aca="false">IF(AND(N261&lt;&gt;"",N261&gt;='Weekly Report'!$F$4,N261&lt;='Weekly Report'!$F$5),ROW(),"")</f>
        <v/>
      </c>
      <c r="AA261" s="88" t="str">
        <f aca="false">IF(AND(AND(Q261&lt;&gt;"",Q261&gt;='Weekly Report'!$F$4,Q261&lt;='Weekly Report'!$F$5),AND(F261&lt;&gt;"",K261&lt;&gt;"Completed",K261&lt;&gt;"Cancelled")),ROW(),"")</f>
        <v/>
      </c>
      <c r="AB261" s="88" t="str">
        <f aca="false">IF(AND(F261&lt;&gt;"",K261="In Progress"),ROW(),"")</f>
        <v/>
      </c>
      <c r="AC261" s="88" t="str">
        <f aca="false">IF(AND(AND(F261&lt;&gt;"",K261&lt;&gt;"Completed",K261&lt;&gt;"Cancelled"),OR(K261="Blocked",S261&lt;&gt;"")),ROW(),"")</f>
        <v/>
      </c>
      <c r="AD261" s="88" t="str">
        <f aca="false">IF(AND(AND(F261&lt;&gt;"",K261&lt;&gt;"Completed",K261&lt;&gt;"Cancelled"),OR(P261="Yes",AND(M261&lt;&gt;"",M261&lt;='Weekly Report'!$F$7),AND(L261&lt;&gt;"",L261&gt;='Weekly Report'!$F$6,L261&lt;='Weekly Report'!$F$7))),ROW(),"")</f>
        <v/>
      </c>
    </row>
    <row r="262" customFormat="false" ht="15" hidden="false" customHeight="false" outlineLevel="0" collapsed="false">
      <c r="A262" s="56" t="s">
        <v>1743</v>
      </c>
      <c r="B262" s="63"/>
      <c r="C262" s="61"/>
      <c r="D262" s="61"/>
      <c r="E262" s="61"/>
      <c r="F262" s="60"/>
      <c r="G262" s="61"/>
      <c r="H262" s="61"/>
      <c r="I262" s="61"/>
      <c r="J262" s="61"/>
      <c r="K262" s="61"/>
      <c r="L262" s="63"/>
      <c r="M262" s="63"/>
      <c r="N262" s="63"/>
      <c r="O262" s="94"/>
      <c r="P262" s="61"/>
      <c r="Q262" s="63"/>
      <c r="R262" s="60"/>
      <c r="S262" s="60"/>
      <c r="T262" s="63"/>
      <c r="U262" s="60"/>
      <c r="V262" s="60"/>
      <c r="W262" s="87" t="str">
        <f aca="true">IF(B262="","",IF(N262&lt;&gt;"",N262-B262,TODAY()-B262))</f>
        <v/>
      </c>
      <c r="X262" s="62" t="str">
        <f aca="true">IF(OR(M262="",K262="Completed",K262="Cancelled"),"",IF(M262&lt;TODAY(),"OVERDUE",IF(M262-TODAY()&lt;=7,"Due ≤7d","On Schedule")))</f>
        <v/>
      </c>
      <c r="Y262" s="60"/>
      <c r="Z262" s="88" t="str">
        <f aca="false">IF(AND(N262&lt;&gt;"",N262&gt;='Weekly Report'!$F$4,N262&lt;='Weekly Report'!$F$5),ROW(),"")</f>
        <v/>
      </c>
      <c r="AA262" s="88" t="str">
        <f aca="false">IF(AND(AND(Q262&lt;&gt;"",Q262&gt;='Weekly Report'!$F$4,Q262&lt;='Weekly Report'!$F$5),AND(F262&lt;&gt;"",K262&lt;&gt;"Completed",K262&lt;&gt;"Cancelled")),ROW(),"")</f>
        <v/>
      </c>
      <c r="AB262" s="88" t="str">
        <f aca="false">IF(AND(F262&lt;&gt;"",K262="In Progress"),ROW(),"")</f>
        <v/>
      </c>
      <c r="AC262" s="88" t="str">
        <f aca="false">IF(AND(AND(F262&lt;&gt;"",K262&lt;&gt;"Completed",K262&lt;&gt;"Cancelled"),OR(K262="Blocked",S262&lt;&gt;"")),ROW(),"")</f>
        <v/>
      </c>
      <c r="AD262" s="88" t="str">
        <f aca="false">IF(AND(AND(F262&lt;&gt;"",K262&lt;&gt;"Completed",K262&lt;&gt;"Cancelled"),OR(P262="Yes",AND(M262&lt;&gt;"",M262&lt;='Weekly Report'!$F$7),AND(L262&lt;&gt;"",L262&gt;='Weekly Report'!$F$6,L262&lt;='Weekly Report'!$F$7))),ROW(),"")</f>
        <v/>
      </c>
    </row>
    <row r="263" customFormat="false" ht="15" hidden="false" customHeight="false" outlineLevel="0" collapsed="false">
      <c r="A263" s="56" t="s">
        <v>1744</v>
      </c>
      <c r="B263" s="63"/>
      <c r="C263" s="61"/>
      <c r="D263" s="61"/>
      <c r="E263" s="61"/>
      <c r="F263" s="60"/>
      <c r="G263" s="61"/>
      <c r="H263" s="61"/>
      <c r="I263" s="61"/>
      <c r="J263" s="61"/>
      <c r="K263" s="61"/>
      <c r="L263" s="63"/>
      <c r="M263" s="63"/>
      <c r="N263" s="63"/>
      <c r="O263" s="94"/>
      <c r="P263" s="61"/>
      <c r="Q263" s="63"/>
      <c r="R263" s="60"/>
      <c r="S263" s="60"/>
      <c r="T263" s="63"/>
      <c r="U263" s="60"/>
      <c r="V263" s="60"/>
      <c r="W263" s="87" t="str">
        <f aca="true">IF(B263="","",IF(N263&lt;&gt;"",N263-B263,TODAY()-B263))</f>
        <v/>
      </c>
      <c r="X263" s="62" t="str">
        <f aca="true">IF(OR(M263="",K263="Completed",K263="Cancelled"),"",IF(M263&lt;TODAY(),"OVERDUE",IF(M263-TODAY()&lt;=7,"Due ≤7d","On Schedule")))</f>
        <v/>
      </c>
      <c r="Y263" s="60"/>
      <c r="Z263" s="88" t="str">
        <f aca="false">IF(AND(N263&lt;&gt;"",N263&gt;='Weekly Report'!$F$4,N263&lt;='Weekly Report'!$F$5),ROW(),"")</f>
        <v/>
      </c>
      <c r="AA263" s="88" t="str">
        <f aca="false">IF(AND(AND(Q263&lt;&gt;"",Q263&gt;='Weekly Report'!$F$4,Q263&lt;='Weekly Report'!$F$5),AND(F263&lt;&gt;"",K263&lt;&gt;"Completed",K263&lt;&gt;"Cancelled")),ROW(),"")</f>
        <v/>
      </c>
      <c r="AB263" s="88" t="str">
        <f aca="false">IF(AND(F263&lt;&gt;"",K263="In Progress"),ROW(),"")</f>
        <v/>
      </c>
      <c r="AC263" s="88" t="str">
        <f aca="false">IF(AND(AND(F263&lt;&gt;"",K263&lt;&gt;"Completed",K263&lt;&gt;"Cancelled"),OR(K263="Blocked",S263&lt;&gt;"")),ROW(),"")</f>
        <v/>
      </c>
      <c r="AD263" s="88" t="str">
        <f aca="false">IF(AND(AND(F263&lt;&gt;"",K263&lt;&gt;"Completed",K263&lt;&gt;"Cancelled"),OR(P263="Yes",AND(M263&lt;&gt;"",M263&lt;='Weekly Report'!$F$7),AND(L263&lt;&gt;"",L263&gt;='Weekly Report'!$F$6,L263&lt;='Weekly Report'!$F$7))),ROW(),"")</f>
        <v/>
      </c>
    </row>
    <row r="264" customFormat="false" ht="15" hidden="false" customHeight="false" outlineLevel="0" collapsed="false">
      <c r="A264" s="56" t="s">
        <v>1745</v>
      </c>
      <c r="B264" s="63"/>
      <c r="C264" s="61"/>
      <c r="D264" s="61"/>
      <c r="E264" s="61"/>
      <c r="F264" s="60"/>
      <c r="G264" s="61"/>
      <c r="H264" s="61"/>
      <c r="I264" s="61"/>
      <c r="J264" s="61"/>
      <c r="K264" s="61"/>
      <c r="L264" s="63"/>
      <c r="M264" s="63"/>
      <c r="N264" s="63"/>
      <c r="O264" s="94"/>
      <c r="P264" s="61"/>
      <c r="Q264" s="63"/>
      <c r="R264" s="60"/>
      <c r="S264" s="60"/>
      <c r="T264" s="63"/>
      <c r="U264" s="60"/>
      <c r="V264" s="60"/>
      <c r="W264" s="87" t="str">
        <f aca="true">IF(B264="","",IF(N264&lt;&gt;"",N264-B264,TODAY()-B264))</f>
        <v/>
      </c>
      <c r="X264" s="62" t="str">
        <f aca="true">IF(OR(M264="",K264="Completed",K264="Cancelled"),"",IF(M264&lt;TODAY(),"OVERDUE",IF(M264-TODAY()&lt;=7,"Due ≤7d","On Schedule")))</f>
        <v/>
      </c>
      <c r="Y264" s="60"/>
      <c r="Z264" s="88" t="str">
        <f aca="false">IF(AND(N264&lt;&gt;"",N264&gt;='Weekly Report'!$F$4,N264&lt;='Weekly Report'!$F$5),ROW(),"")</f>
        <v/>
      </c>
      <c r="AA264" s="88" t="str">
        <f aca="false">IF(AND(AND(Q264&lt;&gt;"",Q264&gt;='Weekly Report'!$F$4,Q264&lt;='Weekly Report'!$F$5),AND(F264&lt;&gt;"",K264&lt;&gt;"Completed",K264&lt;&gt;"Cancelled")),ROW(),"")</f>
        <v/>
      </c>
      <c r="AB264" s="88" t="str">
        <f aca="false">IF(AND(F264&lt;&gt;"",K264="In Progress"),ROW(),"")</f>
        <v/>
      </c>
      <c r="AC264" s="88" t="str">
        <f aca="false">IF(AND(AND(F264&lt;&gt;"",K264&lt;&gt;"Completed",K264&lt;&gt;"Cancelled"),OR(K264="Blocked",S264&lt;&gt;"")),ROW(),"")</f>
        <v/>
      </c>
      <c r="AD264" s="88" t="str">
        <f aca="false">IF(AND(AND(F264&lt;&gt;"",K264&lt;&gt;"Completed",K264&lt;&gt;"Cancelled"),OR(P264="Yes",AND(M264&lt;&gt;"",M264&lt;='Weekly Report'!$F$7),AND(L264&lt;&gt;"",L264&gt;='Weekly Report'!$F$6,L264&lt;='Weekly Report'!$F$7))),ROW(),"")</f>
        <v/>
      </c>
    </row>
    <row r="265" customFormat="false" ht="15" hidden="false" customHeight="false" outlineLevel="0" collapsed="false">
      <c r="A265" s="56" t="s">
        <v>1746</v>
      </c>
      <c r="B265" s="63"/>
      <c r="C265" s="61"/>
      <c r="D265" s="61"/>
      <c r="E265" s="61"/>
      <c r="F265" s="60"/>
      <c r="G265" s="61"/>
      <c r="H265" s="61"/>
      <c r="I265" s="61"/>
      <c r="J265" s="61"/>
      <c r="K265" s="61"/>
      <c r="L265" s="63"/>
      <c r="M265" s="63"/>
      <c r="N265" s="63"/>
      <c r="O265" s="94"/>
      <c r="P265" s="61"/>
      <c r="Q265" s="63"/>
      <c r="R265" s="60"/>
      <c r="S265" s="60"/>
      <c r="T265" s="63"/>
      <c r="U265" s="60"/>
      <c r="V265" s="60"/>
      <c r="W265" s="87" t="str">
        <f aca="true">IF(B265="","",IF(N265&lt;&gt;"",N265-B265,TODAY()-B265))</f>
        <v/>
      </c>
      <c r="X265" s="62" t="str">
        <f aca="true">IF(OR(M265="",K265="Completed",K265="Cancelled"),"",IF(M265&lt;TODAY(),"OVERDUE",IF(M265-TODAY()&lt;=7,"Due ≤7d","On Schedule")))</f>
        <v/>
      </c>
      <c r="Y265" s="60"/>
      <c r="Z265" s="88" t="str">
        <f aca="false">IF(AND(N265&lt;&gt;"",N265&gt;='Weekly Report'!$F$4,N265&lt;='Weekly Report'!$F$5),ROW(),"")</f>
        <v/>
      </c>
      <c r="AA265" s="88" t="str">
        <f aca="false">IF(AND(AND(Q265&lt;&gt;"",Q265&gt;='Weekly Report'!$F$4,Q265&lt;='Weekly Report'!$F$5),AND(F265&lt;&gt;"",K265&lt;&gt;"Completed",K265&lt;&gt;"Cancelled")),ROW(),"")</f>
        <v/>
      </c>
      <c r="AB265" s="88" t="str">
        <f aca="false">IF(AND(F265&lt;&gt;"",K265="In Progress"),ROW(),"")</f>
        <v/>
      </c>
      <c r="AC265" s="88" t="str">
        <f aca="false">IF(AND(AND(F265&lt;&gt;"",K265&lt;&gt;"Completed",K265&lt;&gt;"Cancelled"),OR(K265="Blocked",S265&lt;&gt;"")),ROW(),"")</f>
        <v/>
      </c>
      <c r="AD265" s="88" t="str">
        <f aca="false">IF(AND(AND(F265&lt;&gt;"",K265&lt;&gt;"Completed",K265&lt;&gt;"Cancelled"),OR(P265="Yes",AND(M265&lt;&gt;"",M265&lt;='Weekly Report'!$F$7),AND(L265&lt;&gt;"",L265&gt;='Weekly Report'!$F$6,L265&lt;='Weekly Report'!$F$7))),ROW(),"")</f>
        <v/>
      </c>
    </row>
    <row r="266" customFormat="false" ht="15" hidden="false" customHeight="false" outlineLevel="0" collapsed="false">
      <c r="A266" s="56" t="s">
        <v>1747</v>
      </c>
      <c r="B266" s="63"/>
      <c r="C266" s="61"/>
      <c r="D266" s="61"/>
      <c r="E266" s="61"/>
      <c r="F266" s="60"/>
      <c r="G266" s="61"/>
      <c r="H266" s="61"/>
      <c r="I266" s="61"/>
      <c r="J266" s="61"/>
      <c r="K266" s="61"/>
      <c r="L266" s="63"/>
      <c r="M266" s="63"/>
      <c r="N266" s="63"/>
      <c r="O266" s="94"/>
      <c r="P266" s="61"/>
      <c r="Q266" s="63"/>
      <c r="R266" s="60"/>
      <c r="S266" s="60"/>
      <c r="T266" s="63"/>
      <c r="U266" s="60"/>
      <c r="V266" s="60"/>
      <c r="W266" s="87" t="str">
        <f aca="true">IF(B266="","",IF(N266&lt;&gt;"",N266-B266,TODAY()-B266))</f>
        <v/>
      </c>
      <c r="X266" s="62" t="str">
        <f aca="true">IF(OR(M266="",K266="Completed",K266="Cancelled"),"",IF(M266&lt;TODAY(),"OVERDUE",IF(M266-TODAY()&lt;=7,"Due ≤7d","On Schedule")))</f>
        <v/>
      </c>
      <c r="Y266" s="60"/>
      <c r="Z266" s="88" t="str">
        <f aca="false">IF(AND(N266&lt;&gt;"",N266&gt;='Weekly Report'!$F$4,N266&lt;='Weekly Report'!$F$5),ROW(),"")</f>
        <v/>
      </c>
      <c r="AA266" s="88" t="str">
        <f aca="false">IF(AND(AND(Q266&lt;&gt;"",Q266&gt;='Weekly Report'!$F$4,Q266&lt;='Weekly Report'!$F$5),AND(F266&lt;&gt;"",K266&lt;&gt;"Completed",K266&lt;&gt;"Cancelled")),ROW(),"")</f>
        <v/>
      </c>
      <c r="AB266" s="88" t="str">
        <f aca="false">IF(AND(F266&lt;&gt;"",K266="In Progress"),ROW(),"")</f>
        <v/>
      </c>
      <c r="AC266" s="88" t="str">
        <f aca="false">IF(AND(AND(F266&lt;&gt;"",K266&lt;&gt;"Completed",K266&lt;&gt;"Cancelled"),OR(K266="Blocked",S266&lt;&gt;"")),ROW(),"")</f>
        <v/>
      </c>
      <c r="AD266" s="88" t="str">
        <f aca="false">IF(AND(AND(F266&lt;&gt;"",K266&lt;&gt;"Completed",K266&lt;&gt;"Cancelled"),OR(P266="Yes",AND(M266&lt;&gt;"",M266&lt;='Weekly Report'!$F$7),AND(L266&lt;&gt;"",L266&gt;='Weekly Report'!$F$6,L266&lt;='Weekly Report'!$F$7))),ROW(),"")</f>
        <v/>
      </c>
    </row>
    <row r="267" customFormat="false" ht="15" hidden="false" customHeight="false" outlineLevel="0" collapsed="false">
      <c r="A267" s="56" t="s">
        <v>1748</v>
      </c>
      <c r="B267" s="63"/>
      <c r="C267" s="61"/>
      <c r="D267" s="61"/>
      <c r="E267" s="61"/>
      <c r="F267" s="60"/>
      <c r="G267" s="61"/>
      <c r="H267" s="61"/>
      <c r="I267" s="61"/>
      <c r="J267" s="61"/>
      <c r="K267" s="61"/>
      <c r="L267" s="63"/>
      <c r="M267" s="63"/>
      <c r="N267" s="63"/>
      <c r="O267" s="94"/>
      <c r="P267" s="61"/>
      <c r="Q267" s="63"/>
      <c r="R267" s="60"/>
      <c r="S267" s="60"/>
      <c r="T267" s="63"/>
      <c r="U267" s="60"/>
      <c r="V267" s="60"/>
      <c r="W267" s="87" t="str">
        <f aca="true">IF(B267="","",IF(N267&lt;&gt;"",N267-B267,TODAY()-B267))</f>
        <v/>
      </c>
      <c r="X267" s="62" t="str">
        <f aca="true">IF(OR(M267="",K267="Completed",K267="Cancelled"),"",IF(M267&lt;TODAY(),"OVERDUE",IF(M267-TODAY()&lt;=7,"Due ≤7d","On Schedule")))</f>
        <v/>
      </c>
      <c r="Y267" s="60"/>
      <c r="Z267" s="88" t="str">
        <f aca="false">IF(AND(N267&lt;&gt;"",N267&gt;='Weekly Report'!$F$4,N267&lt;='Weekly Report'!$F$5),ROW(),"")</f>
        <v/>
      </c>
      <c r="AA267" s="88" t="str">
        <f aca="false">IF(AND(AND(Q267&lt;&gt;"",Q267&gt;='Weekly Report'!$F$4,Q267&lt;='Weekly Report'!$F$5),AND(F267&lt;&gt;"",K267&lt;&gt;"Completed",K267&lt;&gt;"Cancelled")),ROW(),"")</f>
        <v/>
      </c>
      <c r="AB267" s="88" t="str">
        <f aca="false">IF(AND(F267&lt;&gt;"",K267="In Progress"),ROW(),"")</f>
        <v/>
      </c>
      <c r="AC267" s="88" t="str">
        <f aca="false">IF(AND(AND(F267&lt;&gt;"",K267&lt;&gt;"Completed",K267&lt;&gt;"Cancelled"),OR(K267="Blocked",S267&lt;&gt;"")),ROW(),"")</f>
        <v/>
      </c>
      <c r="AD267" s="88" t="str">
        <f aca="false">IF(AND(AND(F267&lt;&gt;"",K267&lt;&gt;"Completed",K267&lt;&gt;"Cancelled"),OR(P267="Yes",AND(M267&lt;&gt;"",M267&lt;='Weekly Report'!$F$7),AND(L267&lt;&gt;"",L267&gt;='Weekly Report'!$F$6,L267&lt;='Weekly Report'!$F$7))),ROW(),"")</f>
        <v/>
      </c>
    </row>
    <row r="268" customFormat="false" ht="15" hidden="false" customHeight="false" outlineLevel="0" collapsed="false">
      <c r="A268" s="56" t="s">
        <v>1749</v>
      </c>
      <c r="B268" s="63"/>
      <c r="C268" s="61"/>
      <c r="D268" s="61"/>
      <c r="E268" s="61"/>
      <c r="F268" s="60"/>
      <c r="G268" s="61"/>
      <c r="H268" s="61"/>
      <c r="I268" s="61"/>
      <c r="J268" s="61"/>
      <c r="K268" s="61"/>
      <c r="L268" s="63"/>
      <c r="M268" s="63"/>
      <c r="N268" s="63"/>
      <c r="O268" s="94"/>
      <c r="P268" s="61"/>
      <c r="Q268" s="63"/>
      <c r="R268" s="60"/>
      <c r="S268" s="60"/>
      <c r="T268" s="63"/>
      <c r="U268" s="60"/>
      <c r="V268" s="60"/>
      <c r="W268" s="87" t="str">
        <f aca="true">IF(B268="","",IF(N268&lt;&gt;"",N268-B268,TODAY()-B268))</f>
        <v/>
      </c>
      <c r="X268" s="62" t="str">
        <f aca="true">IF(OR(M268="",K268="Completed",K268="Cancelled"),"",IF(M268&lt;TODAY(),"OVERDUE",IF(M268-TODAY()&lt;=7,"Due ≤7d","On Schedule")))</f>
        <v/>
      </c>
      <c r="Y268" s="60"/>
      <c r="Z268" s="88" t="str">
        <f aca="false">IF(AND(N268&lt;&gt;"",N268&gt;='Weekly Report'!$F$4,N268&lt;='Weekly Report'!$F$5),ROW(),"")</f>
        <v/>
      </c>
      <c r="AA268" s="88" t="str">
        <f aca="false">IF(AND(AND(Q268&lt;&gt;"",Q268&gt;='Weekly Report'!$F$4,Q268&lt;='Weekly Report'!$F$5),AND(F268&lt;&gt;"",K268&lt;&gt;"Completed",K268&lt;&gt;"Cancelled")),ROW(),"")</f>
        <v/>
      </c>
      <c r="AB268" s="88" t="str">
        <f aca="false">IF(AND(F268&lt;&gt;"",K268="In Progress"),ROW(),"")</f>
        <v/>
      </c>
      <c r="AC268" s="88" t="str">
        <f aca="false">IF(AND(AND(F268&lt;&gt;"",K268&lt;&gt;"Completed",K268&lt;&gt;"Cancelled"),OR(K268="Blocked",S268&lt;&gt;"")),ROW(),"")</f>
        <v/>
      </c>
      <c r="AD268" s="88" t="str">
        <f aca="false">IF(AND(AND(F268&lt;&gt;"",K268&lt;&gt;"Completed",K268&lt;&gt;"Cancelled"),OR(P268="Yes",AND(M268&lt;&gt;"",M268&lt;='Weekly Report'!$F$7),AND(L268&lt;&gt;"",L268&gt;='Weekly Report'!$F$6,L268&lt;='Weekly Report'!$F$7))),ROW(),"")</f>
        <v/>
      </c>
    </row>
    <row r="269" customFormat="false" ht="15" hidden="false" customHeight="false" outlineLevel="0" collapsed="false">
      <c r="A269" s="56" t="s">
        <v>1750</v>
      </c>
      <c r="B269" s="63"/>
      <c r="C269" s="61"/>
      <c r="D269" s="61"/>
      <c r="E269" s="61"/>
      <c r="F269" s="60"/>
      <c r="G269" s="61"/>
      <c r="H269" s="61"/>
      <c r="I269" s="61"/>
      <c r="J269" s="61"/>
      <c r="K269" s="61"/>
      <c r="L269" s="63"/>
      <c r="M269" s="63"/>
      <c r="N269" s="63"/>
      <c r="O269" s="94"/>
      <c r="P269" s="61"/>
      <c r="Q269" s="63"/>
      <c r="R269" s="60"/>
      <c r="S269" s="60"/>
      <c r="T269" s="63"/>
      <c r="U269" s="60"/>
      <c r="V269" s="60"/>
      <c r="W269" s="87" t="str">
        <f aca="true">IF(B269="","",IF(N269&lt;&gt;"",N269-B269,TODAY()-B269))</f>
        <v/>
      </c>
      <c r="X269" s="62" t="str">
        <f aca="true">IF(OR(M269="",K269="Completed",K269="Cancelled"),"",IF(M269&lt;TODAY(),"OVERDUE",IF(M269-TODAY()&lt;=7,"Due ≤7d","On Schedule")))</f>
        <v/>
      </c>
      <c r="Y269" s="60"/>
      <c r="Z269" s="88" t="str">
        <f aca="false">IF(AND(N269&lt;&gt;"",N269&gt;='Weekly Report'!$F$4,N269&lt;='Weekly Report'!$F$5),ROW(),"")</f>
        <v/>
      </c>
      <c r="AA269" s="88" t="str">
        <f aca="false">IF(AND(AND(Q269&lt;&gt;"",Q269&gt;='Weekly Report'!$F$4,Q269&lt;='Weekly Report'!$F$5),AND(F269&lt;&gt;"",K269&lt;&gt;"Completed",K269&lt;&gt;"Cancelled")),ROW(),"")</f>
        <v/>
      </c>
      <c r="AB269" s="88" t="str">
        <f aca="false">IF(AND(F269&lt;&gt;"",K269="In Progress"),ROW(),"")</f>
        <v/>
      </c>
      <c r="AC269" s="88" t="str">
        <f aca="false">IF(AND(AND(F269&lt;&gt;"",K269&lt;&gt;"Completed",K269&lt;&gt;"Cancelled"),OR(K269="Blocked",S269&lt;&gt;"")),ROW(),"")</f>
        <v/>
      </c>
      <c r="AD269" s="88" t="str">
        <f aca="false">IF(AND(AND(F269&lt;&gt;"",K269&lt;&gt;"Completed",K269&lt;&gt;"Cancelled"),OR(P269="Yes",AND(M269&lt;&gt;"",M269&lt;='Weekly Report'!$F$7),AND(L269&lt;&gt;"",L269&gt;='Weekly Report'!$F$6,L269&lt;='Weekly Report'!$F$7))),ROW(),"")</f>
        <v/>
      </c>
    </row>
    <row r="270" customFormat="false" ht="15" hidden="false" customHeight="false" outlineLevel="0" collapsed="false">
      <c r="A270" s="56" t="s">
        <v>1751</v>
      </c>
      <c r="B270" s="63"/>
      <c r="C270" s="61"/>
      <c r="D270" s="61"/>
      <c r="E270" s="61"/>
      <c r="F270" s="60"/>
      <c r="G270" s="61"/>
      <c r="H270" s="61"/>
      <c r="I270" s="61"/>
      <c r="J270" s="61"/>
      <c r="K270" s="61"/>
      <c r="L270" s="63"/>
      <c r="M270" s="63"/>
      <c r="N270" s="63"/>
      <c r="O270" s="94"/>
      <c r="P270" s="61"/>
      <c r="Q270" s="63"/>
      <c r="R270" s="60"/>
      <c r="S270" s="60"/>
      <c r="T270" s="63"/>
      <c r="U270" s="60"/>
      <c r="V270" s="60"/>
      <c r="W270" s="87" t="str">
        <f aca="true">IF(B270="","",IF(N270&lt;&gt;"",N270-B270,TODAY()-B270))</f>
        <v/>
      </c>
      <c r="X270" s="62" t="str">
        <f aca="true">IF(OR(M270="",K270="Completed",K270="Cancelled"),"",IF(M270&lt;TODAY(),"OVERDUE",IF(M270-TODAY()&lt;=7,"Due ≤7d","On Schedule")))</f>
        <v/>
      </c>
      <c r="Y270" s="60"/>
      <c r="Z270" s="88" t="str">
        <f aca="false">IF(AND(N270&lt;&gt;"",N270&gt;='Weekly Report'!$F$4,N270&lt;='Weekly Report'!$F$5),ROW(),"")</f>
        <v/>
      </c>
      <c r="AA270" s="88" t="str">
        <f aca="false">IF(AND(AND(Q270&lt;&gt;"",Q270&gt;='Weekly Report'!$F$4,Q270&lt;='Weekly Report'!$F$5),AND(F270&lt;&gt;"",K270&lt;&gt;"Completed",K270&lt;&gt;"Cancelled")),ROW(),"")</f>
        <v/>
      </c>
      <c r="AB270" s="88" t="str">
        <f aca="false">IF(AND(F270&lt;&gt;"",K270="In Progress"),ROW(),"")</f>
        <v/>
      </c>
      <c r="AC270" s="88" t="str">
        <f aca="false">IF(AND(AND(F270&lt;&gt;"",K270&lt;&gt;"Completed",K270&lt;&gt;"Cancelled"),OR(K270="Blocked",S270&lt;&gt;"")),ROW(),"")</f>
        <v/>
      </c>
      <c r="AD270" s="88" t="str">
        <f aca="false">IF(AND(AND(F270&lt;&gt;"",K270&lt;&gt;"Completed",K270&lt;&gt;"Cancelled"),OR(P270="Yes",AND(M270&lt;&gt;"",M270&lt;='Weekly Report'!$F$7),AND(L270&lt;&gt;"",L270&gt;='Weekly Report'!$F$6,L270&lt;='Weekly Report'!$F$7))),ROW(),"")</f>
        <v/>
      </c>
    </row>
    <row r="271" customFormat="false" ht="15" hidden="false" customHeight="false" outlineLevel="0" collapsed="false">
      <c r="A271" s="56" t="s">
        <v>1752</v>
      </c>
      <c r="B271" s="63"/>
      <c r="C271" s="61"/>
      <c r="D271" s="61"/>
      <c r="E271" s="61"/>
      <c r="F271" s="60"/>
      <c r="G271" s="61"/>
      <c r="H271" s="61"/>
      <c r="I271" s="61"/>
      <c r="J271" s="61"/>
      <c r="K271" s="61"/>
      <c r="L271" s="63"/>
      <c r="M271" s="63"/>
      <c r="N271" s="63"/>
      <c r="O271" s="94"/>
      <c r="P271" s="61"/>
      <c r="Q271" s="63"/>
      <c r="R271" s="60"/>
      <c r="S271" s="60"/>
      <c r="T271" s="63"/>
      <c r="U271" s="60"/>
      <c r="V271" s="60"/>
      <c r="W271" s="87" t="str">
        <f aca="true">IF(B271="","",IF(N271&lt;&gt;"",N271-B271,TODAY()-B271))</f>
        <v/>
      </c>
      <c r="X271" s="62" t="str">
        <f aca="true">IF(OR(M271="",K271="Completed",K271="Cancelled"),"",IF(M271&lt;TODAY(),"OVERDUE",IF(M271-TODAY()&lt;=7,"Due ≤7d","On Schedule")))</f>
        <v/>
      </c>
      <c r="Y271" s="60"/>
      <c r="Z271" s="88" t="str">
        <f aca="false">IF(AND(N271&lt;&gt;"",N271&gt;='Weekly Report'!$F$4,N271&lt;='Weekly Report'!$F$5),ROW(),"")</f>
        <v/>
      </c>
      <c r="AA271" s="88" t="str">
        <f aca="false">IF(AND(AND(Q271&lt;&gt;"",Q271&gt;='Weekly Report'!$F$4,Q271&lt;='Weekly Report'!$F$5),AND(F271&lt;&gt;"",K271&lt;&gt;"Completed",K271&lt;&gt;"Cancelled")),ROW(),"")</f>
        <v/>
      </c>
      <c r="AB271" s="88" t="str">
        <f aca="false">IF(AND(F271&lt;&gt;"",K271="In Progress"),ROW(),"")</f>
        <v/>
      </c>
      <c r="AC271" s="88" t="str">
        <f aca="false">IF(AND(AND(F271&lt;&gt;"",K271&lt;&gt;"Completed",K271&lt;&gt;"Cancelled"),OR(K271="Blocked",S271&lt;&gt;"")),ROW(),"")</f>
        <v/>
      </c>
      <c r="AD271" s="88" t="str">
        <f aca="false">IF(AND(AND(F271&lt;&gt;"",K271&lt;&gt;"Completed",K271&lt;&gt;"Cancelled"),OR(P271="Yes",AND(M271&lt;&gt;"",M271&lt;='Weekly Report'!$F$7),AND(L271&lt;&gt;"",L271&gt;='Weekly Report'!$F$6,L271&lt;='Weekly Report'!$F$7))),ROW(),"")</f>
        <v/>
      </c>
    </row>
    <row r="272" customFormat="false" ht="15" hidden="false" customHeight="false" outlineLevel="0" collapsed="false">
      <c r="A272" s="56" t="s">
        <v>1753</v>
      </c>
      <c r="B272" s="63"/>
      <c r="C272" s="61"/>
      <c r="D272" s="61"/>
      <c r="E272" s="61"/>
      <c r="F272" s="60"/>
      <c r="G272" s="61"/>
      <c r="H272" s="61"/>
      <c r="I272" s="61"/>
      <c r="J272" s="61"/>
      <c r="K272" s="61"/>
      <c r="L272" s="63"/>
      <c r="M272" s="63"/>
      <c r="N272" s="63"/>
      <c r="O272" s="94"/>
      <c r="P272" s="61"/>
      <c r="Q272" s="63"/>
      <c r="R272" s="60"/>
      <c r="S272" s="60"/>
      <c r="T272" s="63"/>
      <c r="U272" s="60"/>
      <c r="V272" s="60"/>
      <c r="W272" s="87" t="str">
        <f aca="true">IF(B272="","",IF(N272&lt;&gt;"",N272-B272,TODAY()-B272))</f>
        <v/>
      </c>
      <c r="X272" s="62" t="str">
        <f aca="true">IF(OR(M272="",K272="Completed",K272="Cancelled"),"",IF(M272&lt;TODAY(),"OVERDUE",IF(M272-TODAY()&lt;=7,"Due ≤7d","On Schedule")))</f>
        <v/>
      </c>
      <c r="Y272" s="60"/>
      <c r="Z272" s="88" t="str">
        <f aca="false">IF(AND(N272&lt;&gt;"",N272&gt;='Weekly Report'!$F$4,N272&lt;='Weekly Report'!$F$5),ROW(),"")</f>
        <v/>
      </c>
      <c r="AA272" s="88" t="str">
        <f aca="false">IF(AND(AND(Q272&lt;&gt;"",Q272&gt;='Weekly Report'!$F$4,Q272&lt;='Weekly Report'!$F$5),AND(F272&lt;&gt;"",K272&lt;&gt;"Completed",K272&lt;&gt;"Cancelled")),ROW(),"")</f>
        <v/>
      </c>
      <c r="AB272" s="88" t="str">
        <f aca="false">IF(AND(F272&lt;&gt;"",K272="In Progress"),ROW(),"")</f>
        <v/>
      </c>
      <c r="AC272" s="88" t="str">
        <f aca="false">IF(AND(AND(F272&lt;&gt;"",K272&lt;&gt;"Completed",K272&lt;&gt;"Cancelled"),OR(K272="Blocked",S272&lt;&gt;"")),ROW(),"")</f>
        <v/>
      </c>
      <c r="AD272" s="88" t="str">
        <f aca="false">IF(AND(AND(F272&lt;&gt;"",K272&lt;&gt;"Completed",K272&lt;&gt;"Cancelled"),OR(P272="Yes",AND(M272&lt;&gt;"",M272&lt;='Weekly Report'!$F$7),AND(L272&lt;&gt;"",L272&gt;='Weekly Report'!$F$6,L272&lt;='Weekly Report'!$F$7))),ROW(),"")</f>
        <v/>
      </c>
    </row>
    <row r="273" customFormat="false" ht="15" hidden="false" customHeight="false" outlineLevel="0" collapsed="false">
      <c r="A273" s="56" t="s">
        <v>1754</v>
      </c>
      <c r="B273" s="63"/>
      <c r="C273" s="61"/>
      <c r="D273" s="61"/>
      <c r="E273" s="61"/>
      <c r="F273" s="60"/>
      <c r="G273" s="61"/>
      <c r="H273" s="61"/>
      <c r="I273" s="61"/>
      <c r="J273" s="61"/>
      <c r="K273" s="61"/>
      <c r="L273" s="63"/>
      <c r="M273" s="63"/>
      <c r="N273" s="63"/>
      <c r="O273" s="94"/>
      <c r="P273" s="61"/>
      <c r="Q273" s="63"/>
      <c r="R273" s="60"/>
      <c r="S273" s="60"/>
      <c r="T273" s="63"/>
      <c r="U273" s="60"/>
      <c r="V273" s="60"/>
      <c r="W273" s="87" t="str">
        <f aca="true">IF(B273="","",IF(N273&lt;&gt;"",N273-B273,TODAY()-B273))</f>
        <v/>
      </c>
      <c r="X273" s="62" t="str">
        <f aca="true">IF(OR(M273="",K273="Completed",K273="Cancelled"),"",IF(M273&lt;TODAY(),"OVERDUE",IF(M273-TODAY()&lt;=7,"Due ≤7d","On Schedule")))</f>
        <v/>
      </c>
      <c r="Y273" s="60"/>
      <c r="Z273" s="88" t="str">
        <f aca="false">IF(AND(N273&lt;&gt;"",N273&gt;='Weekly Report'!$F$4,N273&lt;='Weekly Report'!$F$5),ROW(),"")</f>
        <v/>
      </c>
      <c r="AA273" s="88" t="str">
        <f aca="false">IF(AND(AND(Q273&lt;&gt;"",Q273&gt;='Weekly Report'!$F$4,Q273&lt;='Weekly Report'!$F$5),AND(F273&lt;&gt;"",K273&lt;&gt;"Completed",K273&lt;&gt;"Cancelled")),ROW(),"")</f>
        <v/>
      </c>
      <c r="AB273" s="88" t="str">
        <f aca="false">IF(AND(F273&lt;&gt;"",K273="In Progress"),ROW(),"")</f>
        <v/>
      </c>
      <c r="AC273" s="88" t="str">
        <f aca="false">IF(AND(AND(F273&lt;&gt;"",K273&lt;&gt;"Completed",K273&lt;&gt;"Cancelled"),OR(K273="Blocked",S273&lt;&gt;"")),ROW(),"")</f>
        <v/>
      </c>
      <c r="AD273" s="88" t="str">
        <f aca="false">IF(AND(AND(F273&lt;&gt;"",K273&lt;&gt;"Completed",K273&lt;&gt;"Cancelled"),OR(P273="Yes",AND(M273&lt;&gt;"",M273&lt;='Weekly Report'!$F$7),AND(L273&lt;&gt;"",L273&gt;='Weekly Report'!$F$6,L273&lt;='Weekly Report'!$F$7))),ROW(),"")</f>
        <v/>
      </c>
    </row>
    <row r="274" customFormat="false" ht="15" hidden="false" customHeight="false" outlineLevel="0" collapsed="false">
      <c r="A274" s="56" t="s">
        <v>1755</v>
      </c>
      <c r="B274" s="63"/>
      <c r="C274" s="61"/>
      <c r="D274" s="61"/>
      <c r="E274" s="61"/>
      <c r="F274" s="60"/>
      <c r="G274" s="61"/>
      <c r="H274" s="61"/>
      <c r="I274" s="61"/>
      <c r="J274" s="61"/>
      <c r="K274" s="61"/>
      <c r="L274" s="63"/>
      <c r="M274" s="63"/>
      <c r="N274" s="63"/>
      <c r="O274" s="94"/>
      <c r="P274" s="61"/>
      <c r="Q274" s="63"/>
      <c r="R274" s="60"/>
      <c r="S274" s="60"/>
      <c r="T274" s="63"/>
      <c r="U274" s="60"/>
      <c r="V274" s="60"/>
      <c r="W274" s="87" t="str">
        <f aca="true">IF(B274="","",IF(N274&lt;&gt;"",N274-B274,TODAY()-B274))</f>
        <v/>
      </c>
      <c r="X274" s="62" t="str">
        <f aca="true">IF(OR(M274="",K274="Completed",K274="Cancelled"),"",IF(M274&lt;TODAY(),"OVERDUE",IF(M274-TODAY()&lt;=7,"Due ≤7d","On Schedule")))</f>
        <v/>
      </c>
      <c r="Y274" s="60"/>
      <c r="Z274" s="88" t="str">
        <f aca="false">IF(AND(N274&lt;&gt;"",N274&gt;='Weekly Report'!$F$4,N274&lt;='Weekly Report'!$F$5),ROW(),"")</f>
        <v/>
      </c>
      <c r="AA274" s="88" t="str">
        <f aca="false">IF(AND(AND(Q274&lt;&gt;"",Q274&gt;='Weekly Report'!$F$4,Q274&lt;='Weekly Report'!$F$5),AND(F274&lt;&gt;"",K274&lt;&gt;"Completed",K274&lt;&gt;"Cancelled")),ROW(),"")</f>
        <v/>
      </c>
      <c r="AB274" s="88" t="str">
        <f aca="false">IF(AND(F274&lt;&gt;"",K274="In Progress"),ROW(),"")</f>
        <v/>
      </c>
      <c r="AC274" s="88" t="str">
        <f aca="false">IF(AND(AND(F274&lt;&gt;"",K274&lt;&gt;"Completed",K274&lt;&gt;"Cancelled"),OR(K274="Blocked",S274&lt;&gt;"")),ROW(),"")</f>
        <v/>
      </c>
      <c r="AD274" s="88" t="str">
        <f aca="false">IF(AND(AND(F274&lt;&gt;"",K274&lt;&gt;"Completed",K274&lt;&gt;"Cancelled"),OR(P274="Yes",AND(M274&lt;&gt;"",M274&lt;='Weekly Report'!$F$7),AND(L274&lt;&gt;"",L274&gt;='Weekly Report'!$F$6,L274&lt;='Weekly Report'!$F$7))),ROW(),"")</f>
        <v/>
      </c>
    </row>
    <row r="275" customFormat="false" ht="15" hidden="false" customHeight="false" outlineLevel="0" collapsed="false">
      <c r="A275" s="56" t="s">
        <v>1756</v>
      </c>
      <c r="B275" s="63"/>
      <c r="C275" s="61"/>
      <c r="D275" s="61"/>
      <c r="E275" s="61"/>
      <c r="F275" s="60"/>
      <c r="G275" s="61"/>
      <c r="H275" s="61"/>
      <c r="I275" s="61"/>
      <c r="J275" s="61"/>
      <c r="K275" s="61"/>
      <c r="L275" s="63"/>
      <c r="M275" s="63"/>
      <c r="N275" s="63"/>
      <c r="O275" s="94"/>
      <c r="P275" s="61"/>
      <c r="Q275" s="63"/>
      <c r="R275" s="60"/>
      <c r="S275" s="60"/>
      <c r="T275" s="63"/>
      <c r="U275" s="60"/>
      <c r="V275" s="60"/>
      <c r="W275" s="87" t="str">
        <f aca="true">IF(B275="","",IF(N275&lt;&gt;"",N275-B275,TODAY()-B275))</f>
        <v/>
      </c>
      <c r="X275" s="62" t="str">
        <f aca="true">IF(OR(M275="",K275="Completed",K275="Cancelled"),"",IF(M275&lt;TODAY(),"OVERDUE",IF(M275-TODAY()&lt;=7,"Due ≤7d","On Schedule")))</f>
        <v/>
      </c>
      <c r="Y275" s="60"/>
      <c r="Z275" s="88" t="str">
        <f aca="false">IF(AND(N275&lt;&gt;"",N275&gt;='Weekly Report'!$F$4,N275&lt;='Weekly Report'!$F$5),ROW(),"")</f>
        <v/>
      </c>
      <c r="AA275" s="88" t="str">
        <f aca="false">IF(AND(AND(Q275&lt;&gt;"",Q275&gt;='Weekly Report'!$F$4,Q275&lt;='Weekly Report'!$F$5),AND(F275&lt;&gt;"",K275&lt;&gt;"Completed",K275&lt;&gt;"Cancelled")),ROW(),"")</f>
        <v/>
      </c>
      <c r="AB275" s="88" t="str">
        <f aca="false">IF(AND(F275&lt;&gt;"",K275="In Progress"),ROW(),"")</f>
        <v/>
      </c>
      <c r="AC275" s="88" t="str">
        <f aca="false">IF(AND(AND(F275&lt;&gt;"",K275&lt;&gt;"Completed",K275&lt;&gt;"Cancelled"),OR(K275="Blocked",S275&lt;&gt;"")),ROW(),"")</f>
        <v/>
      </c>
      <c r="AD275" s="88" t="str">
        <f aca="false">IF(AND(AND(F275&lt;&gt;"",K275&lt;&gt;"Completed",K275&lt;&gt;"Cancelled"),OR(P275="Yes",AND(M275&lt;&gt;"",M275&lt;='Weekly Report'!$F$7),AND(L275&lt;&gt;"",L275&gt;='Weekly Report'!$F$6,L275&lt;='Weekly Report'!$F$7))),ROW(),"")</f>
        <v/>
      </c>
    </row>
    <row r="276" customFormat="false" ht="15" hidden="false" customHeight="false" outlineLevel="0" collapsed="false">
      <c r="A276" s="56" t="s">
        <v>1757</v>
      </c>
      <c r="B276" s="63"/>
      <c r="C276" s="61"/>
      <c r="D276" s="61"/>
      <c r="E276" s="61"/>
      <c r="F276" s="60"/>
      <c r="G276" s="61"/>
      <c r="H276" s="61"/>
      <c r="I276" s="61"/>
      <c r="J276" s="61"/>
      <c r="K276" s="61"/>
      <c r="L276" s="63"/>
      <c r="M276" s="63"/>
      <c r="N276" s="63"/>
      <c r="O276" s="94"/>
      <c r="P276" s="61"/>
      <c r="Q276" s="63"/>
      <c r="R276" s="60"/>
      <c r="S276" s="60"/>
      <c r="T276" s="63"/>
      <c r="U276" s="60"/>
      <c r="V276" s="60"/>
      <c r="W276" s="87" t="str">
        <f aca="true">IF(B276="","",IF(N276&lt;&gt;"",N276-B276,TODAY()-B276))</f>
        <v/>
      </c>
      <c r="X276" s="62" t="str">
        <f aca="true">IF(OR(M276="",K276="Completed",K276="Cancelled"),"",IF(M276&lt;TODAY(),"OVERDUE",IF(M276-TODAY()&lt;=7,"Due ≤7d","On Schedule")))</f>
        <v/>
      </c>
      <c r="Y276" s="60"/>
      <c r="Z276" s="88" t="str">
        <f aca="false">IF(AND(N276&lt;&gt;"",N276&gt;='Weekly Report'!$F$4,N276&lt;='Weekly Report'!$F$5),ROW(),"")</f>
        <v/>
      </c>
      <c r="AA276" s="88" t="str">
        <f aca="false">IF(AND(AND(Q276&lt;&gt;"",Q276&gt;='Weekly Report'!$F$4,Q276&lt;='Weekly Report'!$F$5),AND(F276&lt;&gt;"",K276&lt;&gt;"Completed",K276&lt;&gt;"Cancelled")),ROW(),"")</f>
        <v/>
      </c>
      <c r="AB276" s="88" t="str">
        <f aca="false">IF(AND(F276&lt;&gt;"",K276="In Progress"),ROW(),"")</f>
        <v/>
      </c>
      <c r="AC276" s="88" t="str">
        <f aca="false">IF(AND(AND(F276&lt;&gt;"",K276&lt;&gt;"Completed",K276&lt;&gt;"Cancelled"),OR(K276="Blocked",S276&lt;&gt;"")),ROW(),"")</f>
        <v/>
      </c>
      <c r="AD276" s="88" t="str">
        <f aca="false">IF(AND(AND(F276&lt;&gt;"",K276&lt;&gt;"Completed",K276&lt;&gt;"Cancelled"),OR(P276="Yes",AND(M276&lt;&gt;"",M276&lt;='Weekly Report'!$F$7),AND(L276&lt;&gt;"",L276&gt;='Weekly Report'!$F$6,L276&lt;='Weekly Report'!$F$7))),ROW(),"")</f>
        <v/>
      </c>
    </row>
    <row r="277" customFormat="false" ht="15" hidden="false" customHeight="false" outlineLevel="0" collapsed="false">
      <c r="A277" s="56" t="s">
        <v>1758</v>
      </c>
      <c r="B277" s="63"/>
      <c r="C277" s="61"/>
      <c r="D277" s="61"/>
      <c r="E277" s="61"/>
      <c r="F277" s="60"/>
      <c r="G277" s="61"/>
      <c r="H277" s="61"/>
      <c r="I277" s="61"/>
      <c r="J277" s="61"/>
      <c r="K277" s="61"/>
      <c r="L277" s="63"/>
      <c r="M277" s="63"/>
      <c r="N277" s="63"/>
      <c r="O277" s="94"/>
      <c r="P277" s="61"/>
      <c r="Q277" s="63"/>
      <c r="R277" s="60"/>
      <c r="S277" s="60"/>
      <c r="T277" s="63"/>
      <c r="U277" s="60"/>
      <c r="V277" s="60"/>
      <c r="W277" s="87" t="str">
        <f aca="true">IF(B277="","",IF(N277&lt;&gt;"",N277-B277,TODAY()-B277))</f>
        <v/>
      </c>
      <c r="X277" s="62" t="str">
        <f aca="true">IF(OR(M277="",K277="Completed",K277="Cancelled"),"",IF(M277&lt;TODAY(),"OVERDUE",IF(M277-TODAY()&lt;=7,"Due ≤7d","On Schedule")))</f>
        <v/>
      </c>
      <c r="Y277" s="60"/>
      <c r="Z277" s="88" t="str">
        <f aca="false">IF(AND(N277&lt;&gt;"",N277&gt;='Weekly Report'!$F$4,N277&lt;='Weekly Report'!$F$5),ROW(),"")</f>
        <v/>
      </c>
      <c r="AA277" s="88" t="str">
        <f aca="false">IF(AND(AND(Q277&lt;&gt;"",Q277&gt;='Weekly Report'!$F$4,Q277&lt;='Weekly Report'!$F$5),AND(F277&lt;&gt;"",K277&lt;&gt;"Completed",K277&lt;&gt;"Cancelled")),ROW(),"")</f>
        <v/>
      </c>
      <c r="AB277" s="88" t="str">
        <f aca="false">IF(AND(F277&lt;&gt;"",K277="In Progress"),ROW(),"")</f>
        <v/>
      </c>
      <c r="AC277" s="88" t="str">
        <f aca="false">IF(AND(AND(F277&lt;&gt;"",K277&lt;&gt;"Completed",K277&lt;&gt;"Cancelled"),OR(K277="Blocked",S277&lt;&gt;"")),ROW(),"")</f>
        <v/>
      </c>
      <c r="AD277" s="88" t="str">
        <f aca="false">IF(AND(AND(F277&lt;&gt;"",K277&lt;&gt;"Completed",K277&lt;&gt;"Cancelled"),OR(P277="Yes",AND(M277&lt;&gt;"",M277&lt;='Weekly Report'!$F$7),AND(L277&lt;&gt;"",L277&gt;='Weekly Report'!$F$6,L277&lt;='Weekly Report'!$F$7))),ROW(),"")</f>
        <v/>
      </c>
    </row>
    <row r="278" customFormat="false" ht="15" hidden="false" customHeight="false" outlineLevel="0" collapsed="false">
      <c r="A278" s="56" t="s">
        <v>1759</v>
      </c>
      <c r="B278" s="63"/>
      <c r="C278" s="61"/>
      <c r="D278" s="61"/>
      <c r="E278" s="61"/>
      <c r="F278" s="60"/>
      <c r="G278" s="61"/>
      <c r="H278" s="61"/>
      <c r="I278" s="61"/>
      <c r="J278" s="61"/>
      <c r="K278" s="61"/>
      <c r="L278" s="63"/>
      <c r="M278" s="63"/>
      <c r="N278" s="63"/>
      <c r="O278" s="94"/>
      <c r="P278" s="61"/>
      <c r="Q278" s="63"/>
      <c r="R278" s="60"/>
      <c r="S278" s="60"/>
      <c r="T278" s="63"/>
      <c r="U278" s="60"/>
      <c r="V278" s="60"/>
      <c r="W278" s="87" t="str">
        <f aca="true">IF(B278="","",IF(N278&lt;&gt;"",N278-B278,TODAY()-B278))</f>
        <v/>
      </c>
      <c r="X278" s="62" t="str">
        <f aca="true">IF(OR(M278="",K278="Completed",K278="Cancelled"),"",IF(M278&lt;TODAY(),"OVERDUE",IF(M278-TODAY()&lt;=7,"Due ≤7d","On Schedule")))</f>
        <v/>
      </c>
      <c r="Y278" s="60"/>
      <c r="Z278" s="88" t="str">
        <f aca="false">IF(AND(N278&lt;&gt;"",N278&gt;='Weekly Report'!$F$4,N278&lt;='Weekly Report'!$F$5),ROW(),"")</f>
        <v/>
      </c>
      <c r="AA278" s="88" t="str">
        <f aca="false">IF(AND(AND(Q278&lt;&gt;"",Q278&gt;='Weekly Report'!$F$4,Q278&lt;='Weekly Report'!$F$5),AND(F278&lt;&gt;"",K278&lt;&gt;"Completed",K278&lt;&gt;"Cancelled")),ROW(),"")</f>
        <v/>
      </c>
      <c r="AB278" s="88" t="str">
        <f aca="false">IF(AND(F278&lt;&gt;"",K278="In Progress"),ROW(),"")</f>
        <v/>
      </c>
      <c r="AC278" s="88" t="str">
        <f aca="false">IF(AND(AND(F278&lt;&gt;"",K278&lt;&gt;"Completed",K278&lt;&gt;"Cancelled"),OR(K278="Blocked",S278&lt;&gt;"")),ROW(),"")</f>
        <v/>
      </c>
      <c r="AD278" s="88" t="str">
        <f aca="false">IF(AND(AND(F278&lt;&gt;"",K278&lt;&gt;"Completed",K278&lt;&gt;"Cancelled"),OR(P278="Yes",AND(M278&lt;&gt;"",M278&lt;='Weekly Report'!$F$7),AND(L278&lt;&gt;"",L278&gt;='Weekly Report'!$F$6,L278&lt;='Weekly Report'!$F$7))),ROW(),"")</f>
        <v/>
      </c>
    </row>
    <row r="279" customFormat="false" ht="15" hidden="false" customHeight="false" outlineLevel="0" collapsed="false">
      <c r="A279" s="56" t="s">
        <v>1760</v>
      </c>
      <c r="B279" s="63"/>
      <c r="C279" s="61"/>
      <c r="D279" s="61"/>
      <c r="E279" s="61"/>
      <c r="F279" s="60"/>
      <c r="G279" s="61"/>
      <c r="H279" s="61"/>
      <c r="I279" s="61"/>
      <c r="J279" s="61"/>
      <c r="K279" s="61"/>
      <c r="L279" s="63"/>
      <c r="M279" s="63"/>
      <c r="N279" s="63"/>
      <c r="O279" s="94"/>
      <c r="P279" s="61"/>
      <c r="Q279" s="63"/>
      <c r="R279" s="60"/>
      <c r="S279" s="60"/>
      <c r="T279" s="63"/>
      <c r="U279" s="60"/>
      <c r="V279" s="60"/>
      <c r="W279" s="87" t="str">
        <f aca="true">IF(B279="","",IF(N279&lt;&gt;"",N279-B279,TODAY()-B279))</f>
        <v/>
      </c>
      <c r="X279" s="62" t="str">
        <f aca="true">IF(OR(M279="",K279="Completed",K279="Cancelled"),"",IF(M279&lt;TODAY(),"OVERDUE",IF(M279-TODAY()&lt;=7,"Due ≤7d","On Schedule")))</f>
        <v/>
      </c>
      <c r="Y279" s="60"/>
      <c r="Z279" s="88" t="str">
        <f aca="false">IF(AND(N279&lt;&gt;"",N279&gt;='Weekly Report'!$F$4,N279&lt;='Weekly Report'!$F$5),ROW(),"")</f>
        <v/>
      </c>
      <c r="AA279" s="88" t="str">
        <f aca="false">IF(AND(AND(Q279&lt;&gt;"",Q279&gt;='Weekly Report'!$F$4,Q279&lt;='Weekly Report'!$F$5),AND(F279&lt;&gt;"",K279&lt;&gt;"Completed",K279&lt;&gt;"Cancelled")),ROW(),"")</f>
        <v/>
      </c>
      <c r="AB279" s="88" t="str">
        <f aca="false">IF(AND(F279&lt;&gt;"",K279="In Progress"),ROW(),"")</f>
        <v/>
      </c>
      <c r="AC279" s="88" t="str">
        <f aca="false">IF(AND(AND(F279&lt;&gt;"",K279&lt;&gt;"Completed",K279&lt;&gt;"Cancelled"),OR(K279="Blocked",S279&lt;&gt;"")),ROW(),"")</f>
        <v/>
      </c>
      <c r="AD279" s="88" t="str">
        <f aca="false">IF(AND(AND(F279&lt;&gt;"",K279&lt;&gt;"Completed",K279&lt;&gt;"Cancelled"),OR(P279="Yes",AND(M279&lt;&gt;"",M279&lt;='Weekly Report'!$F$7),AND(L279&lt;&gt;"",L279&gt;='Weekly Report'!$F$6,L279&lt;='Weekly Report'!$F$7))),ROW(),"")</f>
        <v/>
      </c>
    </row>
    <row r="280" customFormat="false" ht="15" hidden="false" customHeight="false" outlineLevel="0" collapsed="false">
      <c r="A280" s="56" t="s">
        <v>1761</v>
      </c>
      <c r="B280" s="63"/>
      <c r="C280" s="61"/>
      <c r="D280" s="61"/>
      <c r="E280" s="61"/>
      <c r="F280" s="60"/>
      <c r="G280" s="61"/>
      <c r="H280" s="61"/>
      <c r="I280" s="61"/>
      <c r="J280" s="61"/>
      <c r="K280" s="61"/>
      <c r="L280" s="63"/>
      <c r="M280" s="63"/>
      <c r="N280" s="63"/>
      <c r="O280" s="94"/>
      <c r="P280" s="61"/>
      <c r="Q280" s="63"/>
      <c r="R280" s="60"/>
      <c r="S280" s="60"/>
      <c r="T280" s="63"/>
      <c r="U280" s="60"/>
      <c r="V280" s="60"/>
      <c r="W280" s="87" t="str">
        <f aca="true">IF(B280="","",IF(N280&lt;&gt;"",N280-B280,TODAY()-B280))</f>
        <v/>
      </c>
      <c r="X280" s="62" t="str">
        <f aca="true">IF(OR(M280="",K280="Completed",K280="Cancelled"),"",IF(M280&lt;TODAY(),"OVERDUE",IF(M280-TODAY()&lt;=7,"Due ≤7d","On Schedule")))</f>
        <v/>
      </c>
      <c r="Y280" s="60"/>
      <c r="Z280" s="88" t="str">
        <f aca="false">IF(AND(N280&lt;&gt;"",N280&gt;='Weekly Report'!$F$4,N280&lt;='Weekly Report'!$F$5),ROW(),"")</f>
        <v/>
      </c>
      <c r="AA280" s="88" t="str">
        <f aca="false">IF(AND(AND(Q280&lt;&gt;"",Q280&gt;='Weekly Report'!$F$4,Q280&lt;='Weekly Report'!$F$5),AND(F280&lt;&gt;"",K280&lt;&gt;"Completed",K280&lt;&gt;"Cancelled")),ROW(),"")</f>
        <v/>
      </c>
      <c r="AB280" s="88" t="str">
        <f aca="false">IF(AND(F280&lt;&gt;"",K280="In Progress"),ROW(),"")</f>
        <v/>
      </c>
      <c r="AC280" s="88" t="str">
        <f aca="false">IF(AND(AND(F280&lt;&gt;"",K280&lt;&gt;"Completed",K280&lt;&gt;"Cancelled"),OR(K280="Blocked",S280&lt;&gt;"")),ROW(),"")</f>
        <v/>
      </c>
      <c r="AD280" s="88" t="str">
        <f aca="false">IF(AND(AND(F280&lt;&gt;"",K280&lt;&gt;"Completed",K280&lt;&gt;"Cancelled"),OR(P280="Yes",AND(M280&lt;&gt;"",M280&lt;='Weekly Report'!$F$7),AND(L280&lt;&gt;"",L280&gt;='Weekly Report'!$F$6,L280&lt;='Weekly Report'!$F$7))),ROW(),"")</f>
        <v/>
      </c>
    </row>
    <row r="281" customFormat="false" ht="15" hidden="false" customHeight="false" outlineLevel="0" collapsed="false">
      <c r="A281" s="56" t="s">
        <v>1762</v>
      </c>
      <c r="B281" s="63"/>
      <c r="C281" s="61"/>
      <c r="D281" s="61"/>
      <c r="E281" s="61"/>
      <c r="F281" s="60"/>
      <c r="G281" s="61"/>
      <c r="H281" s="61"/>
      <c r="I281" s="61"/>
      <c r="J281" s="61"/>
      <c r="K281" s="61"/>
      <c r="L281" s="63"/>
      <c r="M281" s="63"/>
      <c r="N281" s="63"/>
      <c r="O281" s="94"/>
      <c r="P281" s="61"/>
      <c r="Q281" s="63"/>
      <c r="R281" s="60"/>
      <c r="S281" s="60"/>
      <c r="T281" s="63"/>
      <c r="U281" s="60"/>
      <c r="V281" s="60"/>
      <c r="W281" s="87" t="str">
        <f aca="true">IF(B281="","",IF(N281&lt;&gt;"",N281-B281,TODAY()-B281))</f>
        <v/>
      </c>
      <c r="X281" s="62" t="str">
        <f aca="true">IF(OR(M281="",K281="Completed",K281="Cancelled"),"",IF(M281&lt;TODAY(),"OVERDUE",IF(M281-TODAY()&lt;=7,"Due ≤7d","On Schedule")))</f>
        <v/>
      </c>
      <c r="Y281" s="60"/>
      <c r="Z281" s="88" t="str">
        <f aca="false">IF(AND(N281&lt;&gt;"",N281&gt;='Weekly Report'!$F$4,N281&lt;='Weekly Report'!$F$5),ROW(),"")</f>
        <v/>
      </c>
      <c r="AA281" s="88" t="str">
        <f aca="false">IF(AND(AND(Q281&lt;&gt;"",Q281&gt;='Weekly Report'!$F$4,Q281&lt;='Weekly Report'!$F$5),AND(F281&lt;&gt;"",K281&lt;&gt;"Completed",K281&lt;&gt;"Cancelled")),ROW(),"")</f>
        <v/>
      </c>
      <c r="AB281" s="88" t="str">
        <f aca="false">IF(AND(F281&lt;&gt;"",K281="In Progress"),ROW(),"")</f>
        <v/>
      </c>
      <c r="AC281" s="88" t="str">
        <f aca="false">IF(AND(AND(F281&lt;&gt;"",K281&lt;&gt;"Completed",K281&lt;&gt;"Cancelled"),OR(K281="Blocked",S281&lt;&gt;"")),ROW(),"")</f>
        <v/>
      </c>
      <c r="AD281" s="88" t="str">
        <f aca="false">IF(AND(AND(F281&lt;&gt;"",K281&lt;&gt;"Completed",K281&lt;&gt;"Cancelled"),OR(P281="Yes",AND(M281&lt;&gt;"",M281&lt;='Weekly Report'!$F$7),AND(L281&lt;&gt;"",L281&gt;='Weekly Report'!$F$6,L281&lt;='Weekly Report'!$F$7))),ROW(),"")</f>
        <v/>
      </c>
    </row>
    <row r="282" customFormat="false" ht="15" hidden="false" customHeight="false" outlineLevel="0" collapsed="false">
      <c r="A282" s="56" t="s">
        <v>1763</v>
      </c>
      <c r="B282" s="63"/>
      <c r="C282" s="61"/>
      <c r="D282" s="61"/>
      <c r="E282" s="61"/>
      <c r="F282" s="60"/>
      <c r="G282" s="61"/>
      <c r="H282" s="61"/>
      <c r="I282" s="61"/>
      <c r="J282" s="61"/>
      <c r="K282" s="61"/>
      <c r="L282" s="63"/>
      <c r="M282" s="63"/>
      <c r="N282" s="63"/>
      <c r="O282" s="94"/>
      <c r="P282" s="61"/>
      <c r="Q282" s="63"/>
      <c r="R282" s="60"/>
      <c r="S282" s="60"/>
      <c r="T282" s="63"/>
      <c r="U282" s="60"/>
      <c r="V282" s="60"/>
      <c r="W282" s="87" t="str">
        <f aca="true">IF(B282="","",IF(N282&lt;&gt;"",N282-B282,TODAY()-B282))</f>
        <v/>
      </c>
      <c r="X282" s="62" t="str">
        <f aca="true">IF(OR(M282="",K282="Completed",K282="Cancelled"),"",IF(M282&lt;TODAY(),"OVERDUE",IF(M282-TODAY()&lt;=7,"Due ≤7d","On Schedule")))</f>
        <v/>
      </c>
      <c r="Y282" s="60"/>
      <c r="Z282" s="88" t="str">
        <f aca="false">IF(AND(N282&lt;&gt;"",N282&gt;='Weekly Report'!$F$4,N282&lt;='Weekly Report'!$F$5),ROW(),"")</f>
        <v/>
      </c>
      <c r="AA282" s="88" t="str">
        <f aca="false">IF(AND(AND(Q282&lt;&gt;"",Q282&gt;='Weekly Report'!$F$4,Q282&lt;='Weekly Report'!$F$5),AND(F282&lt;&gt;"",K282&lt;&gt;"Completed",K282&lt;&gt;"Cancelled")),ROW(),"")</f>
        <v/>
      </c>
      <c r="AB282" s="88" t="str">
        <f aca="false">IF(AND(F282&lt;&gt;"",K282="In Progress"),ROW(),"")</f>
        <v/>
      </c>
      <c r="AC282" s="88" t="str">
        <f aca="false">IF(AND(AND(F282&lt;&gt;"",K282&lt;&gt;"Completed",K282&lt;&gt;"Cancelled"),OR(K282="Blocked",S282&lt;&gt;"")),ROW(),"")</f>
        <v/>
      </c>
      <c r="AD282" s="88" t="str">
        <f aca="false">IF(AND(AND(F282&lt;&gt;"",K282&lt;&gt;"Completed",K282&lt;&gt;"Cancelled"),OR(P282="Yes",AND(M282&lt;&gt;"",M282&lt;='Weekly Report'!$F$7),AND(L282&lt;&gt;"",L282&gt;='Weekly Report'!$F$6,L282&lt;='Weekly Report'!$F$7))),ROW(),"")</f>
        <v/>
      </c>
    </row>
    <row r="283" customFormat="false" ht="15" hidden="false" customHeight="false" outlineLevel="0" collapsed="false">
      <c r="A283" s="56" t="s">
        <v>1764</v>
      </c>
      <c r="B283" s="63"/>
      <c r="C283" s="61"/>
      <c r="D283" s="61"/>
      <c r="E283" s="61"/>
      <c r="F283" s="60"/>
      <c r="G283" s="61"/>
      <c r="H283" s="61"/>
      <c r="I283" s="61"/>
      <c r="J283" s="61"/>
      <c r="K283" s="61"/>
      <c r="L283" s="63"/>
      <c r="M283" s="63"/>
      <c r="N283" s="63"/>
      <c r="O283" s="94"/>
      <c r="P283" s="61"/>
      <c r="Q283" s="63"/>
      <c r="R283" s="60"/>
      <c r="S283" s="60"/>
      <c r="T283" s="63"/>
      <c r="U283" s="60"/>
      <c r="V283" s="60"/>
      <c r="W283" s="87" t="str">
        <f aca="true">IF(B283="","",IF(N283&lt;&gt;"",N283-B283,TODAY()-B283))</f>
        <v/>
      </c>
      <c r="X283" s="62" t="str">
        <f aca="true">IF(OR(M283="",K283="Completed",K283="Cancelled"),"",IF(M283&lt;TODAY(),"OVERDUE",IF(M283-TODAY()&lt;=7,"Due ≤7d","On Schedule")))</f>
        <v/>
      </c>
      <c r="Y283" s="60"/>
      <c r="Z283" s="88" t="str">
        <f aca="false">IF(AND(N283&lt;&gt;"",N283&gt;='Weekly Report'!$F$4,N283&lt;='Weekly Report'!$F$5),ROW(),"")</f>
        <v/>
      </c>
      <c r="AA283" s="88" t="str">
        <f aca="false">IF(AND(AND(Q283&lt;&gt;"",Q283&gt;='Weekly Report'!$F$4,Q283&lt;='Weekly Report'!$F$5),AND(F283&lt;&gt;"",K283&lt;&gt;"Completed",K283&lt;&gt;"Cancelled")),ROW(),"")</f>
        <v/>
      </c>
      <c r="AB283" s="88" t="str">
        <f aca="false">IF(AND(F283&lt;&gt;"",K283="In Progress"),ROW(),"")</f>
        <v/>
      </c>
      <c r="AC283" s="88" t="str">
        <f aca="false">IF(AND(AND(F283&lt;&gt;"",K283&lt;&gt;"Completed",K283&lt;&gt;"Cancelled"),OR(K283="Blocked",S283&lt;&gt;"")),ROW(),"")</f>
        <v/>
      </c>
      <c r="AD283" s="88" t="str">
        <f aca="false">IF(AND(AND(F283&lt;&gt;"",K283&lt;&gt;"Completed",K283&lt;&gt;"Cancelled"),OR(P283="Yes",AND(M283&lt;&gt;"",M283&lt;='Weekly Report'!$F$7),AND(L283&lt;&gt;"",L283&gt;='Weekly Report'!$F$6,L283&lt;='Weekly Report'!$F$7))),ROW(),"")</f>
        <v/>
      </c>
    </row>
    <row r="284" customFormat="false" ht="15" hidden="false" customHeight="false" outlineLevel="0" collapsed="false">
      <c r="A284" s="56" t="s">
        <v>1765</v>
      </c>
      <c r="B284" s="63"/>
      <c r="C284" s="61"/>
      <c r="D284" s="61"/>
      <c r="E284" s="61"/>
      <c r="F284" s="60"/>
      <c r="G284" s="61"/>
      <c r="H284" s="61"/>
      <c r="I284" s="61"/>
      <c r="J284" s="61"/>
      <c r="K284" s="61"/>
      <c r="L284" s="63"/>
      <c r="M284" s="63"/>
      <c r="N284" s="63"/>
      <c r="O284" s="94"/>
      <c r="P284" s="61"/>
      <c r="Q284" s="63"/>
      <c r="R284" s="60"/>
      <c r="S284" s="60"/>
      <c r="T284" s="63"/>
      <c r="U284" s="60"/>
      <c r="V284" s="60"/>
      <c r="W284" s="87" t="str">
        <f aca="true">IF(B284="","",IF(N284&lt;&gt;"",N284-B284,TODAY()-B284))</f>
        <v/>
      </c>
      <c r="X284" s="62" t="str">
        <f aca="true">IF(OR(M284="",K284="Completed",K284="Cancelled"),"",IF(M284&lt;TODAY(),"OVERDUE",IF(M284-TODAY()&lt;=7,"Due ≤7d","On Schedule")))</f>
        <v/>
      </c>
      <c r="Y284" s="60"/>
      <c r="Z284" s="88" t="str">
        <f aca="false">IF(AND(N284&lt;&gt;"",N284&gt;='Weekly Report'!$F$4,N284&lt;='Weekly Report'!$F$5),ROW(),"")</f>
        <v/>
      </c>
      <c r="AA284" s="88" t="str">
        <f aca="false">IF(AND(AND(Q284&lt;&gt;"",Q284&gt;='Weekly Report'!$F$4,Q284&lt;='Weekly Report'!$F$5),AND(F284&lt;&gt;"",K284&lt;&gt;"Completed",K284&lt;&gt;"Cancelled")),ROW(),"")</f>
        <v/>
      </c>
      <c r="AB284" s="88" t="str">
        <f aca="false">IF(AND(F284&lt;&gt;"",K284="In Progress"),ROW(),"")</f>
        <v/>
      </c>
      <c r="AC284" s="88" t="str">
        <f aca="false">IF(AND(AND(F284&lt;&gt;"",K284&lt;&gt;"Completed",K284&lt;&gt;"Cancelled"),OR(K284="Blocked",S284&lt;&gt;"")),ROW(),"")</f>
        <v/>
      </c>
      <c r="AD284" s="88" t="str">
        <f aca="false">IF(AND(AND(F284&lt;&gt;"",K284&lt;&gt;"Completed",K284&lt;&gt;"Cancelled"),OR(P284="Yes",AND(M284&lt;&gt;"",M284&lt;='Weekly Report'!$F$7),AND(L284&lt;&gt;"",L284&gt;='Weekly Report'!$F$6,L284&lt;='Weekly Report'!$F$7))),ROW(),"")</f>
        <v/>
      </c>
    </row>
    <row r="285" customFormat="false" ht="15" hidden="false" customHeight="false" outlineLevel="0" collapsed="false">
      <c r="A285" s="56" t="s">
        <v>1766</v>
      </c>
      <c r="B285" s="63"/>
      <c r="C285" s="61"/>
      <c r="D285" s="61"/>
      <c r="E285" s="61"/>
      <c r="F285" s="60"/>
      <c r="G285" s="61"/>
      <c r="H285" s="61"/>
      <c r="I285" s="61"/>
      <c r="J285" s="61"/>
      <c r="K285" s="61"/>
      <c r="L285" s="63"/>
      <c r="M285" s="63"/>
      <c r="N285" s="63"/>
      <c r="O285" s="94"/>
      <c r="P285" s="61"/>
      <c r="Q285" s="63"/>
      <c r="R285" s="60"/>
      <c r="S285" s="60"/>
      <c r="T285" s="63"/>
      <c r="U285" s="60"/>
      <c r="V285" s="60"/>
      <c r="W285" s="87" t="str">
        <f aca="true">IF(B285="","",IF(N285&lt;&gt;"",N285-B285,TODAY()-B285))</f>
        <v/>
      </c>
      <c r="X285" s="62" t="str">
        <f aca="true">IF(OR(M285="",K285="Completed",K285="Cancelled"),"",IF(M285&lt;TODAY(),"OVERDUE",IF(M285-TODAY()&lt;=7,"Due ≤7d","On Schedule")))</f>
        <v/>
      </c>
      <c r="Y285" s="60"/>
      <c r="Z285" s="88" t="str">
        <f aca="false">IF(AND(N285&lt;&gt;"",N285&gt;='Weekly Report'!$F$4,N285&lt;='Weekly Report'!$F$5),ROW(),"")</f>
        <v/>
      </c>
      <c r="AA285" s="88" t="str">
        <f aca="false">IF(AND(AND(Q285&lt;&gt;"",Q285&gt;='Weekly Report'!$F$4,Q285&lt;='Weekly Report'!$F$5),AND(F285&lt;&gt;"",K285&lt;&gt;"Completed",K285&lt;&gt;"Cancelled")),ROW(),"")</f>
        <v/>
      </c>
      <c r="AB285" s="88" t="str">
        <f aca="false">IF(AND(F285&lt;&gt;"",K285="In Progress"),ROW(),"")</f>
        <v/>
      </c>
      <c r="AC285" s="88" t="str">
        <f aca="false">IF(AND(AND(F285&lt;&gt;"",K285&lt;&gt;"Completed",K285&lt;&gt;"Cancelled"),OR(K285="Blocked",S285&lt;&gt;"")),ROW(),"")</f>
        <v/>
      </c>
      <c r="AD285" s="88" t="str">
        <f aca="false">IF(AND(AND(F285&lt;&gt;"",K285&lt;&gt;"Completed",K285&lt;&gt;"Cancelled"),OR(P285="Yes",AND(M285&lt;&gt;"",M285&lt;='Weekly Report'!$F$7),AND(L285&lt;&gt;"",L285&gt;='Weekly Report'!$F$6,L285&lt;='Weekly Report'!$F$7))),ROW(),"")</f>
        <v/>
      </c>
    </row>
    <row r="286" customFormat="false" ht="15" hidden="false" customHeight="false" outlineLevel="0" collapsed="false">
      <c r="A286" s="56" t="s">
        <v>1767</v>
      </c>
      <c r="B286" s="63"/>
      <c r="C286" s="61"/>
      <c r="D286" s="61"/>
      <c r="E286" s="61"/>
      <c r="F286" s="60"/>
      <c r="G286" s="61"/>
      <c r="H286" s="61"/>
      <c r="I286" s="61"/>
      <c r="J286" s="61"/>
      <c r="K286" s="61"/>
      <c r="L286" s="63"/>
      <c r="M286" s="63"/>
      <c r="N286" s="63"/>
      <c r="O286" s="94"/>
      <c r="P286" s="61"/>
      <c r="Q286" s="63"/>
      <c r="R286" s="60"/>
      <c r="S286" s="60"/>
      <c r="T286" s="63"/>
      <c r="U286" s="60"/>
      <c r="V286" s="60"/>
      <c r="W286" s="87" t="str">
        <f aca="true">IF(B286="","",IF(N286&lt;&gt;"",N286-B286,TODAY()-B286))</f>
        <v/>
      </c>
      <c r="X286" s="62" t="str">
        <f aca="true">IF(OR(M286="",K286="Completed",K286="Cancelled"),"",IF(M286&lt;TODAY(),"OVERDUE",IF(M286-TODAY()&lt;=7,"Due ≤7d","On Schedule")))</f>
        <v/>
      </c>
      <c r="Y286" s="60"/>
      <c r="Z286" s="88" t="str">
        <f aca="false">IF(AND(N286&lt;&gt;"",N286&gt;='Weekly Report'!$F$4,N286&lt;='Weekly Report'!$F$5),ROW(),"")</f>
        <v/>
      </c>
      <c r="AA286" s="88" t="str">
        <f aca="false">IF(AND(AND(Q286&lt;&gt;"",Q286&gt;='Weekly Report'!$F$4,Q286&lt;='Weekly Report'!$F$5),AND(F286&lt;&gt;"",K286&lt;&gt;"Completed",K286&lt;&gt;"Cancelled")),ROW(),"")</f>
        <v/>
      </c>
      <c r="AB286" s="88" t="str">
        <f aca="false">IF(AND(F286&lt;&gt;"",K286="In Progress"),ROW(),"")</f>
        <v/>
      </c>
      <c r="AC286" s="88" t="str">
        <f aca="false">IF(AND(AND(F286&lt;&gt;"",K286&lt;&gt;"Completed",K286&lt;&gt;"Cancelled"),OR(K286="Blocked",S286&lt;&gt;"")),ROW(),"")</f>
        <v/>
      </c>
      <c r="AD286" s="88" t="str">
        <f aca="false">IF(AND(AND(F286&lt;&gt;"",K286&lt;&gt;"Completed",K286&lt;&gt;"Cancelled"),OR(P286="Yes",AND(M286&lt;&gt;"",M286&lt;='Weekly Report'!$F$7),AND(L286&lt;&gt;"",L286&gt;='Weekly Report'!$F$6,L286&lt;='Weekly Report'!$F$7))),ROW(),"")</f>
        <v/>
      </c>
    </row>
    <row r="287" customFormat="false" ht="15" hidden="false" customHeight="false" outlineLevel="0" collapsed="false">
      <c r="A287" s="56" t="s">
        <v>1768</v>
      </c>
      <c r="B287" s="63"/>
      <c r="C287" s="61"/>
      <c r="D287" s="61"/>
      <c r="E287" s="61"/>
      <c r="F287" s="60"/>
      <c r="G287" s="61"/>
      <c r="H287" s="61"/>
      <c r="I287" s="61"/>
      <c r="J287" s="61"/>
      <c r="K287" s="61"/>
      <c r="L287" s="63"/>
      <c r="M287" s="63"/>
      <c r="N287" s="63"/>
      <c r="O287" s="94"/>
      <c r="P287" s="61"/>
      <c r="Q287" s="63"/>
      <c r="R287" s="60"/>
      <c r="S287" s="60"/>
      <c r="T287" s="63"/>
      <c r="U287" s="60"/>
      <c r="V287" s="60"/>
      <c r="W287" s="87" t="str">
        <f aca="true">IF(B287="","",IF(N287&lt;&gt;"",N287-B287,TODAY()-B287))</f>
        <v/>
      </c>
      <c r="X287" s="62" t="str">
        <f aca="true">IF(OR(M287="",K287="Completed",K287="Cancelled"),"",IF(M287&lt;TODAY(),"OVERDUE",IF(M287-TODAY()&lt;=7,"Due ≤7d","On Schedule")))</f>
        <v/>
      </c>
      <c r="Y287" s="60"/>
      <c r="Z287" s="88" t="str">
        <f aca="false">IF(AND(N287&lt;&gt;"",N287&gt;='Weekly Report'!$F$4,N287&lt;='Weekly Report'!$F$5),ROW(),"")</f>
        <v/>
      </c>
      <c r="AA287" s="88" t="str">
        <f aca="false">IF(AND(AND(Q287&lt;&gt;"",Q287&gt;='Weekly Report'!$F$4,Q287&lt;='Weekly Report'!$F$5),AND(F287&lt;&gt;"",K287&lt;&gt;"Completed",K287&lt;&gt;"Cancelled")),ROW(),"")</f>
        <v/>
      </c>
      <c r="AB287" s="88" t="str">
        <f aca="false">IF(AND(F287&lt;&gt;"",K287="In Progress"),ROW(),"")</f>
        <v/>
      </c>
      <c r="AC287" s="88" t="str">
        <f aca="false">IF(AND(AND(F287&lt;&gt;"",K287&lt;&gt;"Completed",K287&lt;&gt;"Cancelled"),OR(K287="Blocked",S287&lt;&gt;"")),ROW(),"")</f>
        <v/>
      </c>
      <c r="AD287" s="88" t="str">
        <f aca="false">IF(AND(AND(F287&lt;&gt;"",K287&lt;&gt;"Completed",K287&lt;&gt;"Cancelled"),OR(P287="Yes",AND(M287&lt;&gt;"",M287&lt;='Weekly Report'!$F$7),AND(L287&lt;&gt;"",L287&gt;='Weekly Report'!$F$6,L287&lt;='Weekly Report'!$F$7))),ROW(),"")</f>
        <v/>
      </c>
    </row>
    <row r="288" customFormat="false" ht="15" hidden="false" customHeight="false" outlineLevel="0" collapsed="false">
      <c r="A288" s="56" t="s">
        <v>1769</v>
      </c>
      <c r="B288" s="63"/>
      <c r="C288" s="61"/>
      <c r="D288" s="61"/>
      <c r="E288" s="61"/>
      <c r="F288" s="60"/>
      <c r="G288" s="61"/>
      <c r="H288" s="61"/>
      <c r="I288" s="61"/>
      <c r="J288" s="61"/>
      <c r="K288" s="61"/>
      <c r="L288" s="63"/>
      <c r="M288" s="63"/>
      <c r="N288" s="63"/>
      <c r="O288" s="94"/>
      <c r="P288" s="61"/>
      <c r="Q288" s="63"/>
      <c r="R288" s="60"/>
      <c r="S288" s="60"/>
      <c r="T288" s="63"/>
      <c r="U288" s="60"/>
      <c r="V288" s="60"/>
      <c r="W288" s="87" t="str">
        <f aca="true">IF(B288="","",IF(N288&lt;&gt;"",N288-B288,TODAY()-B288))</f>
        <v/>
      </c>
      <c r="X288" s="62" t="str">
        <f aca="true">IF(OR(M288="",K288="Completed",K288="Cancelled"),"",IF(M288&lt;TODAY(),"OVERDUE",IF(M288-TODAY()&lt;=7,"Due ≤7d","On Schedule")))</f>
        <v/>
      </c>
      <c r="Y288" s="60"/>
      <c r="Z288" s="88" t="str">
        <f aca="false">IF(AND(N288&lt;&gt;"",N288&gt;='Weekly Report'!$F$4,N288&lt;='Weekly Report'!$F$5),ROW(),"")</f>
        <v/>
      </c>
      <c r="AA288" s="88" t="str">
        <f aca="false">IF(AND(AND(Q288&lt;&gt;"",Q288&gt;='Weekly Report'!$F$4,Q288&lt;='Weekly Report'!$F$5),AND(F288&lt;&gt;"",K288&lt;&gt;"Completed",K288&lt;&gt;"Cancelled")),ROW(),"")</f>
        <v/>
      </c>
      <c r="AB288" s="88" t="str">
        <f aca="false">IF(AND(F288&lt;&gt;"",K288="In Progress"),ROW(),"")</f>
        <v/>
      </c>
      <c r="AC288" s="88" t="str">
        <f aca="false">IF(AND(AND(F288&lt;&gt;"",K288&lt;&gt;"Completed",K288&lt;&gt;"Cancelled"),OR(K288="Blocked",S288&lt;&gt;"")),ROW(),"")</f>
        <v/>
      </c>
      <c r="AD288" s="88" t="str">
        <f aca="false">IF(AND(AND(F288&lt;&gt;"",K288&lt;&gt;"Completed",K288&lt;&gt;"Cancelled"),OR(P288="Yes",AND(M288&lt;&gt;"",M288&lt;='Weekly Report'!$F$7),AND(L288&lt;&gt;"",L288&gt;='Weekly Report'!$F$6,L288&lt;='Weekly Report'!$F$7))),ROW(),"")</f>
        <v/>
      </c>
    </row>
    <row r="289" customFormat="false" ht="15" hidden="false" customHeight="false" outlineLevel="0" collapsed="false">
      <c r="A289" s="56" t="s">
        <v>1770</v>
      </c>
      <c r="B289" s="63"/>
      <c r="C289" s="61"/>
      <c r="D289" s="61"/>
      <c r="E289" s="61"/>
      <c r="F289" s="60"/>
      <c r="G289" s="61"/>
      <c r="H289" s="61"/>
      <c r="I289" s="61"/>
      <c r="J289" s="61"/>
      <c r="K289" s="61"/>
      <c r="L289" s="63"/>
      <c r="M289" s="63"/>
      <c r="N289" s="63"/>
      <c r="O289" s="94"/>
      <c r="P289" s="61"/>
      <c r="Q289" s="63"/>
      <c r="R289" s="60"/>
      <c r="S289" s="60"/>
      <c r="T289" s="63"/>
      <c r="U289" s="60"/>
      <c r="V289" s="60"/>
      <c r="W289" s="87" t="str">
        <f aca="true">IF(B289="","",IF(N289&lt;&gt;"",N289-B289,TODAY()-B289))</f>
        <v/>
      </c>
      <c r="X289" s="62" t="str">
        <f aca="true">IF(OR(M289="",K289="Completed",K289="Cancelled"),"",IF(M289&lt;TODAY(),"OVERDUE",IF(M289-TODAY()&lt;=7,"Due ≤7d","On Schedule")))</f>
        <v/>
      </c>
      <c r="Y289" s="60"/>
      <c r="Z289" s="88" t="str">
        <f aca="false">IF(AND(N289&lt;&gt;"",N289&gt;='Weekly Report'!$F$4,N289&lt;='Weekly Report'!$F$5),ROW(),"")</f>
        <v/>
      </c>
      <c r="AA289" s="88" t="str">
        <f aca="false">IF(AND(AND(Q289&lt;&gt;"",Q289&gt;='Weekly Report'!$F$4,Q289&lt;='Weekly Report'!$F$5),AND(F289&lt;&gt;"",K289&lt;&gt;"Completed",K289&lt;&gt;"Cancelled")),ROW(),"")</f>
        <v/>
      </c>
      <c r="AB289" s="88" t="str">
        <f aca="false">IF(AND(F289&lt;&gt;"",K289="In Progress"),ROW(),"")</f>
        <v/>
      </c>
      <c r="AC289" s="88" t="str">
        <f aca="false">IF(AND(AND(F289&lt;&gt;"",K289&lt;&gt;"Completed",K289&lt;&gt;"Cancelled"),OR(K289="Blocked",S289&lt;&gt;"")),ROW(),"")</f>
        <v/>
      </c>
      <c r="AD289" s="88" t="str">
        <f aca="false">IF(AND(AND(F289&lt;&gt;"",K289&lt;&gt;"Completed",K289&lt;&gt;"Cancelled"),OR(P289="Yes",AND(M289&lt;&gt;"",M289&lt;='Weekly Report'!$F$7),AND(L289&lt;&gt;"",L289&gt;='Weekly Report'!$F$6,L289&lt;='Weekly Report'!$F$7))),ROW(),"")</f>
        <v/>
      </c>
    </row>
    <row r="290" customFormat="false" ht="15" hidden="false" customHeight="false" outlineLevel="0" collapsed="false">
      <c r="A290" s="56" t="s">
        <v>1771</v>
      </c>
      <c r="B290" s="63"/>
      <c r="C290" s="61"/>
      <c r="D290" s="61"/>
      <c r="E290" s="61"/>
      <c r="F290" s="60"/>
      <c r="G290" s="61"/>
      <c r="H290" s="61"/>
      <c r="I290" s="61"/>
      <c r="J290" s="61"/>
      <c r="K290" s="61"/>
      <c r="L290" s="63"/>
      <c r="M290" s="63"/>
      <c r="N290" s="63"/>
      <c r="O290" s="94"/>
      <c r="P290" s="61"/>
      <c r="Q290" s="63"/>
      <c r="R290" s="60"/>
      <c r="S290" s="60"/>
      <c r="T290" s="63"/>
      <c r="U290" s="60"/>
      <c r="V290" s="60"/>
      <c r="W290" s="87" t="str">
        <f aca="true">IF(B290="","",IF(N290&lt;&gt;"",N290-B290,TODAY()-B290))</f>
        <v/>
      </c>
      <c r="X290" s="62" t="str">
        <f aca="true">IF(OR(M290="",K290="Completed",K290="Cancelled"),"",IF(M290&lt;TODAY(),"OVERDUE",IF(M290-TODAY()&lt;=7,"Due ≤7d","On Schedule")))</f>
        <v/>
      </c>
      <c r="Y290" s="60"/>
      <c r="Z290" s="88" t="str">
        <f aca="false">IF(AND(N290&lt;&gt;"",N290&gt;='Weekly Report'!$F$4,N290&lt;='Weekly Report'!$F$5),ROW(),"")</f>
        <v/>
      </c>
      <c r="AA290" s="88" t="str">
        <f aca="false">IF(AND(AND(Q290&lt;&gt;"",Q290&gt;='Weekly Report'!$F$4,Q290&lt;='Weekly Report'!$F$5),AND(F290&lt;&gt;"",K290&lt;&gt;"Completed",K290&lt;&gt;"Cancelled")),ROW(),"")</f>
        <v/>
      </c>
      <c r="AB290" s="88" t="str">
        <f aca="false">IF(AND(F290&lt;&gt;"",K290="In Progress"),ROW(),"")</f>
        <v/>
      </c>
      <c r="AC290" s="88" t="str">
        <f aca="false">IF(AND(AND(F290&lt;&gt;"",K290&lt;&gt;"Completed",K290&lt;&gt;"Cancelled"),OR(K290="Blocked",S290&lt;&gt;"")),ROW(),"")</f>
        <v/>
      </c>
      <c r="AD290" s="88" t="str">
        <f aca="false">IF(AND(AND(F290&lt;&gt;"",K290&lt;&gt;"Completed",K290&lt;&gt;"Cancelled"),OR(P290="Yes",AND(M290&lt;&gt;"",M290&lt;='Weekly Report'!$F$7),AND(L290&lt;&gt;"",L290&gt;='Weekly Report'!$F$6,L290&lt;='Weekly Report'!$F$7))),ROW(),"")</f>
        <v/>
      </c>
    </row>
    <row r="291" customFormat="false" ht="15" hidden="false" customHeight="false" outlineLevel="0" collapsed="false">
      <c r="A291" s="56" t="s">
        <v>1772</v>
      </c>
      <c r="B291" s="63"/>
      <c r="C291" s="61"/>
      <c r="D291" s="61"/>
      <c r="E291" s="61"/>
      <c r="F291" s="60"/>
      <c r="G291" s="61"/>
      <c r="H291" s="61"/>
      <c r="I291" s="61"/>
      <c r="J291" s="61"/>
      <c r="K291" s="61"/>
      <c r="L291" s="63"/>
      <c r="M291" s="63"/>
      <c r="N291" s="63"/>
      <c r="O291" s="94"/>
      <c r="P291" s="61"/>
      <c r="Q291" s="63"/>
      <c r="R291" s="60"/>
      <c r="S291" s="60"/>
      <c r="T291" s="63"/>
      <c r="U291" s="60"/>
      <c r="V291" s="60"/>
      <c r="W291" s="87" t="str">
        <f aca="true">IF(B291="","",IF(N291&lt;&gt;"",N291-B291,TODAY()-B291))</f>
        <v/>
      </c>
      <c r="X291" s="62" t="str">
        <f aca="true">IF(OR(M291="",K291="Completed",K291="Cancelled"),"",IF(M291&lt;TODAY(),"OVERDUE",IF(M291-TODAY()&lt;=7,"Due ≤7d","On Schedule")))</f>
        <v/>
      </c>
      <c r="Y291" s="60"/>
      <c r="Z291" s="88" t="str">
        <f aca="false">IF(AND(N291&lt;&gt;"",N291&gt;='Weekly Report'!$F$4,N291&lt;='Weekly Report'!$F$5),ROW(),"")</f>
        <v/>
      </c>
      <c r="AA291" s="88" t="str">
        <f aca="false">IF(AND(AND(Q291&lt;&gt;"",Q291&gt;='Weekly Report'!$F$4,Q291&lt;='Weekly Report'!$F$5),AND(F291&lt;&gt;"",K291&lt;&gt;"Completed",K291&lt;&gt;"Cancelled")),ROW(),"")</f>
        <v/>
      </c>
      <c r="AB291" s="88" t="str">
        <f aca="false">IF(AND(F291&lt;&gt;"",K291="In Progress"),ROW(),"")</f>
        <v/>
      </c>
      <c r="AC291" s="88" t="str">
        <f aca="false">IF(AND(AND(F291&lt;&gt;"",K291&lt;&gt;"Completed",K291&lt;&gt;"Cancelled"),OR(K291="Blocked",S291&lt;&gt;"")),ROW(),"")</f>
        <v/>
      </c>
      <c r="AD291" s="88" t="str">
        <f aca="false">IF(AND(AND(F291&lt;&gt;"",K291&lt;&gt;"Completed",K291&lt;&gt;"Cancelled"),OR(P291="Yes",AND(M291&lt;&gt;"",M291&lt;='Weekly Report'!$F$7),AND(L291&lt;&gt;"",L291&gt;='Weekly Report'!$F$6,L291&lt;='Weekly Report'!$F$7))),ROW(),"")</f>
        <v/>
      </c>
    </row>
    <row r="292" customFormat="false" ht="15" hidden="false" customHeight="false" outlineLevel="0" collapsed="false">
      <c r="A292" s="56" t="s">
        <v>1773</v>
      </c>
      <c r="B292" s="63"/>
      <c r="C292" s="61"/>
      <c r="D292" s="61"/>
      <c r="E292" s="61"/>
      <c r="F292" s="60"/>
      <c r="G292" s="61"/>
      <c r="H292" s="61"/>
      <c r="I292" s="61"/>
      <c r="J292" s="61"/>
      <c r="K292" s="61"/>
      <c r="L292" s="63"/>
      <c r="M292" s="63"/>
      <c r="N292" s="63"/>
      <c r="O292" s="94"/>
      <c r="P292" s="61"/>
      <c r="Q292" s="63"/>
      <c r="R292" s="60"/>
      <c r="S292" s="60"/>
      <c r="T292" s="63"/>
      <c r="U292" s="60"/>
      <c r="V292" s="60"/>
      <c r="W292" s="87" t="str">
        <f aca="true">IF(B292="","",IF(N292&lt;&gt;"",N292-B292,TODAY()-B292))</f>
        <v/>
      </c>
      <c r="X292" s="62" t="str">
        <f aca="true">IF(OR(M292="",K292="Completed",K292="Cancelled"),"",IF(M292&lt;TODAY(),"OVERDUE",IF(M292-TODAY()&lt;=7,"Due ≤7d","On Schedule")))</f>
        <v/>
      </c>
      <c r="Y292" s="60"/>
      <c r="Z292" s="88" t="str">
        <f aca="false">IF(AND(N292&lt;&gt;"",N292&gt;='Weekly Report'!$F$4,N292&lt;='Weekly Report'!$F$5),ROW(),"")</f>
        <v/>
      </c>
      <c r="AA292" s="88" t="str">
        <f aca="false">IF(AND(AND(Q292&lt;&gt;"",Q292&gt;='Weekly Report'!$F$4,Q292&lt;='Weekly Report'!$F$5),AND(F292&lt;&gt;"",K292&lt;&gt;"Completed",K292&lt;&gt;"Cancelled")),ROW(),"")</f>
        <v/>
      </c>
      <c r="AB292" s="88" t="str">
        <f aca="false">IF(AND(F292&lt;&gt;"",K292="In Progress"),ROW(),"")</f>
        <v/>
      </c>
      <c r="AC292" s="88" t="str">
        <f aca="false">IF(AND(AND(F292&lt;&gt;"",K292&lt;&gt;"Completed",K292&lt;&gt;"Cancelled"),OR(K292="Blocked",S292&lt;&gt;"")),ROW(),"")</f>
        <v/>
      </c>
      <c r="AD292" s="88" t="str">
        <f aca="false">IF(AND(AND(F292&lt;&gt;"",K292&lt;&gt;"Completed",K292&lt;&gt;"Cancelled"),OR(P292="Yes",AND(M292&lt;&gt;"",M292&lt;='Weekly Report'!$F$7),AND(L292&lt;&gt;"",L292&gt;='Weekly Report'!$F$6,L292&lt;='Weekly Report'!$F$7))),ROW(),"")</f>
        <v/>
      </c>
    </row>
    <row r="293" customFormat="false" ht="15" hidden="false" customHeight="false" outlineLevel="0" collapsed="false">
      <c r="A293" s="56" t="s">
        <v>1774</v>
      </c>
      <c r="B293" s="63"/>
      <c r="C293" s="61"/>
      <c r="D293" s="61"/>
      <c r="E293" s="61"/>
      <c r="F293" s="60"/>
      <c r="G293" s="61"/>
      <c r="H293" s="61"/>
      <c r="I293" s="61"/>
      <c r="J293" s="61"/>
      <c r="K293" s="61"/>
      <c r="L293" s="63"/>
      <c r="M293" s="63"/>
      <c r="N293" s="63"/>
      <c r="O293" s="94"/>
      <c r="P293" s="61"/>
      <c r="Q293" s="63"/>
      <c r="R293" s="60"/>
      <c r="S293" s="60"/>
      <c r="T293" s="63"/>
      <c r="U293" s="60"/>
      <c r="V293" s="60"/>
      <c r="W293" s="87" t="str">
        <f aca="true">IF(B293="","",IF(N293&lt;&gt;"",N293-B293,TODAY()-B293))</f>
        <v/>
      </c>
      <c r="X293" s="62" t="str">
        <f aca="true">IF(OR(M293="",K293="Completed",K293="Cancelled"),"",IF(M293&lt;TODAY(),"OVERDUE",IF(M293-TODAY()&lt;=7,"Due ≤7d","On Schedule")))</f>
        <v/>
      </c>
      <c r="Y293" s="60"/>
      <c r="Z293" s="88" t="str">
        <f aca="false">IF(AND(N293&lt;&gt;"",N293&gt;='Weekly Report'!$F$4,N293&lt;='Weekly Report'!$F$5),ROW(),"")</f>
        <v/>
      </c>
      <c r="AA293" s="88" t="str">
        <f aca="false">IF(AND(AND(Q293&lt;&gt;"",Q293&gt;='Weekly Report'!$F$4,Q293&lt;='Weekly Report'!$F$5),AND(F293&lt;&gt;"",K293&lt;&gt;"Completed",K293&lt;&gt;"Cancelled")),ROW(),"")</f>
        <v/>
      </c>
      <c r="AB293" s="88" t="str">
        <f aca="false">IF(AND(F293&lt;&gt;"",K293="In Progress"),ROW(),"")</f>
        <v/>
      </c>
      <c r="AC293" s="88" t="str">
        <f aca="false">IF(AND(AND(F293&lt;&gt;"",K293&lt;&gt;"Completed",K293&lt;&gt;"Cancelled"),OR(K293="Blocked",S293&lt;&gt;"")),ROW(),"")</f>
        <v/>
      </c>
      <c r="AD293" s="88" t="str">
        <f aca="false">IF(AND(AND(F293&lt;&gt;"",K293&lt;&gt;"Completed",K293&lt;&gt;"Cancelled"),OR(P293="Yes",AND(M293&lt;&gt;"",M293&lt;='Weekly Report'!$F$7),AND(L293&lt;&gt;"",L293&gt;='Weekly Report'!$F$6,L293&lt;='Weekly Report'!$F$7))),ROW(),"")</f>
        <v/>
      </c>
    </row>
    <row r="294" customFormat="false" ht="15" hidden="false" customHeight="false" outlineLevel="0" collapsed="false">
      <c r="A294" s="56" t="s">
        <v>1775</v>
      </c>
      <c r="B294" s="63"/>
      <c r="C294" s="61"/>
      <c r="D294" s="61"/>
      <c r="E294" s="61"/>
      <c r="F294" s="60"/>
      <c r="G294" s="61"/>
      <c r="H294" s="61"/>
      <c r="I294" s="61"/>
      <c r="J294" s="61"/>
      <c r="K294" s="61"/>
      <c r="L294" s="63"/>
      <c r="M294" s="63"/>
      <c r="N294" s="63"/>
      <c r="O294" s="94"/>
      <c r="P294" s="61"/>
      <c r="Q294" s="63"/>
      <c r="R294" s="60"/>
      <c r="S294" s="60"/>
      <c r="T294" s="63"/>
      <c r="U294" s="60"/>
      <c r="V294" s="60"/>
      <c r="W294" s="87" t="str">
        <f aca="true">IF(B294="","",IF(N294&lt;&gt;"",N294-B294,TODAY()-B294))</f>
        <v/>
      </c>
      <c r="X294" s="62" t="str">
        <f aca="true">IF(OR(M294="",K294="Completed",K294="Cancelled"),"",IF(M294&lt;TODAY(),"OVERDUE",IF(M294-TODAY()&lt;=7,"Due ≤7d","On Schedule")))</f>
        <v/>
      </c>
      <c r="Y294" s="60"/>
      <c r="Z294" s="88" t="str">
        <f aca="false">IF(AND(N294&lt;&gt;"",N294&gt;='Weekly Report'!$F$4,N294&lt;='Weekly Report'!$F$5),ROW(),"")</f>
        <v/>
      </c>
      <c r="AA294" s="88" t="str">
        <f aca="false">IF(AND(AND(Q294&lt;&gt;"",Q294&gt;='Weekly Report'!$F$4,Q294&lt;='Weekly Report'!$F$5),AND(F294&lt;&gt;"",K294&lt;&gt;"Completed",K294&lt;&gt;"Cancelled")),ROW(),"")</f>
        <v/>
      </c>
      <c r="AB294" s="88" t="str">
        <f aca="false">IF(AND(F294&lt;&gt;"",K294="In Progress"),ROW(),"")</f>
        <v/>
      </c>
      <c r="AC294" s="88" t="str">
        <f aca="false">IF(AND(AND(F294&lt;&gt;"",K294&lt;&gt;"Completed",K294&lt;&gt;"Cancelled"),OR(K294="Blocked",S294&lt;&gt;"")),ROW(),"")</f>
        <v/>
      </c>
      <c r="AD294" s="88" t="str">
        <f aca="false">IF(AND(AND(F294&lt;&gt;"",K294&lt;&gt;"Completed",K294&lt;&gt;"Cancelled"),OR(P294="Yes",AND(M294&lt;&gt;"",M294&lt;='Weekly Report'!$F$7),AND(L294&lt;&gt;"",L294&gt;='Weekly Report'!$F$6,L294&lt;='Weekly Report'!$F$7))),ROW(),"")</f>
        <v/>
      </c>
    </row>
    <row r="295" customFormat="false" ht="15" hidden="false" customHeight="false" outlineLevel="0" collapsed="false">
      <c r="A295" s="56" t="s">
        <v>1776</v>
      </c>
      <c r="B295" s="63"/>
      <c r="C295" s="61"/>
      <c r="D295" s="61"/>
      <c r="E295" s="61"/>
      <c r="F295" s="60"/>
      <c r="G295" s="61"/>
      <c r="H295" s="61"/>
      <c r="I295" s="61"/>
      <c r="J295" s="61"/>
      <c r="K295" s="61"/>
      <c r="L295" s="63"/>
      <c r="M295" s="63"/>
      <c r="N295" s="63"/>
      <c r="O295" s="94"/>
      <c r="P295" s="61"/>
      <c r="Q295" s="63"/>
      <c r="R295" s="60"/>
      <c r="S295" s="60"/>
      <c r="T295" s="63"/>
      <c r="U295" s="60"/>
      <c r="V295" s="60"/>
      <c r="W295" s="87" t="str">
        <f aca="true">IF(B295="","",IF(N295&lt;&gt;"",N295-B295,TODAY()-B295))</f>
        <v/>
      </c>
      <c r="X295" s="62" t="str">
        <f aca="true">IF(OR(M295="",K295="Completed",K295="Cancelled"),"",IF(M295&lt;TODAY(),"OVERDUE",IF(M295-TODAY()&lt;=7,"Due ≤7d","On Schedule")))</f>
        <v/>
      </c>
      <c r="Y295" s="60"/>
      <c r="Z295" s="88" t="str">
        <f aca="false">IF(AND(N295&lt;&gt;"",N295&gt;='Weekly Report'!$F$4,N295&lt;='Weekly Report'!$F$5),ROW(),"")</f>
        <v/>
      </c>
      <c r="AA295" s="88" t="str">
        <f aca="false">IF(AND(AND(Q295&lt;&gt;"",Q295&gt;='Weekly Report'!$F$4,Q295&lt;='Weekly Report'!$F$5),AND(F295&lt;&gt;"",K295&lt;&gt;"Completed",K295&lt;&gt;"Cancelled")),ROW(),"")</f>
        <v/>
      </c>
      <c r="AB295" s="88" t="str">
        <f aca="false">IF(AND(F295&lt;&gt;"",K295="In Progress"),ROW(),"")</f>
        <v/>
      </c>
      <c r="AC295" s="88" t="str">
        <f aca="false">IF(AND(AND(F295&lt;&gt;"",K295&lt;&gt;"Completed",K295&lt;&gt;"Cancelled"),OR(K295="Blocked",S295&lt;&gt;"")),ROW(),"")</f>
        <v/>
      </c>
      <c r="AD295" s="88" t="str">
        <f aca="false">IF(AND(AND(F295&lt;&gt;"",K295&lt;&gt;"Completed",K295&lt;&gt;"Cancelled"),OR(P295="Yes",AND(M295&lt;&gt;"",M295&lt;='Weekly Report'!$F$7),AND(L295&lt;&gt;"",L295&gt;='Weekly Report'!$F$6,L295&lt;='Weekly Report'!$F$7))),ROW(),"")</f>
        <v/>
      </c>
    </row>
    <row r="296" customFormat="false" ht="15" hidden="false" customHeight="false" outlineLevel="0" collapsed="false">
      <c r="A296" s="56" t="s">
        <v>1777</v>
      </c>
      <c r="B296" s="63"/>
      <c r="C296" s="61"/>
      <c r="D296" s="61"/>
      <c r="E296" s="61"/>
      <c r="F296" s="60"/>
      <c r="G296" s="61"/>
      <c r="H296" s="61"/>
      <c r="I296" s="61"/>
      <c r="J296" s="61"/>
      <c r="K296" s="61"/>
      <c r="L296" s="63"/>
      <c r="M296" s="63"/>
      <c r="N296" s="63"/>
      <c r="O296" s="94"/>
      <c r="P296" s="61"/>
      <c r="Q296" s="63"/>
      <c r="R296" s="60"/>
      <c r="S296" s="60"/>
      <c r="T296" s="63"/>
      <c r="U296" s="60"/>
      <c r="V296" s="60"/>
      <c r="W296" s="87" t="str">
        <f aca="true">IF(B296="","",IF(N296&lt;&gt;"",N296-B296,TODAY()-B296))</f>
        <v/>
      </c>
      <c r="X296" s="62" t="str">
        <f aca="true">IF(OR(M296="",K296="Completed",K296="Cancelled"),"",IF(M296&lt;TODAY(),"OVERDUE",IF(M296-TODAY()&lt;=7,"Due ≤7d","On Schedule")))</f>
        <v/>
      </c>
      <c r="Y296" s="60"/>
      <c r="Z296" s="88" t="str">
        <f aca="false">IF(AND(N296&lt;&gt;"",N296&gt;='Weekly Report'!$F$4,N296&lt;='Weekly Report'!$F$5),ROW(),"")</f>
        <v/>
      </c>
      <c r="AA296" s="88" t="str">
        <f aca="false">IF(AND(AND(Q296&lt;&gt;"",Q296&gt;='Weekly Report'!$F$4,Q296&lt;='Weekly Report'!$F$5),AND(F296&lt;&gt;"",K296&lt;&gt;"Completed",K296&lt;&gt;"Cancelled")),ROW(),"")</f>
        <v/>
      </c>
      <c r="AB296" s="88" t="str">
        <f aca="false">IF(AND(F296&lt;&gt;"",K296="In Progress"),ROW(),"")</f>
        <v/>
      </c>
      <c r="AC296" s="88" t="str">
        <f aca="false">IF(AND(AND(F296&lt;&gt;"",K296&lt;&gt;"Completed",K296&lt;&gt;"Cancelled"),OR(K296="Blocked",S296&lt;&gt;"")),ROW(),"")</f>
        <v/>
      </c>
      <c r="AD296" s="88" t="str">
        <f aca="false">IF(AND(AND(F296&lt;&gt;"",K296&lt;&gt;"Completed",K296&lt;&gt;"Cancelled"),OR(P296="Yes",AND(M296&lt;&gt;"",M296&lt;='Weekly Report'!$F$7),AND(L296&lt;&gt;"",L296&gt;='Weekly Report'!$F$6,L296&lt;='Weekly Report'!$F$7))),ROW(),"")</f>
        <v/>
      </c>
    </row>
    <row r="297" customFormat="false" ht="15" hidden="false" customHeight="false" outlineLevel="0" collapsed="false">
      <c r="A297" s="56" t="s">
        <v>1778</v>
      </c>
      <c r="B297" s="63"/>
      <c r="C297" s="61"/>
      <c r="D297" s="61"/>
      <c r="E297" s="61"/>
      <c r="F297" s="60"/>
      <c r="G297" s="61"/>
      <c r="H297" s="61"/>
      <c r="I297" s="61"/>
      <c r="J297" s="61"/>
      <c r="K297" s="61"/>
      <c r="L297" s="63"/>
      <c r="M297" s="63"/>
      <c r="N297" s="63"/>
      <c r="O297" s="94"/>
      <c r="P297" s="61"/>
      <c r="Q297" s="63"/>
      <c r="R297" s="60"/>
      <c r="S297" s="60"/>
      <c r="T297" s="63"/>
      <c r="U297" s="60"/>
      <c r="V297" s="60"/>
      <c r="W297" s="87" t="str">
        <f aca="true">IF(B297="","",IF(N297&lt;&gt;"",N297-B297,TODAY()-B297))</f>
        <v/>
      </c>
      <c r="X297" s="62" t="str">
        <f aca="true">IF(OR(M297="",K297="Completed",K297="Cancelled"),"",IF(M297&lt;TODAY(),"OVERDUE",IF(M297-TODAY()&lt;=7,"Due ≤7d","On Schedule")))</f>
        <v/>
      </c>
      <c r="Y297" s="60"/>
      <c r="Z297" s="88" t="str">
        <f aca="false">IF(AND(N297&lt;&gt;"",N297&gt;='Weekly Report'!$F$4,N297&lt;='Weekly Report'!$F$5),ROW(),"")</f>
        <v/>
      </c>
      <c r="AA297" s="88" t="str">
        <f aca="false">IF(AND(AND(Q297&lt;&gt;"",Q297&gt;='Weekly Report'!$F$4,Q297&lt;='Weekly Report'!$F$5),AND(F297&lt;&gt;"",K297&lt;&gt;"Completed",K297&lt;&gt;"Cancelled")),ROW(),"")</f>
        <v/>
      </c>
      <c r="AB297" s="88" t="str">
        <f aca="false">IF(AND(F297&lt;&gt;"",K297="In Progress"),ROW(),"")</f>
        <v/>
      </c>
      <c r="AC297" s="88" t="str">
        <f aca="false">IF(AND(AND(F297&lt;&gt;"",K297&lt;&gt;"Completed",K297&lt;&gt;"Cancelled"),OR(K297="Blocked",S297&lt;&gt;"")),ROW(),"")</f>
        <v/>
      </c>
      <c r="AD297" s="88" t="str">
        <f aca="false">IF(AND(AND(F297&lt;&gt;"",K297&lt;&gt;"Completed",K297&lt;&gt;"Cancelled"),OR(P297="Yes",AND(M297&lt;&gt;"",M297&lt;='Weekly Report'!$F$7),AND(L297&lt;&gt;"",L297&gt;='Weekly Report'!$F$6,L297&lt;='Weekly Report'!$F$7))),ROW(),"")</f>
        <v/>
      </c>
    </row>
    <row r="298" customFormat="false" ht="15" hidden="false" customHeight="false" outlineLevel="0" collapsed="false">
      <c r="A298" s="56" t="s">
        <v>1779</v>
      </c>
      <c r="B298" s="63"/>
      <c r="C298" s="61"/>
      <c r="D298" s="61"/>
      <c r="E298" s="61"/>
      <c r="F298" s="60"/>
      <c r="G298" s="61"/>
      <c r="H298" s="61"/>
      <c r="I298" s="61"/>
      <c r="J298" s="61"/>
      <c r="K298" s="61"/>
      <c r="L298" s="63"/>
      <c r="M298" s="63"/>
      <c r="N298" s="63"/>
      <c r="O298" s="94"/>
      <c r="P298" s="61"/>
      <c r="Q298" s="63"/>
      <c r="R298" s="60"/>
      <c r="S298" s="60"/>
      <c r="T298" s="63"/>
      <c r="U298" s="60"/>
      <c r="V298" s="60"/>
      <c r="W298" s="87" t="str">
        <f aca="true">IF(B298="","",IF(N298&lt;&gt;"",N298-B298,TODAY()-B298))</f>
        <v/>
      </c>
      <c r="X298" s="62" t="str">
        <f aca="true">IF(OR(M298="",K298="Completed",K298="Cancelled"),"",IF(M298&lt;TODAY(),"OVERDUE",IF(M298-TODAY()&lt;=7,"Due ≤7d","On Schedule")))</f>
        <v/>
      </c>
      <c r="Y298" s="60"/>
      <c r="Z298" s="88" t="str">
        <f aca="false">IF(AND(N298&lt;&gt;"",N298&gt;='Weekly Report'!$F$4,N298&lt;='Weekly Report'!$F$5),ROW(),"")</f>
        <v/>
      </c>
      <c r="AA298" s="88" t="str">
        <f aca="false">IF(AND(AND(Q298&lt;&gt;"",Q298&gt;='Weekly Report'!$F$4,Q298&lt;='Weekly Report'!$F$5),AND(F298&lt;&gt;"",K298&lt;&gt;"Completed",K298&lt;&gt;"Cancelled")),ROW(),"")</f>
        <v/>
      </c>
      <c r="AB298" s="88" t="str">
        <f aca="false">IF(AND(F298&lt;&gt;"",K298="In Progress"),ROW(),"")</f>
        <v/>
      </c>
      <c r="AC298" s="88" t="str">
        <f aca="false">IF(AND(AND(F298&lt;&gt;"",K298&lt;&gt;"Completed",K298&lt;&gt;"Cancelled"),OR(K298="Blocked",S298&lt;&gt;"")),ROW(),"")</f>
        <v/>
      </c>
      <c r="AD298" s="88" t="str">
        <f aca="false">IF(AND(AND(F298&lt;&gt;"",K298&lt;&gt;"Completed",K298&lt;&gt;"Cancelled"),OR(P298="Yes",AND(M298&lt;&gt;"",M298&lt;='Weekly Report'!$F$7),AND(L298&lt;&gt;"",L298&gt;='Weekly Report'!$F$6,L298&lt;='Weekly Report'!$F$7))),ROW(),"")</f>
        <v/>
      </c>
    </row>
    <row r="299" customFormat="false" ht="15" hidden="false" customHeight="false" outlineLevel="0" collapsed="false">
      <c r="A299" s="56" t="s">
        <v>1780</v>
      </c>
      <c r="B299" s="63"/>
      <c r="C299" s="61"/>
      <c r="D299" s="61"/>
      <c r="E299" s="61"/>
      <c r="F299" s="60"/>
      <c r="G299" s="61"/>
      <c r="H299" s="61"/>
      <c r="I299" s="61"/>
      <c r="J299" s="61"/>
      <c r="K299" s="61"/>
      <c r="L299" s="63"/>
      <c r="M299" s="63"/>
      <c r="N299" s="63"/>
      <c r="O299" s="94"/>
      <c r="P299" s="61"/>
      <c r="Q299" s="63"/>
      <c r="R299" s="60"/>
      <c r="S299" s="60"/>
      <c r="T299" s="63"/>
      <c r="U299" s="60"/>
      <c r="V299" s="60"/>
      <c r="W299" s="87" t="str">
        <f aca="true">IF(B299="","",IF(N299&lt;&gt;"",N299-B299,TODAY()-B299))</f>
        <v/>
      </c>
      <c r="X299" s="62" t="str">
        <f aca="true">IF(OR(M299="",K299="Completed",K299="Cancelled"),"",IF(M299&lt;TODAY(),"OVERDUE",IF(M299-TODAY()&lt;=7,"Due ≤7d","On Schedule")))</f>
        <v/>
      </c>
      <c r="Y299" s="60"/>
      <c r="Z299" s="88" t="str">
        <f aca="false">IF(AND(N299&lt;&gt;"",N299&gt;='Weekly Report'!$F$4,N299&lt;='Weekly Report'!$F$5),ROW(),"")</f>
        <v/>
      </c>
      <c r="AA299" s="88" t="str">
        <f aca="false">IF(AND(AND(Q299&lt;&gt;"",Q299&gt;='Weekly Report'!$F$4,Q299&lt;='Weekly Report'!$F$5),AND(F299&lt;&gt;"",K299&lt;&gt;"Completed",K299&lt;&gt;"Cancelled")),ROW(),"")</f>
        <v/>
      </c>
      <c r="AB299" s="88" t="str">
        <f aca="false">IF(AND(F299&lt;&gt;"",K299="In Progress"),ROW(),"")</f>
        <v/>
      </c>
      <c r="AC299" s="88" t="str">
        <f aca="false">IF(AND(AND(F299&lt;&gt;"",K299&lt;&gt;"Completed",K299&lt;&gt;"Cancelled"),OR(K299="Blocked",S299&lt;&gt;"")),ROW(),"")</f>
        <v/>
      </c>
      <c r="AD299" s="88" t="str">
        <f aca="false">IF(AND(AND(F299&lt;&gt;"",K299&lt;&gt;"Completed",K299&lt;&gt;"Cancelled"),OR(P299="Yes",AND(M299&lt;&gt;"",M299&lt;='Weekly Report'!$F$7),AND(L299&lt;&gt;"",L299&gt;='Weekly Report'!$F$6,L299&lt;='Weekly Report'!$F$7))),ROW(),"")</f>
        <v/>
      </c>
    </row>
    <row r="300" customFormat="false" ht="15" hidden="false" customHeight="false" outlineLevel="0" collapsed="false">
      <c r="A300" s="56" t="s">
        <v>1781</v>
      </c>
      <c r="B300" s="63"/>
      <c r="C300" s="61"/>
      <c r="D300" s="61"/>
      <c r="E300" s="61"/>
      <c r="F300" s="60"/>
      <c r="G300" s="61"/>
      <c r="H300" s="61"/>
      <c r="I300" s="61"/>
      <c r="J300" s="61"/>
      <c r="K300" s="61"/>
      <c r="L300" s="63"/>
      <c r="M300" s="63"/>
      <c r="N300" s="63"/>
      <c r="O300" s="94"/>
      <c r="P300" s="61"/>
      <c r="Q300" s="63"/>
      <c r="R300" s="60"/>
      <c r="S300" s="60"/>
      <c r="T300" s="63"/>
      <c r="U300" s="60"/>
      <c r="V300" s="60"/>
      <c r="W300" s="87" t="str">
        <f aca="true">IF(B300="","",IF(N300&lt;&gt;"",N300-B300,TODAY()-B300))</f>
        <v/>
      </c>
      <c r="X300" s="62" t="str">
        <f aca="true">IF(OR(M300="",K300="Completed",K300="Cancelled"),"",IF(M300&lt;TODAY(),"OVERDUE",IF(M300-TODAY()&lt;=7,"Due ≤7d","On Schedule")))</f>
        <v/>
      </c>
      <c r="Y300" s="60"/>
      <c r="Z300" s="88" t="str">
        <f aca="false">IF(AND(N300&lt;&gt;"",N300&gt;='Weekly Report'!$F$4,N300&lt;='Weekly Report'!$F$5),ROW(),"")</f>
        <v/>
      </c>
      <c r="AA300" s="88" t="str">
        <f aca="false">IF(AND(AND(Q300&lt;&gt;"",Q300&gt;='Weekly Report'!$F$4,Q300&lt;='Weekly Report'!$F$5),AND(F300&lt;&gt;"",K300&lt;&gt;"Completed",K300&lt;&gt;"Cancelled")),ROW(),"")</f>
        <v/>
      </c>
      <c r="AB300" s="88" t="str">
        <f aca="false">IF(AND(F300&lt;&gt;"",K300="In Progress"),ROW(),"")</f>
        <v/>
      </c>
      <c r="AC300" s="88" t="str">
        <f aca="false">IF(AND(AND(F300&lt;&gt;"",K300&lt;&gt;"Completed",K300&lt;&gt;"Cancelled"),OR(K300="Blocked",S300&lt;&gt;"")),ROW(),"")</f>
        <v/>
      </c>
      <c r="AD300" s="88" t="str">
        <f aca="false">IF(AND(AND(F300&lt;&gt;"",K300&lt;&gt;"Completed",K300&lt;&gt;"Cancelled"),OR(P300="Yes",AND(M300&lt;&gt;"",M300&lt;='Weekly Report'!$F$7),AND(L300&lt;&gt;"",L300&gt;='Weekly Report'!$F$6,L300&lt;='Weekly Report'!$F$7))),ROW(),"")</f>
        <v/>
      </c>
    </row>
    <row r="301" customFormat="false" ht="15" hidden="false" customHeight="false" outlineLevel="0" collapsed="false">
      <c r="A301" s="56" t="s">
        <v>1782</v>
      </c>
      <c r="B301" s="63"/>
      <c r="C301" s="61"/>
      <c r="D301" s="61"/>
      <c r="E301" s="61"/>
      <c r="F301" s="60"/>
      <c r="G301" s="61"/>
      <c r="H301" s="61"/>
      <c r="I301" s="61"/>
      <c r="J301" s="61"/>
      <c r="K301" s="61"/>
      <c r="L301" s="63"/>
      <c r="M301" s="63"/>
      <c r="N301" s="63"/>
      <c r="O301" s="94"/>
      <c r="P301" s="61"/>
      <c r="Q301" s="63"/>
      <c r="R301" s="60"/>
      <c r="S301" s="60"/>
      <c r="T301" s="63"/>
      <c r="U301" s="60"/>
      <c r="V301" s="60"/>
      <c r="W301" s="87" t="str">
        <f aca="true">IF(B301="","",IF(N301&lt;&gt;"",N301-B301,TODAY()-B301))</f>
        <v/>
      </c>
      <c r="X301" s="62" t="str">
        <f aca="true">IF(OR(M301="",K301="Completed",K301="Cancelled"),"",IF(M301&lt;TODAY(),"OVERDUE",IF(M301-TODAY()&lt;=7,"Due ≤7d","On Schedule")))</f>
        <v/>
      </c>
      <c r="Y301" s="60"/>
      <c r="Z301" s="88" t="str">
        <f aca="false">IF(AND(N301&lt;&gt;"",N301&gt;='Weekly Report'!$F$4,N301&lt;='Weekly Report'!$F$5),ROW(),"")</f>
        <v/>
      </c>
      <c r="AA301" s="88" t="str">
        <f aca="false">IF(AND(AND(Q301&lt;&gt;"",Q301&gt;='Weekly Report'!$F$4,Q301&lt;='Weekly Report'!$F$5),AND(F301&lt;&gt;"",K301&lt;&gt;"Completed",K301&lt;&gt;"Cancelled")),ROW(),"")</f>
        <v/>
      </c>
      <c r="AB301" s="88" t="str">
        <f aca="false">IF(AND(F301&lt;&gt;"",K301="In Progress"),ROW(),"")</f>
        <v/>
      </c>
      <c r="AC301" s="88" t="str">
        <f aca="false">IF(AND(AND(F301&lt;&gt;"",K301&lt;&gt;"Completed",K301&lt;&gt;"Cancelled"),OR(K301="Blocked",S301&lt;&gt;"")),ROW(),"")</f>
        <v/>
      </c>
      <c r="AD301" s="88" t="str">
        <f aca="false">IF(AND(AND(F301&lt;&gt;"",K301&lt;&gt;"Completed",K301&lt;&gt;"Cancelled"),OR(P301="Yes",AND(M301&lt;&gt;"",M301&lt;='Weekly Report'!$F$7),AND(L301&lt;&gt;"",L301&gt;='Weekly Report'!$F$6,L301&lt;='Weekly Report'!$F$7))),ROW(),"")</f>
        <v/>
      </c>
    </row>
    <row r="302" customFormat="false" ht="15" hidden="false" customHeight="false" outlineLevel="0" collapsed="false">
      <c r="A302" s="56" t="s">
        <v>1783</v>
      </c>
      <c r="B302" s="63"/>
      <c r="C302" s="61"/>
      <c r="D302" s="61"/>
      <c r="E302" s="61"/>
      <c r="F302" s="60"/>
      <c r="G302" s="61"/>
      <c r="H302" s="61"/>
      <c r="I302" s="61"/>
      <c r="J302" s="61"/>
      <c r="K302" s="61"/>
      <c r="L302" s="63"/>
      <c r="M302" s="63"/>
      <c r="N302" s="63"/>
      <c r="O302" s="94"/>
      <c r="P302" s="61"/>
      <c r="Q302" s="63"/>
      <c r="R302" s="60"/>
      <c r="S302" s="60"/>
      <c r="T302" s="63"/>
      <c r="U302" s="60"/>
      <c r="V302" s="60"/>
      <c r="W302" s="87" t="str">
        <f aca="true">IF(B302="","",IF(N302&lt;&gt;"",N302-B302,TODAY()-B302))</f>
        <v/>
      </c>
      <c r="X302" s="62" t="str">
        <f aca="true">IF(OR(M302="",K302="Completed",K302="Cancelled"),"",IF(M302&lt;TODAY(),"OVERDUE",IF(M302-TODAY()&lt;=7,"Due ≤7d","On Schedule")))</f>
        <v/>
      </c>
      <c r="Y302" s="60"/>
      <c r="Z302" s="88" t="str">
        <f aca="false">IF(AND(N302&lt;&gt;"",N302&gt;='Weekly Report'!$F$4,N302&lt;='Weekly Report'!$F$5),ROW(),"")</f>
        <v/>
      </c>
      <c r="AA302" s="88" t="str">
        <f aca="false">IF(AND(AND(Q302&lt;&gt;"",Q302&gt;='Weekly Report'!$F$4,Q302&lt;='Weekly Report'!$F$5),AND(F302&lt;&gt;"",K302&lt;&gt;"Completed",K302&lt;&gt;"Cancelled")),ROW(),"")</f>
        <v/>
      </c>
      <c r="AB302" s="88" t="str">
        <f aca="false">IF(AND(F302&lt;&gt;"",K302="In Progress"),ROW(),"")</f>
        <v/>
      </c>
      <c r="AC302" s="88" t="str">
        <f aca="false">IF(AND(AND(F302&lt;&gt;"",K302&lt;&gt;"Completed",K302&lt;&gt;"Cancelled"),OR(K302="Blocked",S302&lt;&gt;"")),ROW(),"")</f>
        <v/>
      </c>
      <c r="AD302" s="88" t="str">
        <f aca="false">IF(AND(AND(F302&lt;&gt;"",K302&lt;&gt;"Completed",K302&lt;&gt;"Cancelled"),OR(P302="Yes",AND(M302&lt;&gt;"",M302&lt;='Weekly Report'!$F$7),AND(L302&lt;&gt;"",L302&gt;='Weekly Report'!$F$6,L302&lt;='Weekly Report'!$F$7))),ROW(),"")</f>
        <v/>
      </c>
    </row>
    <row r="303" customFormat="false" ht="15" hidden="false" customHeight="false" outlineLevel="0" collapsed="false">
      <c r="A303" s="56" t="s">
        <v>1784</v>
      </c>
      <c r="B303" s="63"/>
      <c r="C303" s="61"/>
      <c r="D303" s="61"/>
      <c r="E303" s="61"/>
      <c r="F303" s="60"/>
      <c r="G303" s="61"/>
      <c r="H303" s="61"/>
      <c r="I303" s="61"/>
      <c r="J303" s="61"/>
      <c r="K303" s="61"/>
      <c r="L303" s="63"/>
      <c r="M303" s="63"/>
      <c r="N303" s="63"/>
      <c r="O303" s="94"/>
      <c r="P303" s="61"/>
      <c r="Q303" s="63"/>
      <c r="R303" s="60"/>
      <c r="S303" s="60"/>
      <c r="T303" s="63"/>
      <c r="U303" s="60"/>
      <c r="V303" s="60"/>
      <c r="W303" s="87" t="str">
        <f aca="true">IF(B303="","",IF(N303&lt;&gt;"",N303-B303,TODAY()-B303))</f>
        <v/>
      </c>
      <c r="X303" s="62" t="str">
        <f aca="true">IF(OR(M303="",K303="Completed",K303="Cancelled"),"",IF(M303&lt;TODAY(),"OVERDUE",IF(M303-TODAY()&lt;=7,"Due ≤7d","On Schedule")))</f>
        <v/>
      </c>
      <c r="Y303" s="60"/>
      <c r="Z303" s="88" t="str">
        <f aca="false">IF(AND(N303&lt;&gt;"",N303&gt;='Weekly Report'!$F$4,N303&lt;='Weekly Report'!$F$5),ROW(),"")</f>
        <v/>
      </c>
      <c r="AA303" s="88" t="str">
        <f aca="false">IF(AND(AND(Q303&lt;&gt;"",Q303&gt;='Weekly Report'!$F$4,Q303&lt;='Weekly Report'!$F$5),AND(F303&lt;&gt;"",K303&lt;&gt;"Completed",K303&lt;&gt;"Cancelled")),ROW(),"")</f>
        <v/>
      </c>
      <c r="AB303" s="88" t="str">
        <f aca="false">IF(AND(F303&lt;&gt;"",K303="In Progress"),ROW(),"")</f>
        <v/>
      </c>
      <c r="AC303" s="88" t="str">
        <f aca="false">IF(AND(AND(F303&lt;&gt;"",K303&lt;&gt;"Completed",K303&lt;&gt;"Cancelled"),OR(K303="Blocked",S303&lt;&gt;"")),ROW(),"")</f>
        <v/>
      </c>
      <c r="AD303" s="88" t="str">
        <f aca="false">IF(AND(AND(F303&lt;&gt;"",K303&lt;&gt;"Completed",K303&lt;&gt;"Cancelled"),OR(P303="Yes",AND(M303&lt;&gt;"",M303&lt;='Weekly Report'!$F$7),AND(L303&lt;&gt;"",L303&gt;='Weekly Report'!$F$6,L303&lt;='Weekly Report'!$F$7))),ROW(),"")</f>
        <v/>
      </c>
    </row>
    <row r="304" customFormat="false" ht="15" hidden="false" customHeight="false" outlineLevel="0" collapsed="false">
      <c r="A304" s="56" t="s">
        <v>1785</v>
      </c>
      <c r="B304" s="63"/>
      <c r="C304" s="61"/>
      <c r="D304" s="61"/>
      <c r="E304" s="61"/>
      <c r="F304" s="60"/>
      <c r="G304" s="61"/>
      <c r="H304" s="61"/>
      <c r="I304" s="61"/>
      <c r="J304" s="61"/>
      <c r="K304" s="61"/>
      <c r="L304" s="63"/>
      <c r="M304" s="63"/>
      <c r="N304" s="63"/>
      <c r="O304" s="94"/>
      <c r="P304" s="61"/>
      <c r="Q304" s="63"/>
      <c r="R304" s="60"/>
      <c r="S304" s="60"/>
      <c r="T304" s="63"/>
      <c r="U304" s="60"/>
      <c r="V304" s="60"/>
      <c r="W304" s="87" t="str">
        <f aca="true">IF(B304="","",IF(N304&lt;&gt;"",N304-B304,TODAY()-B304))</f>
        <v/>
      </c>
      <c r="X304" s="62" t="str">
        <f aca="true">IF(OR(M304="",K304="Completed",K304="Cancelled"),"",IF(M304&lt;TODAY(),"OVERDUE",IF(M304-TODAY()&lt;=7,"Due ≤7d","On Schedule")))</f>
        <v/>
      </c>
      <c r="Y304" s="60"/>
      <c r="Z304" s="88" t="str">
        <f aca="false">IF(AND(N304&lt;&gt;"",N304&gt;='Weekly Report'!$F$4,N304&lt;='Weekly Report'!$F$5),ROW(),"")</f>
        <v/>
      </c>
      <c r="AA304" s="88" t="str">
        <f aca="false">IF(AND(AND(Q304&lt;&gt;"",Q304&gt;='Weekly Report'!$F$4,Q304&lt;='Weekly Report'!$F$5),AND(F304&lt;&gt;"",K304&lt;&gt;"Completed",K304&lt;&gt;"Cancelled")),ROW(),"")</f>
        <v/>
      </c>
      <c r="AB304" s="88" t="str">
        <f aca="false">IF(AND(F304&lt;&gt;"",K304="In Progress"),ROW(),"")</f>
        <v/>
      </c>
      <c r="AC304" s="88" t="str">
        <f aca="false">IF(AND(AND(F304&lt;&gt;"",K304&lt;&gt;"Completed",K304&lt;&gt;"Cancelled"),OR(K304="Blocked",S304&lt;&gt;"")),ROW(),"")</f>
        <v/>
      </c>
      <c r="AD304" s="88" t="str">
        <f aca="false">IF(AND(AND(F304&lt;&gt;"",K304&lt;&gt;"Completed",K304&lt;&gt;"Cancelled"),OR(P304="Yes",AND(M304&lt;&gt;"",M304&lt;='Weekly Report'!$F$7),AND(L304&lt;&gt;"",L304&gt;='Weekly Report'!$F$6,L304&lt;='Weekly Report'!$F$7))),ROW(),"")</f>
        <v/>
      </c>
    </row>
  </sheetData>
  <autoFilter ref="A4:Y304"/>
  <conditionalFormatting sqref="X5:X304">
    <cfRule type="cellIs" priority="2" operator="equal" aboveAverage="0" equalAverage="0" bottom="0" percent="0" rank="0" text="" dxfId="13">
      <formula>"OVERDUE"</formula>
    </cfRule>
    <cfRule type="cellIs" priority="3" operator="equal" aboveAverage="0" equalAverage="0" bottom="0" percent="0" rank="0" text="" dxfId="13">
      <formula>"SLA BREACH"</formula>
    </cfRule>
    <cfRule type="expression" priority="4" aboveAverage="0" equalAverage="0" bottom="0" percent="0" rank="0" text="" dxfId="23">
      <formula>LEFT(X5,3)="Due"</formula>
    </cfRule>
    <cfRule type="cellIs" priority="5" operator="equal" aboveAverage="0" equalAverage="0" bottom="0" percent="0" rank="0" text="" dxfId="3">
      <formula>"Closed Late"</formula>
    </cfRule>
    <cfRule type="cellIs" priority="6" operator="equal" aboveAverage="0" equalAverage="0" bottom="0" percent="0" rank="0" text="" dxfId="3">
      <formula>"Date missing"</formula>
    </cfRule>
    <cfRule type="cellIs" priority="7" operator="equal" aboveAverage="0" equalAverage="0" bottom="0" percent="0" rank="0" text="" dxfId="3">
      <formula>"Due date missing"</formula>
    </cfRule>
    <cfRule type="cellIs" priority="8" operator="equal" aboveAverage="0" equalAverage="0" bottom="0" percent="0" rank="0" text="" dxfId="1">
      <formula>"Met"</formula>
    </cfRule>
    <cfRule type="cellIs" priority="9" operator="equal" aboveAverage="0" equalAverage="0" bottom="0" percent="0" rank="0" text="" dxfId="1">
      <formula>"Done"</formula>
    </cfRule>
    <cfRule type="cellIs" priority="10" operator="equal" aboveAverage="0" equalAverage="0" bottom="0" percent="0" rank="0" text="" dxfId="1">
      <formula>"Within SLA"</formula>
    </cfRule>
    <cfRule type="cellIs" priority="11" operator="equal" aboveAverage="0" equalAverage="0" bottom="0" percent="0" rank="0" text="" dxfId="1">
      <formula>"On Schedule"</formula>
    </cfRule>
    <cfRule type="cellIs" priority="12" operator="equal" aboveAverage="0" equalAverage="0" bottom="0" percent="0" rank="0" text="" dxfId="1">
      <formula>"Scheduled"</formula>
    </cfRule>
  </conditionalFormatting>
  <conditionalFormatting sqref="K5:K304">
    <cfRule type="cellIs" priority="13" operator="equal" aboveAverage="0" equalAverage="0" bottom="0" percent="0" rank="0" text="" dxfId="1">
      <formula>"Completed"</formula>
    </cfRule>
    <cfRule type="cellIs" priority="14" operator="equal" aboveAverage="0" equalAverage="0" bottom="0" percent="0" rank="0" text="" dxfId="1">
      <formula>"Achieved"</formula>
    </cfRule>
    <cfRule type="cellIs" priority="15" operator="equal" aboveAverage="0" equalAverage="0" bottom="0" percent="0" rank="0" text="" dxfId="1">
      <formula>"Remediated"</formula>
    </cfRule>
    <cfRule type="cellIs" priority="16" operator="equal" aboveAverage="0" equalAverage="0" bottom="0" percent="0" rank="0" text="" dxfId="1">
      <formula>"Responded"</formula>
    </cfRule>
    <cfRule type="cellIs" priority="17" operator="equal" aboveAverage="0" equalAverage="0" bottom="0" percent="0" rank="0" text="" dxfId="1">
      <formula>"Closed"</formula>
    </cfRule>
    <cfRule type="cellIs" priority="18" operator="equal" aboveAverage="0" equalAverage="0" bottom="0" percent="0" rank="0" text="" dxfId="1">
      <formula>"Decided"</formula>
    </cfRule>
    <cfRule type="cellIs" priority="19" operator="equal" aboveAverage="0" equalAverage="0" bottom="0" percent="0" rank="0" text="" dxfId="2">
      <formula>"In Progress"</formula>
    </cfRule>
    <cfRule type="cellIs" priority="20" operator="equal" aboveAverage="0" equalAverage="0" bottom="0" percent="0" rank="0" text="" dxfId="2">
      <formula>"Remediation In Progress"</formula>
    </cfRule>
    <cfRule type="cellIs" priority="21" operator="equal" aboveAverage="0" equalAverage="0" bottom="0" percent="0" rank="0" text="" dxfId="2">
      <formula>"At Risk"</formula>
    </cfRule>
    <cfRule type="cellIs" priority="22" operator="equal" aboveAverage="0" equalAverage="0" bottom="0" percent="0" rank="0" text="" dxfId="2">
      <formula>"Validating"</formula>
    </cfRule>
    <cfRule type="cellIs" priority="23" operator="equal" aboveAverage="0" equalAverage="0" bottom="0" percent="0" rank="0" text="" dxfId="2">
      <formula>"Awaiting Response"</formula>
    </cfRule>
    <cfRule type="cellIs" priority="24" operator="equal" aboveAverage="0" equalAverage="0" bottom="0" percent="0" rank="0" text="" dxfId="2">
      <formula>"Open"</formula>
    </cfRule>
    <cfRule type="cellIs" priority="25" operator="equal" aboveAverage="0" equalAverage="0" bottom="0" percent="0" rank="0" text="" dxfId="3">
      <formula>"Blocked"</formula>
    </cfRule>
    <cfRule type="cellIs" priority="26" operator="equal" aboveAverage="0" equalAverage="0" bottom="0" percent="0" rank="0" text="" dxfId="3">
      <formula>"Off Track"</formula>
    </cfRule>
    <cfRule type="cellIs" priority="27" operator="equal" aboveAverage="0" equalAverage="0" bottom="0" percent="0" rank="0" text="" dxfId="3">
      <formula>"Escalated"</formula>
    </cfRule>
    <cfRule type="cellIs" priority="28" operator="equal" aboveAverage="0" equalAverage="0" bottom="0" percent="0" rank="0" text="" dxfId="3">
      <formula>"Confirmed"</formula>
    </cfRule>
    <cfRule type="cellIs" priority="29" operator="equal" aboveAverage="0" equalAverage="0" bottom="0" percent="0" rank="0" text="" dxfId="3">
      <formula>"Delayed"</formula>
    </cfRule>
    <cfRule type="cellIs" priority="30" operator="equal" aboveAverage="0" equalAverage="0" bottom="0" percent="0" rank="0" text="" dxfId="4">
      <formula>"Cancelled"</formula>
    </cfRule>
    <cfRule type="cellIs" priority="31" operator="equal" aboveAverage="0" equalAverage="0" bottom="0" percent="0" rank="0" text="" dxfId="4">
      <formula>"False Positive"</formula>
    </cfRule>
    <cfRule type="cellIs" priority="32" operator="equal" aboveAverage="0" equalAverage="0" bottom="0" percent="0" rank="0" text="" dxfId="4">
      <formula>"Deferred"</formula>
    </cfRule>
    <cfRule type="cellIs" priority="33" operator="equal" aboveAverage="0" equalAverage="0" bottom="0" percent="0" rank="0" text="" dxfId="4">
      <formula>"On Hold"</formula>
    </cfRule>
    <cfRule type="cellIs" priority="34" operator="equal" aboveAverage="0" equalAverage="0" bottom="0" percent="0" rank="0" text="" dxfId="4">
      <formula>"Withdrawn"</formula>
    </cfRule>
  </conditionalFormatting>
  <conditionalFormatting sqref="J5:J304">
    <cfRule type="cellIs" priority="35" operator="equal" aboveAverage="0" equalAverage="0" bottom="0" percent="0" rank="0" text="" dxfId="13">
      <formula>"Critical"</formula>
    </cfRule>
    <cfRule type="cellIs" priority="36" operator="equal" aboveAverage="0" equalAverage="0" bottom="0" percent="0" rank="0" text="" dxfId="26">
      <formula>"High"</formula>
    </cfRule>
    <cfRule type="cellIs" priority="37" operator="equal" aboveAverage="0" equalAverage="0" bottom="0" percent="0" rank="0" text="" dxfId="2">
      <formula>"Medium"</formula>
    </cfRule>
  </conditionalFormatting>
  <conditionalFormatting sqref="O5:O304">
    <cfRule type="dataBar" priority="38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{CE1BDC84-C965-4432-BB37-1B2B1E443CC8}</x14:id>
        </ext>
      </extLst>
    </cfRule>
  </conditionalFormatting>
  <dataValidations count="13">
    <dataValidation allowBlank="true" error="Enter a valid date (e.g. 19-Oct-2026)." errorStyle="stop" operator="greaterThan" showDropDown="false" showErrorMessage="true" showInputMessage="false" sqref="B5:B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C5:C304" type="list">
      <formula1>Lists!$L$4:$L$10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E5:E304" type="list">
      <formula1>Lists!$G$4:$G$14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I5:I304" type="list">
      <formula1>Lists!$H$4:$H$8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J5:J304" type="list">
      <formula1>Lists!$E$4:$E$7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K5:K304" type="list">
      <formula1>Lists!$D$4:$D$9</formula1>
      <formula2>0</formula2>
    </dataValidation>
    <dataValidation allowBlank="true" error="Enter a valid date (e.g. 19-Oct-2026)." errorStyle="stop" operator="greaterThan" showDropDown="false" showErrorMessage="true" showInputMessage="false" sqref="L5:L304" type="date">
      <formula1>DATE(2000,1,1)</formula1>
      <formula2>0</formula2>
    </dataValidation>
    <dataValidation allowBlank="true" error="Enter a valid date (e.g. 19-Oct-2026)." errorStyle="stop" operator="greaterThan" showDropDown="false" showErrorMessage="true" showInputMessage="false" sqref="M5:M304" type="date">
      <formula1>DATE(2000,1,1)</formula1>
      <formula2>0</formula2>
    </dataValidation>
    <dataValidation allowBlank="true" error="Enter a valid date (e.g. 19-Oct-2026)." errorStyle="stop" operator="greaterThan" showDropDown="false" showErrorMessage="true" showInputMessage="false" sqref="N5:N304" type="date">
      <formula1>DATE(2000,1,1)</formula1>
      <formula2>0</formula2>
    </dataValidation>
    <dataValidation allowBlank="true" error="Enter a percentage between 0% and 100%." errorStyle="stop" operator="between" showDropDown="false" showErrorMessage="true" showInputMessage="false" sqref="O5:O304" type="decimal">
      <formula1>0</formula1>
      <formula2>1</formula2>
    </dataValidation>
    <dataValidation allowBlank="true" error="Value not in the standard list. Keep it anyway?" errorStyle="warning" errorTitle="Not in list" operator="between" showDropDown="false" showErrorMessage="true" showInputMessage="false" sqref="P5:P304" type="list">
      <formula1>Lists!$A$4:$A$5</formula1>
      <formula2>0</formula2>
    </dataValidation>
    <dataValidation allowBlank="true" error="Enter a valid date (e.g. 19-Oct-2026)." errorStyle="stop" operator="greaterThan" showDropDown="false" showErrorMessage="true" showInputMessage="false" sqref="Q5:Q304" type="date">
      <formula1>DATE(2000,1,1)</formula1>
      <formula2>0</formula2>
    </dataValidation>
    <dataValidation allowBlank="true" error="Enter a valid date (e.g. 19-Oct-2026)." errorStyle="stop" operator="greaterThan" showDropDown="false" showErrorMessage="true" showInputMessage="false" sqref="T5:T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1BDC84-C965-4432-BB37-1B2B1E443CC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O5:O304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X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36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30"/>
    <col collapsed="false" customWidth="true" hidden="false" outlineLevel="0" max="19" min="19" style="0" width="18"/>
    <col collapsed="false" customWidth="true" hidden="false" outlineLevel="0" max="20" min="20" style="0" width="11"/>
    <col collapsed="false" customWidth="true" hidden="false" outlineLevel="0" max="21" min="21" style="0" width="22"/>
    <col collapsed="false" customWidth="true" hidden="false" outlineLevel="0" max="22" min="22" style="0" width="28"/>
    <col collapsed="false" customWidth="true" hidden="true" outlineLevel="1" max="24" min="23" style="0" width="8"/>
  </cols>
  <sheetData>
    <row r="1" customFormat="false" ht="19.7" hidden="false" customHeight="false" outlineLevel="0" collapsed="false">
      <c r="A1" s="53" t="s">
        <v>1786</v>
      </c>
    </row>
    <row r="2" customFormat="false" ht="15" hidden="false" customHeight="false" outlineLevel="0" collapsed="false">
      <c r="A2" s="2" t="s">
        <v>1787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1788</v>
      </c>
      <c r="B4" s="55" t="s">
        <v>161</v>
      </c>
      <c r="C4" s="55" t="s">
        <v>1789</v>
      </c>
      <c r="D4" s="55" t="s">
        <v>142</v>
      </c>
      <c r="E4" s="55" t="s">
        <v>1790</v>
      </c>
      <c r="F4" s="55" t="s">
        <v>1791</v>
      </c>
      <c r="G4" s="55" t="s">
        <v>1792</v>
      </c>
      <c r="H4" s="55" t="s">
        <v>1793</v>
      </c>
      <c r="I4" s="55" t="s">
        <v>1794</v>
      </c>
      <c r="J4" s="55" t="s">
        <v>1795</v>
      </c>
      <c r="K4" s="55" t="s">
        <v>1796</v>
      </c>
      <c r="L4" s="55" t="s">
        <v>1797</v>
      </c>
      <c r="M4" s="55" t="s">
        <v>1798</v>
      </c>
      <c r="N4" s="55" t="s">
        <v>1799</v>
      </c>
      <c r="O4" s="55" t="s">
        <v>1800</v>
      </c>
      <c r="P4" s="55" t="s">
        <v>1801</v>
      </c>
      <c r="Q4" s="55" t="s">
        <v>1802</v>
      </c>
      <c r="R4" s="55" t="s">
        <v>1803</v>
      </c>
      <c r="S4" s="55" t="s">
        <v>162</v>
      </c>
      <c r="T4" s="55" t="s">
        <v>1804</v>
      </c>
      <c r="U4" s="55" t="s">
        <v>1805</v>
      </c>
      <c r="V4" s="55" t="s">
        <v>232</v>
      </c>
      <c r="W4" s="84" t="s">
        <v>1806</v>
      </c>
      <c r="X4" s="84" t="s">
        <v>1807</v>
      </c>
    </row>
    <row r="5" customFormat="false" ht="46.25" hidden="false" customHeight="false" outlineLevel="0" collapsed="false">
      <c r="A5" s="56" t="s">
        <v>1808</v>
      </c>
      <c r="B5" s="57" t="n">
        <v>46310</v>
      </c>
      <c r="C5" s="58" t="s">
        <v>1809</v>
      </c>
      <c r="D5" s="58" t="s">
        <v>1810</v>
      </c>
      <c r="E5" s="59" t="s">
        <v>1811</v>
      </c>
      <c r="F5" s="59" t="s">
        <v>1812</v>
      </c>
      <c r="G5" s="59" t="s">
        <v>1813</v>
      </c>
      <c r="H5" s="59" t="s">
        <v>1814</v>
      </c>
      <c r="I5" s="58" t="s">
        <v>810</v>
      </c>
      <c r="J5" s="58" t="s">
        <v>362</v>
      </c>
      <c r="K5" s="58" t="s">
        <v>1815</v>
      </c>
      <c r="L5" s="58" t="s">
        <v>1816</v>
      </c>
      <c r="M5" s="58" t="s">
        <v>821</v>
      </c>
      <c r="N5" s="59" t="s">
        <v>1817</v>
      </c>
      <c r="O5" s="58" t="s">
        <v>1818</v>
      </c>
      <c r="P5" s="57" t="n">
        <v>46325</v>
      </c>
      <c r="Q5" s="58" t="s">
        <v>359</v>
      </c>
      <c r="R5" s="60"/>
      <c r="S5" s="58" t="s">
        <v>1154</v>
      </c>
      <c r="T5" s="58" t="s">
        <v>821</v>
      </c>
      <c r="U5" s="58" t="s">
        <v>1819</v>
      </c>
      <c r="V5" s="60"/>
      <c r="W5" s="88" t="n">
        <f aca="false">IF(AND(E5&lt;&gt;"",AND(B5&lt;&gt;"",B5&gt;='Weekly Report'!$F$4,B5&lt;='Weekly Report'!$F$5)),ROW(),"")</f>
        <v>5</v>
      </c>
      <c r="X5" s="88" t="n">
        <f aca="false">IF(AND(E5&lt;&gt;"",M5="Yes",Q5&lt;&gt;"Decided",Q5&lt;&gt;"Withdrawn"),ROW(),"")</f>
        <v>5</v>
      </c>
    </row>
    <row r="6" customFormat="false" ht="15" hidden="false" customHeight="false" outlineLevel="0" collapsed="false">
      <c r="A6" s="56" t="s">
        <v>1820</v>
      </c>
      <c r="B6" s="63"/>
      <c r="C6" s="61"/>
      <c r="D6" s="61"/>
      <c r="E6" s="60"/>
      <c r="F6" s="60"/>
      <c r="G6" s="60"/>
      <c r="H6" s="60"/>
      <c r="I6" s="61"/>
      <c r="J6" s="61"/>
      <c r="K6" s="61"/>
      <c r="L6" s="61"/>
      <c r="M6" s="61"/>
      <c r="N6" s="60"/>
      <c r="O6" s="61"/>
      <c r="P6" s="63"/>
      <c r="Q6" s="61"/>
      <c r="R6" s="60"/>
      <c r="S6" s="61"/>
      <c r="T6" s="61"/>
      <c r="U6" s="61"/>
      <c r="V6" s="60"/>
      <c r="W6" s="88" t="str">
        <f aca="false">IF(AND(E6&lt;&gt;"",AND(B6&lt;&gt;"",B6&gt;='Weekly Report'!$F$4,B6&lt;='Weekly Report'!$F$5)),ROW(),"")</f>
        <v/>
      </c>
      <c r="X6" s="88" t="str">
        <f aca="false">IF(AND(E6&lt;&gt;"",M6="Yes",Q6&lt;&gt;"Decided",Q6&lt;&gt;"Withdrawn"),ROW(),"")</f>
        <v/>
      </c>
    </row>
    <row r="7" customFormat="false" ht="15" hidden="false" customHeight="false" outlineLevel="0" collapsed="false">
      <c r="A7" s="56" t="s">
        <v>1821</v>
      </c>
      <c r="B7" s="63"/>
      <c r="C7" s="61"/>
      <c r="D7" s="61"/>
      <c r="E7" s="60"/>
      <c r="F7" s="60"/>
      <c r="G7" s="60"/>
      <c r="H7" s="60"/>
      <c r="I7" s="61"/>
      <c r="J7" s="61"/>
      <c r="K7" s="61"/>
      <c r="L7" s="61"/>
      <c r="M7" s="61"/>
      <c r="N7" s="60"/>
      <c r="O7" s="61"/>
      <c r="P7" s="63"/>
      <c r="Q7" s="61"/>
      <c r="R7" s="60"/>
      <c r="S7" s="61"/>
      <c r="T7" s="61"/>
      <c r="U7" s="61"/>
      <c r="V7" s="60"/>
      <c r="W7" s="88" t="str">
        <f aca="false">IF(AND(E7&lt;&gt;"",AND(B7&lt;&gt;"",B7&gt;='Weekly Report'!$F$4,B7&lt;='Weekly Report'!$F$5)),ROW(),"")</f>
        <v/>
      </c>
      <c r="X7" s="88" t="str">
        <f aca="false">IF(AND(E7&lt;&gt;"",M7="Yes",Q7&lt;&gt;"Decided",Q7&lt;&gt;"Withdrawn"),ROW(),"")</f>
        <v/>
      </c>
    </row>
    <row r="8" customFormat="false" ht="15" hidden="false" customHeight="false" outlineLevel="0" collapsed="false">
      <c r="A8" s="56" t="s">
        <v>1822</v>
      </c>
      <c r="B8" s="63"/>
      <c r="C8" s="61"/>
      <c r="D8" s="61"/>
      <c r="E8" s="60"/>
      <c r="F8" s="60"/>
      <c r="G8" s="60"/>
      <c r="H8" s="60"/>
      <c r="I8" s="61"/>
      <c r="J8" s="61"/>
      <c r="K8" s="61"/>
      <c r="L8" s="61"/>
      <c r="M8" s="61"/>
      <c r="N8" s="60"/>
      <c r="O8" s="61"/>
      <c r="P8" s="63"/>
      <c r="Q8" s="61"/>
      <c r="R8" s="60"/>
      <c r="S8" s="61"/>
      <c r="T8" s="61"/>
      <c r="U8" s="61"/>
      <c r="V8" s="60"/>
      <c r="W8" s="88" t="str">
        <f aca="false">IF(AND(E8&lt;&gt;"",AND(B8&lt;&gt;"",B8&gt;='Weekly Report'!$F$4,B8&lt;='Weekly Report'!$F$5)),ROW(),"")</f>
        <v/>
      </c>
      <c r="X8" s="88" t="str">
        <f aca="false">IF(AND(E8&lt;&gt;"",M8="Yes",Q8&lt;&gt;"Decided",Q8&lt;&gt;"Withdrawn"),ROW(),"")</f>
        <v/>
      </c>
    </row>
    <row r="9" customFormat="false" ht="15" hidden="false" customHeight="false" outlineLevel="0" collapsed="false">
      <c r="A9" s="56" t="s">
        <v>1823</v>
      </c>
      <c r="B9" s="63"/>
      <c r="C9" s="61"/>
      <c r="D9" s="61"/>
      <c r="E9" s="60"/>
      <c r="F9" s="60"/>
      <c r="G9" s="60"/>
      <c r="H9" s="60"/>
      <c r="I9" s="61"/>
      <c r="J9" s="61"/>
      <c r="K9" s="61"/>
      <c r="L9" s="61"/>
      <c r="M9" s="61"/>
      <c r="N9" s="60"/>
      <c r="O9" s="61"/>
      <c r="P9" s="63"/>
      <c r="Q9" s="61"/>
      <c r="R9" s="60"/>
      <c r="S9" s="61"/>
      <c r="T9" s="61"/>
      <c r="U9" s="61"/>
      <c r="V9" s="60"/>
      <c r="W9" s="88" t="str">
        <f aca="false">IF(AND(E9&lt;&gt;"",AND(B9&lt;&gt;"",B9&gt;='Weekly Report'!$F$4,B9&lt;='Weekly Report'!$F$5)),ROW(),"")</f>
        <v/>
      </c>
      <c r="X9" s="88" t="str">
        <f aca="false">IF(AND(E9&lt;&gt;"",M9="Yes",Q9&lt;&gt;"Decided",Q9&lt;&gt;"Withdrawn"),ROW(),"")</f>
        <v/>
      </c>
    </row>
    <row r="10" customFormat="false" ht="15" hidden="false" customHeight="false" outlineLevel="0" collapsed="false">
      <c r="A10" s="56" t="s">
        <v>1824</v>
      </c>
      <c r="B10" s="63"/>
      <c r="C10" s="61"/>
      <c r="D10" s="61"/>
      <c r="E10" s="60"/>
      <c r="F10" s="60"/>
      <c r="G10" s="60"/>
      <c r="H10" s="60"/>
      <c r="I10" s="61"/>
      <c r="J10" s="61"/>
      <c r="K10" s="61"/>
      <c r="L10" s="61"/>
      <c r="M10" s="61"/>
      <c r="N10" s="60"/>
      <c r="O10" s="61"/>
      <c r="P10" s="63"/>
      <c r="Q10" s="61"/>
      <c r="R10" s="60"/>
      <c r="S10" s="61"/>
      <c r="T10" s="61"/>
      <c r="U10" s="61"/>
      <c r="V10" s="60"/>
      <c r="W10" s="88" t="str">
        <f aca="false">IF(AND(E10&lt;&gt;"",AND(B10&lt;&gt;"",B10&gt;='Weekly Report'!$F$4,B10&lt;='Weekly Report'!$F$5)),ROW(),"")</f>
        <v/>
      </c>
      <c r="X10" s="88" t="str">
        <f aca="false">IF(AND(E10&lt;&gt;"",M10="Yes",Q10&lt;&gt;"Decided",Q10&lt;&gt;"Withdrawn"),ROW(),"")</f>
        <v/>
      </c>
    </row>
    <row r="11" customFormat="false" ht="15" hidden="false" customHeight="false" outlineLevel="0" collapsed="false">
      <c r="A11" s="56" t="s">
        <v>1825</v>
      </c>
      <c r="B11" s="63"/>
      <c r="C11" s="61"/>
      <c r="D11" s="61"/>
      <c r="E11" s="60"/>
      <c r="F11" s="60"/>
      <c r="G11" s="60"/>
      <c r="H11" s="60"/>
      <c r="I11" s="61"/>
      <c r="J11" s="61"/>
      <c r="K11" s="61"/>
      <c r="L11" s="61"/>
      <c r="M11" s="61"/>
      <c r="N11" s="60"/>
      <c r="O11" s="61"/>
      <c r="P11" s="63"/>
      <c r="Q11" s="61"/>
      <c r="R11" s="60"/>
      <c r="S11" s="61"/>
      <c r="T11" s="61"/>
      <c r="U11" s="61"/>
      <c r="V11" s="60"/>
      <c r="W11" s="88" t="str">
        <f aca="false">IF(AND(E11&lt;&gt;"",AND(B11&lt;&gt;"",B11&gt;='Weekly Report'!$F$4,B11&lt;='Weekly Report'!$F$5)),ROW(),"")</f>
        <v/>
      </c>
      <c r="X11" s="88" t="str">
        <f aca="false">IF(AND(E11&lt;&gt;"",M11="Yes",Q11&lt;&gt;"Decided",Q11&lt;&gt;"Withdrawn"),ROW(),"")</f>
        <v/>
      </c>
    </row>
    <row r="12" customFormat="false" ht="15" hidden="false" customHeight="false" outlineLevel="0" collapsed="false">
      <c r="A12" s="56" t="s">
        <v>1826</v>
      </c>
      <c r="B12" s="63"/>
      <c r="C12" s="61"/>
      <c r="D12" s="61"/>
      <c r="E12" s="60"/>
      <c r="F12" s="60"/>
      <c r="G12" s="60"/>
      <c r="H12" s="60"/>
      <c r="I12" s="61"/>
      <c r="J12" s="61"/>
      <c r="K12" s="61"/>
      <c r="L12" s="61"/>
      <c r="M12" s="61"/>
      <c r="N12" s="60"/>
      <c r="O12" s="61"/>
      <c r="P12" s="63"/>
      <c r="Q12" s="61"/>
      <c r="R12" s="60"/>
      <c r="S12" s="61"/>
      <c r="T12" s="61"/>
      <c r="U12" s="61"/>
      <c r="V12" s="60"/>
      <c r="W12" s="88" t="str">
        <f aca="false">IF(AND(E12&lt;&gt;"",AND(B12&lt;&gt;"",B12&gt;='Weekly Report'!$F$4,B12&lt;='Weekly Report'!$F$5)),ROW(),"")</f>
        <v/>
      </c>
      <c r="X12" s="88" t="str">
        <f aca="false">IF(AND(E12&lt;&gt;"",M12="Yes",Q12&lt;&gt;"Decided",Q12&lt;&gt;"Withdrawn"),ROW(),"")</f>
        <v/>
      </c>
    </row>
    <row r="13" customFormat="false" ht="15" hidden="false" customHeight="false" outlineLevel="0" collapsed="false">
      <c r="A13" s="56" t="s">
        <v>1827</v>
      </c>
      <c r="B13" s="63"/>
      <c r="C13" s="61"/>
      <c r="D13" s="61"/>
      <c r="E13" s="60"/>
      <c r="F13" s="60"/>
      <c r="G13" s="60"/>
      <c r="H13" s="60"/>
      <c r="I13" s="61"/>
      <c r="J13" s="61"/>
      <c r="K13" s="61"/>
      <c r="L13" s="61"/>
      <c r="M13" s="61"/>
      <c r="N13" s="60"/>
      <c r="O13" s="61"/>
      <c r="P13" s="63"/>
      <c r="Q13" s="61"/>
      <c r="R13" s="60"/>
      <c r="S13" s="61"/>
      <c r="T13" s="61"/>
      <c r="U13" s="61"/>
      <c r="V13" s="60"/>
      <c r="W13" s="88" t="str">
        <f aca="false">IF(AND(E13&lt;&gt;"",AND(B13&lt;&gt;"",B13&gt;='Weekly Report'!$F$4,B13&lt;='Weekly Report'!$F$5)),ROW(),"")</f>
        <v/>
      </c>
      <c r="X13" s="88" t="str">
        <f aca="false">IF(AND(E13&lt;&gt;"",M13="Yes",Q13&lt;&gt;"Decided",Q13&lt;&gt;"Withdrawn"),ROW(),"")</f>
        <v/>
      </c>
    </row>
    <row r="14" customFormat="false" ht="15" hidden="false" customHeight="false" outlineLevel="0" collapsed="false">
      <c r="A14" s="56" t="s">
        <v>1828</v>
      </c>
      <c r="B14" s="63"/>
      <c r="C14" s="61"/>
      <c r="D14" s="61"/>
      <c r="E14" s="60"/>
      <c r="F14" s="60"/>
      <c r="G14" s="60"/>
      <c r="H14" s="60"/>
      <c r="I14" s="61"/>
      <c r="J14" s="61"/>
      <c r="K14" s="61"/>
      <c r="L14" s="61"/>
      <c r="M14" s="61"/>
      <c r="N14" s="60"/>
      <c r="O14" s="61"/>
      <c r="P14" s="63"/>
      <c r="Q14" s="61"/>
      <c r="R14" s="60"/>
      <c r="S14" s="61"/>
      <c r="T14" s="61"/>
      <c r="U14" s="61"/>
      <c r="V14" s="60"/>
      <c r="W14" s="88" t="str">
        <f aca="false">IF(AND(E14&lt;&gt;"",AND(B14&lt;&gt;"",B14&gt;='Weekly Report'!$F$4,B14&lt;='Weekly Report'!$F$5)),ROW(),"")</f>
        <v/>
      </c>
      <c r="X14" s="88" t="str">
        <f aca="false">IF(AND(E14&lt;&gt;"",M14="Yes",Q14&lt;&gt;"Decided",Q14&lt;&gt;"Withdrawn"),ROW(),"")</f>
        <v/>
      </c>
    </row>
    <row r="15" customFormat="false" ht="15" hidden="false" customHeight="false" outlineLevel="0" collapsed="false">
      <c r="A15" s="56" t="s">
        <v>1829</v>
      </c>
      <c r="B15" s="63"/>
      <c r="C15" s="61"/>
      <c r="D15" s="61"/>
      <c r="E15" s="60"/>
      <c r="F15" s="60"/>
      <c r="G15" s="60"/>
      <c r="H15" s="60"/>
      <c r="I15" s="61"/>
      <c r="J15" s="61"/>
      <c r="K15" s="61"/>
      <c r="L15" s="61"/>
      <c r="M15" s="61"/>
      <c r="N15" s="60"/>
      <c r="O15" s="61"/>
      <c r="P15" s="63"/>
      <c r="Q15" s="61"/>
      <c r="R15" s="60"/>
      <c r="S15" s="61"/>
      <c r="T15" s="61"/>
      <c r="U15" s="61"/>
      <c r="V15" s="60"/>
      <c r="W15" s="88" t="str">
        <f aca="false">IF(AND(E15&lt;&gt;"",AND(B15&lt;&gt;"",B15&gt;='Weekly Report'!$F$4,B15&lt;='Weekly Report'!$F$5)),ROW(),"")</f>
        <v/>
      </c>
      <c r="X15" s="88" t="str">
        <f aca="false">IF(AND(E15&lt;&gt;"",M15="Yes",Q15&lt;&gt;"Decided",Q15&lt;&gt;"Withdrawn"),ROW(),"")</f>
        <v/>
      </c>
    </row>
    <row r="16" customFormat="false" ht="15" hidden="false" customHeight="false" outlineLevel="0" collapsed="false">
      <c r="A16" s="56" t="s">
        <v>1830</v>
      </c>
      <c r="B16" s="63"/>
      <c r="C16" s="61"/>
      <c r="D16" s="61"/>
      <c r="E16" s="60"/>
      <c r="F16" s="60"/>
      <c r="G16" s="60"/>
      <c r="H16" s="60"/>
      <c r="I16" s="61"/>
      <c r="J16" s="61"/>
      <c r="K16" s="61"/>
      <c r="L16" s="61"/>
      <c r="M16" s="61"/>
      <c r="N16" s="60"/>
      <c r="O16" s="61"/>
      <c r="P16" s="63"/>
      <c r="Q16" s="61"/>
      <c r="R16" s="60"/>
      <c r="S16" s="61"/>
      <c r="T16" s="61"/>
      <c r="U16" s="61"/>
      <c r="V16" s="60"/>
      <c r="W16" s="88" t="str">
        <f aca="false">IF(AND(E16&lt;&gt;"",AND(B16&lt;&gt;"",B16&gt;='Weekly Report'!$F$4,B16&lt;='Weekly Report'!$F$5)),ROW(),"")</f>
        <v/>
      </c>
      <c r="X16" s="88" t="str">
        <f aca="false">IF(AND(E16&lt;&gt;"",M16="Yes",Q16&lt;&gt;"Decided",Q16&lt;&gt;"Withdrawn"),ROW(),"")</f>
        <v/>
      </c>
    </row>
    <row r="17" customFormat="false" ht="15" hidden="false" customHeight="false" outlineLevel="0" collapsed="false">
      <c r="A17" s="56" t="s">
        <v>1831</v>
      </c>
      <c r="B17" s="63"/>
      <c r="C17" s="61"/>
      <c r="D17" s="61"/>
      <c r="E17" s="60"/>
      <c r="F17" s="60"/>
      <c r="G17" s="60"/>
      <c r="H17" s="60"/>
      <c r="I17" s="61"/>
      <c r="J17" s="61"/>
      <c r="K17" s="61"/>
      <c r="L17" s="61"/>
      <c r="M17" s="61"/>
      <c r="N17" s="60"/>
      <c r="O17" s="61"/>
      <c r="P17" s="63"/>
      <c r="Q17" s="61"/>
      <c r="R17" s="60"/>
      <c r="S17" s="61"/>
      <c r="T17" s="61"/>
      <c r="U17" s="61"/>
      <c r="V17" s="60"/>
      <c r="W17" s="88" t="str">
        <f aca="false">IF(AND(E17&lt;&gt;"",AND(B17&lt;&gt;"",B17&gt;='Weekly Report'!$F$4,B17&lt;='Weekly Report'!$F$5)),ROW(),"")</f>
        <v/>
      </c>
      <c r="X17" s="88" t="str">
        <f aca="false">IF(AND(E17&lt;&gt;"",M17="Yes",Q17&lt;&gt;"Decided",Q17&lt;&gt;"Withdrawn"),ROW(),"")</f>
        <v/>
      </c>
    </row>
    <row r="18" customFormat="false" ht="15" hidden="false" customHeight="false" outlineLevel="0" collapsed="false">
      <c r="A18" s="56" t="s">
        <v>1832</v>
      </c>
      <c r="B18" s="63"/>
      <c r="C18" s="61"/>
      <c r="D18" s="61"/>
      <c r="E18" s="60"/>
      <c r="F18" s="60"/>
      <c r="G18" s="60"/>
      <c r="H18" s="60"/>
      <c r="I18" s="61"/>
      <c r="J18" s="61"/>
      <c r="K18" s="61"/>
      <c r="L18" s="61"/>
      <c r="M18" s="61"/>
      <c r="N18" s="60"/>
      <c r="O18" s="61"/>
      <c r="P18" s="63"/>
      <c r="Q18" s="61"/>
      <c r="R18" s="60"/>
      <c r="S18" s="61"/>
      <c r="T18" s="61"/>
      <c r="U18" s="61"/>
      <c r="V18" s="60"/>
      <c r="W18" s="88" t="str">
        <f aca="false">IF(AND(E18&lt;&gt;"",AND(B18&lt;&gt;"",B18&gt;='Weekly Report'!$F$4,B18&lt;='Weekly Report'!$F$5)),ROW(),"")</f>
        <v/>
      </c>
      <c r="X18" s="88" t="str">
        <f aca="false">IF(AND(E18&lt;&gt;"",M18="Yes",Q18&lt;&gt;"Decided",Q18&lt;&gt;"Withdrawn"),ROW(),"")</f>
        <v/>
      </c>
    </row>
    <row r="19" customFormat="false" ht="15" hidden="false" customHeight="false" outlineLevel="0" collapsed="false">
      <c r="A19" s="56" t="s">
        <v>1833</v>
      </c>
      <c r="B19" s="63"/>
      <c r="C19" s="61"/>
      <c r="D19" s="61"/>
      <c r="E19" s="60"/>
      <c r="F19" s="60"/>
      <c r="G19" s="60"/>
      <c r="H19" s="60"/>
      <c r="I19" s="61"/>
      <c r="J19" s="61"/>
      <c r="K19" s="61"/>
      <c r="L19" s="61"/>
      <c r="M19" s="61"/>
      <c r="N19" s="60"/>
      <c r="O19" s="61"/>
      <c r="P19" s="63"/>
      <c r="Q19" s="61"/>
      <c r="R19" s="60"/>
      <c r="S19" s="61"/>
      <c r="T19" s="61"/>
      <c r="U19" s="61"/>
      <c r="V19" s="60"/>
      <c r="W19" s="88" t="str">
        <f aca="false">IF(AND(E19&lt;&gt;"",AND(B19&lt;&gt;"",B19&gt;='Weekly Report'!$F$4,B19&lt;='Weekly Report'!$F$5)),ROW(),"")</f>
        <v/>
      </c>
      <c r="X19" s="88" t="str">
        <f aca="false">IF(AND(E19&lt;&gt;"",M19="Yes",Q19&lt;&gt;"Decided",Q19&lt;&gt;"Withdrawn"),ROW(),"")</f>
        <v/>
      </c>
    </row>
    <row r="20" customFormat="false" ht="15" hidden="false" customHeight="false" outlineLevel="0" collapsed="false">
      <c r="A20" s="56" t="s">
        <v>1834</v>
      </c>
      <c r="B20" s="63"/>
      <c r="C20" s="61"/>
      <c r="D20" s="61"/>
      <c r="E20" s="60"/>
      <c r="F20" s="60"/>
      <c r="G20" s="60"/>
      <c r="H20" s="60"/>
      <c r="I20" s="61"/>
      <c r="J20" s="61"/>
      <c r="K20" s="61"/>
      <c r="L20" s="61"/>
      <c r="M20" s="61"/>
      <c r="N20" s="60"/>
      <c r="O20" s="61"/>
      <c r="P20" s="63"/>
      <c r="Q20" s="61"/>
      <c r="R20" s="60"/>
      <c r="S20" s="61"/>
      <c r="T20" s="61"/>
      <c r="U20" s="61"/>
      <c r="V20" s="60"/>
      <c r="W20" s="88" t="str">
        <f aca="false">IF(AND(E20&lt;&gt;"",AND(B20&lt;&gt;"",B20&gt;='Weekly Report'!$F$4,B20&lt;='Weekly Report'!$F$5)),ROW(),"")</f>
        <v/>
      </c>
      <c r="X20" s="88" t="str">
        <f aca="false">IF(AND(E20&lt;&gt;"",M20="Yes",Q20&lt;&gt;"Decided",Q20&lt;&gt;"Withdrawn"),ROW(),"")</f>
        <v/>
      </c>
    </row>
    <row r="21" customFormat="false" ht="15" hidden="false" customHeight="false" outlineLevel="0" collapsed="false">
      <c r="A21" s="56" t="s">
        <v>1835</v>
      </c>
      <c r="B21" s="63"/>
      <c r="C21" s="61"/>
      <c r="D21" s="61"/>
      <c r="E21" s="60"/>
      <c r="F21" s="60"/>
      <c r="G21" s="60"/>
      <c r="H21" s="60"/>
      <c r="I21" s="61"/>
      <c r="J21" s="61"/>
      <c r="K21" s="61"/>
      <c r="L21" s="61"/>
      <c r="M21" s="61"/>
      <c r="N21" s="60"/>
      <c r="O21" s="61"/>
      <c r="P21" s="63"/>
      <c r="Q21" s="61"/>
      <c r="R21" s="60"/>
      <c r="S21" s="61"/>
      <c r="T21" s="61"/>
      <c r="U21" s="61"/>
      <c r="V21" s="60"/>
      <c r="W21" s="88" t="str">
        <f aca="false">IF(AND(E21&lt;&gt;"",AND(B21&lt;&gt;"",B21&gt;='Weekly Report'!$F$4,B21&lt;='Weekly Report'!$F$5)),ROW(),"")</f>
        <v/>
      </c>
      <c r="X21" s="88" t="str">
        <f aca="false">IF(AND(E21&lt;&gt;"",M21="Yes",Q21&lt;&gt;"Decided",Q21&lt;&gt;"Withdrawn"),ROW(),"")</f>
        <v/>
      </c>
    </row>
    <row r="22" customFormat="false" ht="15" hidden="false" customHeight="false" outlineLevel="0" collapsed="false">
      <c r="A22" s="56" t="s">
        <v>1836</v>
      </c>
      <c r="B22" s="63"/>
      <c r="C22" s="61"/>
      <c r="D22" s="61"/>
      <c r="E22" s="60"/>
      <c r="F22" s="60"/>
      <c r="G22" s="60"/>
      <c r="H22" s="60"/>
      <c r="I22" s="61"/>
      <c r="J22" s="61"/>
      <c r="K22" s="61"/>
      <c r="L22" s="61"/>
      <c r="M22" s="61"/>
      <c r="N22" s="60"/>
      <c r="O22" s="61"/>
      <c r="P22" s="63"/>
      <c r="Q22" s="61"/>
      <c r="R22" s="60"/>
      <c r="S22" s="61"/>
      <c r="T22" s="61"/>
      <c r="U22" s="61"/>
      <c r="V22" s="60"/>
      <c r="W22" s="88" t="str">
        <f aca="false">IF(AND(E22&lt;&gt;"",AND(B22&lt;&gt;"",B22&gt;='Weekly Report'!$F$4,B22&lt;='Weekly Report'!$F$5)),ROW(),"")</f>
        <v/>
      </c>
      <c r="X22" s="88" t="str">
        <f aca="false">IF(AND(E22&lt;&gt;"",M22="Yes",Q22&lt;&gt;"Decided",Q22&lt;&gt;"Withdrawn"),ROW(),"")</f>
        <v/>
      </c>
    </row>
    <row r="23" customFormat="false" ht="15" hidden="false" customHeight="false" outlineLevel="0" collapsed="false">
      <c r="A23" s="56" t="s">
        <v>1837</v>
      </c>
      <c r="B23" s="63"/>
      <c r="C23" s="61"/>
      <c r="D23" s="61"/>
      <c r="E23" s="60"/>
      <c r="F23" s="60"/>
      <c r="G23" s="60"/>
      <c r="H23" s="60"/>
      <c r="I23" s="61"/>
      <c r="J23" s="61"/>
      <c r="K23" s="61"/>
      <c r="L23" s="61"/>
      <c r="M23" s="61"/>
      <c r="N23" s="60"/>
      <c r="O23" s="61"/>
      <c r="P23" s="63"/>
      <c r="Q23" s="61"/>
      <c r="R23" s="60"/>
      <c r="S23" s="61"/>
      <c r="T23" s="61"/>
      <c r="U23" s="61"/>
      <c r="V23" s="60"/>
      <c r="W23" s="88" t="str">
        <f aca="false">IF(AND(E23&lt;&gt;"",AND(B23&lt;&gt;"",B23&gt;='Weekly Report'!$F$4,B23&lt;='Weekly Report'!$F$5)),ROW(),"")</f>
        <v/>
      </c>
      <c r="X23" s="88" t="str">
        <f aca="false">IF(AND(E23&lt;&gt;"",M23="Yes",Q23&lt;&gt;"Decided",Q23&lt;&gt;"Withdrawn"),ROW(),"")</f>
        <v/>
      </c>
    </row>
    <row r="24" customFormat="false" ht="15" hidden="false" customHeight="false" outlineLevel="0" collapsed="false">
      <c r="A24" s="56" t="s">
        <v>1838</v>
      </c>
      <c r="B24" s="63"/>
      <c r="C24" s="61"/>
      <c r="D24" s="61"/>
      <c r="E24" s="60"/>
      <c r="F24" s="60"/>
      <c r="G24" s="60"/>
      <c r="H24" s="60"/>
      <c r="I24" s="61"/>
      <c r="J24" s="61"/>
      <c r="K24" s="61"/>
      <c r="L24" s="61"/>
      <c r="M24" s="61"/>
      <c r="N24" s="60"/>
      <c r="O24" s="61"/>
      <c r="P24" s="63"/>
      <c r="Q24" s="61"/>
      <c r="R24" s="60"/>
      <c r="S24" s="61"/>
      <c r="T24" s="61"/>
      <c r="U24" s="61"/>
      <c r="V24" s="60"/>
      <c r="W24" s="88" t="str">
        <f aca="false">IF(AND(E24&lt;&gt;"",AND(B24&lt;&gt;"",B24&gt;='Weekly Report'!$F$4,B24&lt;='Weekly Report'!$F$5)),ROW(),"")</f>
        <v/>
      </c>
      <c r="X24" s="88" t="str">
        <f aca="false">IF(AND(E24&lt;&gt;"",M24="Yes",Q24&lt;&gt;"Decided",Q24&lt;&gt;"Withdrawn"),ROW(),"")</f>
        <v/>
      </c>
    </row>
    <row r="25" customFormat="false" ht="15" hidden="false" customHeight="false" outlineLevel="0" collapsed="false">
      <c r="A25" s="56" t="s">
        <v>1839</v>
      </c>
      <c r="B25" s="63"/>
      <c r="C25" s="61"/>
      <c r="D25" s="61"/>
      <c r="E25" s="60"/>
      <c r="F25" s="60"/>
      <c r="G25" s="60"/>
      <c r="H25" s="60"/>
      <c r="I25" s="61"/>
      <c r="J25" s="61"/>
      <c r="K25" s="61"/>
      <c r="L25" s="61"/>
      <c r="M25" s="61"/>
      <c r="N25" s="60"/>
      <c r="O25" s="61"/>
      <c r="P25" s="63"/>
      <c r="Q25" s="61"/>
      <c r="R25" s="60"/>
      <c r="S25" s="61"/>
      <c r="T25" s="61"/>
      <c r="U25" s="61"/>
      <c r="V25" s="60"/>
      <c r="W25" s="88" t="str">
        <f aca="false">IF(AND(E25&lt;&gt;"",AND(B25&lt;&gt;"",B25&gt;='Weekly Report'!$F$4,B25&lt;='Weekly Report'!$F$5)),ROW(),"")</f>
        <v/>
      </c>
      <c r="X25" s="88" t="str">
        <f aca="false">IF(AND(E25&lt;&gt;"",M25="Yes",Q25&lt;&gt;"Decided",Q25&lt;&gt;"Withdrawn"),ROW(),"")</f>
        <v/>
      </c>
    </row>
    <row r="26" customFormat="false" ht="15" hidden="false" customHeight="false" outlineLevel="0" collapsed="false">
      <c r="A26" s="56" t="s">
        <v>1840</v>
      </c>
      <c r="B26" s="63"/>
      <c r="C26" s="61"/>
      <c r="D26" s="61"/>
      <c r="E26" s="60"/>
      <c r="F26" s="60"/>
      <c r="G26" s="60"/>
      <c r="H26" s="60"/>
      <c r="I26" s="61"/>
      <c r="J26" s="61"/>
      <c r="K26" s="61"/>
      <c r="L26" s="61"/>
      <c r="M26" s="61"/>
      <c r="N26" s="60"/>
      <c r="O26" s="61"/>
      <c r="P26" s="63"/>
      <c r="Q26" s="61"/>
      <c r="R26" s="60"/>
      <c r="S26" s="61"/>
      <c r="T26" s="61"/>
      <c r="U26" s="61"/>
      <c r="V26" s="60"/>
      <c r="W26" s="88" t="str">
        <f aca="false">IF(AND(E26&lt;&gt;"",AND(B26&lt;&gt;"",B26&gt;='Weekly Report'!$F$4,B26&lt;='Weekly Report'!$F$5)),ROW(),"")</f>
        <v/>
      </c>
      <c r="X26" s="88" t="str">
        <f aca="false">IF(AND(E26&lt;&gt;"",M26="Yes",Q26&lt;&gt;"Decided",Q26&lt;&gt;"Withdrawn"),ROW(),"")</f>
        <v/>
      </c>
    </row>
    <row r="27" customFormat="false" ht="15" hidden="false" customHeight="false" outlineLevel="0" collapsed="false">
      <c r="A27" s="56" t="s">
        <v>1841</v>
      </c>
      <c r="B27" s="63"/>
      <c r="C27" s="61"/>
      <c r="D27" s="61"/>
      <c r="E27" s="60"/>
      <c r="F27" s="60"/>
      <c r="G27" s="60"/>
      <c r="H27" s="60"/>
      <c r="I27" s="61"/>
      <c r="J27" s="61"/>
      <c r="K27" s="61"/>
      <c r="L27" s="61"/>
      <c r="M27" s="61"/>
      <c r="N27" s="60"/>
      <c r="O27" s="61"/>
      <c r="P27" s="63"/>
      <c r="Q27" s="61"/>
      <c r="R27" s="60"/>
      <c r="S27" s="61"/>
      <c r="T27" s="61"/>
      <c r="U27" s="61"/>
      <c r="V27" s="60"/>
      <c r="W27" s="88" t="str">
        <f aca="false">IF(AND(E27&lt;&gt;"",AND(B27&lt;&gt;"",B27&gt;='Weekly Report'!$F$4,B27&lt;='Weekly Report'!$F$5)),ROW(),"")</f>
        <v/>
      </c>
      <c r="X27" s="88" t="str">
        <f aca="false">IF(AND(E27&lt;&gt;"",M27="Yes",Q27&lt;&gt;"Decided",Q27&lt;&gt;"Withdrawn"),ROW(),"")</f>
        <v/>
      </c>
    </row>
    <row r="28" customFormat="false" ht="15" hidden="false" customHeight="false" outlineLevel="0" collapsed="false">
      <c r="A28" s="56" t="s">
        <v>1842</v>
      </c>
      <c r="B28" s="63"/>
      <c r="C28" s="61"/>
      <c r="D28" s="61"/>
      <c r="E28" s="60"/>
      <c r="F28" s="60"/>
      <c r="G28" s="60"/>
      <c r="H28" s="60"/>
      <c r="I28" s="61"/>
      <c r="J28" s="61"/>
      <c r="K28" s="61"/>
      <c r="L28" s="61"/>
      <c r="M28" s="61"/>
      <c r="N28" s="60"/>
      <c r="O28" s="61"/>
      <c r="P28" s="63"/>
      <c r="Q28" s="61"/>
      <c r="R28" s="60"/>
      <c r="S28" s="61"/>
      <c r="T28" s="61"/>
      <c r="U28" s="61"/>
      <c r="V28" s="60"/>
      <c r="W28" s="88" t="str">
        <f aca="false">IF(AND(E28&lt;&gt;"",AND(B28&lt;&gt;"",B28&gt;='Weekly Report'!$F$4,B28&lt;='Weekly Report'!$F$5)),ROW(),"")</f>
        <v/>
      </c>
      <c r="X28" s="88" t="str">
        <f aca="false">IF(AND(E28&lt;&gt;"",M28="Yes",Q28&lt;&gt;"Decided",Q28&lt;&gt;"Withdrawn"),ROW(),"")</f>
        <v/>
      </c>
    </row>
    <row r="29" customFormat="false" ht="15" hidden="false" customHeight="false" outlineLevel="0" collapsed="false">
      <c r="A29" s="56" t="s">
        <v>1843</v>
      </c>
      <c r="B29" s="63"/>
      <c r="C29" s="61"/>
      <c r="D29" s="61"/>
      <c r="E29" s="60"/>
      <c r="F29" s="60"/>
      <c r="G29" s="60"/>
      <c r="H29" s="60"/>
      <c r="I29" s="61"/>
      <c r="J29" s="61"/>
      <c r="K29" s="61"/>
      <c r="L29" s="61"/>
      <c r="M29" s="61"/>
      <c r="N29" s="60"/>
      <c r="O29" s="61"/>
      <c r="P29" s="63"/>
      <c r="Q29" s="61"/>
      <c r="R29" s="60"/>
      <c r="S29" s="61"/>
      <c r="T29" s="61"/>
      <c r="U29" s="61"/>
      <c r="V29" s="60"/>
      <c r="W29" s="88" t="str">
        <f aca="false">IF(AND(E29&lt;&gt;"",AND(B29&lt;&gt;"",B29&gt;='Weekly Report'!$F$4,B29&lt;='Weekly Report'!$F$5)),ROW(),"")</f>
        <v/>
      </c>
      <c r="X29" s="88" t="str">
        <f aca="false">IF(AND(E29&lt;&gt;"",M29="Yes",Q29&lt;&gt;"Decided",Q29&lt;&gt;"Withdrawn"),ROW(),"")</f>
        <v/>
      </c>
    </row>
    <row r="30" customFormat="false" ht="15" hidden="false" customHeight="false" outlineLevel="0" collapsed="false">
      <c r="A30" s="56" t="s">
        <v>1844</v>
      </c>
      <c r="B30" s="63"/>
      <c r="C30" s="61"/>
      <c r="D30" s="61"/>
      <c r="E30" s="60"/>
      <c r="F30" s="60"/>
      <c r="G30" s="60"/>
      <c r="H30" s="60"/>
      <c r="I30" s="61"/>
      <c r="J30" s="61"/>
      <c r="K30" s="61"/>
      <c r="L30" s="61"/>
      <c r="M30" s="61"/>
      <c r="N30" s="60"/>
      <c r="O30" s="61"/>
      <c r="P30" s="63"/>
      <c r="Q30" s="61"/>
      <c r="R30" s="60"/>
      <c r="S30" s="61"/>
      <c r="T30" s="61"/>
      <c r="U30" s="61"/>
      <c r="V30" s="60"/>
      <c r="W30" s="88" t="str">
        <f aca="false">IF(AND(E30&lt;&gt;"",AND(B30&lt;&gt;"",B30&gt;='Weekly Report'!$F$4,B30&lt;='Weekly Report'!$F$5)),ROW(),"")</f>
        <v/>
      </c>
      <c r="X30" s="88" t="str">
        <f aca="false">IF(AND(E30&lt;&gt;"",M30="Yes",Q30&lt;&gt;"Decided",Q30&lt;&gt;"Withdrawn"),ROW(),"")</f>
        <v/>
      </c>
    </row>
    <row r="31" customFormat="false" ht="15" hidden="false" customHeight="false" outlineLevel="0" collapsed="false">
      <c r="A31" s="56" t="s">
        <v>1845</v>
      </c>
      <c r="B31" s="63"/>
      <c r="C31" s="61"/>
      <c r="D31" s="61"/>
      <c r="E31" s="60"/>
      <c r="F31" s="60"/>
      <c r="G31" s="60"/>
      <c r="H31" s="60"/>
      <c r="I31" s="61"/>
      <c r="J31" s="61"/>
      <c r="K31" s="61"/>
      <c r="L31" s="61"/>
      <c r="M31" s="61"/>
      <c r="N31" s="60"/>
      <c r="O31" s="61"/>
      <c r="P31" s="63"/>
      <c r="Q31" s="61"/>
      <c r="R31" s="60"/>
      <c r="S31" s="61"/>
      <c r="T31" s="61"/>
      <c r="U31" s="61"/>
      <c r="V31" s="60"/>
      <c r="W31" s="88" t="str">
        <f aca="false">IF(AND(E31&lt;&gt;"",AND(B31&lt;&gt;"",B31&gt;='Weekly Report'!$F$4,B31&lt;='Weekly Report'!$F$5)),ROW(),"")</f>
        <v/>
      </c>
      <c r="X31" s="88" t="str">
        <f aca="false">IF(AND(E31&lt;&gt;"",M31="Yes",Q31&lt;&gt;"Decided",Q31&lt;&gt;"Withdrawn"),ROW(),"")</f>
        <v/>
      </c>
    </row>
    <row r="32" customFormat="false" ht="15" hidden="false" customHeight="false" outlineLevel="0" collapsed="false">
      <c r="A32" s="56" t="s">
        <v>1846</v>
      </c>
      <c r="B32" s="63"/>
      <c r="C32" s="61"/>
      <c r="D32" s="61"/>
      <c r="E32" s="60"/>
      <c r="F32" s="60"/>
      <c r="G32" s="60"/>
      <c r="H32" s="60"/>
      <c r="I32" s="61"/>
      <c r="J32" s="61"/>
      <c r="K32" s="61"/>
      <c r="L32" s="61"/>
      <c r="M32" s="61"/>
      <c r="N32" s="60"/>
      <c r="O32" s="61"/>
      <c r="P32" s="63"/>
      <c r="Q32" s="61"/>
      <c r="R32" s="60"/>
      <c r="S32" s="61"/>
      <c r="T32" s="61"/>
      <c r="U32" s="61"/>
      <c r="V32" s="60"/>
      <c r="W32" s="88" t="str">
        <f aca="false">IF(AND(E32&lt;&gt;"",AND(B32&lt;&gt;"",B32&gt;='Weekly Report'!$F$4,B32&lt;='Weekly Report'!$F$5)),ROW(),"")</f>
        <v/>
      </c>
      <c r="X32" s="88" t="str">
        <f aca="false">IF(AND(E32&lt;&gt;"",M32="Yes",Q32&lt;&gt;"Decided",Q32&lt;&gt;"Withdrawn"),ROW(),"")</f>
        <v/>
      </c>
    </row>
    <row r="33" customFormat="false" ht="15" hidden="false" customHeight="false" outlineLevel="0" collapsed="false">
      <c r="A33" s="56" t="s">
        <v>1847</v>
      </c>
      <c r="B33" s="63"/>
      <c r="C33" s="61"/>
      <c r="D33" s="61"/>
      <c r="E33" s="60"/>
      <c r="F33" s="60"/>
      <c r="G33" s="60"/>
      <c r="H33" s="60"/>
      <c r="I33" s="61"/>
      <c r="J33" s="61"/>
      <c r="K33" s="61"/>
      <c r="L33" s="61"/>
      <c r="M33" s="61"/>
      <c r="N33" s="60"/>
      <c r="O33" s="61"/>
      <c r="P33" s="63"/>
      <c r="Q33" s="61"/>
      <c r="R33" s="60"/>
      <c r="S33" s="61"/>
      <c r="T33" s="61"/>
      <c r="U33" s="61"/>
      <c r="V33" s="60"/>
      <c r="W33" s="88" t="str">
        <f aca="false">IF(AND(E33&lt;&gt;"",AND(B33&lt;&gt;"",B33&gt;='Weekly Report'!$F$4,B33&lt;='Weekly Report'!$F$5)),ROW(),"")</f>
        <v/>
      </c>
      <c r="X33" s="88" t="str">
        <f aca="false">IF(AND(E33&lt;&gt;"",M33="Yes",Q33&lt;&gt;"Decided",Q33&lt;&gt;"Withdrawn"),ROW(),"")</f>
        <v/>
      </c>
    </row>
    <row r="34" customFormat="false" ht="15" hidden="false" customHeight="false" outlineLevel="0" collapsed="false">
      <c r="A34" s="56" t="s">
        <v>1848</v>
      </c>
      <c r="B34" s="63"/>
      <c r="C34" s="61"/>
      <c r="D34" s="61"/>
      <c r="E34" s="60"/>
      <c r="F34" s="60"/>
      <c r="G34" s="60"/>
      <c r="H34" s="60"/>
      <c r="I34" s="61"/>
      <c r="J34" s="61"/>
      <c r="K34" s="61"/>
      <c r="L34" s="61"/>
      <c r="M34" s="61"/>
      <c r="N34" s="60"/>
      <c r="O34" s="61"/>
      <c r="P34" s="63"/>
      <c r="Q34" s="61"/>
      <c r="R34" s="60"/>
      <c r="S34" s="61"/>
      <c r="T34" s="61"/>
      <c r="U34" s="61"/>
      <c r="V34" s="60"/>
      <c r="W34" s="88" t="str">
        <f aca="false">IF(AND(E34&lt;&gt;"",AND(B34&lt;&gt;"",B34&gt;='Weekly Report'!$F$4,B34&lt;='Weekly Report'!$F$5)),ROW(),"")</f>
        <v/>
      </c>
      <c r="X34" s="88" t="str">
        <f aca="false">IF(AND(E34&lt;&gt;"",M34="Yes",Q34&lt;&gt;"Decided",Q34&lt;&gt;"Withdrawn"),ROW(),"")</f>
        <v/>
      </c>
    </row>
    <row r="35" customFormat="false" ht="15" hidden="false" customHeight="false" outlineLevel="0" collapsed="false">
      <c r="A35" s="56" t="s">
        <v>1849</v>
      </c>
      <c r="B35" s="63"/>
      <c r="C35" s="61"/>
      <c r="D35" s="61"/>
      <c r="E35" s="60"/>
      <c r="F35" s="60"/>
      <c r="G35" s="60"/>
      <c r="H35" s="60"/>
      <c r="I35" s="61"/>
      <c r="J35" s="61"/>
      <c r="K35" s="61"/>
      <c r="L35" s="61"/>
      <c r="M35" s="61"/>
      <c r="N35" s="60"/>
      <c r="O35" s="61"/>
      <c r="P35" s="63"/>
      <c r="Q35" s="61"/>
      <c r="R35" s="60"/>
      <c r="S35" s="61"/>
      <c r="T35" s="61"/>
      <c r="U35" s="61"/>
      <c r="V35" s="60"/>
      <c r="W35" s="88" t="str">
        <f aca="false">IF(AND(E35&lt;&gt;"",AND(B35&lt;&gt;"",B35&gt;='Weekly Report'!$F$4,B35&lt;='Weekly Report'!$F$5)),ROW(),"")</f>
        <v/>
      </c>
      <c r="X35" s="88" t="str">
        <f aca="false">IF(AND(E35&lt;&gt;"",M35="Yes",Q35&lt;&gt;"Decided",Q35&lt;&gt;"Withdrawn"),ROW(),"")</f>
        <v/>
      </c>
    </row>
    <row r="36" customFormat="false" ht="15" hidden="false" customHeight="false" outlineLevel="0" collapsed="false">
      <c r="A36" s="56" t="s">
        <v>1850</v>
      </c>
      <c r="B36" s="63"/>
      <c r="C36" s="61"/>
      <c r="D36" s="61"/>
      <c r="E36" s="60"/>
      <c r="F36" s="60"/>
      <c r="G36" s="60"/>
      <c r="H36" s="60"/>
      <c r="I36" s="61"/>
      <c r="J36" s="61"/>
      <c r="K36" s="61"/>
      <c r="L36" s="61"/>
      <c r="M36" s="61"/>
      <c r="N36" s="60"/>
      <c r="O36" s="61"/>
      <c r="P36" s="63"/>
      <c r="Q36" s="61"/>
      <c r="R36" s="60"/>
      <c r="S36" s="61"/>
      <c r="T36" s="61"/>
      <c r="U36" s="61"/>
      <c r="V36" s="60"/>
      <c r="W36" s="88" t="str">
        <f aca="false">IF(AND(E36&lt;&gt;"",AND(B36&lt;&gt;"",B36&gt;='Weekly Report'!$F$4,B36&lt;='Weekly Report'!$F$5)),ROW(),"")</f>
        <v/>
      </c>
      <c r="X36" s="88" t="str">
        <f aca="false">IF(AND(E36&lt;&gt;"",M36="Yes",Q36&lt;&gt;"Decided",Q36&lt;&gt;"Withdrawn"),ROW(),"")</f>
        <v/>
      </c>
    </row>
    <row r="37" customFormat="false" ht="15" hidden="false" customHeight="false" outlineLevel="0" collapsed="false">
      <c r="A37" s="56" t="s">
        <v>1851</v>
      </c>
      <c r="B37" s="63"/>
      <c r="C37" s="61"/>
      <c r="D37" s="61"/>
      <c r="E37" s="60"/>
      <c r="F37" s="60"/>
      <c r="G37" s="60"/>
      <c r="H37" s="60"/>
      <c r="I37" s="61"/>
      <c r="J37" s="61"/>
      <c r="K37" s="61"/>
      <c r="L37" s="61"/>
      <c r="M37" s="61"/>
      <c r="N37" s="60"/>
      <c r="O37" s="61"/>
      <c r="P37" s="63"/>
      <c r="Q37" s="61"/>
      <c r="R37" s="60"/>
      <c r="S37" s="61"/>
      <c r="T37" s="61"/>
      <c r="U37" s="61"/>
      <c r="V37" s="60"/>
      <c r="W37" s="88" t="str">
        <f aca="false">IF(AND(E37&lt;&gt;"",AND(B37&lt;&gt;"",B37&gt;='Weekly Report'!$F$4,B37&lt;='Weekly Report'!$F$5)),ROW(),"")</f>
        <v/>
      </c>
      <c r="X37" s="88" t="str">
        <f aca="false">IF(AND(E37&lt;&gt;"",M37="Yes",Q37&lt;&gt;"Decided",Q37&lt;&gt;"Withdrawn"),ROW(),"")</f>
        <v/>
      </c>
    </row>
    <row r="38" customFormat="false" ht="15" hidden="false" customHeight="false" outlineLevel="0" collapsed="false">
      <c r="A38" s="56" t="s">
        <v>1852</v>
      </c>
      <c r="B38" s="63"/>
      <c r="C38" s="61"/>
      <c r="D38" s="61"/>
      <c r="E38" s="60"/>
      <c r="F38" s="60"/>
      <c r="G38" s="60"/>
      <c r="H38" s="60"/>
      <c r="I38" s="61"/>
      <c r="J38" s="61"/>
      <c r="K38" s="61"/>
      <c r="L38" s="61"/>
      <c r="M38" s="61"/>
      <c r="N38" s="60"/>
      <c r="O38" s="61"/>
      <c r="P38" s="63"/>
      <c r="Q38" s="61"/>
      <c r="R38" s="60"/>
      <c r="S38" s="61"/>
      <c r="T38" s="61"/>
      <c r="U38" s="61"/>
      <c r="V38" s="60"/>
      <c r="W38" s="88" t="str">
        <f aca="false">IF(AND(E38&lt;&gt;"",AND(B38&lt;&gt;"",B38&gt;='Weekly Report'!$F$4,B38&lt;='Weekly Report'!$F$5)),ROW(),"")</f>
        <v/>
      </c>
      <c r="X38" s="88" t="str">
        <f aca="false">IF(AND(E38&lt;&gt;"",M38="Yes",Q38&lt;&gt;"Decided",Q38&lt;&gt;"Withdrawn"),ROW(),"")</f>
        <v/>
      </c>
    </row>
    <row r="39" customFormat="false" ht="15" hidden="false" customHeight="false" outlineLevel="0" collapsed="false">
      <c r="A39" s="56" t="s">
        <v>1853</v>
      </c>
      <c r="B39" s="63"/>
      <c r="C39" s="61"/>
      <c r="D39" s="61"/>
      <c r="E39" s="60"/>
      <c r="F39" s="60"/>
      <c r="G39" s="60"/>
      <c r="H39" s="60"/>
      <c r="I39" s="61"/>
      <c r="J39" s="61"/>
      <c r="K39" s="61"/>
      <c r="L39" s="61"/>
      <c r="M39" s="61"/>
      <c r="N39" s="60"/>
      <c r="O39" s="61"/>
      <c r="P39" s="63"/>
      <c r="Q39" s="61"/>
      <c r="R39" s="60"/>
      <c r="S39" s="61"/>
      <c r="T39" s="61"/>
      <c r="U39" s="61"/>
      <c r="V39" s="60"/>
      <c r="W39" s="88" t="str">
        <f aca="false">IF(AND(E39&lt;&gt;"",AND(B39&lt;&gt;"",B39&gt;='Weekly Report'!$F$4,B39&lt;='Weekly Report'!$F$5)),ROW(),"")</f>
        <v/>
      </c>
      <c r="X39" s="88" t="str">
        <f aca="false">IF(AND(E39&lt;&gt;"",M39="Yes",Q39&lt;&gt;"Decided",Q39&lt;&gt;"Withdrawn"),ROW(),"")</f>
        <v/>
      </c>
    </row>
    <row r="40" customFormat="false" ht="15" hidden="false" customHeight="false" outlineLevel="0" collapsed="false">
      <c r="A40" s="56" t="s">
        <v>1854</v>
      </c>
      <c r="B40" s="63"/>
      <c r="C40" s="61"/>
      <c r="D40" s="61"/>
      <c r="E40" s="60"/>
      <c r="F40" s="60"/>
      <c r="G40" s="60"/>
      <c r="H40" s="60"/>
      <c r="I40" s="61"/>
      <c r="J40" s="61"/>
      <c r="K40" s="61"/>
      <c r="L40" s="61"/>
      <c r="M40" s="61"/>
      <c r="N40" s="60"/>
      <c r="O40" s="61"/>
      <c r="P40" s="63"/>
      <c r="Q40" s="61"/>
      <c r="R40" s="60"/>
      <c r="S40" s="61"/>
      <c r="T40" s="61"/>
      <c r="U40" s="61"/>
      <c r="V40" s="60"/>
      <c r="W40" s="88" t="str">
        <f aca="false">IF(AND(E40&lt;&gt;"",AND(B40&lt;&gt;"",B40&gt;='Weekly Report'!$F$4,B40&lt;='Weekly Report'!$F$5)),ROW(),"")</f>
        <v/>
      </c>
      <c r="X40" s="88" t="str">
        <f aca="false">IF(AND(E40&lt;&gt;"",M40="Yes",Q40&lt;&gt;"Decided",Q40&lt;&gt;"Withdrawn"),ROW(),"")</f>
        <v/>
      </c>
    </row>
    <row r="41" customFormat="false" ht="15" hidden="false" customHeight="false" outlineLevel="0" collapsed="false">
      <c r="A41" s="56" t="s">
        <v>1855</v>
      </c>
      <c r="B41" s="63"/>
      <c r="C41" s="61"/>
      <c r="D41" s="61"/>
      <c r="E41" s="60"/>
      <c r="F41" s="60"/>
      <c r="G41" s="60"/>
      <c r="H41" s="60"/>
      <c r="I41" s="61"/>
      <c r="J41" s="61"/>
      <c r="K41" s="61"/>
      <c r="L41" s="61"/>
      <c r="M41" s="61"/>
      <c r="N41" s="60"/>
      <c r="O41" s="61"/>
      <c r="P41" s="63"/>
      <c r="Q41" s="61"/>
      <c r="R41" s="60"/>
      <c r="S41" s="61"/>
      <c r="T41" s="61"/>
      <c r="U41" s="61"/>
      <c r="V41" s="60"/>
      <c r="W41" s="88" t="str">
        <f aca="false">IF(AND(E41&lt;&gt;"",AND(B41&lt;&gt;"",B41&gt;='Weekly Report'!$F$4,B41&lt;='Weekly Report'!$F$5)),ROW(),"")</f>
        <v/>
      </c>
      <c r="X41" s="88" t="str">
        <f aca="false">IF(AND(E41&lt;&gt;"",M41="Yes",Q41&lt;&gt;"Decided",Q41&lt;&gt;"Withdrawn"),ROW(),"")</f>
        <v/>
      </c>
    </row>
    <row r="42" customFormat="false" ht="15" hidden="false" customHeight="false" outlineLevel="0" collapsed="false">
      <c r="A42" s="56" t="s">
        <v>1856</v>
      </c>
      <c r="B42" s="63"/>
      <c r="C42" s="61"/>
      <c r="D42" s="61"/>
      <c r="E42" s="60"/>
      <c r="F42" s="60"/>
      <c r="G42" s="60"/>
      <c r="H42" s="60"/>
      <c r="I42" s="61"/>
      <c r="J42" s="61"/>
      <c r="K42" s="61"/>
      <c r="L42" s="61"/>
      <c r="M42" s="61"/>
      <c r="N42" s="60"/>
      <c r="O42" s="61"/>
      <c r="P42" s="63"/>
      <c r="Q42" s="61"/>
      <c r="R42" s="60"/>
      <c r="S42" s="61"/>
      <c r="T42" s="61"/>
      <c r="U42" s="61"/>
      <c r="V42" s="60"/>
      <c r="W42" s="88" t="str">
        <f aca="false">IF(AND(E42&lt;&gt;"",AND(B42&lt;&gt;"",B42&gt;='Weekly Report'!$F$4,B42&lt;='Weekly Report'!$F$5)),ROW(),"")</f>
        <v/>
      </c>
      <c r="X42" s="88" t="str">
        <f aca="false">IF(AND(E42&lt;&gt;"",M42="Yes",Q42&lt;&gt;"Decided",Q42&lt;&gt;"Withdrawn"),ROW(),"")</f>
        <v/>
      </c>
    </row>
    <row r="43" customFormat="false" ht="15" hidden="false" customHeight="false" outlineLevel="0" collapsed="false">
      <c r="A43" s="56" t="s">
        <v>1857</v>
      </c>
      <c r="B43" s="63"/>
      <c r="C43" s="61"/>
      <c r="D43" s="61"/>
      <c r="E43" s="60"/>
      <c r="F43" s="60"/>
      <c r="G43" s="60"/>
      <c r="H43" s="60"/>
      <c r="I43" s="61"/>
      <c r="J43" s="61"/>
      <c r="K43" s="61"/>
      <c r="L43" s="61"/>
      <c r="M43" s="61"/>
      <c r="N43" s="60"/>
      <c r="O43" s="61"/>
      <c r="P43" s="63"/>
      <c r="Q43" s="61"/>
      <c r="R43" s="60"/>
      <c r="S43" s="61"/>
      <c r="T43" s="61"/>
      <c r="U43" s="61"/>
      <c r="V43" s="60"/>
      <c r="W43" s="88" t="str">
        <f aca="false">IF(AND(E43&lt;&gt;"",AND(B43&lt;&gt;"",B43&gt;='Weekly Report'!$F$4,B43&lt;='Weekly Report'!$F$5)),ROW(),"")</f>
        <v/>
      </c>
      <c r="X43" s="88" t="str">
        <f aca="false">IF(AND(E43&lt;&gt;"",M43="Yes",Q43&lt;&gt;"Decided",Q43&lt;&gt;"Withdrawn"),ROW(),"")</f>
        <v/>
      </c>
    </row>
    <row r="44" customFormat="false" ht="15" hidden="false" customHeight="false" outlineLevel="0" collapsed="false">
      <c r="A44" s="56" t="s">
        <v>1858</v>
      </c>
      <c r="B44" s="63"/>
      <c r="C44" s="61"/>
      <c r="D44" s="61"/>
      <c r="E44" s="60"/>
      <c r="F44" s="60"/>
      <c r="G44" s="60"/>
      <c r="H44" s="60"/>
      <c r="I44" s="61"/>
      <c r="J44" s="61"/>
      <c r="K44" s="61"/>
      <c r="L44" s="61"/>
      <c r="M44" s="61"/>
      <c r="N44" s="60"/>
      <c r="O44" s="61"/>
      <c r="P44" s="63"/>
      <c r="Q44" s="61"/>
      <c r="R44" s="60"/>
      <c r="S44" s="61"/>
      <c r="T44" s="61"/>
      <c r="U44" s="61"/>
      <c r="V44" s="60"/>
      <c r="W44" s="88" t="str">
        <f aca="false">IF(AND(E44&lt;&gt;"",AND(B44&lt;&gt;"",B44&gt;='Weekly Report'!$F$4,B44&lt;='Weekly Report'!$F$5)),ROW(),"")</f>
        <v/>
      </c>
      <c r="X44" s="88" t="str">
        <f aca="false">IF(AND(E44&lt;&gt;"",M44="Yes",Q44&lt;&gt;"Decided",Q44&lt;&gt;"Withdrawn"),ROW(),"")</f>
        <v/>
      </c>
    </row>
    <row r="45" customFormat="false" ht="15" hidden="false" customHeight="false" outlineLevel="0" collapsed="false">
      <c r="A45" s="56" t="s">
        <v>1859</v>
      </c>
      <c r="B45" s="63"/>
      <c r="C45" s="61"/>
      <c r="D45" s="61"/>
      <c r="E45" s="60"/>
      <c r="F45" s="60"/>
      <c r="G45" s="60"/>
      <c r="H45" s="60"/>
      <c r="I45" s="61"/>
      <c r="J45" s="61"/>
      <c r="K45" s="61"/>
      <c r="L45" s="61"/>
      <c r="M45" s="61"/>
      <c r="N45" s="60"/>
      <c r="O45" s="61"/>
      <c r="P45" s="63"/>
      <c r="Q45" s="61"/>
      <c r="R45" s="60"/>
      <c r="S45" s="61"/>
      <c r="T45" s="61"/>
      <c r="U45" s="61"/>
      <c r="V45" s="60"/>
      <c r="W45" s="88" t="str">
        <f aca="false">IF(AND(E45&lt;&gt;"",AND(B45&lt;&gt;"",B45&gt;='Weekly Report'!$F$4,B45&lt;='Weekly Report'!$F$5)),ROW(),"")</f>
        <v/>
      </c>
      <c r="X45" s="88" t="str">
        <f aca="false">IF(AND(E45&lt;&gt;"",M45="Yes",Q45&lt;&gt;"Decided",Q45&lt;&gt;"Withdrawn"),ROW(),"")</f>
        <v/>
      </c>
    </row>
    <row r="46" customFormat="false" ht="15" hidden="false" customHeight="false" outlineLevel="0" collapsed="false">
      <c r="A46" s="56" t="s">
        <v>1860</v>
      </c>
      <c r="B46" s="63"/>
      <c r="C46" s="61"/>
      <c r="D46" s="61"/>
      <c r="E46" s="60"/>
      <c r="F46" s="60"/>
      <c r="G46" s="60"/>
      <c r="H46" s="60"/>
      <c r="I46" s="61"/>
      <c r="J46" s="61"/>
      <c r="K46" s="61"/>
      <c r="L46" s="61"/>
      <c r="M46" s="61"/>
      <c r="N46" s="60"/>
      <c r="O46" s="61"/>
      <c r="P46" s="63"/>
      <c r="Q46" s="61"/>
      <c r="R46" s="60"/>
      <c r="S46" s="61"/>
      <c r="T46" s="61"/>
      <c r="U46" s="61"/>
      <c r="V46" s="60"/>
      <c r="W46" s="88" t="str">
        <f aca="false">IF(AND(E46&lt;&gt;"",AND(B46&lt;&gt;"",B46&gt;='Weekly Report'!$F$4,B46&lt;='Weekly Report'!$F$5)),ROW(),"")</f>
        <v/>
      </c>
      <c r="X46" s="88" t="str">
        <f aca="false">IF(AND(E46&lt;&gt;"",M46="Yes",Q46&lt;&gt;"Decided",Q46&lt;&gt;"Withdrawn"),ROW(),"")</f>
        <v/>
      </c>
    </row>
    <row r="47" customFormat="false" ht="15" hidden="false" customHeight="false" outlineLevel="0" collapsed="false">
      <c r="A47" s="56" t="s">
        <v>1861</v>
      </c>
      <c r="B47" s="63"/>
      <c r="C47" s="61"/>
      <c r="D47" s="61"/>
      <c r="E47" s="60"/>
      <c r="F47" s="60"/>
      <c r="G47" s="60"/>
      <c r="H47" s="60"/>
      <c r="I47" s="61"/>
      <c r="J47" s="61"/>
      <c r="K47" s="61"/>
      <c r="L47" s="61"/>
      <c r="M47" s="61"/>
      <c r="N47" s="60"/>
      <c r="O47" s="61"/>
      <c r="P47" s="63"/>
      <c r="Q47" s="61"/>
      <c r="R47" s="60"/>
      <c r="S47" s="61"/>
      <c r="T47" s="61"/>
      <c r="U47" s="61"/>
      <c r="V47" s="60"/>
      <c r="W47" s="88" t="str">
        <f aca="false">IF(AND(E47&lt;&gt;"",AND(B47&lt;&gt;"",B47&gt;='Weekly Report'!$F$4,B47&lt;='Weekly Report'!$F$5)),ROW(),"")</f>
        <v/>
      </c>
      <c r="X47" s="88" t="str">
        <f aca="false">IF(AND(E47&lt;&gt;"",M47="Yes",Q47&lt;&gt;"Decided",Q47&lt;&gt;"Withdrawn"),ROW(),"")</f>
        <v/>
      </c>
    </row>
    <row r="48" customFormat="false" ht="15" hidden="false" customHeight="false" outlineLevel="0" collapsed="false">
      <c r="A48" s="56" t="s">
        <v>1862</v>
      </c>
      <c r="B48" s="63"/>
      <c r="C48" s="61"/>
      <c r="D48" s="61"/>
      <c r="E48" s="60"/>
      <c r="F48" s="60"/>
      <c r="G48" s="60"/>
      <c r="H48" s="60"/>
      <c r="I48" s="61"/>
      <c r="J48" s="61"/>
      <c r="K48" s="61"/>
      <c r="L48" s="61"/>
      <c r="M48" s="61"/>
      <c r="N48" s="60"/>
      <c r="O48" s="61"/>
      <c r="P48" s="63"/>
      <c r="Q48" s="61"/>
      <c r="R48" s="60"/>
      <c r="S48" s="61"/>
      <c r="T48" s="61"/>
      <c r="U48" s="61"/>
      <c r="V48" s="60"/>
      <c r="W48" s="88" t="str">
        <f aca="false">IF(AND(E48&lt;&gt;"",AND(B48&lt;&gt;"",B48&gt;='Weekly Report'!$F$4,B48&lt;='Weekly Report'!$F$5)),ROW(),"")</f>
        <v/>
      </c>
      <c r="X48" s="88" t="str">
        <f aca="false">IF(AND(E48&lt;&gt;"",M48="Yes",Q48&lt;&gt;"Decided",Q48&lt;&gt;"Withdrawn"),ROW(),"")</f>
        <v/>
      </c>
    </row>
    <row r="49" customFormat="false" ht="15" hidden="false" customHeight="false" outlineLevel="0" collapsed="false">
      <c r="A49" s="56" t="s">
        <v>1863</v>
      </c>
      <c r="B49" s="63"/>
      <c r="C49" s="61"/>
      <c r="D49" s="61"/>
      <c r="E49" s="60"/>
      <c r="F49" s="60"/>
      <c r="G49" s="60"/>
      <c r="H49" s="60"/>
      <c r="I49" s="61"/>
      <c r="J49" s="61"/>
      <c r="K49" s="61"/>
      <c r="L49" s="61"/>
      <c r="M49" s="61"/>
      <c r="N49" s="60"/>
      <c r="O49" s="61"/>
      <c r="P49" s="63"/>
      <c r="Q49" s="61"/>
      <c r="R49" s="60"/>
      <c r="S49" s="61"/>
      <c r="T49" s="61"/>
      <c r="U49" s="61"/>
      <c r="V49" s="60"/>
      <c r="W49" s="88" t="str">
        <f aca="false">IF(AND(E49&lt;&gt;"",AND(B49&lt;&gt;"",B49&gt;='Weekly Report'!$F$4,B49&lt;='Weekly Report'!$F$5)),ROW(),"")</f>
        <v/>
      </c>
      <c r="X49" s="88" t="str">
        <f aca="false">IF(AND(E49&lt;&gt;"",M49="Yes",Q49&lt;&gt;"Decided",Q49&lt;&gt;"Withdrawn"),ROW(),"")</f>
        <v/>
      </c>
    </row>
    <row r="50" customFormat="false" ht="15" hidden="false" customHeight="false" outlineLevel="0" collapsed="false">
      <c r="A50" s="56" t="s">
        <v>1864</v>
      </c>
      <c r="B50" s="63"/>
      <c r="C50" s="61"/>
      <c r="D50" s="61"/>
      <c r="E50" s="60"/>
      <c r="F50" s="60"/>
      <c r="G50" s="60"/>
      <c r="H50" s="60"/>
      <c r="I50" s="61"/>
      <c r="J50" s="61"/>
      <c r="K50" s="61"/>
      <c r="L50" s="61"/>
      <c r="M50" s="61"/>
      <c r="N50" s="60"/>
      <c r="O50" s="61"/>
      <c r="P50" s="63"/>
      <c r="Q50" s="61"/>
      <c r="R50" s="60"/>
      <c r="S50" s="61"/>
      <c r="T50" s="61"/>
      <c r="U50" s="61"/>
      <c r="V50" s="60"/>
      <c r="W50" s="88" t="str">
        <f aca="false">IF(AND(E50&lt;&gt;"",AND(B50&lt;&gt;"",B50&gt;='Weekly Report'!$F$4,B50&lt;='Weekly Report'!$F$5)),ROW(),"")</f>
        <v/>
      </c>
      <c r="X50" s="88" t="str">
        <f aca="false">IF(AND(E50&lt;&gt;"",M50="Yes",Q50&lt;&gt;"Decided",Q50&lt;&gt;"Withdrawn"),ROW(),"")</f>
        <v/>
      </c>
    </row>
    <row r="51" customFormat="false" ht="15" hidden="false" customHeight="false" outlineLevel="0" collapsed="false">
      <c r="A51" s="56" t="s">
        <v>1865</v>
      </c>
      <c r="B51" s="63"/>
      <c r="C51" s="61"/>
      <c r="D51" s="61"/>
      <c r="E51" s="60"/>
      <c r="F51" s="60"/>
      <c r="G51" s="60"/>
      <c r="H51" s="60"/>
      <c r="I51" s="61"/>
      <c r="J51" s="61"/>
      <c r="K51" s="61"/>
      <c r="L51" s="61"/>
      <c r="M51" s="61"/>
      <c r="N51" s="60"/>
      <c r="O51" s="61"/>
      <c r="P51" s="63"/>
      <c r="Q51" s="61"/>
      <c r="R51" s="60"/>
      <c r="S51" s="61"/>
      <c r="T51" s="61"/>
      <c r="U51" s="61"/>
      <c r="V51" s="60"/>
      <c r="W51" s="88" t="str">
        <f aca="false">IF(AND(E51&lt;&gt;"",AND(B51&lt;&gt;"",B51&gt;='Weekly Report'!$F$4,B51&lt;='Weekly Report'!$F$5)),ROW(),"")</f>
        <v/>
      </c>
      <c r="X51" s="88" t="str">
        <f aca="false">IF(AND(E51&lt;&gt;"",M51="Yes",Q51&lt;&gt;"Decided",Q51&lt;&gt;"Withdrawn"),ROW(),"")</f>
        <v/>
      </c>
    </row>
    <row r="52" customFormat="false" ht="15" hidden="false" customHeight="false" outlineLevel="0" collapsed="false">
      <c r="A52" s="56" t="s">
        <v>1866</v>
      </c>
      <c r="B52" s="63"/>
      <c r="C52" s="61"/>
      <c r="D52" s="61"/>
      <c r="E52" s="60"/>
      <c r="F52" s="60"/>
      <c r="G52" s="60"/>
      <c r="H52" s="60"/>
      <c r="I52" s="61"/>
      <c r="J52" s="61"/>
      <c r="K52" s="61"/>
      <c r="L52" s="61"/>
      <c r="M52" s="61"/>
      <c r="N52" s="60"/>
      <c r="O52" s="61"/>
      <c r="P52" s="63"/>
      <c r="Q52" s="61"/>
      <c r="R52" s="60"/>
      <c r="S52" s="61"/>
      <c r="T52" s="61"/>
      <c r="U52" s="61"/>
      <c r="V52" s="60"/>
      <c r="W52" s="88" t="str">
        <f aca="false">IF(AND(E52&lt;&gt;"",AND(B52&lt;&gt;"",B52&gt;='Weekly Report'!$F$4,B52&lt;='Weekly Report'!$F$5)),ROW(),"")</f>
        <v/>
      </c>
      <c r="X52" s="88" t="str">
        <f aca="false">IF(AND(E52&lt;&gt;"",M52="Yes",Q52&lt;&gt;"Decided",Q52&lt;&gt;"Withdrawn"),ROW(),"")</f>
        <v/>
      </c>
    </row>
    <row r="53" customFormat="false" ht="15" hidden="false" customHeight="false" outlineLevel="0" collapsed="false">
      <c r="A53" s="56" t="s">
        <v>1867</v>
      </c>
      <c r="B53" s="63"/>
      <c r="C53" s="61"/>
      <c r="D53" s="61"/>
      <c r="E53" s="60"/>
      <c r="F53" s="60"/>
      <c r="G53" s="60"/>
      <c r="H53" s="60"/>
      <c r="I53" s="61"/>
      <c r="J53" s="61"/>
      <c r="K53" s="61"/>
      <c r="L53" s="61"/>
      <c r="M53" s="61"/>
      <c r="N53" s="60"/>
      <c r="O53" s="61"/>
      <c r="P53" s="63"/>
      <c r="Q53" s="61"/>
      <c r="R53" s="60"/>
      <c r="S53" s="61"/>
      <c r="T53" s="61"/>
      <c r="U53" s="61"/>
      <c r="V53" s="60"/>
      <c r="W53" s="88" t="str">
        <f aca="false">IF(AND(E53&lt;&gt;"",AND(B53&lt;&gt;"",B53&gt;='Weekly Report'!$F$4,B53&lt;='Weekly Report'!$F$5)),ROW(),"")</f>
        <v/>
      </c>
      <c r="X53" s="88" t="str">
        <f aca="false">IF(AND(E53&lt;&gt;"",M53="Yes",Q53&lt;&gt;"Decided",Q53&lt;&gt;"Withdrawn"),ROW(),"")</f>
        <v/>
      </c>
    </row>
    <row r="54" customFormat="false" ht="15" hidden="false" customHeight="false" outlineLevel="0" collapsed="false">
      <c r="A54" s="56" t="s">
        <v>1868</v>
      </c>
      <c r="B54" s="63"/>
      <c r="C54" s="61"/>
      <c r="D54" s="61"/>
      <c r="E54" s="60"/>
      <c r="F54" s="60"/>
      <c r="G54" s="60"/>
      <c r="H54" s="60"/>
      <c r="I54" s="61"/>
      <c r="J54" s="61"/>
      <c r="K54" s="61"/>
      <c r="L54" s="61"/>
      <c r="M54" s="61"/>
      <c r="N54" s="60"/>
      <c r="O54" s="61"/>
      <c r="P54" s="63"/>
      <c r="Q54" s="61"/>
      <c r="R54" s="60"/>
      <c r="S54" s="61"/>
      <c r="T54" s="61"/>
      <c r="U54" s="61"/>
      <c r="V54" s="60"/>
      <c r="W54" s="88" t="str">
        <f aca="false">IF(AND(E54&lt;&gt;"",AND(B54&lt;&gt;"",B54&gt;='Weekly Report'!$F$4,B54&lt;='Weekly Report'!$F$5)),ROW(),"")</f>
        <v/>
      </c>
      <c r="X54" s="88" t="str">
        <f aca="false">IF(AND(E54&lt;&gt;"",M54="Yes",Q54&lt;&gt;"Decided",Q54&lt;&gt;"Withdrawn"),ROW(),"")</f>
        <v/>
      </c>
    </row>
    <row r="55" customFormat="false" ht="15" hidden="false" customHeight="false" outlineLevel="0" collapsed="false">
      <c r="A55" s="56" t="s">
        <v>1869</v>
      </c>
      <c r="B55" s="63"/>
      <c r="C55" s="61"/>
      <c r="D55" s="61"/>
      <c r="E55" s="60"/>
      <c r="F55" s="60"/>
      <c r="G55" s="60"/>
      <c r="H55" s="60"/>
      <c r="I55" s="61"/>
      <c r="J55" s="61"/>
      <c r="K55" s="61"/>
      <c r="L55" s="61"/>
      <c r="M55" s="61"/>
      <c r="N55" s="60"/>
      <c r="O55" s="61"/>
      <c r="P55" s="63"/>
      <c r="Q55" s="61"/>
      <c r="R55" s="60"/>
      <c r="S55" s="61"/>
      <c r="T55" s="61"/>
      <c r="U55" s="61"/>
      <c r="V55" s="60"/>
      <c r="W55" s="88" t="str">
        <f aca="false">IF(AND(E55&lt;&gt;"",AND(B55&lt;&gt;"",B55&gt;='Weekly Report'!$F$4,B55&lt;='Weekly Report'!$F$5)),ROW(),"")</f>
        <v/>
      </c>
      <c r="X55" s="88" t="str">
        <f aca="false">IF(AND(E55&lt;&gt;"",M55="Yes",Q55&lt;&gt;"Decided",Q55&lt;&gt;"Withdrawn"),ROW(),"")</f>
        <v/>
      </c>
    </row>
    <row r="56" customFormat="false" ht="15" hidden="false" customHeight="false" outlineLevel="0" collapsed="false">
      <c r="A56" s="56" t="s">
        <v>1870</v>
      </c>
      <c r="B56" s="63"/>
      <c r="C56" s="61"/>
      <c r="D56" s="61"/>
      <c r="E56" s="60"/>
      <c r="F56" s="60"/>
      <c r="G56" s="60"/>
      <c r="H56" s="60"/>
      <c r="I56" s="61"/>
      <c r="J56" s="61"/>
      <c r="K56" s="61"/>
      <c r="L56" s="61"/>
      <c r="M56" s="61"/>
      <c r="N56" s="60"/>
      <c r="O56" s="61"/>
      <c r="P56" s="63"/>
      <c r="Q56" s="61"/>
      <c r="R56" s="60"/>
      <c r="S56" s="61"/>
      <c r="T56" s="61"/>
      <c r="U56" s="61"/>
      <c r="V56" s="60"/>
      <c r="W56" s="88" t="str">
        <f aca="false">IF(AND(E56&lt;&gt;"",AND(B56&lt;&gt;"",B56&gt;='Weekly Report'!$F$4,B56&lt;='Weekly Report'!$F$5)),ROW(),"")</f>
        <v/>
      </c>
      <c r="X56" s="88" t="str">
        <f aca="false">IF(AND(E56&lt;&gt;"",M56="Yes",Q56&lt;&gt;"Decided",Q56&lt;&gt;"Withdrawn"),ROW(),"")</f>
        <v/>
      </c>
    </row>
    <row r="57" customFormat="false" ht="15" hidden="false" customHeight="false" outlineLevel="0" collapsed="false">
      <c r="A57" s="56" t="s">
        <v>1871</v>
      </c>
      <c r="B57" s="63"/>
      <c r="C57" s="61"/>
      <c r="D57" s="61"/>
      <c r="E57" s="60"/>
      <c r="F57" s="60"/>
      <c r="G57" s="60"/>
      <c r="H57" s="60"/>
      <c r="I57" s="61"/>
      <c r="J57" s="61"/>
      <c r="K57" s="61"/>
      <c r="L57" s="61"/>
      <c r="M57" s="61"/>
      <c r="N57" s="60"/>
      <c r="O57" s="61"/>
      <c r="P57" s="63"/>
      <c r="Q57" s="61"/>
      <c r="R57" s="60"/>
      <c r="S57" s="61"/>
      <c r="T57" s="61"/>
      <c r="U57" s="61"/>
      <c r="V57" s="60"/>
      <c r="W57" s="88" t="str">
        <f aca="false">IF(AND(E57&lt;&gt;"",AND(B57&lt;&gt;"",B57&gt;='Weekly Report'!$F$4,B57&lt;='Weekly Report'!$F$5)),ROW(),"")</f>
        <v/>
      </c>
      <c r="X57" s="88" t="str">
        <f aca="false">IF(AND(E57&lt;&gt;"",M57="Yes",Q57&lt;&gt;"Decided",Q57&lt;&gt;"Withdrawn"),ROW(),"")</f>
        <v/>
      </c>
    </row>
    <row r="58" customFormat="false" ht="15" hidden="false" customHeight="false" outlineLevel="0" collapsed="false">
      <c r="A58" s="56" t="s">
        <v>1872</v>
      </c>
      <c r="B58" s="63"/>
      <c r="C58" s="61"/>
      <c r="D58" s="61"/>
      <c r="E58" s="60"/>
      <c r="F58" s="60"/>
      <c r="G58" s="60"/>
      <c r="H58" s="60"/>
      <c r="I58" s="61"/>
      <c r="J58" s="61"/>
      <c r="K58" s="61"/>
      <c r="L58" s="61"/>
      <c r="M58" s="61"/>
      <c r="N58" s="60"/>
      <c r="O58" s="61"/>
      <c r="P58" s="63"/>
      <c r="Q58" s="61"/>
      <c r="R58" s="60"/>
      <c r="S58" s="61"/>
      <c r="T58" s="61"/>
      <c r="U58" s="61"/>
      <c r="V58" s="60"/>
      <c r="W58" s="88" t="str">
        <f aca="false">IF(AND(E58&lt;&gt;"",AND(B58&lt;&gt;"",B58&gt;='Weekly Report'!$F$4,B58&lt;='Weekly Report'!$F$5)),ROW(),"")</f>
        <v/>
      </c>
      <c r="X58" s="88" t="str">
        <f aca="false">IF(AND(E58&lt;&gt;"",M58="Yes",Q58&lt;&gt;"Decided",Q58&lt;&gt;"Withdrawn"),ROW(),"")</f>
        <v/>
      </c>
    </row>
    <row r="59" customFormat="false" ht="15" hidden="false" customHeight="false" outlineLevel="0" collapsed="false">
      <c r="A59" s="56" t="s">
        <v>1873</v>
      </c>
      <c r="B59" s="63"/>
      <c r="C59" s="61"/>
      <c r="D59" s="61"/>
      <c r="E59" s="60"/>
      <c r="F59" s="60"/>
      <c r="G59" s="60"/>
      <c r="H59" s="60"/>
      <c r="I59" s="61"/>
      <c r="J59" s="61"/>
      <c r="K59" s="61"/>
      <c r="L59" s="61"/>
      <c r="M59" s="61"/>
      <c r="N59" s="60"/>
      <c r="O59" s="61"/>
      <c r="P59" s="63"/>
      <c r="Q59" s="61"/>
      <c r="R59" s="60"/>
      <c r="S59" s="61"/>
      <c r="T59" s="61"/>
      <c r="U59" s="61"/>
      <c r="V59" s="60"/>
      <c r="W59" s="88" t="str">
        <f aca="false">IF(AND(E59&lt;&gt;"",AND(B59&lt;&gt;"",B59&gt;='Weekly Report'!$F$4,B59&lt;='Weekly Report'!$F$5)),ROW(),"")</f>
        <v/>
      </c>
      <c r="X59" s="88" t="str">
        <f aca="false">IF(AND(E59&lt;&gt;"",M59="Yes",Q59&lt;&gt;"Decided",Q59&lt;&gt;"Withdrawn"),ROW(),"")</f>
        <v/>
      </c>
    </row>
    <row r="60" customFormat="false" ht="15" hidden="false" customHeight="false" outlineLevel="0" collapsed="false">
      <c r="A60" s="56" t="s">
        <v>1874</v>
      </c>
      <c r="B60" s="63"/>
      <c r="C60" s="61"/>
      <c r="D60" s="61"/>
      <c r="E60" s="60"/>
      <c r="F60" s="60"/>
      <c r="G60" s="60"/>
      <c r="H60" s="60"/>
      <c r="I60" s="61"/>
      <c r="J60" s="61"/>
      <c r="K60" s="61"/>
      <c r="L60" s="61"/>
      <c r="M60" s="61"/>
      <c r="N60" s="60"/>
      <c r="O60" s="61"/>
      <c r="P60" s="63"/>
      <c r="Q60" s="61"/>
      <c r="R60" s="60"/>
      <c r="S60" s="61"/>
      <c r="T60" s="61"/>
      <c r="U60" s="61"/>
      <c r="V60" s="60"/>
      <c r="W60" s="88" t="str">
        <f aca="false">IF(AND(E60&lt;&gt;"",AND(B60&lt;&gt;"",B60&gt;='Weekly Report'!$F$4,B60&lt;='Weekly Report'!$F$5)),ROW(),"")</f>
        <v/>
      </c>
      <c r="X60" s="88" t="str">
        <f aca="false">IF(AND(E60&lt;&gt;"",M60="Yes",Q60&lt;&gt;"Decided",Q60&lt;&gt;"Withdrawn"),ROW(),"")</f>
        <v/>
      </c>
    </row>
    <row r="61" customFormat="false" ht="15" hidden="false" customHeight="false" outlineLevel="0" collapsed="false">
      <c r="A61" s="56" t="s">
        <v>1875</v>
      </c>
      <c r="B61" s="63"/>
      <c r="C61" s="61"/>
      <c r="D61" s="61"/>
      <c r="E61" s="60"/>
      <c r="F61" s="60"/>
      <c r="G61" s="60"/>
      <c r="H61" s="60"/>
      <c r="I61" s="61"/>
      <c r="J61" s="61"/>
      <c r="K61" s="61"/>
      <c r="L61" s="61"/>
      <c r="M61" s="61"/>
      <c r="N61" s="60"/>
      <c r="O61" s="61"/>
      <c r="P61" s="63"/>
      <c r="Q61" s="61"/>
      <c r="R61" s="60"/>
      <c r="S61" s="61"/>
      <c r="T61" s="61"/>
      <c r="U61" s="61"/>
      <c r="V61" s="60"/>
      <c r="W61" s="88" t="str">
        <f aca="false">IF(AND(E61&lt;&gt;"",AND(B61&lt;&gt;"",B61&gt;='Weekly Report'!$F$4,B61&lt;='Weekly Report'!$F$5)),ROW(),"")</f>
        <v/>
      </c>
      <c r="X61" s="88" t="str">
        <f aca="false">IF(AND(E61&lt;&gt;"",M61="Yes",Q61&lt;&gt;"Decided",Q61&lt;&gt;"Withdrawn"),ROW(),"")</f>
        <v/>
      </c>
    </row>
    <row r="62" customFormat="false" ht="15" hidden="false" customHeight="false" outlineLevel="0" collapsed="false">
      <c r="A62" s="56" t="s">
        <v>1876</v>
      </c>
      <c r="B62" s="63"/>
      <c r="C62" s="61"/>
      <c r="D62" s="61"/>
      <c r="E62" s="60"/>
      <c r="F62" s="60"/>
      <c r="G62" s="60"/>
      <c r="H62" s="60"/>
      <c r="I62" s="61"/>
      <c r="J62" s="61"/>
      <c r="K62" s="61"/>
      <c r="L62" s="61"/>
      <c r="M62" s="61"/>
      <c r="N62" s="60"/>
      <c r="O62" s="61"/>
      <c r="P62" s="63"/>
      <c r="Q62" s="61"/>
      <c r="R62" s="60"/>
      <c r="S62" s="61"/>
      <c r="T62" s="61"/>
      <c r="U62" s="61"/>
      <c r="V62" s="60"/>
      <c r="W62" s="88" t="str">
        <f aca="false">IF(AND(E62&lt;&gt;"",AND(B62&lt;&gt;"",B62&gt;='Weekly Report'!$F$4,B62&lt;='Weekly Report'!$F$5)),ROW(),"")</f>
        <v/>
      </c>
      <c r="X62" s="88" t="str">
        <f aca="false">IF(AND(E62&lt;&gt;"",M62="Yes",Q62&lt;&gt;"Decided",Q62&lt;&gt;"Withdrawn"),ROW(),"")</f>
        <v/>
      </c>
    </row>
    <row r="63" customFormat="false" ht="15" hidden="false" customHeight="false" outlineLevel="0" collapsed="false">
      <c r="A63" s="56" t="s">
        <v>1877</v>
      </c>
      <c r="B63" s="63"/>
      <c r="C63" s="61"/>
      <c r="D63" s="61"/>
      <c r="E63" s="60"/>
      <c r="F63" s="60"/>
      <c r="G63" s="60"/>
      <c r="H63" s="60"/>
      <c r="I63" s="61"/>
      <c r="J63" s="61"/>
      <c r="K63" s="61"/>
      <c r="L63" s="61"/>
      <c r="M63" s="61"/>
      <c r="N63" s="60"/>
      <c r="O63" s="61"/>
      <c r="P63" s="63"/>
      <c r="Q63" s="61"/>
      <c r="R63" s="60"/>
      <c r="S63" s="61"/>
      <c r="T63" s="61"/>
      <c r="U63" s="61"/>
      <c r="V63" s="60"/>
      <c r="W63" s="88" t="str">
        <f aca="false">IF(AND(E63&lt;&gt;"",AND(B63&lt;&gt;"",B63&gt;='Weekly Report'!$F$4,B63&lt;='Weekly Report'!$F$5)),ROW(),"")</f>
        <v/>
      </c>
      <c r="X63" s="88" t="str">
        <f aca="false">IF(AND(E63&lt;&gt;"",M63="Yes",Q63&lt;&gt;"Decided",Q63&lt;&gt;"Withdrawn"),ROW(),"")</f>
        <v/>
      </c>
    </row>
    <row r="64" customFormat="false" ht="15" hidden="false" customHeight="false" outlineLevel="0" collapsed="false">
      <c r="A64" s="56" t="s">
        <v>1878</v>
      </c>
      <c r="B64" s="63"/>
      <c r="C64" s="61"/>
      <c r="D64" s="61"/>
      <c r="E64" s="60"/>
      <c r="F64" s="60"/>
      <c r="G64" s="60"/>
      <c r="H64" s="60"/>
      <c r="I64" s="61"/>
      <c r="J64" s="61"/>
      <c r="K64" s="61"/>
      <c r="L64" s="61"/>
      <c r="M64" s="61"/>
      <c r="N64" s="60"/>
      <c r="O64" s="61"/>
      <c r="P64" s="63"/>
      <c r="Q64" s="61"/>
      <c r="R64" s="60"/>
      <c r="S64" s="61"/>
      <c r="T64" s="61"/>
      <c r="U64" s="61"/>
      <c r="V64" s="60"/>
      <c r="W64" s="88" t="str">
        <f aca="false">IF(AND(E64&lt;&gt;"",AND(B64&lt;&gt;"",B64&gt;='Weekly Report'!$F$4,B64&lt;='Weekly Report'!$F$5)),ROW(),"")</f>
        <v/>
      </c>
      <c r="X64" s="88" t="str">
        <f aca="false">IF(AND(E64&lt;&gt;"",M64="Yes",Q64&lt;&gt;"Decided",Q64&lt;&gt;"Withdrawn"),ROW(),"")</f>
        <v/>
      </c>
    </row>
    <row r="65" customFormat="false" ht="15" hidden="false" customHeight="false" outlineLevel="0" collapsed="false">
      <c r="A65" s="56" t="s">
        <v>1879</v>
      </c>
      <c r="B65" s="63"/>
      <c r="C65" s="61"/>
      <c r="D65" s="61"/>
      <c r="E65" s="60"/>
      <c r="F65" s="60"/>
      <c r="G65" s="60"/>
      <c r="H65" s="60"/>
      <c r="I65" s="61"/>
      <c r="J65" s="61"/>
      <c r="K65" s="61"/>
      <c r="L65" s="61"/>
      <c r="M65" s="61"/>
      <c r="N65" s="60"/>
      <c r="O65" s="61"/>
      <c r="P65" s="63"/>
      <c r="Q65" s="61"/>
      <c r="R65" s="60"/>
      <c r="S65" s="61"/>
      <c r="T65" s="61"/>
      <c r="U65" s="61"/>
      <c r="V65" s="60"/>
      <c r="W65" s="88" t="str">
        <f aca="false">IF(AND(E65&lt;&gt;"",AND(B65&lt;&gt;"",B65&gt;='Weekly Report'!$F$4,B65&lt;='Weekly Report'!$F$5)),ROW(),"")</f>
        <v/>
      </c>
      <c r="X65" s="88" t="str">
        <f aca="false">IF(AND(E65&lt;&gt;"",M65="Yes",Q65&lt;&gt;"Decided",Q65&lt;&gt;"Withdrawn"),ROW(),"")</f>
        <v/>
      </c>
    </row>
    <row r="66" customFormat="false" ht="15" hidden="false" customHeight="false" outlineLevel="0" collapsed="false">
      <c r="A66" s="56" t="s">
        <v>1880</v>
      </c>
      <c r="B66" s="63"/>
      <c r="C66" s="61"/>
      <c r="D66" s="61"/>
      <c r="E66" s="60"/>
      <c r="F66" s="60"/>
      <c r="G66" s="60"/>
      <c r="H66" s="60"/>
      <c r="I66" s="61"/>
      <c r="J66" s="61"/>
      <c r="K66" s="61"/>
      <c r="L66" s="61"/>
      <c r="M66" s="61"/>
      <c r="N66" s="60"/>
      <c r="O66" s="61"/>
      <c r="P66" s="63"/>
      <c r="Q66" s="61"/>
      <c r="R66" s="60"/>
      <c r="S66" s="61"/>
      <c r="T66" s="61"/>
      <c r="U66" s="61"/>
      <c r="V66" s="60"/>
      <c r="W66" s="88" t="str">
        <f aca="false">IF(AND(E66&lt;&gt;"",AND(B66&lt;&gt;"",B66&gt;='Weekly Report'!$F$4,B66&lt;='Weekly Report'!$F$5)),ROW(),"")</f>
        <v/>
      </c>
      <c r="X66" s="88" t="str">
        <f aca="false">IF(AND(E66&lt;&gt;"",M66="Yes",Q66&lt;&gt;"Decided",Q66&lt;&gt;"Withdrawn"),ROW(),"")</f>
        <v/>
      </c>
    </row>
    <row r="67" customFormat="false" ht="15" hidden="false" customHeight="false" outlineLevel="0" collapsed="false">
      <c r="A67" s="56" t="s">
        <v>1881</v>
      </c>
      <c r="B67" s="63"/>
      <c r="C67" s="61"/>
      <c r="D67" s="61"/>
      <c r="E67" s="60"/>
      <c r="F67" s="60"/>
      <c r="G67" s="60"/>
      <c r="H67" s="60"/>
      <c r="I67" s="61"/>
      <c r="J67" s="61"/>
      <c r="K67" s="61"/>
      <c r="L67" s="61"/>
      <c r="M67" s="61"/>
      <c r="N67" s="60"/>
      <c r="O67" s="61"/>
      <c r="P67" s="63"/>
      <c r="Q67" s="61"/>
      <c r="R67" s="60"/>
      <c r="S67" s="61"/>
      <c r="T67" s="61"/>
      <c r="U67" s="61"/>
      <c r="V67" s="60"/>
      <c r="W67" s="88" t="str">
        <f aca="false">IF(AND(E67&lt;&gt;"",AND(B67&lt;&gt;"",B67&gt;='Weekly Report'!$F$4,B67&lt;='Weekly Report'!$F$5)),ROW(),"")</f>
        <v/>
      </c>
      <c r="X67" s="88" t="str">
        <f aca="false">IF(AND(E67&lt;&gt;"",M67="Yes",Q67&lt;&gt;"Decided",Q67&lt;&gt;"Withdrawn"),ROW(),"")</f>
        <v/>
      </c>
    </row>
    <row r="68" customFormat="false" ht="15" hidden="false" customHeight="false" outlineLevel="0" collapsed="false">
      <c r="A68" s="56" t="s">
        <v>1882</v>
      </c>
      <c r="B68" s="63"/>
      <c r="C68" s="61"/>
      <c r="D68" s="61"/>
      <c r="E68" s="60"/>
      <c r="F68" s="60"/>
      <c r="G68" s="60"/>
      <c r="H68" s="60"/>
      <c r="I68" s="61"/>
      <c r="J68" s="61"/>
      <c r="K68" s="61"/>
      <c r="L68" s="61"/>
      <c r="M68" s="61"/>
      <c r="N68" s="60"/>
      <c r="O68" s="61"/>
      <c r="P68" s="63"/>
      <c r="Q68" s="61"/>
      <c r="R68" s="60"/>
      <c r="S68" s="61"/>
      <c r="T68" s="61"/>
      <c r="U68" s="61"/>
      <c r="V68" s="60"/>
      <c r="W68" s="88" t="str">
        <f aca="false">IF(AND(E68&lt;&gt;"",AND(B68&lt;&gt;"",B68&gt;='Weekly Report'!$F$4,B68&lt;='Weekly Report'!$F$5)),ROW(),"")</f>
        <v/>
      </c>
      <c r="X68" s="88" t="str">
        <f aca="false">IF(AND(E68&lt;&gt;"",M68="Yes",Q68&lt;&gt;"Decided",Q68&lt;&gt;"Withdrawn"),ROW(),"")</f>
        <v/>
      </c>
    </row>
    <row r="69" customFormat="false" ht="15" hidden="false" customHeight="false" outlineLevel="0" collapsed="false">
      <c r="A69" s="56" t="s">
        <v>1883</v>
      </c>
      <c r="B69" s="63"/>
      <c r="C69" s="61"/>
      <c r="D69" s="61"/>
      <c r="E69" s="60"/>
      <c r="F69" s="60"/>
      <c r="G69" s="60"/>
      <c r="H69" s="60"/>
      <c r="I69" s="61"/>
      <c r="J69" s="61"/>
      <c r="K69" s="61"/>
      <c r="L69" s="61"/>
      <c r="M69" s="61"/>
      <c r="N69" s="60"/>
      <c r="O69" s="61"/>
      <c r="P69" s="63"/>
      <c r="Q69" s="61"/>
      <c r="R69" s="60"/>
      <c r="S69" s="61"/>
      <c r="T69" s="61"/>
      <c r="U69" s="61"/>
      <c r="V69" s="60"/>
      <c r="W69" s="88" t="str">
        <f aca="false">IF(AND(E69&lt;&gt;"",AND(B69&lt;&gt;"",B69&gt;='Weekly Report'!$F$4,B69&lt;='Weekly Report'!$F$5)),ROW(),"")</f>
        <v/>
      </c>
      <c r="X69" s="88" t="str">
        <f aca="false">IF(AND(E69&lt;&gt;"",M69="Yes",Q69&lt;&gt;"Decided",Q69&lt;&gt;"Withdrawn"),ROW(),"")</f>
        <v/>
      </c>
    </row>
    <row r="70" customFormat="false" ht="15" hidden="false" customHeight="false" outlineLevel="0" collapsed="false">
      <c r="A70" s="56" t="s">
        <v>1884</v>
      </c>
      <c r="B70" s="63"/>
      <c r="C70" s="61"/>
      <c r="D70" s="61"/>
      <c r="E70" s="60"/>
      <c r="F70" s="60"/>
      <c r="G70" s="60"/>
      <c r="H70" s="60"/>
      <c r="I70" s="61"/>
      <c r="J70" s="61"/>
      <c r="K70" s="61"/>
      <c r="L70" s="61"/>
      <c r="M70" s="61"/>
      <c r="N70" s="60"/>
      <c r="O70" s="61"/>
      <c r="P70" s="63"/>
      <c r="Q70" s="61"/>
      <c r="R70" s="60"/>
      <c r="S70" s="61"/>
      <c r="T70" s="61"/>
      <c r="U70" s="61"/>
      <c r="V70" s="60"/>
      <c r="W70" s="88" t="str">
        <f aca="false">IF(AND(E70&lt;&gt;"",AND(B70&lt;&gt;"",B70&gt;='Weekly Report'!$F$4,B70&lt;='Weekly Report'!$F$5)),ROW(),"")</f>
        <v/>
      </c>
      <c r="X70" s="88" t="str">
        <f aca="false">IF(AND(E70&lt;&gt;"",M70="Yes",Q70&lt;&gt;"Decided",Q70&lt;&gt;"Withdrawn"),ROW(),"")</f>
        <v/>
      </c>
    </row>
    <row r="71" customFormat="false" ht="15" hidden="false" customHeight="false" outlineLevel="0" collapsed="false">
      <c r="A71" s="56" t="s">
        <v>1885</v>
      </c>
      <c r="B71" s="63"/>
      <c r="C71" s="61"/>
      <c r="D71" s="61"/>
      <c r="E71" s="60"/>
      <c r="F71" s="60"/>
      <c r="G71" s="60"/>
      <c r="H71" s="60"/>
      <c r="I71" s="61"/>
      <c r="J71" s="61"/>
      <c r="K71" s="61"/>
      <c r="L71" s="61"/>
      <c r="M71" s="61"/>
      <c r="N71" s="60"/>
      <c r="O71" s="61"/>
      <c r="P71" s="63"/>
      <c r="Q71" s="61"/>
      <c r="R71" s="60"/>
      <c r="S71" s="61"/>
      <c r="T71" s="61"/>
      <c r="U71" s="61"/>
      <c r="V71" s="60"/>
      <c r="W71" s="88" t="str">
        <f aca="false">IF(AND(E71&lt;&gt;"",AND(B71&lt;&gt;"",B71&gt;='Weekly Report'!$F$4,B71&lt;='Weekly Report'!$F$5)),ROW(),"")</f>
        <v/>
      </c>
      <c r="X71" s="88" t="str">
        <f aca="false">IF(AND(E71&lt;&gt;"",M71="Yes",Q71&lt;&gt;"Decided",Q71&lt;&gt;"Withdrawn"),ROW(),"")</f>
        <v/>
      </c>
    </row>
    <row r="72" customFormat="false" ht="15" hidden="false" customHeight="false" outlineLevel="0" collapsed="false">
      <c r="A72" s="56" t="s">
        <v>1886</v>
      </c>
      <c r="B72" s="63"/>
      <c r="C72" s="61"/>
      <c r="D72" s="61"/>
      <c r="E72" s="60"/>
      <c r="F72" s="60"/>
      <c r="G72" s="60"/>
      <c r="H72" s="60"/>
      <c r="I72" s="61"/>
      <c r="J72" s="61"/>
      <c r="K72" s="61"/>
      <c r="L72" s="61"/>
      <c r="M72" s="61"/>
      <c r="N72" s="60"/>
      <c r="O72" s="61"/>
      <c r="P72" s="63"/>
      <c r="Q72" s="61"/>
      <c r="R72" s="60"/>
      <c r="S72" s="61"/>
      <c r="T72" s="61"/>
      <c r="U72" s="61"/>
      <c r="V72" s="60"/>
      <c r="W72" s="88" t="str">
        <f aca="false">IF(AND(E72&lt;&gt;"",AND(B72&lt;&gt;"",B72&gt;='Weekly Report'!$F$4,B72&lt;='Weekly Report'!$F$5)),ROW(),"")</f>
        <v/>
      </c>
      <c r="X72" s="88" t="str">
        <f aca="false">IF(AND(E72&lt;&gt;"",M72="Yes",Q72&lt;&gt;"Decided",Q72&lt;&gt;"Withdrawn"),ROW(),"")</f>
        <v/>
      </c>
    </row>
    <row r="73" customFormat="false" ht="15" hidden="false" customHeight="false" outlineLevel="0" collapsed="false">
      <c r="A73" s="56" t="s">
        <v>1887</v>
      </c>
      <c r="B73" s="63"/>
      <c r="C73" s="61"/>
      <c r="D73" s="61"/>
      <c r="E73" s="60"/>
      <c r="F73" s="60"/>
      <c r="G73" s="60"/>
      <c r="H73" s="60"/>
      <c r="I73" s="61"/>
      <c r="J73" s="61"/>
      <c r="K73" s="61"/>
      <c r="L73" s="61"/>
      <c r="M73" s="61"/>
      <c r="N73" s="60"/>
      <c r="O73" s="61"/>
      <c r="P73" s="63"/>
      <c r="Q73" s="61"/>
      <c r="R73" s="60"/>
      <c r="S73" s="61"/>
      <c r="T73" s="61"/>
      <c r="U73" s="61"/>
      <c r="V73" s="60"/>
      <c r="W73" s="88" t="str">
        <f aca="false">IF(AND(E73&lt;&gt;"",AND(B73&lt;&gt;"",B73&gt;='Weekly Report'!$F$4,B73&lt;='Weekly Report'!$F$5)),ROW(),"")</f>
        <v/>
      </c>
      <c r="X73" s="88" t="str">
        <f aca="false">IF(AND(E73&lt;&gt;"",M73="Yes",Q73&lt;&gt;"Decided",Q73&lt;&gt;"Withdrawn"),ROW(),"")</f>
        <v/>
      </c>
    </row>
    <row r="74" customFormat="false" ht="15" hidden="false" customHeight="false" outlineLevel="0" collapsed="false">
      <c r="A74" s="56" t="s">
        <v>1888</v>
      </c>
      <c r="B74" s="63"/>
      <c r="C74" s="61"/>
      <c r="D74" s="61"/>
      <c r="E74" s="60"/>
      <c r="F74" s="60"/>
      <c r="G74" s="60"/>
      <c r="H74" s="60"/>
      <c r="I74" s="61"/>
      <c r="J74" s="61"/>
      <c r="K74" s="61"/>
      <c r="L74" s="61"/>
      <c r="M74" s="61"/>
      <c r="N74" s="60"/>
      <c r="O74" s="61"/>
      <c r="P74" s="63"/>
      <c r="Q74" s="61"/>
      <c r="R74" s="60"/>
      <c r="S74" s="61"/>
      <c r="T74" s="61"/>
      <c r="U74" s="61"/>
      <c r="V74" s="60"/>
      <c r="W74" s="88" t="str">
        <f aca="false">IF(AND(E74&lt;&gt;"",AND(B74&lt;&gt;"",B74&gt;='Weekly Report'!$F$4,B74&lt;='Weekly Report'!$F$5)),ROW(),"")</f>
        <v/>
      </c>
      <c r="X74" s="88" t="str">
        <f aca="false">IF(AND(E74&lt;&gt;"",M74="Yes",Q74&lt;&gt;"Decided",Q74&lt;&gt;"Withdrawn"),ROW(),"")</f>
        <v/>
      </c>
    </row>
    <row r="75" customFormat="false" ht="15" hidden="false" customHeight="false" outlineLevel="0" collapsed="false">
      <c r="A75" s="56" t="s">
        <v>1889</v>
      </c>
      <c r="B75" s="63"/>
      <c r="C75" s="61"/>
      <c r="D75" s="61"/>
      <c r="E75" s="60"/>
      <c r="F75" s="60"/>
      <c r="G75" s="60"/>
      <c r="H75" s="60"/>
      <c r="I75" s="61"/>
      <c r="J75" s="61"/>
      <c r="K75" s="61"/>
      <c r="L75" s="61"/>
      <c r="M75" s="61"/>
      <c r="N75" s="60"/>
      <c r="O75" s="61"/>
      <c r="P75" s="63"/>
      <c r="Q75" s="61"/>
      <c r="R75" s="60"/>
      <c r="S75" s="61"/>
      <c r="T75" s="61"/>
      <c r="U75" s="61"/>
      <c r="V75" s="60"/>
      <c r="W75" s="88" t="str">
        <f aca="false">IF(AND(E75&lt;&gt;"",AND(B75&lt;&gt;"",B75&gt;='Weekly Report'!$F$4,B75&lt;='Weekly Report'!$F$5)),ROW(),"")</f>
        <v/>
      </c>
      <c r="X75" s="88" t="str">
        <f aca="false">IF(AND(E75&lt;&gt;"",M75="Yes",Q75&lt;&gt;"Decided",Q75&lt;&gt;"Withdrawn"),ROW(),"")</f>
        <v/>
      </c>
    </row>
    <row r="76" customFormat="false" ht="15" hidden="false" customHeight="false" outlineLevel="0" collapsed="false">
      <c r="A76" s="56" t="s">
        <v>1890</v>
      </c>
      <c r="B76" s="63"/>
      <c r="C76" s="61"/>
      <c r="D76" s="61"/>
      <c r="E76" s="60"/>
      <c r="F76" s="60"/>
      <c r="G76" s="60"/>
      <c r="H76" s="60"/>
      <c r="I76" s="61"/>
      <c r="J76" s="61"/>
      <c r="K76" s="61"/>
      <c r="L76" s="61"/>
      <c r="M76" s="61"/>
      <c r="N76" s="60"/>
      <c r="O76" s="61"/>
      <c r="P76" s="63"/>
      <c r="Q76" s="61"/>
      <c r="R76" s="60"/>
      <c r="S76" s="61"/>
      <c r="T76" s="61"/>
      <c r="U76" s="61"/>
      <c r="V76" s="60"/>
      <c r="W76" s="88" t="str">
        <f aca="false">IF(AND(E76&lt;&gt;"",AND(B76&lt;&gt;"",B76&gt;='Weekly Report'!$F$4,B76&lt;='Weekly Report'!$F$5)),ROW(),"")</f>
        <v/>
      </c>
      <c r="X76" s="88" t="str">
        <f aca="false">IF(AND(E76&lt;&gt;"",M76="Yes",Q76&lt;&gt;"Decided",Q76&lt;&gt;"Withdrawn"),ROW(),"")</f>
        <v/>
      </c>
    </row>
    <row r="77" customFormat="false" ht="15" hidden="false" customHeight="false" outlineLevel="0" collapsed="false">
      <c r="A77" s="56" t="s">
        <v>1891</v>
      </c>
      <c r="B77" s="63"/>
      <c r="C77" s="61"/>
      <c r="D77" s="61"/>
      <c r="E77" s="60"/>
      <c r="F77" s="60"/>
      <c r="G77" s="60"/>
      <c r="H77" s="60"/>
      <c r="I77" s="61"/>
      <c r="J77" s="61"/>
      <c r="K77" s="61"/>
      <c r="L77" s="61"/>
      <c r="M77" s="61"/>
      <c r="N77" s="60"/>
      <c r="O77" s="61"/>
      <c r="P77" s="63"/>
      <c r="Q77" s="61"/>
      <c r="R77" s="60"/>
      <c r="S77" s="61"/>
      <c r="T77" s="61"/>
      <c r="U77" s="61"/>
      <c r="V77" s="60"/>
      <c r="W77" s="88" t="str">
        <f aca="false">IF(AND(E77&lt;&gt;"",AND(B77&lt;&gt;"",B77&gt;='Weekly Report'!$F$4,B77&lt;='Weekly Report'!$F$5)),ROW(),"")</f>
        <v/>
      </c>
      <c r="X77" s="88" t="str">
        <f aca="false">IF(AND(E77&lt;&gt;"",M77="Yes",Q77&lt;&gt;"Decided",Q77&lt;&gt;"Withdrawn"),ROW(),"")</f>
        <v/>
      </c>
    </row>
    <row r="78" customFormat="false" ht="15" hidden="false" customHeight="false" outlineLevel="0" collapsed="false">
      <c r="A78" s="56" t="s">
        <v>1892</v>
      </c>
      <c r="B78" s="63"/>
      <c r="C78" s="61"/>
      <c r="D78" s="61"/>
      <c r="E78" s="60"/>
      <c r="F78" s="60"/>
      <c r="G78" s="60"/>
      <c r="H78" s="60"/>
      <c r="I78" s="61"/>
      <c r="J78" s="61"/>
      <c r="K78" s="61"/>
      <c r="L78" s="61"/>
      <c r="M78" s="61"/>
      <c r="N78" s="60"/>
      <c r="O78" s="61"/>
      <c r="P78" s="63"/>
      <c r="Q78" s="61"/>
      <c r="R78" s="60"/>
      <c r="S78" s="61"/>
      <c r="T78" s="61"/>
      <c r="U78" s="61"/>
      <c r="V78" s="60"/>
      <c r="W78" s="88" t="str">
        <f aca="false">IF(AND(E78&lt;&gt;"",AND(B78&lt;&gt;"",B78&gt;='Weekly Report'!$F$4,B78&lt;='Weekly Report'!$F$5)),ROW(),"")</f>
        <v/>
      </c>
      <c r="X78" s="88" t="str">
        <f aca="false">IF(AND(E78&lt;&gt;"",M78="Yes",Q78&lt;&gt;"Decided",Q78&lt;&gt;"Withdrawn"),ROW(),"")</f>
        <v/>
      </c>
    </row>
    <row r="79" customFormat="false" ht="15" hidden="false" customHeight="false" outlineLevel="0" collapsed="false">
      <c r="A79" s="56" t="s">
        <v>1893</v>
      </c>
      <c r="B79" s="63"/>
      <c r="C79" s="61"/>
      <c r="D79" s="61"/>
      <c r="E79" s="60"/>
      <c r="F79" s="60"/>
      <c r="G79" s="60"/>
      <c r="H79" s="60"/>
      <c r="I79" s="61"/>
      <c r="J79" s="61"/>
      <c r="K79" s="61"/>
      <c r="L79" s="61"/>
      <c r="M79" s="61"/>
      <c r="N79" s="60"/>
      <c r="O79" s="61"/>
      <c r="P79" s="63"/>
      <c r="Q79" s="61"/>
      <c r="R79" s="60"/>
      <c r="S79" s="61"/>
      <c r="T79" s="61"/>
      <c r="U79" s="61"/>
      <c r="V79" s="60"/>
      <c r="W79" s="88" t="str">
        <f aca="false">IF(AND(E79&lt;&gt;"",AND(B79&lt;&gt;"",B79&gt;='Weekly Report'!$F$4,B79&lt;='Weekly Report'!$F$5)),ROW(),"")</f>
        <v/>
      </c>
      <c r="X79" s="88" t="str">
        <f aca="false">IF(AND(E79&lt;&gt;"",M79="Yes",Q79&lt;&gt;"Decided",Q79&lt;&gt;"Withdrawn"),ROW(),"")</f>
        <v/>
      </c>
    </row>
    <row r="80" customFormat="false" ht="15" hidden="false" customHeight="false" outlineLevel="0" collapsed="false">
      <c r="A80" s="56" t="s">
        <v>1894</v>
      </c>
      <c r="B80" s="63"/>
      <c r="C80" s="61"/>
      <c r="D80" s="61"/>
      <c r="E80" s="60"/>
      <c r="F80" s="60"/>
      <c r="G80" s="60"/>
      <c r="H80" s="60"/>
      <c r="I80" s="61"/>
      <c r="J80" s="61"/>
      <c r="K80" s="61"/>
      <c r="L80" s="61"/>
      <c r="M80" s="61"/>
      <c r="N80" s="60"/>
      <c r="O80" s="61"/>
      <c r="P80" s="63"/>
      <c r="Q80" s="61"/>
      <c r="R80" s="60"/>
      <c r="S80" s="61"/>
      <c r="T80" s="61"/>
      <c r="U80" s="61"/>
      <c r="V80" s="60"/>
      <c r="W80" s="88" t="str">
        <f aca="false">IF(AND(E80&lt;&gt;"",AND(B80&lt;&gt;"",B80&gt;='Weekly Report'!$F$4,B80&lt;='Weekly Report'!$F$5)),ROW(),"")</f>
        <v/>
      </c>
      <c r="X80" s="88" t="str">
        <f aca="false">IF(AND(E80&lt;&gt;"",M80="Yes",Q80&lt;&gt;"Decided",Q80&lt;&gt;"Withdrawn"),ROW(),"")</f>
        <v/>
      </c>
    </row>
    <row r="81" customFormat="false" ht="15" hidden="false" customHeight="false" outlineLevel="0" collapsed="false">
      <c r="A81" s="56" t="s">
        <v>1895</v>
      </c>
      <c r="B81" s="63"/>
      <c r="C81" s="61"/>
      <c r="D81" s="61"/>
      <c r="E81" s="60"/>
      <c r="F81" s="60"/>
      <c r="G81" s="60"/>
      <c r="H81" s="60"/>
      <c r="I81" s="61"/>
      <c r="J81" s="61"/>
      <c r="K81" s="61"/>
      <c r="L81" s="61"/>
      <c r="M81" s="61"/>
      <c r="N81" s="60"/>
      <c r="O81" s="61"/>
      <c r="P81" s="63"/>
      <c r="Q81" s="61"/>
      <c r="R81" s="60"/>
      <c r="S81" s="61"/>
      <c r="T81" s="61"/>
      <c r="U81" s="61"/>
      <c r="V81" s="60"/>
      <c r="W81" s="88" t="str">
        <f aca="false">IF(AND(E81&lt;&gt;"",AND(B81&lt;&gt;"",B81&gt;='Weekly Report'!$F$4,B81&lt;='Weekly Report'!$F$5)),ROW(),"")</f>
        <v/>
      </c>
      <c r="X81" s="88" t="str">
        <f aca="false">IF(AND(E81&lt;&gt;"",M81="Yes",Q81&lt;&gt;"Decided",Q81&lt;&gt;"Withdrawn"),ROW(),"")</f>
        <v/>
      </c>
    </row>
    <row r="82" customFormat="false" ht="15" hidden="false" customHeight="false" outlineLevel="0" collapsed="false">
      <c r="A82" s="56" t="s">
        <v>1896</v>
      </c>
      <c r="B82" s="63"/>
      <c r="C82" s="61"/>
      <c r="D82" s="61"/>
      <c r="E82" s="60"/>
      <c r="F82" s="60"/>
      <c r="G82" s="60"/>
      <c r="H82" s="60"/>
      <c r="I82" s="61"/>
      <c r="J82" s="61"/>
      <c r="K82" s="61"/>
      <c r="L82" s="61"/>
      <c r="M82" s="61"/>
      <c r="N82" s="60"/>
      <c r="O82" s="61"/>
      <c r="P82" s="63"/>
      <c r="Q82" s="61"/>
      <c r="R82" s="60"/>
      <c r="S82" s="61"/>
      <c r="T82" s="61"/>
      <c r="U82" s="61"/>
      <c r="V82" s="60"/>
      <c r="W82" s="88" t="str">
        <f aca="false">IF(AND(E82&lt;&gt;"",AND(B82&lt;&gt;"",B82&gt;='Weekly Report'!$F$4,B82&lt;='Weekly Report'!$F$5)),ROW(),"")</f>
        <v/>
      </c>
      <c r="X82" s="88" t="str">
        <f aca="false">IF(AND(E82&lt;&gt;"",M82="Yes",Q82&lt;&gt;"Decided",Q82&lt;&gt;"Withdrawn"),ROW(),"")</f>
        <v/>
      </c>
    </row>
    <row r="83" customFormat="false" ht="15" hidden="false" customHeight="false" outlineLevel="0" collapsed="false">
      <c r="A83" s="56" t="s">
        <v>1897</v>
      </c>
      <c r="B83" s="63"/>
      <c r="C83" s="61"/>
      <c r="D83" s="61"/>
      <c r="E83" s="60"/>
      <c r="F83" s="60"/>
      <c r="G83" s="60"/>
      <c r="H83" s="60"/>
      <c r="I83" s="61"/>
      <c r="J83" s="61"/>
      <c r="K83" s="61"/>
      <c r="L83" s="61"/>
      <c r="M83" s="61"/>
      <c r="N83" s="60"/>
      <c r="O83" s="61"/>
      <c r="P83" s="63"/>
      <c r="Q83" s="61"/>
      <c r="R83" s="60"/>
      <c r="S83" s="61"/>
      <c r="T83" s="61"/>
      <c r="U83" s="61"/>
      <c r="V83" s="60"/>
      <c r="W83" s="88" t="str">
        <f aca="false">IF(AND(E83&lt;&gt;"",AND(B83&lt;&gt;"",B83&gt;='Weekly Report'!$F$4,B83&lt;='Weekly Report'!$F$5)),ROW(),"")</f>
        <v/>
      </c>
      <c r="X83" s="88" t="str">
        <f aca="false">IF(AND(E83&lt;&gt;"",M83="Yes",Q83&lt;&gt;"Decided",Q83&lt;&gt;"Withdrawn"),ROW(),"")</f>
        <v/>
      </c>
    </row>
    <row r="84" customFormat="false" ht="15" hidden="false" customHeight="false" outlineLevel="0" collapsed="false">
      <c r="A84" s="56" t="s">
        <v>1898</v>
      </c>
      <c r="B84" s="63"/>
      <c r="C84" s="61"/>
      <c r="D84" s="61"/>
      <c r="E84" s="60"/>
      <c r="F84" s="60"/>
      <c r="G84" s="60"/>
      <c r="H84" s="60"/>
      <c r="I84" s="61"/>
      <c r="J84" s="61"/>
      <c r="K84" s="61"/>
      <c r="L84" s="61"/>
      <c r="M84" s="61"/>
      <c r="N84" s="60"/>
      <c r="O84" s="61"/>
      <c r="P84" s="63"/>
      <c r="Q84" s="61"/>
      <c r="R84" s="60"/>
      <c r="S84" s="61"/>
      <c r="T84" s="61"/>
      <c r="U84" s="61"/>
      <c r="V84" s="60"/>
      <c r="W84" s="88" t="str">
        <f aca="false">IF(AND(E84&lt;&gt;"",AND(B84&lt;&gt;"",B84&gt;='Weekly Report'!$F$4,B84&lt;='Weekly Report'!$F$5)),ROW(),"")</f>
        <v/>
      </c>
      <c r="X84" s="88" t="str">
        <f aca="false">IF(AND(E84&lt;&gt;"",M84="Yes",Q84&lt;&gt;"Decided",Q84&lt;&gt;"Withdrawn"),ROW(),"")</f>
        <v/>
      </c>
    </row>
    <row r="85" customFormat="false" ht="15" hidden="false" customHeight="false" outlineLevel="0" collapsed="false">
      <c r="A85" s="56" t="s">
        <v>1899</v>
      </c>
      <c r="B85" s="63"/>
      <c r="C85" s="61"/>
      <c r="D85" s="61"/>
      <c r="E85" s="60"/>
      <c r="F85" s="60"/>
      <c r="G85" s="60"/>
      <c r="H85" s="60"/>
      <c r="I85" s="61"/>
      <c r="J85" s="61"/>
      <c r="K85" s="61"/>
      <c r="L85" s="61"/>
      <c r="M85" s="61"/>
      <c r="N85" s="60"/>
      <c r="O85" s="61"/>
      <c r="P85" s="63"/>
      <c r="Q85" s="61"/>
      <c r="R85" s="60"/>
      <c r="S85" s="61"/>
      <c r="T85" s="61"/>
      <c r="U85" s="61"/>
      <c r="V85" s="60"/>
      <c r="W85" s="88" t="str">
        <f aca="false">IF(AND(E85&lt;&gt;"",AND(B85&lt;&gt;"",B85&gt;='Weekly Report'!$F$4,B85&lt;='Weekly Report'!$F$5)),ROW(),"")</f>
        <v/>
      </c>
      <c r="X85" s="88" t="str">
        <f aca="false">IF(AND(E85&lt;&gt;"",M85="Yes",Q85&lt;&gt;"Decided",Q85&lt;&gt;"Withdrawn"),ROW(),"")</f>
        <v/>
      </c>
    </row>
    <row r="86" customFormat="false" ht="15" hidden="false" customHeight="false" outlineLevel="0" collapsed="false">
      <c r="A86" s="56" t="s">
        <v>1900</v>
      </c>
      <c r="B86" s="63"/>
      <c r="C86" s="61"/>
      <c r="D86" s="61"/>
      <c r="E86" s="60"/>
      <c r="F86" s="60"/>
      <c r="G86" s="60"/>
      <c r="H86" s="60"/>
      <c r="I86" s="61"/>
      <c r="J86" s="61"/>
      <c r="K86" s="61"/>
      <c r="L86" s="61"/>
      <c r="M86" s="61"/>
      <c r="N86" s="60"/>
      <c r="O86" s="61"/>
      <c r="P86" s="63"/>
      <c r="Q86" s="61"/>
      <c r="R86" s="60"/>
      <c r="S86" s="61"/>
      <c r="T86" s="61"/>
      <c r="U86" s="61"/>
      <c r="V86" s="60"/>
      <c r="W86" s="88" t="str">
        <f aca="false">IF(AND(E86&lt;&gt;"",AND(B86&lt;&gt;"",B86&gt;='Weekly Report'!$F$4,B86&lt;='Weekly Report'!$F$5)),ROW(),"")</f>
        <v/>
      </c>
      <c r="X86" s="88" t="str">
        <f aca="false">IF(AND(E86&lt;&gt;"",M86="Yes",Q86&lt;&gt;"Decided",Q86&lt;&gt;"Withdrawn"),ROW(),"")</f>
        <v/>
      </c>
    </row>
    <row r="87" customFormat="false" ht="15" hidden="false" customHeight="false" outlineLevel="0" collapsed="false">
      <c r="A87" s="56" t="s">
        <v>1901</v>
      </c>
      <c r="B87" s="63"/>
      <c r="C87" s="61"/>
      <c r="D87" s="61"/>
      <c r="E87" s="60"/>
      <c r="F87" s="60"/>
      <c r="G87" s="60"/>
      <c r="H87" s="60"/>
      <c r="I87" s="61"/>
      <c r="J87" s="61"/>
      <c r="K87" s="61"/>
      <c r="L87" s="61"/>
      <c r="M87" s="61"/>
      <c r="N87" s="60"/>
      <c r="O87" s="61"/>
      <c r="P87" s="63"/>
      <c r="Q87" s="61"/>
      <c r="R87" s="60"/>
      <c r="S87" s="61"/>
      <c r="T87" s="61"/>
      <c r="U87" s="61"/>
      <c r="V87" s="60"/>
      <c r="W87" s="88" t="str">
        <f aca="false">IF(AND(E87&lt;&gt;"",AND(B87&lt;&gt;"",B87&gt;='Weekly Report'!$F$4,B87&lt;='Weekly Report'!$F$5)),ROW(),"")</f>
        <v/>
      </c>
      <c r="X87" s="88" t="str">
        <f aca="false">IF(AND(E87&lt;&gt;"",M87="Yes",Q87&lt;&gt;"Decided",Q87&lt;&gt;"Withdrawn"),ROW(),"")</f>
        <v/>
      </c>
    </row>
    <row r="88" customFormat="false" ht="15" hidden="false" customHeight="false" outlineLevel="0" collapsed="false">
      <c r="A88" s="56" t="s">
        <v>1902</v>
      </c>
      <c r="B88" s="63"/>
      <c r="C88" s="61"/>
      <c r="D88" s="61"/>
      <c r="E88" s="60"/>
      <c r="F88" s="60"/>
      <c r="G88" s="60"/>
      <c r="H88" s="60"/>
      <c r="I88" s="61"/>
      <c r="J88" s="61"/>
      <c r="K88" s="61"/>
      <c r="L88" s="61"/>
      <c r="M88" s="61"/>
      <c r="N88" s="60"/>
      <c r="O88" s="61"/>
      <c r="P88" s="63"/>
      <c r="Q88" s="61"/>
      <c r="R88" s="60"/>
      <c r="S88" s="61"/>
      <c r="T88" s="61"/>
      <c r="U88" s="61"/>
      <c r="V88" s="60"/>
      <c r="W88" s="88" t="str">
        <f aca="false">IF(AND(E88&lt;&gt;"",AND(B88&lt;&gt;"",B88&gt;='Weekly Report'!$F$4,B88&lt;='Weekly Report'!$F$5)),ROW(),"")</f>
        <v/>
      </c>
      <c r="X88" s="88" t="str">
        <f aca="false">IF(AND(E88&lt;&gt;"",M88="Yes",Q88&lt;&gt;"Decided",Q88&lt;&gt;"Withdrawn"),ROW(),"")</f>
        <v/>
      </c>
    </row>
    <row r="89" customFormat="false" ht="15" hidden="false" customHeight="false" outlineLevel="0" collapsed="false">
      <c r="A89" s="56" t="s">
        <v>1903</v>
      </c>
      <c r="B89" s="63"/>
      <c r="C89" s="61"/>
      <c r="D89" s="61"/>
      <c r="E89" s="60"/>
      <c r="F89" s="60"/>
      <c r="G89" s="60"/>
      <c r="H89" s="60"/>
      <c r="I89" s="61"/>
      <c r="J89" s="61"/>
      <c r="K89" s="61"/>
      <c r="L89" s="61"/>
      <c r="M89" s="61"/>
      <c r="N89" s="60"/>
      <c r="O89" s="61"/>
      <c r="P89" s="63"/>
      <c r="Q89" s="61"/>
      <c r="R89" s="60"/>
      <c r="S89" s="61"/>
      <c r="T89" s="61"/>
      <c r="U89" s="61"/>
      <c r="V89" s="60"/>
      <c r="W89" s="88" t="str">
        <f aca="false">IF(AND(E89&lt;&gt;"",AND(B89&lt;&gt;"",B89&gt;='Weekly Report'!$F$4,B89&lt;='Weekly Report'!$F$5)),ROW(),"")</f>
        <v/>
      </c>
      <c r="X89" s="88" t="str">
        <f aca="false">IF(AND(E89&lt;&gt;"",M89="Yes",Q89&lt;&gt;"Decided",Q89&lt;&gt;"Withdrawn"),ROW(),"")</f>
        <v/>
      </c>
    </row>
    <row r="90" customFormat="false" ht="15" hidden="false" customHeight="false" outlineLevel="0" collapsed="false">
      <c r="A90" s="56" t="s">
        <v>1904</v>
      </c>
      <c r="B90" s="63"/>
      <c r="C90" s="61"/>
      <c r="D90" s="61"/>
      <c r="E90" s="60"/>
      <c r="F90" s="60"/>
      <c r="G90" s="60"/>
      <c r="H90" s="60"/>
      <c r="I90" s="61"/>
      <c r="J90" s="61"/>
      <c r="K90" s="61"/>
      <c r="L90" s="61"/>
      <c r="M90" s="61"/>
      <c r="N90" s="60"/>
      <c r="O90" s="61"/>
      <c r="P90" s="63"/>
      <c r="Q90" s="61"/>
      <c r="R90" s="60"/>
      <c r="S90" s="61"/>
      <c r="T90" s="61"/>
      <c r="U90" s="61"/>
      <c r="V90" s="60"/>
      <c r="W90" s="88" t="str">
        <f aca="false">IF(AND(E90&lt;&gt;"",AND(B90&lt;&gt;"",B90&gt;='Weekly Report'!$F$4,B90&lt;='Weekly Report'!$F$5)),ROW(),"")</f>
        <v/>
      </c>
      <c r="X90" s="88" t="str">
        <f aca="false">IF(AND(E90&lt;&gt;"",M90="Yes",Q90&lt;&gt;"Decided",Q90&lt;&gt;"Withdrawn"),ROW(),"")</f>
        <v/>
      </c>
    </row>
    <row r="91" customFormat="false" ht="15" hidden="false" customHeight="false" outlineLevel="0" collapsed="false">
      <c r="A91" s="56" t="s">
        <v>1905</v>
      </c>
      <c r="B91" s="63"/>
      <c r="C91" s="61"/>
      <c r="D91" s="61"/>
      <c r="E91" s="60"/>
      <c r="F91" s="60"/>
      <c r="G91" s="60"/>
      <c r="H91" s="60"/>
      <c r="I91" s="61"/>
      <c r="J91" s="61"/>
      <c r="K91" s="61"/>
      <c r="L91" s="61"/>
      <c r="M91" s="61"/>
      <c r="N91" s="60"/>
      <c r="O91" s="61"/>
      <c r="P91" s="63"/>
      <c r="Q91" s="61"/>
      <c r="R91" s="60"/>
      <c r="S91" s="61"/>
      <c r="T91" s="61"/>
      <c r="U91" s="61"/>
      <c r="V91" s="60"/>
      <c r="W91" s="88" t="str">
        <f aca="false">IF(AND(E91&lt;&gt;"",AND(B91&lt;&gt;"",B91&gt;='Weekly Report'!$F$4,B91&lt;='Weekly Report'!$F$5)),ROW(),"")</f>
        <v/>
      </c>
      <c r="X91" s="88" t="str">
        <f aca="false">IF(AND(E91&lt;&gt;"",M91="Yes",Q91&lt;&gt;"Decided",Q91&lt;&gt;"Withdrawn"),ROW(),"")</f>
        <v/>
      </c>
    </row>
    <row r="92" customFormat="false" ht="15" hidden="false" customHeight="false" outlineLevel="0" collapsed="false">
      <c r="A92" s="56" t="s">
        <v>1906</v>
      </c>
      <c r="B92" s="63"/>
      <c r="C92" s="61"/>
      <c r="D92" s="61"/>
      <c r="E92" s="60"/>
      <c r="F92" s="60"/>
      <c r="G92" s="60"/>
      <c r="H92" s="60"/>
      <c r="I92" s="61"/>
      <c r="J92" s="61"/>
      <c r="K92" s="61"/>
      <c r="L92" s="61"/>
      <c r="M92" s="61"/>
      <c r="N92" s="60"/>
      <c r="O92" s="61"/>
      <c r="P92" s="63"/>
      <c r="Q92" s="61"/>
      <c r="R92" s="60"/>
      <c r="S92" s="61"/>
      <c r="T92" s="61"/>
      <c r="U92" s="61"/>
      <c r="V92" s="60"/>
      <c r="W92" s="88" t="str">
        <f aca="false">IF(AND(E92&lt;&gt;"",AND(B92&lt;&gt;"",B92&gt;='Weekly Report'!$F$4,B92&lt;='Weekly Report'!$F$5)),ROW(),"")</f>
        <v/>
      </c>
      <c r="X92" s="88" t="str">
        <f aca="false">IF(AND(E92&lt;&gt;"",M92="Yes",Q92&lt;&gt;"Decided",Q92&lt;&gt;"Withdrawn"),ROW(),"")</f>
        <v/>
      </c>
    </row>
    <row r="93" customFormat="false" ht="15" hidden="false" customHeight="false" outlineLevel="0" collapsed="false">
      <c r="A93" s="56" t="s">
        <v>1907</v>
      </c>
      <c r="B93" s="63"/>
      <c r="C93" s="61"/>
      <c r="D93" s="61"/>
      <c r="E93" s="60"/>
      <c r="F93" s="60"/>
      <c r="G93" s="60"/>
      <c r="H93" s="60"/>
      <c r="I93" s="61"/>
      <c r="J93" s="61"/>
      <c r="K93" s="61"/>
      <c r="L93" s="61"/>
      <c r="M93" s="61"/>
      <c r="N93" s="60"/>
      <c r="O93" s="61"/>
      <c r="P93" s="63"/>
      <c r="Q93" s="61"/>
      <c r="R93" s="60"/>
      <c r="S93" s="61"/>
      <c r="T93" s="61"/>
      <c r="U93" s="61"/>
      <c r="V93" s="60"/>
      <c r="W93" s="88" t="str">
        <f aca="false">IF(AND(E93&lt;&gt;"",AND(B93&lt;&gt;"",B93&gt;='Weekly Report'!$F$4,B93&lt;='Weekly Report'!$F$5)),ROW(),"")</f>
        <v/>
      </c>
      <c r="X93" s="88" t="str">
        <f aca="false">IF(AND(E93&lt;&gt;"",M93="Yes",Q93&lt;&gt;"Decided",Q93&lt;&gt;"Withdrawn"),ROW(),"")</f>
        <v/>
      </c>
    </row>
    <row r="94" customFormat="false" ht="15" hidden="false" customHeight="false" outlineLevel="0" collapsed="false">
      <c r="A94" s="56" t="s">
        <v>1908</v>
      </c>
      <c r="B94" s="63"/>
      <c r="C94" s="61"/>
      <c r="D94" s="61"/>
      <c r="E94" s="60"/>
      <c r="F94" s="60"/>
      <c r="G94" s="60"/>
      <c r="H94" s="60"/>
      <c r="I94" s="61"/>
      <c r="J94" s="61"/>
      <c r="K94" s="61"/>
      <c r="L94" s="61"/>
      <c r="M94" s="61"/>
      <c r="N94" s="60"/>
      <c r="O94" s="61"/>
      <c r="P94" s="63"/>
      <c r="Q94" s="61"/>
      <c r="R94" s="60"/>
      <c r="S94" s="61"/>
      <c r="T94" s="61"/>
      <c r="U94" s="61"/>
      <c r="V94" s="60"/>
      <c r="W94" s="88" t="str">
        <f aca="false">IF(AND(E94&lt;&gt;"",AND(B94&lt;&gt;"",B94&gt;='Weekly Report'!$F$4,B94&lt;='Weekly Report'!$F$5)),ROW(),"")</f>
        <v/>
      </c>
      <c r="X94" s="88" t="str">
        <f aca="false">IF(AND(E94&lt;&gt;"",M94="Yes",Q94&lt;&gt;"Decided",Q94&lt;&gt;"Withdrawn"),ROW(),"")</f>
        <v/>
      </c>
    </row>
    <row r="95" customFormat="false" ht="15" hidden="false" customHeight="false" outlineLevel="0" collapsed="false">
      <c r="A95" s="56" t="s">
        <v>1909</v>
      </c>
      <c r="B95" s="63"/>
      <c r="C95" s="61"/>
      <c r="D95" s="61"/>
      <c r="E95" s="60"/>
      <c r="F95" s="60"/>
      <c r="G95" s="60"/>
      <c r="H95" s="60"/>
      <c r="I95" s="61"/>
      <c r="J95" s="61"/>
      <c r="K95" s="61"/>
      <c r="L95" s="61"/>
      <c r="M95" s="61"/>
      <c r="N95" s="60"/>
      <c r="O95" s="61"/>
      <c r="P95" s="63"/>
      <c r="Q95" s="61"/>
      <c r="R95" s="60"/>
      <c r="S95" s="61"/>
      <c r="T95" s="61"/>
      <c r="U95" s="61"/>
      <c r="V95" s="60"/>
      <c r="W95" s="88" t="str">
        <f aca="false">IF(AND(E95&lt;&gt;"",AND(B95&lt;&gt;"",B95&gt;='Weekly Report'!$F$4,B95&lt;='Weekly Report'!$F$5)),ROW(),"")</f>
        <v/>
      </c>
      <c r="X95" s="88" t="str">
        <f aca="false">IF(AND(E95&lt;&gt;"",M95="Yes",Q95&lt;&gt;"Decided",Q95&lt;&gt;"Withdrawn"),ROW(),"")</f>
        <v/>
      </c>
    </row>
    <row r="96" customFormat="false" ht="15" hidden="false" customHeight="false" outlineLevel="0" collapsed="false">
      <c r="A96" s="56" t="s">
        <v>1910</v>
      </c>
      <c r="B96" s="63"/>
      <c r="C96" s="61"/>
      <c r="D96" s="61"/>
      <c r="E96" s="60"/>
      <c r="F96" s="60"/>
      <c r="G96" s="60"/>
      <c r="H96" s="60"/>
      <c r="I96" s="61"/>
      <c r="J96" s="61"/>
      <c r="K96" s="61"/>
      <c r="L96" s="61"/>
      <c r="M96" s="61"/>
      <c r="N96" s="60"/>
      <c r="O96" s="61"/>
      <c r="P96" s="63"/>
      <c r="Q96" s="61"/>
      <c r="R96" s="60"/>
      <c r="S96" s="61"/>
      <c r="T96" s="61"/>
      <c r="U96" s="61"/>
      <c r="V96" s="60"/>
      <c r="W96" s="88" t="str">
        <f aca="false">IF(AND(E96&lt;&gt;"",AND(B96&lt;&gt;"",B96&gt;='Weekly Report'!$F$4,B96&lt;='Weekly Report'!$F$5)),ROW(),"")</f>
        <v/>
      </c>
      <c r="X96" s="88" t="str">
        <f aca="false">IF(AND(E96&lt;&gt;"",M96="Yes",Q96&lt;&gt;"Decided",Q96&lt;&gt;"Withdrawn"),ROW(),"")</f>
        <v/>
      </c>
    </row>
    <row r="97" customFormat="false" ht="15" hidden="false" customHeight="false" outlineLevel="0" collapsed="false">
      <c r="A97" s="56" t="s">
        <v>1911</v>
      </c>
      <c r="B97" s="63"/>
      <c r="C97" s="61"/>
      <c r="D97" s="61"/>
      <c r="E97" s="60"/>
      <c r="F97" s="60"/>
      <c r="G97" s="60"/>
      <c r="H97" s="60"/>
      <c r="I97" s="61"/>
      <c r="J97" s="61"/>
      <c r="K97" s="61"/>
      <c r="L97" s="61"/>
      <c r="M97" s="61"/>
      <c r="N97" s="60"/>
      <c r="O97" s="61"/>
      <c r="P97" s="63"/>
      <c r="Q97" s="61"/>
      <c r="R97" s="60"/>
      <c r="S97" s="61"/>
      <c r="T97" s="61"/>
      <c r="U97" s="61"/>
      <c r="V97" s="60"/>
      <c r="W97" s="88" t="str">
        <f aca="false">IF(AND(E97&lt;&gt;"",AND(B97&lt;&gt;"",B97&gt;='Weekly Report'!$F$4,B97&lt;='Weekly Report'!$F$5)),ROW(),"")</f>
        <v/>
      </c>
      <c r="X97" s="88" t="str">
        <f aca="false">IF(AND(E97&lt;&gt;"",M97="Yes",Q97&lt;&gt;"Decided",Q97&lt;&gt;"Withdrawn"),ROW(),"")</f>
        <v/>
      </c>
    </row>
    <row r="98" customFormat="false" ht="15" hidden="false" customHeight="false" outlineLevel="0" collapsed="false">
      <c r="A98" s="56" t="s">
        <v>1912</v>
      </c>
      <c r="B98" s="63"/>
      <c r="C98" s="61"/>
      <c r="D98" s="61"/>
      <c r="E98" s="60"/>
      <c r="F98" s="60"/>
      <c r="G98" s="60"/>
      <c r="H98" s="60"/>
      <c r="I98" s="61"/>
      <c r="J98" s="61"/>
      <c r="K98" s="61"/>
      <c r="L98" s="61"/>
      <c r="M98" s="61"/>
      <c r="N98" s="60"/>
      <c r="O98" s="61"/>
      <c r="P98" s="63"/>
      <c r="Q98" s="61"/>
      <c r="R98" s="60"/>
      <c r="S98" s="61"/>
      <c r="T98" s="61"/>
      <c r="U98" s="61"/>
      <c r="V98" s="60"/>
      <c r="W98" s="88" t="str">
        <f aca="false">IF(AND(E98&lt;&gt;"",AND(B98&lt;&gt;"",B98&gt;='Weekly Report'!$F$4,B98&lt;='Weekly Report'!$F$5)),ROW(),"")</f>
        <v/>
      </c>
      <c r="X98" s="88" t="str">
        <f aca="false">IF(AND(E98&lt;&gt;"",M98="Yes",Q98&lt;&gt;"Decided",Q98&lt;&gt;"Withdrawn"),ROW(),"")</f>
        <v/>
      </c>
    </row>
    <row r="99" customFormat="false" ht="15" hidden="false" customHeight="false" outlineLevel="0" collapsed="false">
      <c r="A99" s="56" t="s">
        <v>1913</v>
      </c>
      <c r="B99" s="63"/>
      <c r="C99" s="61"/>
      <c r="D99" s="61"/>
      <c r="E99" s="60"/>
      <c r="F99" s="60"/>
      <c r="G99" s="60"/>
      <c r="H99" s="60"/>
      <c r="I99" s="61"/>
      <c r="J99" s="61"/>
      <c r="K99" s="61"/>
      <c r="L99" s="61"/>
      <c r="M99" s="61"/>
      <c r="N99" s="60"/>
      <c r="O99" s="61"/>
      <c r="P99" s="63"/>
      <c r="Q99" s="61"/>
      <c r="R99" s="60"/>
      <c r="S99" s="61"/>
      <c r="T99" s="61"/>
      <c r="U99" s="61"/>
      <c r="V99" s="60"/>
      <c r="W99" s="88" t="str">
        <f aca="false">IF(AND(E99&lt;&gt;"",AND(B99&lt;&gt;"",B99&gt;='Weekly Report'!$F$4,B99&lt;='Weekly Report'!$F$5)),ROW(),"")</f>
        <v/>
      </c>
      <c r="X99" s="88" t="str">
        <f aca="false">IF(AND(E99&lt;&gt;"",M99="Yes",Q99&lt;&gt;"Decided",Q99&lt;&gt;"Withdrawn"),ROW(),"")</f>
        <v/>
      </c>
    </row>
    <row r="100" customFormat="false" ht="15" hidden="false" customHeight="false" outlineLevel="0" collapsed="false">
      <c r="A100" s="56" t="s">
        <v>1914</v>
      </c>
      <c r="B100" s="63"/>
      <c r="C100" s="61"/>
      <c r="D100" s="61"/>
      <c r="E100" s="60"/>
      <c r="F100" s="60"/>
      <c r="G100" s="60"/>
      <c r="H100" s="60"/>
      <c r="I100" s="61"/>
      <c r="J100" s="61"/>
      <c r="K100" s="61"/>
      <c r="L100" s="61"/>
      <c r="M100" s="61"/>
      <c r="N100" s="60"/>
      <c r="O100" s="61"/>
      <c r="P100" s="63"/>
      <c r="Q100" s="61"/>
      <c r="R100" s="60"/>
      <c r="S100" s="61"/>
      <c r="T100" s="61"/>
      <c r="U100" s="61"/>
      <c r="V100" s="60"/>
      <c r="W100" s="88" t="str">
        <f aca="false">IF(AND(E100&lt;&gt;"",AND(B100&lt;&gt;"",B100&gt;='Weekly Report'!$F$4,B100&lt;='Weekly Report'!$F$5)),ROW(),"")</f>
        <v/>
      </c>
      <c r="X100" s="88" t="str">
        <f aca="false">IF(AND(E100&lt;&gt;"",M100="Yes",Q100&lt;&gt;"Decided",Q100&lt;&gt;"Withdrawn"),ROW(),"")</f>
        <v/>
      </c>
    </row>
    <row r="101" customFormat="false" ht="15" hidden="false" customHeight="false" outlineLevel="0" collapsed="false">
      <c r="A101" s="56" t="s">
        <v>1915</v>
      </c>
      <c r="B101" s="63"/>
      <c r="C101" s="61"/>
      <c r="D101" s="61"/>
      <c r="E101" s="60"/>
      <c r="F101" s="60"/>
      <c r="G101" s="60"/>
      <c r="H101" s="60"/>
      <c r="I101" s="61"/>
      <c r="J101" s="61"/>
      <c r="K101" s="61"/>
      <c r="L101" s="61"/>
      <c r="M101" s="61"/>
      <c r="N101" s="60"/>
      <c r="O101" s="61"/>
      <c r="P101" s="63"/>
      <c r="Q101" s="61"/>
      <c r="R101" s="60"/>
      <c r="S101" s="61"/>
      <c r="T101" s="61"/>
      <c r="U101" s="61"/>
      <c r="V101" s="60"/>
      <c r="W101" s="88" t="str">
        <f aca="false">IF(AND(E101&lt;&gt;"",AND(B101&lt;&gt;"",B101&gt;='Weekly Report'!$F$4,B101&lt;='Weekly Report'!$F$5)),ROW(),"")</f>
        <v/>
      </c>
      <c r="X101" s="88" t="str">
        <f aca="false">IF(AND(E101&lt;&gt;"",M101="Yes",Q101&lt;&gt;"Decided",Q101&lt;&gt;"Withdrawn"),ROW(),"")</f>
        <v/>
      </c>
    </row>
    <row r="102" customFormat="false" ht="15" hidden="false" customHeight="false" outlineLevel="0" collapsed="false">
      <c r="A102" s="56" t="s">
        <v>1916</v>
      </c>
      <c r="B102" s="63"/>
      <c r="C102" s="61"/>
      <c r="D102" s="61"/>
      <c r="E102" s="60"/>
      <c r="F102" s="60"/>
      <c r="G102" s="60"/>
      <c r="H102" s="60"/>
      <c r="I102" s="61"/>
      <c r="J102" s="61"/>
      <c r="K102" s="61"/>
      <c r="L102" s="61"/>
      <c r="M102" s="61"/>
      <c r="N102" s="60"/>
      <c r="O102" s="61"/>
      <c r="P102" s="63"/>
      <c r="Q102" s="61"/>
      <c r="R102" s="60"/>
      <c r="S102" s="61"/>
      <c r="T102" s="61"/>
      <c r="U102" s="61"/>
      <c r="V102" s="60"/>
      <c r="W102" s="88" t="str">
        <f aca="false">IF(AND(E102&lt;&gt;"",AND(B102&lt;&gt;"",B102&gt;='Weekly Report'!$F$4,B102&lt;='Weekly Report'!$F$5)),ROW(),"")</f>
        <v/>
      </c>
      <c r="X102" s="88" t="str">
        <f aca="false">IF(AND(E102&lt;&gt;"",M102="Yes",Q102&lt;&gt;"Decided",Q102&lt;&gt;"Withdrawn"),ROW(),"")</f>
        <v/>
      </c>
    </row>
    <row r="103" customFormat="false" ht="15" hidden="false" customHeight="false" outlineLevel="0" collapsed="false">
      <c r="A103" s="56" t="s">
        <v>1917</v>
      </c>
      <c r="B103" s="63"/>
      <c r="C103" s="61"/>
      <c r="D103" s="61"/>
      <c r="E103" s="60"/>
      <c r="F103" s="60"/>
      <c r="G103" s="60"/>
      <c r="H103" s="60"/>
      <c r="I103" s="61"/>
      <c r="J103" s="61"/>
      <c r="K103" s="61"/>
      <c r="L103" s="61"/>
      <c r="M103" s="61"/>
      <c r="N103" s="60"/>
      <c r="O103" s="61"/>
      <c r="P103" s="63"/>
      <c r="Q103" s="61"/>
      <c r="R103" s="60"/>
      <c r="S103" s="61"/>
      <c r="T103" s="61"/>
      <c r="U103" s="61"/>
      <c r="V103" s="60"/>
      <c r="W103" s="88" t="str">
        <f aca="false">IF(AND(E103&lt;&gt;"",AND(B103&lt;&gt;"",B103&gt;='Weekly Report'!$F$4,B103&lt;='Weekly Report'!$F$5)),ROW(),"")</f>
        <v/>
      </c>
      <c r="X103" s="88" t="str">
        <f aca="false">IF(AND(E103&lt;&gt;"",M103="Yes",Q103&lt;&gt;"Decided",Q103&lt;&gt;"Withdrawn"),ROW(),"")</f>
        <v/>
      </c>
    </row>
    <row r="104" customFormat="false" ht="15" hidden="false" customHeight="false" outlineLevel="0" collapsed="false">
      <c r="A104" s="56" t="s">
        <v>1918</v>
      </c>
      <c r="B104" s="63"/>
      <c r="C104" s="61"/>
      <c r="D104" s="61"/>
      <c r="E104" s="60"/>
      <c r="F104" s="60"/>
      <c r="G104" s="60"/>
      <c r="H104" s="60"/>
      <c r="I104" s="61"/>
      <c r="J104" s="61"/>
      <c r="K104" s="61"/>
      <c r="L104" s="61"/>
      <c r="M104" s="61"/>
      <c r="N104" s="60"/>
      <c r="O104" s="61"/>
      <c r="P104" s="63"/>
      <c r="Q104" s="61"/>
      <c r="R104" s="60"/>
      <c r="S104" s="61"/>
      <c r="T104" s="61"/>
      <c r="U104" s="61"/>
      <c r="V104" s="60"/>
      <c r="W104" s="88" t="str">
        <f aca="false">IF(AND(E104&lt;&gt;"",AND(B104&lt;&gt;"",B104&gt;='Weekly Report'!$F$4,B104&lt;='Weekly Report'!$F$5)),ROW(),"")</f>
        <v/>
      </c>
      <c r="X104" s="88" t="str">
        <f aca="false">IF(AND(E104&lt;&gt;"",M104="Yes",Q104&lt;&gt;"Decided",Q104&lt;&gt;"Withdrawn"),ROW(),"")</f>
        <v/>
      </c>
    </row>
    <row r="105" customFormat="false" ht="15" hidden="false" customHeight="false" outlineLevel="0" collapsed="false">
      <c r="A105" s="56" t="s">
        <v>1919</v>
      </c>
      <c r="B105" s="63"/>
      <c r="C105" s="61"/>
      <c r="D105" s="61"/>
      <c r="E105" s="60"/>
      <c r="F105" s="60"/>
      <c r="G105" s="60"/>
      <c r="H105" s="60"/>
      <c r="I105" s="61"/>
      <c r="J105" s="61"/>
      <c r="K105" s="61"/>
      <c r="L105" s="61"/>
      <c r="M105" s="61"/>
      <c r="N105" s="60"/>
      <c r="O105" s="61"/>
      <c r="P105" s="63"/>
      <c r="Q105" s="61"/>
      <c r="R105" s="60"/>
      <c r="S105" s="61"/>
      <c r="T105" s="61"/>
      <c r="U105" s="61"/>
      <c r="V105" s="60"/>
      <c r="W105" s="88" t="str">
        <f aca="false">IF(AND(E105&lt;&gt;"",AND(B105&lt;&gt;"",B105&gt;='Weekly Report'!$F$4,B105&lt;='Weekly Report'!$F$5)),ROW(),"")</f>
        <v/>
      </c>
      <c r="X105" s="88" t="str">
        <f aca="false">IF(AND(E105&lt;&gt;"",M105="Yes",Q105&lt;&gt;"Decided",Q105&lt;&gt;"Withdrawn"),ROW(),"")</f>
        <v/>
      </c>
    </row>
    <row r="106" customFormat="false" ht="15" hidden="false" customHeight="false" outlineLevel="0" collapsed="false">
      <c r="A106" s="56" t="s">
        <v>1920</v>
      </c>
      <c r="B106" s="63"/>
      <c r="C106" s="61"/>
      <c r="D106" s="61"/>
      <c r="E106" s="60"/>
      <c r="F106" s="60"/>
      <c r="G106" s="60"/>
      <c r="H106" s="60"/>
      <c r="I106" s="61"/>
      <c r="J106" s="61"/>
      <c r="K106" s="61"/>
      <c r="L106" s="61"/>
      <c r="M106" s="61"/>
      <c r="N106" s="60"/>
      <c r="O106" s="61"/>
      <c r="P106" s="63"/>
      <c r="Q106" s="61"/>
      <c r="R106" s="60"/>
      <c r="S106" s="61"/>
      <c r="T106" s="61"/>
      <c r="U106" s="61"/>
      <c r="V106" s="60"/>
      <c r="W106" s="88" t="str">
        <f aca="false">IF(AND(E106&lt;&gt;"",AND(B106&lt;&gt;"",B106&gt;='Weekly Report'!$F$4,B106&lt;='Weekly Report'!$F$5)),ROW(),"")</f>
        <v/>
      </c>
      <c r="X106" s="88" t="str">
        <f aca="false">IF(AND(E106&lt;&gt;"",M106="Yes",Q106&lt;&gt;"Decided",Q106&lt;&gt;"Withdrawn"),ROW(),"")</f>
        <v/>
      </c>
    </row>
    <row r="107" customFormat="false" ht="15" hidden="false" customHeight="false" outlineLevel="0" collapsed="false">
      <c r="A107" s="56" t="s">
        <v>1921</v>
      </c>
      <c r="B107" s="63"/>
      <c r="C107" s="61"/>
      <c r="D107" s="61"/>
      <c r="E107" s="60"/>
      <c r="F107" s="60"/>
      <c r="G107" s="60"/>
      <c r="H107" s="60"/>
      <c r="I107" s="61"/>
      <c r="J107" s="61"/>
      <c r="K107" s="61"/>
      <c r="L107" s="61"/>
      <c r="M107" s="61"/>
      <c r="N107" s="60"/>
      <c r="O107" s="61"/>
      <c r="P107" s="63"/>
      <c r="Q107" s="61"/>
      <c r="R107" s="60"/>
      <c r="S107" s="61"/>
      <c r="T107" s="61"/>
      <c r="U107" s="61"/>
      <c r="V107" s="60"/>
      <c r="W107" s="88" t="str">
        <f aca="false">IF(AND(E107&lt;&gt;"",AND(B107&lt;&gt;"",B107&gt;='Weekly Report'!$F$4,B107&lt;='Weekly Report'!$F$5)),ROW(),"")</f>
        <v/>
      </c>
      <c r="X107" s="88" t="str">
        <f aca="false">IF(AND(E107&lt;&gt;"",M107="Yes",Q107&lt;&gt;"Decided",Q107&lt;&gt;"Withdrawn"),ROW(),"")</f>
        <v/>
      </c>
    </row>
    <row r="108" customFormat="false" ht="15" hidden="false" customHeight="false" outlineLevel="0" collapsed="false">
      <c r="A108" s="56" t="s">
        <v>1922</v>
      </c>
      <c r="B108" s="63"/>
      <c r="C108" s="61"/>
      <c r="D108" s="61"/>
      <c r="E108" s="60"/>
      <c r="F108" s="60"/>
      <c r="G108" s="60"/>
      <c r="H108" s="60"/>
      <c r="I108" s="61"/>
      <c r="J108" s="61"/>
      <c r="K108" s="61"/>
      <c r="L108" s="61"/>
      <c r="M108" s="61"/>
      <c r="N108" s="60"/>
      <c r="O108" s="61"/>
      <c r="P108" s="63"/>
      <c r="Q108" s="61"/>
      <c r="R108" s="60"/>
      <c r="S108" s="61"/>
      <c r="T108" s="61"/>
      <c r="U108" s="61"/>
      <c r="V108" s="60"/>
      <c r="W108" s="88" t="str">
        <f aca="false">IF(AND(E108&lt;&gt;"",AND(B108&lt;&gt;"",B108&gt;='Weekly Report'!$F$4,B108&lt;='Weekly Report'!$F$5)),ROW(),"")</f>
        <v/>
      </c>
      <c r="X108" s="88" t="str">
        <f aca="false">IF(AND(E108&lt;&gt;"",M108="Yes",Q108&lt;&gt;"Decided",Q108&lt;&gt;"Withdrawn"),ROW(),"")</f>
        <v/>
      </c>
    </row>
    <row r="109" customFormat="false" ht="15" hidden="false" customHeight="false" outlineLevel="0" collapsed="false">
      <c r="A109" s="56" t="s">
        <v>1923</v>
      </c>
      <c r="B109" s="63"/>
      <c r="C109" s="61"/>
      <c r="D109" s="61"/>
      <c r="E109" s="60"/>
      <c r="F109" s="60"/>
      <c r="G109" s="60"/>
      <c r="H109" s="60"/>
      <c r="I109" s="61"/>
      <c r="J109" s="61"/>
      <c r="K109" s="61"/>
      <c r="L109" s="61"/>
      <c r="M109" s="61"/>
      <c r="N109" s="60"/>
      <c r="O109" s="61"/>
      <c r="P109" s="63"/>
      <c r="Q109" s="61"/>
      <c r="R109" s="60"/>
      <c r="S109" s="61"/>
      <c r="T109" s="61"/>
      <c r="U109" s="61"/>
      <c r="V109" s="60"/>
      <c r="W109" s="88" t="str">
        <f aca="false">IF(AND(E109&lt;&gt;"",AND(B109&lt;&gt;"",B109&gt;='Weekly Report'!$F$4,B109&lt;='Weekly Report'!$F$5)),ROW(),"")</f>
        <v/>
      </c>
      <c r="X109" s="88" t="str">
        <f aca="false">IF(AND(E109&lt;&gt;"",M109="Yes",Q109&lt;&gt;"Decided",Q109&lt;&gt;"Withdrawn"),ROW(),"")</f>
        <v/>
      </c>
    </row>
    <row r="110" customFormat="false" ht="15" hidden="false" customHeight="false" outlineLevel="0" collapsed="false">
      <c r="A110" s="56" t="s">
        <v>1924</v>
      </c>
      <c r="B110" s="63"/>
      <c r="C110" s="61"/>
      <c r="D110" s="61"/>
      <c r="E110" s="60"/>
      <c r="F110" s="60"/>
      <c r="G110" s="60"/>
      <c r="H110" s="60"/>
      <c r="I110" s="61"/>
      <c r="J110" s="61"/>
      <c r="K110" s="61"/>
      <c r="L110" s="61"/>
      <c r="M110" s="61"/>
      <c r="N110" s="60"/>
      <c r="O110" s="61"/>
      <c r="P110" s="63"/>
      <c r="Q110" s="61"/>
      <c r="R110" s="60"/>
      <c r="S110" s="61"/>
      <c r="T110" s="61"/>
      <c r="U110" s="61"/>
      <c r="V110" s="60"/>
      <c r="W110" s="88" t="str">
        <f aca="false">IF(AND(E110&lt;&gt;"",AND(B110&lt;&gt;"",B110&gt;='Weekly Report'!$F$4,B110&lt;='Weekly Report'!$F$5)),ROW(),"")</f>
        <v/>
      </c>
      <c r="X110" s="88" t="str">
        <f aca="false">IF(AND(E110&lt;&gt;"",M110="Yes",Q110&lt;&gt;"Decided",Q110&lt;&gt;"Withdrawn"),ROW(),"")</f>
        <v/>
      </c>
    </row>
    <row r="111" customFormat="false" ht="15" hidden="false" customHeight="false" outlineLevel="0" collapsed="false">
      <c r="A111" s="56" t="s">
        <v>1925</v>
      </c>
      <c r="B111" s="63"/>
      <c r="C111" s="61"/>
      <c r="D111" s="61"/>
      <c r="E111" s="60"/>
      <c r="F111" s="60"/>
      <c r="G111" s="60"/>
      <c r="H111" s="60"/>
      <c r="I111" s="61"/>
      <c r="J111" s="61"/>
      <c r="K111" s="61"/>
      <c r="L111" s="61"/>
      <c r="M111" s="61"/>
      <c r="N111" s="60"/>
      <c r="O111" s="61"/>
      <c r="P111" s="63"/>
      <c r="Q111" s="61"/>
      <c r="R111" s="60"/>
      <c r="S111" s="61"/>
      <c r="T111" s="61"/>
      <c r="U111" s="61"/>
      <c r="V111" s="60"/>
      <c r="W111" s="88" t="str">
        <f aca="false">IF(AND(E111&lt;&gt;"",AND(B111&lt;&gt;"",B111&gt;='Weekly Report'!$F$4,B111&lt;='Weekly Report'!$F$5)),ROW(),"")</f>
        <v/>
      </c>
      <c r="X111" s="88" t="str">
        <f aca="false">IF(AND(E111&lt;&gt;"",M111="Yes",Q111&lt;&gt;"Decided",Q111&lt;&gt;"Withdrawn"),ROW(),"")</f>
        <v/>
      </c>
    </row>
    <row r="112" customFormat="false" ht="15" hidden="false" customHeight="false" outlineLevel="0" collapsed="false">
      <c r="A112" s="56" t="s">
        <v>1926</v>
      </c>
      <c r="B112" s="63"/>
      <c r="C112" s="61"/>
      <c r="D112" s="61"/>
      <c r="E112" s="60"/>
      <c r="F112" s="60"/>
      <c r="G112" s="60"/>
      <c r="H112" s="60"/>
      <c r="I112" s="61"/>
      <c r="J112" s="61"/>
      <c r="K112" s="61"/>
      <c r="L112" s="61"/>
      <c r="M112" s="61"/>
      <c r="N112" s="60"/>
      <c r="O112" s="61"/>
      <c r="P112" s="63"/>
      <c r="Q112" s="61"/>
      <c r="R112" s="60"/>
      <c r="S112" s="61"/>
      <c r="T112" s="61"/>
      <c r="U112" s="61"/>
      <c r="V112" s="60"/>
      <c r="W112" s="88" t="str">
        <f aca="false">IF(AND(E112&lt;&gt;"",AND(B112&lt;&gt;"",B112&gt;='Weekly Report'!$F$4,B112&lt;='Weekly Report'!$F$5)),ROW(),"")</f>
        <v/>
      </c>
      <c r="X112" s="88" t="str">
        <f aca="false">IF(AND(E112&lt;&gt;"",M112="Yes",Q112&lt;&gt;"Decided",Q112&lt;&gt;"Withdrawn"),ROW(),"")</f>
        <v/>
      </c>
    </row>
    <row r="113" customFormat="false" ht="15" hidden="false" customHeight="false" outlineLevel="0" collapsed="false">
      <c r="A113" s="56" t="s">
        <v>1927</v>
      </c>
      <c r="B113" s="63"/>
      <c r="C113" s="61"/>
      <c r="D113" s="61"/>
      <c r="E113" s="60"/>
      <c r="F113" s="60"/>
      <c r="G113" s="60"/>
      <c r="H113" s="60"/>
      <c r="I113" s="61"/>
      <c r="J113" s="61"/>
      <c r="K113" s="61"/>
      <c r="L113" s="61"/>
      <c r="M113" s="61"/>
      <c r="N113" s="60"/>
      <c r="O113" s="61"/>
      <c r="P113" s="63"/>
      <c r="Q113" s="61"/>
      <c r="R113" s="60"/>
      <c r="S113" s="61"/>
      <c r="T113" s="61"/>
      <c r="U113" s="61"/>
      <c r="V113" s="60"/>
      <c r="W113" s="88" t="str">
        <f aca="false">IF(AND(E113&lt;&gt;"",AND(B113&lt;&gt;"",B113&gt;='Weekly Report'!$F$4,B113&lt;='Weekly Report'!$F$5)),ROW(),"")</f>
        <v/>
      </c>
      <c r="X113" s="88" t="str">
        <f aca="false">IF(AND(E113&lt;&gt;"",M113="Yes",Q113&lt;&gt;"Decided",Q113&lt;&gt;"Withdrawn"),ROW(),"")</f>
        <v/>
      </c>
    </row>
    <row r="114" customFormat="false" ht="15" hidden="false" customHeight="false" outlineLevel="0" collapsed="false">
      <c r="A114" s="56" t="s">
        <v>1928</v>
      </c>
      <c r="B114" s="63"/>
      <c r="C114" s="61"/>
      <c r="D114" s="61"/>
      <c r="E114" s="60"/>
      <c r="F114" s="60"/>
      <c r="G114" s="60"/>
      <c r="H114" s="60"/>
      <c r="I114" s="61"/>
      <c r="J114" s="61"/>
      <c r="K114" s="61"/>
      <c r="L114" s="61"/>
      <c r="M114" s="61"/>
      <c r="N114" s="60"/>
      <c r="O114" s="61"/>
      <c r="P114" s="63"/>
      <c r="Q114" s="61"/>
      <c r="R114" s="60"/>
      <c r="S114" s="61"/>
      <c r="T114" s="61"/>
      <c r="U114" s="61"/>
      <c r="V114" s="60"/>
      <c r="W114" s="88" t="str">
        <f aca="false">IF(AND(E114&lt;&gt;"",AND(B114&lt;&gt;"",B114&gt;='Weekly Report'!$F$4,B114&lt;='Weekly Report'!$F$5)),ROW(),"")</f>
        <v/>
      </c>
      <c r="X114" s="88" t="str">
        <f aca="false">IF(AND(E114&lt;&gt;"",M114="Yes",Q114&lt;&gt;"Decided",Q114&lt;&gt;"Withdrawn"),ROW(),"")</f>
        <v/>
      </c>
    </row>
    <row r="115" customFormat="false" ht="15" hidden="false" customHeight="false" outlineLevel="0" collapsed="false">
      <c r="A115" s="56" t="s">
        <v>1929</v>
      </c>
      <c r="B115" s="63"/>
      <c r="C115" s="61"/>
      <c r="D115" s="61"/>
      <c r="E115" s="60"/>
      <c r="F115" s="60"/>
      <c r="G115" s="60"/>
      <c r="H115" s="60"/>
      <c r="I115" s="61"/>
      <c r="J115" s="61"/>
      <c r="K115" s="61"/>
      <c r="L115" s="61"/>
      <c r="M115" s="61"/>
      <c r="N115" s="60"/>
      <c r="O115" s="61"/>
      <c r="P115" s="63"/>
      <c r="Q115" s="61"/>
      <c r="R115" s="60"/>
      <c r="S115" s="61"/>
      <c r="T115" s="61"/>
      <c r="U115" s="61"/>
      <c r="V115" s="60"/>
      <c r="W115" s="88" t="str">
        <f aca="false">IF(AND(E115&lt;&gt;"",AND(B115&lt;&gt;"",B115&gt;='Weekly Report'!$F$4,B115&lt;='Weekly Report'!$F$5)),ROW(),"")</f>
        <v/>
      </c>
      <c r="X115" s="88" t="str">
        <f aca="false">IF(AND(E115&lt;&gt;"",M115="Yes",Q115&lt;&gt;"Decided",Q115&lt;&gt;"Withdrawn"),ROW(),"")</f>
        <v/>
      </c>
    </row>
    <row r="116" customFormat="false" ht="15" hidden="false" customHeight="false" outlineLevel="0" collapsed="false">
      <c r="A116" s="56" t="s">
        <v>1930</v>
      </c>
      <c r="B116" s="63"/>
      <c r="C116" s="61"/>
      <c r="D116" s="61"/>
      <c r="E116" s="60"/>
      <c r="F116" s="60"/>
      <c r="G116" s="60"/>
      <c r="H116" s="60"/>
      <c r="I116" s="61"/>
      <c r="J116" s="61"/>
      <c r="K116" s="61"/>
      <c r="L116" s="61"/>
      <c r="M116" s="61"/>
      <c r="N116" s="60"/>
      <c r="O116" s="61"/>
      <c r="P116" s="63"/>
      <c r="Q116" s="61"/>
      <c r="R116" s="60"/>
      <c r="S116" s="61"/>
      <c r="T116" s="61"/>
      <c r="U116" s="61"/>
      <c r="V116" s="60"/>
      <c r="W116" s="88" t="str">
        <f aca="false">IF(AND(E116&lt;&gt;"",AND(B116&lt;&gt;"",B116&gt;='Weekly Report'!$F$4,B116&lt;='Weekly Report'!$F$5)),ROW(),"")</f>
        <v/>
      </c>
      <c r="X116" s="88" t="str">
        <f aca="false">IF(AND(E116&lt;&gt;"",M116="Yes",Q116&lt;&gt;"Decided",Q116&lt;&gt;"Withdrawn"),ROW(),"")</f>
        <v/>
      </c>
    </row>
    <row r="117" customFormat="false" ht="15" hidden="false" customHeight="false" outlineLevel="0" collapsed="false">
      <c r="A117" s="56" t="s">
        <v>1931</v>
      </c>
      <c r="B117" s="63"/>
      <c r="C117" s="61"/>
      <c r="D117" s="61"/>
      <c r="E117" s="60"/>
      <c r="F117" s="60"/>
      <c r="G117" s="60"/>
      <c r="H117" s="60"/>
      <c r="I117" s="61"/>
      <c r="J117" s="61"/>
      <c r="K117" s="61"/>
      <c r="L117" s="61"/>
      <c r="M117" s="61"/>
      <c r="N117" s="60"/>
      <c r="O117" s="61"/>
      <c r="P117" s="63"/>
      <c r="Q117" s="61"/>
      <c r="R117" s="60"/>
      <c r="S117" s="61"/>
      <c r="T117" s="61"/>
      <c r="U117" s="61"/>
      <c r="V117" s="60"/>
      <c r="W117" s="88" t="str">
        <f aca="false">IF(AND(E117&lt;&gt;"",AND(B117&lt;&gt;"",B117&gt;='Weekly Report'!$F$4,B117&lt;='Weekly Report'!$F$5)),ROW(),"")</f>
        <v/>
      </c>
      <c r="X117" s="88" t="str">
        <f aca="false">IF(AND(E117&lt;&gt;"",M117="Yes",Q117&lt;&gt;"Decided",Q117&lt;&gt;"Withdrawn"),ROW(),"")</f>
        <v/>
      </c>
    </row>
    <row r="118" customFormat="false" ht="15" hidden="false" customHeight="false" outlineLevel="0" collapsed="false">
      <c r="A118" s="56" t="s">
        <v>1932</v>
      </c>
      <c r="B118" s="63"/>
      <c r="C118" s="61"/>
      <c r="D118" s="61"/>
      <c r="E118" s="60"/>
      <c r="F118" s="60"/>
      <c r="G118" s="60"/>
      <c r="H118" s="60"/>
      <c r="I118" s="61"/>
      <c r="J118" s="61"/>
      <c r="K118" s="61"/>
      <c r="L118" s="61"/>
      <c r="M118" s="61"/>
      <c r="N118" s="60"/>
      <c r="O118" s="61"/>
      <c r="P118" s="63"/>
      <c r="Q118" s="61"/>
      <c r="R118" s="60"/>
      <c r="S118" s="61"/>
      <c r="T118" s="61"/>
      <c r="U118" s="61"/>
      <c r="V118" s="60"/>
      <c r="W118" s="88" t="str">
        <f aca="false">IF(AND(E118&lt;&gt;"",AND(B118&lt;&gt;"",B118&gt;='Weekly Report'!$F$4,B118&lt;='Weekly Report'!$F$5)),ROW(),"")</f>
        <v/>
      </c>
      <c r="X118" s="88" t="str">
        <f aca="false">IF(AND(E118&lt;&gt;"",M118="Yes",Q118&lt;&gt;"Decided",Q118&lt;&gt;"Withdrawn"),ROW(),"")</f>
        <v/>
      </c>
    </row>
    <row r="119" customFormat="false" ht="15" hidden="false" customHeight="false" outlineLevel="0" collapsed="false">
      <c r="A119" s="56" t="s">
        <v>1933</v>
      </c>
      <c r="B119" s="63"/>
      <c r="C119" s="61"/>
      <c r="D119" s="61"/>
      <c r="E119" s="60"/>
      <c r="F119" s="60"/>
      <c r="G119" s="60"/>
      <c r="H119" s="60"/>
      <c r="I119" s="61"/>
      <c r="J119" s="61"/>
      <c r="K119" s="61"/>
      <c r="L119" s="61"/>
      <c r="M119" s="61"/>
      <c r="N119" s="60"/>
      <c r="O119" s="61"/>
      <c r="P119" s="63"/>
      <c r="Q119" s="61"/>
      <c r="R119" s="60"/>
      <c r="S119" s="61"/>
      <c r="T119" s="61"/>
      <c r="U119" s="61"/>
      <c r="V119" s="60"/>
      <c r="W119" s="88" t="str">
        <f aca="false">IF(AND(E119&lt;&gt;"",AND(B119&lt;&gt;"",B119&gt;='Weekly Report'!$F$4,B119&lt;='Weekly Report'!$F$5)),ROW(),"")</f>
        <v/>
      </c>
      <c r="X119" s="88" t="str">
        <f aca="false">IF(AND(E119&lt;&gt;"",M119="Yes",Q119&lt;&gt;"Decided",Q119&lt;&gt;"Withdrawn"),ROW(),"")</f>
        <v/>
      </c>
    </row>
    <row r="120" customFormat="false" ht="15" hidden="false" customHeight="false" outlineLevel="0" collapsed="false">
      <c r="A120" s="56" t="s">
        <v>1934</v>
      </c>
      <c r="B120" s="63"/>
      <c r="C120" s="61"/>
      <c r="D120" s="61"/>
      <c r="E120" s="60"/>
      <c r="F120" s="60"/>
      <c r="G120" s="60"/>
      <c r="H120" s="60"/>
      <c r="I120" s="61"/>
      <c r="J120" s="61"/>
      <c r="K120" s="61"/>
      <c r="L120" s="61"/>
      <c r="M120" s="61"/>
      <c r="N120" s="60"/>
      <c r="O120" s="61"/>
      <c r="P120" s="63"/>
      <c r="Q120" s="61"/>
      <c r="R120" s="60"/>
      <c r="S120" s="61"/>
      <c r="T120" s="61"/>
      <c r="U120" s="61"/>
      <c r="V120" s="60"/>
      <c r="W120" s="88" t="str">
        <f aca="false">IF(AND(E120&lt;&gt;"",AND(B120&lt;&gt;"",B120&gt;='Weekly Report'!$F$4,B120&lt;='Weekly Report'!$F$5)),ROW(),"")</f>
        <v/>
      </c>
      <c r="X120" s="88" t="str">
        <f aca="false">IF(AND(E120&lt;&gt;"",M120="Yes",Q120&lt;&gt;"Decided",Q120&lt;&gt;"Withdrawn"),ROW(),"")</f>
        <v/>
      </c>
    </row>
    <row r="121" customFormat="false" ht="15" hidden="false" customHeight="false" outlineLevel="0" collapsed="false">
      <c r="A121" s="56" t="s">
        <v>1935</v>
      </c>
      <c r="B121" s="63"/>
      <c r="C121" s="61"/>
      <c r="D121" s="61"/>
      <c r="E121" s="60"/>
      <c r="F121" s="60"/>
      <c r="G121" s="60"/>
      <c r="H121" s="60"/>
      <c r="I121" s="61"/>
      <c r="J121" s="61"/>
      <c r="K121" s="61"/>
      <c r="L121" s="61"/>
      <c r="M121" s="61"/>
      <c r="N121" s="60"/>
      <c r="O121" s="61"/>
      <c r="P121" s="63"/>
      <c r="Q121" s="61"/>
      <c r="R121" s="60"/>
      <c r="S121" s="61"/>
      <c r="T121" s="61"/>
      <c r="U121" s="61"/>
      <c r="V121" s="60"/>
      <c r="W121" s="88" t="str">
        <f aca="false">IF(AND(E121&lt;&gt;"",AND(B121&lt;&gt;"",B121&gt;='Weekly Report'!$F$4,B121&lt;='Weekly Report'!$F$5)),ROW(),"")</f>
        <v/>
      </c>
      <c r="X121" s="88" t="str">
        <f aca="false">IF(AND(E121&lt;&gt;"",M121="Yes",Q121&lt;&gt;"Decided",Q121&lt;&gt;"Withdrawn"),ROW(),"")</f>
        <v/>
      </c>
    </row>
    <row r="122" customFormat="false" ht="15" hidden="false" customHeight="false" outlineLevel="0" collapsed="false">
      <c r="A122" s="56" t="s">
        <v>1936</v>
      </c>
      <c r="B122" s="63"/>
      <c r="C122" s="61"/>
      <c r="D122" s="61"/>
      <c r="E122" s="60"/>
      <c r="F122" s="60"/>
      <c r="G122" s="60"/>
      <c r="H122" s="60"/>
      <c r="I122" s="61"/>
      <c r="J122" s="61"/>
      <c r="K122" s="61"/>
      <c r="L122" s="61"/>
      <c r="M122" s="61"/>
      <c r="N122" s="60"/>
      <c r="O122" s="61"/>
      <c r="P122" s="63"/>
      <c r="Q122" s="61"/>
      <c r="R122" s="60"/>
      <c r="S122" s="61"/>
      <c r="T122" s="61"/>
      <c r="U122" s="61"/>
      <c r="V122" s="60"/>
      <c r="W122" s="88" t="str">
        <f aca="false">IF(AND(E122&lt;&gt;"",AND(B122&lt;&gt;"",B122&gt;='Weekly Report'!$F$4,B122&lt;='Weekly Report'!$F$5)),ROW(),"")</f>
        <v/>
      </c>
      <c r="X122" s="88" t="str">
        <f aca="false">IF(AND(E122&lt;&gt;"",M122="Yes",Q122&lt;&gt;"Decided",Q122&lt;&gt;"Withdrawn"),ROW(),"")</f>
        <v/>
      </c>
    </row>
    <row r="123" customFormat="false" ht="15" hidden="false" customHeight="false" outlineLevel="0" collapsed="false">
      <c r="A123" s="56" t="s">
        <v>1937</v>
      </c>
      <c r="B123" s="63"/>
      <c r="C123" s="61"/>
      <c r="D123" s="61"/>
      <c r="E123" s="60"/>
      <c r="F123" s="60"/>
      <c r="G123" s="60"/>
      <c r="H123" s="60"/>
      <c r="I123" s="61"/>
      <c r="J123" s="61"/>
      <c r="K123" s="61"/>
      <c r="L123" s="61"/>
      <c r="M123" s="61"/>
      <c r="N123" s="60"/>
      <c r="O123" s="61"/>
      <c r="P123" s="63"/>
      <c r="Q123" s="61"/>
      <c r="R123" s="60"/>
      <c r="S123" s="61"/>
      <c r="T123" s="61"/>
      <c r="U123" s="61"/>
      <c r="V123" s="60"/>
      <c r="W123" s="88" t="str">
        <f aca="false">IF(AND(E123&lt;&gt;"",AND(B123&lt;&gt;"",B123&gt;='Weekly Report'!$F$4,B123&lt;='Weekly Report'!$F$5)),ROW(),"")</f>
        <v/>
      </c>
      <c r="X123" s="88" t="str">
        <f aca="false">IF(AND(E123&lt;&gt;"",M123="Yes",Q123&lt;&gt;"Decided",Q123&lt;&gt;"Withdrawn"),ROW(),"")</f>
        <v/>
      </c>
    </row>
    <row r="124" customFormat="false" ht="15" hidden="false" customHeight="false" outlineLevel="0" collapsed="false">
      <c r="A124" s="56" t="s">
        <v>1938</v>
      </c>
      <c r="B124" s="63"/>
      <c r="C124" s="61"/>
      <c r="D124" s="61"/>
      <c r="E124" s="60"/>
      <c r="F124" s="60"/>
      <c r="G124" s="60"/>
      <c r="H124" s="60"/>
      <c r="I124" s="61"/>
      <c r="J124" s="61"/>
      <c r="K124" s="61"/>
      <c r="L124" s="61"/>
      <c r="M124" s="61"/>
      <c r="N124" s="60"/>
      <c r="O124" s="61"/>
      <c r="P124" s="63"/>
      <c r="Q124" s="61"/>
      <c r="R124" s="60"/>
      <c r="S124" s="61"/>
      <c r="T124" s="61"/>
      <c r="U124" s="61"/>
      <c r="V124" s="60"/>
      <c r="W124" s="88" t="str">
        <f aca="false">IF(AND(E124&lt;&gt;"",AND(B124&lt;&gt;"",B124&gt;='Weekly Report'!$F$4,B124&lt;='Weekly Report'!$F$5)),ROW(),"")</f>
        <v/>
      </c>
      <c r="X124" s="88" t="str">
        <f aca="false">IF(AND(E124&lt;&gt;"",M124="Yes",Q124&lt;&gt;"Decided",Q124&lt;&gt;"Withdrawn"),ROW(),"")</f>
        <v/>
      </c>
    </row>
    <row r="125" customFormat="false" ht="15" hidden="false" customHeight="false" outlineLevel="0" collapsed="false">
      <c r="A125" s="56" t="s">
        <v>1939</v>
      </c>
      <c r="B125" s="63"/>
      <c r="C125" s="61"/>
      <c r="D125" s="61"/>
      <c r="E125" s="60"/>
      <c r="F125" s="60"/>
      <c r="G125" s="60"/>
      <c r="H125" s="60"/>
      <c r="I125" s="61"/>
      <c r="J125" s="61"/>
      <c r="K125" s="61"/>
      <c r="L125" s="61"/>
      <c r="M125" s="61"/>
      <c r="N125" s="60"/>
      <c r="O125" s="61"/>
      <c r="P125" s="63"/>
      <c r="Q125" s="61"/>
      <c r="R125" s="60"/>
      <c r="S125" s="61"/>
      <c r="T125" s="61"/>
      <c r="U125" s="61"/>
      <c r="V125" s="60"/>
      <c r="W125" s="88" t="str">
        <f aca="false">IF(AND(E125&lt;&gt;"",AND(B125&lt;&gt;"",B125&gt;='Weekly Report'!$F$4,B125&lt;='Weekly Report'!$F$5)),ROW(),"")</f>
        <v/>
      </c>
      <c r="X125" s="88" t="str">
        <f aca="false">IF(AND(E125&lt;&gt;"",M125="Yes",Q125&lt;&gt;"Decided",Q125&lt;&gt;"Withdrawn"),ROW(),"")</f>
        <v/>
      </c>
    </row>
    <row r="126" customFormat="false" ht="15" hidden="false" customHeight="false" outlineLevel="0" collapsed="false">
      <c r="A126" s="56" t="s">
        <v>1940</v>
      </c>
      <c r="B126" s="63"/>
      <c r="C126" s="61"/>
      <c r="D126" s="61"/>
      <c r="E126" s="60"/>
      <c r="F126" s="60"/>
      <c r="G126" s="60"/>
      <c r="H126" s="60"/>
      <c r="I126" s="61"/>
      <c r="J126" s="61"/>
      <c r="K126" s="61"/>
      <c r="L126" s="61"/>
      <c r="M126" s="61"/>
      <c r="N126" s="60"/>
      <c r="O126" s="61"/>
      <c r="P126" s="63"/>
      <c r="Q126" s="61"/>
      <c r="R126" s="60"/>
      <c r="S126" s="61"/>
      <c r="T126" s="61"/>
      <c r="U126" s="61"/>
      <c r="V126" s="60"/>
      <c r="W126" s="88" t="str">
        <f aca="false">IF(AND(E126&lt;&gt;"",AND(B126&lt;&gt;"",B126&gt;='Weekly Report'!$F$4,B126&lt;='Weekly Report'!$F$5)),ROW(),"")</f>
        <v/>
      </c>
      <c r="X126" s="88" t="str">
        <f aca="false">IF(AND(E126&lt;&gt;"",M126="Yes",Q126&lt;&gt;"Decided",Q126&lt;&gt;"Withdrawn"),ROW(),"")</f>
        <v/>
      </c>
    </row>
    <row r="127" customFormat="false" ht="15" hidden="false" customHeight="false" outlineLevel="0" collapsed="false">
      <c r="A127" s="56" t="s">
        <v>1941</v>
      </c>
      <c r="B127" s="63"/>
      <c r="C127" s="61"/>
      <c r="D127" s="61"/>
      <c r="E127" s="60"/>
      <c r="F127" s="60"/>
      <c r="G127" s="60"/>
      <c r="H127" s="60"/>
      <c r="I127" s="61"/>
      <c r="J127" s="61"/>
      <c r="K127" s="61"/>
      <c r="L127" s="61"/>
      <c r="M127" s="61"/>
      <c r="N127" s="60"/>
      <c r="O127" s="61"/>
      <c r="P127" s="63"/>
      <c r="Q127" s="61"/>
      <c r="R127" s="60"/>
      <c r="S127" s="61"/>
      <c r="T127" s="61"/>
      <c r="U127" s="61"/>
      <c r="V127" s="60"/>
      <c r="W127" s="88" t="str">
        <f aca="false">IF(AND(E127&lt;&gt;"",AND(B127&lt;&gt;"",B127&gt;='Weekly Report'!$F$4,B127&lt;='Weekly Report'!$F$5)),ROW(),"")</f>
        <v/>
      </c>
      <c r="X127" s="88" t="str">
        <f aca="false">IF(AND(E127&lt;&gt;"",M127="Yes",Q127&lt;&gt;"Decided",Q127&lt;&gt;"Withdrawn"),ROW(),"")</f>
        <v/>
      </c>
    </row>
    <row r="128" customFormat="false" ht="15" hidden="false" customHeight="false" outlineLevel="0" collapsed="false">
      <c r="A128" s="56" t="s">
        <v>1942</v>
      </c>
      <c r="B128" s="63"/>
      <c r="C128" s="61"/>
      <c r="D128" s="61"/>
      <c r="E128" s="60"/>
      <c r="F128" s="60"/>
      <c r="G128" s="60"/>
      <c r="H128" s="60"/>
      <c r="I128" s="61"/>
      <c r="J128" s="61"/>
      <c r="K128" s="61"/>
      <c r="L128" s="61"/>
      <c r="M128" s="61"/>
      <c r="N128" s="60"/>
      <c r="O128" s="61"/>
      <c r="P128" s="63"/>
      <c r="Q128" s="61"/>
      <c r="R128" s="60"/>
      <c r="S128" s="61"/>
      <c r="T128" s="61"/>
      <c r="U128" s="61"/>
      <c r="V128" s="60"/>
      <c r="W128" s="88" t="str">
        <f aca="false">IF(AND(E128&lt;&gt;"",AND(B128&lt;&gt;"",B128&gt;='Weekly Report'!$F$4,B128&lt;='Weekly Report'!$F$5)),ROW(),"")</f>
        <v/>
      </c>
      <c r="X128" s="88" t="str">
        <f aca="false">IF(AND(E128&lt;&gt;"",M128="Yes",Q128&lt;&gt;"Decided",Q128&lt;&gt;"Withdrawn"),ROW(),"")</f>
        <v/>
      </c>
    </row>
    <row r="129" customFormat="false" ht="15" hidden="false" customHeight="false" outlineLevel="0" collapsed="false">
      <c r="A129" s="56" t="s">
        <v>1943</v>
      </c>
      <c r="B129" s="63"/>
      <c r="C129" s="61"/>
      <c r="D129" s="61"/>
      <c r="E129" s="60"/>
      <c r="F129" s="60"/>
      <c r="G129" s="60"/>
      <c r="H129" s="60"/>
      <c r="I129" s="61"/>
      <c r="J129" s="61"/>
      <c r="K129" s="61"/>
      <c r="L129" s="61"/>
      <c r="M129" s="61"/>
      <c r="N129" s="60"/>
      <c r="O129" s="61"/>
      <c r="P129" s="63"/>
      <c r="Q129" s="61"/>
      <c r="R129" s="60"/>
      <c r="S129" s="61"/>
      <c r="T129" s="61"/>
      <c r="U129" s="61"/>
      <c r="V129" s="60"/>
      <c r="W129" s="88" t="str">
        <f aca="false">IF(AND(E129&lt;&gt;"",AND(B129&lt;&gt;"",B129&gt;='Weekly Report'!$F$4,B129&lt;='Weekly Report'!$F$5)),ROW(),"")</f>
        <v/>
      </c>
      <c r="X129" s="88" t="str">
        <f aca="false">IF(AND(E129&lt;&gt;"",M129="Yes",Q129&lt;&gt;"Decided",Q129&lt;&gt;"Withdrawn"),ROW(),"")</f>
        <v/>
      </c>
    </row>
    <row r="130" customFormat="false" ht="15" hidden="false" customHeight="false" outlineLevel="0" collapsed="false">
      <c r="A130" s="56" t="s">
        <v>1944</v>
      </c>
      <c r="B130" s="63"/>
      <c r="C130" s="61"/>
      <c r="D130" s="61"/>
      <c r="E130" s="60"/>
      <c r="F130" s="60"/>
      <c r="G130" s="60"/>
      <c r="H130" s="60"/>
      <c r="I130" s="61"/>
      <c r="J130" s="61"/>
      <c r="K130" s="61"/>
      <c r="L130" s="61"/>
      <c r="M130" s="61"/>
      <c r="N130" s="60"/>
      <c r="O130" s="61"/>
      <c r="P130" s="63"/>
      <c r="Q130" s="61"/>
      <c r="R130" s="60"/>
      <c r="S130" s="61"/>
      <c r="T130" s="61"/>
      <c r="U130" s="61"/>
      <c r="V130" s="60"/>
      <c r="W130" s="88" t="str">
        <f aca="false">IF(AND(E130&lt;&gt;"",AND(B130&lt;&gt;"",B130&gt;='Weekly Report'!$F$4,B130&lt;='Weekly Report'!$F$5)),ROW(),"")</f>
        <v/>
      </c>
      <c r="X130" s="88" t="str">
        <f aca="false">IF(AND(E130&lt;&gt;"",M130="Yes",Q130&lt;&gt;"Decided",Q130&lt;&gt;"Withdrawn"),ROW(),"")</f>
        <v/>
      </c>
    </row>
    <row r="131" customFormat="false" ht="15" hidden="false" customHeight="false" outlineLevel="0" collapsed="false">
      <c r="A131" s="56" t="s">
        <v>1945</v>
      </c>
      <c r="B131" s="63"/>
      <c r="C131" s="61"/>
      <c r="D131" s="61"/>
      <c r="E131" s="60"/>
      <c r="F131" s="60"/>
      <c r="G131" s="60"/>
      <c r="H131" s="60"/>
      <c r="I131" s="61"/>
      <c r="J131" s="61"/>
      <c r="K131" s="61"/>
      <c r="L131" s="61"/>
      <c r="M131" s="61"/>
      <c r="N131" s="60"/>
      <c r="O131" s="61"/>
      <c r="P131" s="63"/>
      <c r="Q131" s="61"/>
      <c r="R131" s="60"/>
      <c r="S131" s="61"/>
      <c r="T131" s="61"/>
      <c r="U131" s="61"/>
      <c r="V131" s="60"/>
      <c r="W131" s="88" t="str">
        <f aca="false">IF(AND(E131&lt;&gt;"",AND(B131&lt;&gt;"",B131&gt;='Weekly Report'!$F$4,B131&lt;='Weekly Report'!$F$5)),ROW(),"")</f>
        <v/>
      </c>
      <c r="X131" s="88" t="str">
        <f aca="false">IF(AND(E131&lt;&gt;"",M131="Yes",Q131&lt;&gt;"Decided",Q131&lt;&gt;"Withdrawn"),ROW(),"")</f>
        <v/>
      </c>
    </row>
    <row r="132" customFormat="false" ht="15" hidden="false" customHeight="false" outlineLevel="0" collapsed="false">
      <c r="A132" s="56" t="s">
        <v>1946</v>
      </c>
      <c r="B132" s="63"/>
      <c r="C132" s="61"/>
      <c r="D132" s="61"/>
      <c r="E132" s="60"/>
      <c r="F132" s="60"/>
      <c r="G132" s="60"/>
      <c r="H132" s="60"/>
      <c r="I132" s="61"/>
      <c r="J132" s="61"/>
      <c r="K132" s="61"/>
      <c r="L132" s="61"/>
      <c r="M132" s="61"/>
      <c r="N132" s="60"/>
      <c r="O132" s="61"/>
      <c r="P132" s="63"/>
      <c r="Q132" s="61"/>
      <c r="R132" s="60"/>
      <c r="S132" s="61"/>
      <c r="T132" s="61"/>
      <c r="U132" s="61"/>
      <c r="V132" s="60"/>
      <c r="W132" s="88" t="str">
        <f aca="false">IF(AND(E132&lt;&gt;"",AND(B132&lt;&gt;"",B132&gt;='Weekly Report'!$F$4,B132&lt;='Weekly Report'!$F$5)),ROW(),"")</f>
        <v/>
      </c>
      <c r="X132" s="88" t="str">
        <f aca="false">IF(AND(E132&lt;&gt;"",M132="Yes",Q132&lt;&gt;"Decided",Q132&lt;&gt;"Withdrawn"),ROW(),"")</f>
        <v/>
      </c>
    </row>
    <row r="133" customFormat="false" ht="15" hidden="false" customHeight="false" outlineLevel="0" collapsed="false">
      <c r="A133" s="56" t="s">
        <v>1947</v>
      </c>
      <c r="B133" s="63"/>
      <c r="C133" s="61"/>
      <c r="D133" s="61"/>
      <c r="E133" s="60"/>
      <c r="F133" s="60"/>
      <c r="G133" s="60"/>
      <c r="H133" s="60"/>
      <c r="I133" s="61"/>
      <c r="J133" s="61"/>
      <c r="K133" s="61"/>
      <c r="L133" s="61"/>
      <c r="M133" s="61"/>
      <c r="N133" s="60"/>
      <c r="O133" s="61"/>
      <c r="P133" s="63"/>
      <c r="Q133" s="61"/>
      <c r="R133" s="60"/>
      <c r="S133" s="61"/>
      <c r="T133" s="61"/>
      <c r="U133" s="61"/>
      <c r="V133" s="60"/>
      <c r="W133" s="88" t="str">
        <f aca="false">IF(AND(E133&lt;&gt;"",AND(B133&lt;&gt;"",B133&gt;='Weekly Report'!$F$4,B133&lt;='Weekly Report'!$F$5)),ROW(),"")</f>
        <v/>
      </c>
      <c r="X133" s="88" t="str">
        <f aca="false">IF(AND(E133&lt;&gt;"",M133="Yes",Q133&lt;&gt;"Decided",Q133&lt;&gt;"Withdrawn"),ROW(),"")</f>
        <v/>
      </c>
    </row>
    <row r="134" customFormat="false" ht="15" hidden="false" customHeight="false" outlineLevel="0" collapsed="false">
      <c r="A134" s="56" t="s">
        <v>1948</v>
      </c>
      <c r="B134" s="63"/>
      <c r="C134" s="61"/>
      <c r="D134" s="61"/>
      <c r="E134" s="60"/>
      <c r="F134" s="60"/>
      <c r="G134" s="60"/>
      <c r="H134" s="60"/>
      <c r="I134" s="61"/>
      <c r="J134" s="61"/>
      <c r="K134" s="61"/>
      <c r="L134" s="61"/>
      <c r="M134" s="61"/>
      <c r="N134" s="60"/>
      <c r="O134" s="61"/>
      <c r="P134" s="63"/>
      <c r="Q134" s="61"/>
      <c r="R134" s="60"/>
      <c r="S134" s="61"/>
      <c r="T134" s="61"/>
      <c r="U134" s="61"/>
      <c r="V134" s="60"/>
      <c r="W134" s="88" t="str">
        <f aca="false">IF(AND(E134&lt;&gt;"",AND(B134&lt;&gt;"",B134&gt;='Weekly Report'!$F$4,B134&lt;='Weekly Report'!$F$5)),ROW(),"")</f>
        <v/>
      </c>
      <c r="X134" s="88" t="str">
        <f aca="false">IF(AND(E134&lt;&gt;"",M134="Yes",Q134&lt;&gt;"Decided",Q134&lt;&gt;"Withdrawn"),ROW(),"")</f>
        <v/>
      </c>
    </row>
    <row r="135" customFormat="false" ht="15" hidden="false" customHeight="false" outlineLevel="0" collapsed="false">
      <c r="A135" s="56" t="s">
        <v>1949</v>
      </c>
      <c r="B135" s="63"/>
      <c r="C135" s="61"/>
      <c r="D135" s="61"/>
      <c r="E135" s="60"/>
      <c r="F135" s="60"/>
      <c r="G135" s="60"/>
      <c r="H135" s="60"/>
      <c r="I135" s="61"/>
      <c r="J135" s="61"/>
      <c r="K135" s="61"/>
      <c r="L135" s="61"/>
      <c r="M135" s="61"/>
      <c r="N135" s="60"/>
      <c r="O135" s="61"/>
      <c r="P135" s="63"/>
      <c r="Q135" s="61"/>
      <c r="R135" s="60"/>
      <c r="S135" s="61"/>
      <c r="T135" s="61"/>
      <c r="U135" s="61"/>
      <c r="V135" s="60"/>
      <c r="W135" s="88" t="str">
        <f aca="false">IF(AND(E135&lt;&gt;"",AND(B135&lt;&gt;"",B135&gt;='Weekly Report'!$F$4,B135&lt;='Weekly Report'!$F$5)),ROW(),"")</f>
        <v/>
      </c>
      <c r="X135" s="88" t="str">
        <f aca="false">IF(AND(E135&lt;&gt;"",M135="Yes",Q135&lt;&gt;"Decided",Q135&lt;&gt;"Withdrawn"),ROW(),"")</f>
        <v/>
      </c>
    </row>
    <row r="136" customFormat="false" ht="15" hidden="false" customHeight="false" outlineLevel="0" collapsed="false">
      <c r="A136" s="56" t="s">
        <v>1950</v>
      </c>
      <c r="B136" s="63"/>
      <c r="C136" s="61"/>
      <c r="D136" s="61"/>
      <c r="E136" s="60"/>
      <c r="F136" s="60"/>
      <c r="G136" s="60"/>
      <c r="H136" s="60"/>
      <c r="I136" s="61"/>
      <c r="J136" s="61"/>
      <c r="K136" s="61"/>
      <c r="L136" s="61"/>
      <c r="M136" s="61"/>
      <c r="N136" s="60"/>
      <c r="O136" s="61"/>
      <c r="P136" s="63"/>
      <c r="Q136" s="61"/>
      <c r="R136" s="60"/>
      <c r="S136" s="61"/>
      <c r="T136" s="61"/>
      <c r="U136" s="61"/>
      <c r="V136" s="60"/>
      <c r="W136" s="88" t="str">
        <f aca="false">IF(AND(E136&lt;&gt;"",AND(B136&lt;&gt;"",B136&gt;='Weekly Report'!$F$4,B136&lt;='Weekly Report'!$F$5)),ROW(),"")</f>
        <v/>
      </c>
      <c r="X136" s="88" t="str">
        <f aca="false">IF(AND(E136&lt;&gt;"",M136="Yes",Q136&lt;&gt;"Decided",Q136&lt;&gt;"Withdrawn"),ROW(),"")</f>
        <v/>
      </c>
    </row>
    <row r="137" customFormat="false" ht="15" hidden="false" customHeight="false" outlineLevel="0" collapsed="false">
      <c r="A137" s="56" t="s">
        <v>1951</v>
      </c>
      <c r="B137" s="63"/>
      <c r="C137" s="61"/>
      <c r="D137" s="61"/>
      <c r="E137" s="60"/>
      <c r="F137" s="60"/>
      <c r="G137" s="60"/>
      <c r="H137" s="60"/>
      <c r="I137" s="61"/>
      <c r="J137" s="61"/>
      <c r="K137" s="61"/>
      <c r="L137" s="61"/>
      <c r="M137" s="61"/>
      <c r="N137" s="60"/>
      <c r="O137" s="61"/>
      <c r="P137" s="63"/>
      <c r="Q137" s="61"/>
      <c r="R137" s="60"/>
      <c r="S137" s="61"/>
      <c r="T137" s="61"/>
      <c r="U137" s="61"/>
      <c r="V137" s="60"/>
      <c r="W137" s="88" t="str">
        <f aca="false">IF(AND(E137&lt;&gt;"",AND(B137&lt;&gt;"",B137&gt;='Weekly Report'!$F$4,B137&lt;='Weekly Report'!$F$5)),ROW(),"")</f>
        <v/>
      </c>
      <c r="X137" s="88" t="str">
        <f aca="false">IF(AND(E137&lt;&gt;"",M137="Yes",Q137&lt;&gt;"Decided",Q137&lt;&gt;"Withdrawn"),ROW(),"")</f>
        <v/>
      </c>
    </row>
    <row r="138" customFormat="false" ht="15" hidden="false" customHeight="false" outlineLevel="0" collapsed="false">
      <c r="A138" s="56" t="s">
        <v>1952</v>
      </c>
      <c r="B138" s="63"/>
      <c r="C138" s="61"/>
      <c r="D138" s="61"/>
      <c r="E138" s="60"/>
      <c r="F138" s="60"/>
      <c r="G138" s="60"/>
      <c r="H138" s="60"/>
      <c r="I138" s="61"/>
      <c r="J138" s="61"/>
      <c r="K138" s="61"/>
      <c r="L138" s="61"/>
      <c r="M138" s="61"/>
      <c r="N138" s="60"/>
      <c r="O138" s="61"/>
      <c r="P138" s="63"/>
      <c r="Q138" s="61"/>
      <c r="R138" s="60"/>
      <c r="S138" s="61"/>
      <c r="T138" s="61"/>
      <c r="U138" s="61"/>
      <c r="V138" s="60"/>
      <c r="W138" s="88" t="str">
        <f aca="false">IF(AND(E138&lt;&gt;"",AND(B138&lt;&gt;"",B138&gt;='Weekly Report'!$F$4,B138&lt;='Weekly Report'!$F$5)),ROW(),"")</f>
        <v/>
      </c>
      <c r="X138" s="88" t="str">
        <f aca="false">IF(AND(E138&lt;&gt;"",M138="Yes",Q138&lt;&gt;"Decided",Q138&lt;&gt;"Withdrawn"),ROW(),"")</f>
        <v/>
      </c>
    </row>
    <row r="139" customFormat="false" ht="15" hidden="false" customHeight="false" outlineLevel="0" collapsed="false">
      <c r="A139" s="56" t="s">
        <v>1953</v>
      </c>
      <c r="B139" s="63"/>
      <c r="C139" s="61"/>
      <c r="D139" s="61"/>
      <c r="E139" s="60"/>
      <c r="F139" s="60"/>
      <c r="G139" s="60"/>
      <c r="H139" s="60"/>
      <c r="I139" s="61"/>
      <c r="J139" s="61"/>
      <c r="K139" s="61"/>
      <c r="L139" s="61"/>
      <c r="M139" s="61"/>
      <c r="N139" s="60"/>
      <c r="O139" s="61"/>
      <c r="P139" s="63"/>
      <c r="Q139" s="61"/>
      <c r="R139" s="60"/>
      <c r="S139" s="61"/>
      <c r="T139" s="61"/>
      <c r="U139" s="61"/>
      <c r="V139" s="60"/>
      <c r="W139" s="88" t="str">
        <f aca="false">IF(AND(E139&lt;&gt;"",AND(B139&lt;&gt;"",B139&gt;='Weekly Report'!$F$4,B139&lt;='Weekly Report'!$F$5)),ROW(),"")</f>
        <v/>
      </c>
      <c r="X139" s="88" t="str">
        <f aca="false">IF(AND(E139&lt;&gt;"",M139="Yes",Q139&lt;&gt;"Decided",Q139&lt;&gt;"Withdrawn"),ROW(),"")</f>
        <v/>
      </c>
    </row>
    <row r="140" customFormat="false" ht="15" hidden="false" customHeight="false" outlineLevel="0" collapsed="false">
      <c r="A140" s="56" t="s">
        <v>1954</v>
      </c>
      <c r="B140" s="63"/>
      <c r="C140" s="61"/>
      <c r="D140" s="61"/>
      <c r="E140" s="60"/>
      <c r="F140" s="60"/>
      <c r="G140" s="60"/>
      <c r="H140" s="60"/>
      <c r="I140" s="61"/>
      <c r="J140" s="61"/>
      <c r="K140" s="61"/>
      <c r="L140" s="61"/>
      <c r="M140" s="61"/>
      <c r="N140" s="60"/>
      <c r="O140" s="61"/>
      <c r="P140" s="63"/>
      <c r="Q140" s="61"/>
      <c r="R140" s="60"/>
      <c r="S140" s="61"/>
      <c r="T140" s="61"/>
      <c r="U140" s="61"/>
      <c r="V140" s="60"/>
      <c r="W140" s="88" t="str">
        <f aca="false">IF(AND(E140&lt;&gt;"",AND(B140&lt;&gt;"",B140&gt;='Weekly Report'!$F$4,B140&lt;='Weekly Report'!$F$5)),ROW(),"")</f>
        <v/>
      </c>
      <c r="X140" s="88" t="str">
        <f aca="false">IF(AND(E140&lt;&gt;"",M140="Yes",Q140&lt;&gt;"Decided",Q140&lt;&gt;"Withdrawn"),ROW(),"")</f>
        <v/>
      </c>
    </row>
    <row r="141" customFormat="false" ht="15" hidden="false" customHeight="false" outlineLevel="0" collapsed="false">
      <c r="A141" s="56" t="s">
        <v>1955</v>
      </c>
      <c r="B141" s="63"/>
      <c r="C141" s="61"/>
      <c r="D141" s="61"/>
      <c r="E141" s="60"/>
      <c r="F141" s="60"/>
      <c r="G141" s="60"/>
      <c r="H141" s="60"/>
      <c r="I141" s="61"/>
      <c r="J141" s="61"/>
      <c r="K141" s="61"/>
      <c r="L141" s="61"/>
      <c r="M141" s="61"/>
      <c r="N141" s="60"/>
      <c r="O141" s="61"/>
      <c r="P141" s="63"/>
      <c r="Q141" s="61"/>
      <c r="R141" s="60"/>
      <c r="S141" s="61"/>
      <c r="T141" s="61"/>
      <c r="U141" s="61"/>
      <c r="V141" s="60"/>
      <c r="W141" s="88" t="str">
        <f aca="false">IF(AND(E141&lt;&gt;"",AND(B141&lt;&gt;"",B141&gt;='Weekly Report'!$F$4,B141&lt;='Weekly Report'!$F$5)),ROW(),"")</f>
        <v/>
      </c>
      <c r="X141" s="88" t="str">
        <f aca="false">IF(AND(E141&lt;&gt;"",M141="Yes",Q141&lt;&gt;"Decided",Q141&lt;&gt;"Withdrawn"),ROW(),"")</f>
        <v/>
      </c>
    </row>
    <row r="142" customFormat="false" ht="15" hidden="false" customHeight="false" outlineLevel="0" collapsed="false">
      <c r="A142" s="56" t="s">
        <v>1956</v>
      </c>
      <c r="B142" s="63"/>
      <c r="C142" s="61"/>
      <c r="D142" s="61"/>
      <c r="E142" s="60"/>
      <c r="F142" s="60"/>
      <c r="G142" s="60"/>
      <c r="H142" s="60"/>
      <c r="I142" s="61"/>
      <c r="J142" s="61"/>
      <c r="K142" s="61"/>
      <c r="L142" s="61"/>
      <c r="M142" s="61"/>
      <c r="N142" s="60"/>
      <c r="O142" s="61"/>
      <c r="P142" s="63"/>
      <c r="Q142" s="61"/>
      <c r="R142" s="60"/>
      <c r="S142" s="61"/>
      <c r="T142" s="61"/>
      <c r="U142" s="61"/>
      <c r="V142" s="60"/>
      <c r="W142" s="88" t="str">
        <f aca="false">IF(AND(E142&lt;&gt;"",AND(B142&lt;&gt;"",B142&gt;='Weekly Report'!$F$4,B142&lt;='Weekly Report'!$F$5)),ROW(),"")</f>
        <v/>
      </c>
      <c r="X142" s="88" t="str">
        <f aca="false">IF(AND(E142&lt;&gt;"",M142="Yes",Q142&lt;&gt;"Decided",Q142&lt;&gt;"Withdrawn"),ROW(),"")</f>
        <v/>
      </c>
    </row>
    <row r="143" customFormat="false" ht="15" hidden="false" customHeight="false" outlineLevel="0" collapsed="false">
      <c r="A143" s="56" t="s">
        <v>1957</v>
      </c>
      <c r="B143" s="63"/>
      <c r="C143" s="61"/>
      <c r="D143" s="61"/>
      <c r="E143" s="60"/>
      <c r="F143" s="60"/>
      <c r="G143" s="60"/>
      <c r="H143" s="60"/>
      <c r="I143" s="61"/>
      <c r="J143" s="61"/>
      <c r="K143" s="61"/>
      <c r="L143" s="61"/>
      <c r="M143" s="61"/>
      <c r="N143" s="60"/>
      <c r="O143" s="61"/>
      <c r="P143" s="63"/>
      <c r="Q143" s="61"/>
      <c r="R143" s="60"/>
      <c r="S143" s="61"/>
      <c r="T143" s="61"/>
      <c r="U143" s="61"/>
      <c r="V143" s="60"/>
      <c r="W143" s="88" t="str">
        <f aca="false">IF(AND(E143&lt;&gt;"",AND(B143&lt;&gt;"",B143&gt;='Weekly Report'!$F$4,B143&lt;='Weekly Report'!$F$5)),ROW(),"")</f>
        <v/>
      </c>
      <c r="X143" s="88" t="str">
        <f aca="false">IF(AND(E143&lt;&gt;"",M143="Yes",Q143&lt;&gt;"Decided",Q143&lt;&gt;"Withdrawn"),ROW(),"")</f>
        <v/>
      </c>
    </row>
    <row r="144" customFormat="false" ht="15" hidden="false" customHeight="false" outlineLevel="0" collapsed="false">
      <c r="A144" s="56" t="s">
        <v>1958</v>
      </c>
      <c r="B144" s="63"/>
      <c r="C144" s="61"/>
      <c r="D144" s="61"/>
      <c r="E144" s="60"/>
      <c r="F144" s="60"/>
      <c r="G144" s="60"/>
      <c r="H144" s="60"/>
      <c r="I144" s="61"/>
      <c r="J144" s="61"/>
      <c r="K144" s="61"/>
      <c r="L144" s="61"/>
      <c r="M144" s="61"/>
      <c r="N144" s="60"/>
      <c r="O144" s="61"/>
      <c r="P144" s="63"/>
      <c r="Q144" s="61"/>
      <c r="R144" s="60"/>
      <c r="S144" s="61"/>
      <c r="T144" s="61"/>
      <c r="U144" s="61"/>
      <c r="V144" s="60"/>
      <c r="W144" s="88" t="str">
        <f aca="false">IF(AND(E144&lt;&gt;"",AND(B144&lt;&gt;"",B144&gt;='Weekly Report'!$F$4,B144&lt;='Weekly Report'!$F$5)),ROW(),"")</f>
        <v/>
      </c>
      <c r="X144" s="88" t="str">
        <f aca="false">IF(AND(E144&lt;&gt;"",M144="Yes",Q144&lt;&gt;"Decided",Q144&lt;&gt;"Withdrawn"),ROW(),"")</f>
        <v/>
      </c>
    </row>
    <row r="145" customFormat="false" ht="15" hidden="false" customHeight="false" outlineLevel="0" collapsed="false">
      <c r="A145" s="56" t="s">
        <v>1959</v>
      </c>
      <c r="B145" s="63"/>
      <c r="C145" s="61"/>
      <c r="D145" s="61"/>
      <c r="E145" s="60"/>
      <c r="F145" s="60"/>
      <c r="G145" s="60"/>
      <c r="H145" s="60"/>
      <c r="I145" s="61"/>
      <c r="J145" s="61"/>
      <c r="K145" s="61"/>
      <c r="L145" s="61"/>
      <c r="M145" s="61"/>
      <c r="N145" s="60"/>
      <c r="O145" s="61"/>
      <c r="P145" s="63"/>
      <c r="Q145" s="61"/>
      <c r="R145" s="60"/>
      <c r="S145" s="61"/>
      <c r="T145" s="61"/>
      <c r="U145" s="61"/>
      <c r="V145" s="60"/>
      <c r="W145" s="88" t="str">
        <f aca="false">IF(AND(E145&lt;&gt;"",AND(B145&lt;&gt;"",B145&gt;='Weekly Report'!$F$4,B145&lt;='Weekly Report'!$F$5)),ROW(),"")</f>
        <v/>
      </c>
      <c r="X145" s="88" t="str">
        <f aca="false">IF(AND(E145&lt;&gt;"",M145="Yes",Q145&lt;&gt;"Decided",Q145&lt;&gt;"Withdrawn"),ROW(),"")</f>
        <v/>
      </c>
    </row>
    <row r="146" customFormat="false" ht="15" hidden="false" customHeight="false" outlineLevel="0" collapsed="false">
      <c r="A146" s="56" t="s">
        <v>1960</v>
      </c>
      <c r="B146" s="63"/>
      <c r="C146" s="61"/>
      <c r="D146" s="61"/>
      <c r="E146" s="60"/>
      <c r="F146" s="60"/>
      <c r="G146" s="60"/>
      <c r="H146" s="60"/>
      <c r="I146" s="61"/>
      <c r="J146" s="61"/>
      <c r="K146" s="61"/>
      <c r="L146" s="61"/>
      <c r="M146" s="61"/>
      <c r="N146" s="60"/>
      <c r="O146" s="61"/>
      <c r="P146" s="63"/>
      <c r="Q146" s="61"/>
      <c r="R146" s="60"/>
      <c r="S146" s="61"/>
      <c r="T146" s="61"/>
      <c r="U146" s="61"/>
      <c r="V146" s="60"/>
      <c r="W146" s="88" t="str">
        <f aca="false">IF(AND(E146&lt;&gt;"",AND(B146&lt;&gt;"",B146&gt;='Weekly Report'!$F$4,B146&lt;='Weekly Report'!$F$5)),ROW(),"")</f>
        <v/>
      </c>
      <c r="X146" s="88" t="str">
        <f aca="false">IF(AND(E146&lt;&gt;"",M146="Yes",Q146&lt;&gt;"Decided",Q146&lt;&gt;"Withdrawn"),ROW(),"")</f>
        <v/>
      </c>
    </row>
    <row r="147" customFormat="false" ht="15" hidden="false" customHeight="false" outlineLevel="0" collapsed="false">
      <c r="A147" s="56" t="s">
        <v>1961</v>
      </c>
      <c r="B147" s="63"/>
      <c r="C147" s="61"/>
      <c r="D147" s="61"/>
      <c r="E147" s="60"/>
      <c r="F147" s="60"/>
      <c r="G147" s="60"/>
      <c r="H147" s="60"/>
      <c r="I147" s="61"/>
      <c r="J147" s="61"/>
      <c r="K147" s="61"/>
      <c r="L147" s="61"/>
      <c r="M147" s="61"/>
      <c r="N147" s="60"/>
      <c r="O147" s="61"/>
      <c r="P147" s="63"/>
      <c r="Q147" s="61"/>
      <c r="R147" s="60"/>
      <c r="S147" s="61"/>
      <c r="T147" s="61"/>
      <c r="U147" s="61"/>
      <c r="V147" s="60"/>
      <c r="W147" s="88" t="str">
        <f aca="false">IF(AND(E147&lt;&gt;"",AND(B147&lt;&gt;"",B147&gt;='Weekly Report'!$F$4,B147&lt;='Weekly Report'!$F$5)),ROW(),"")</f>
        <v/>
      </c>
      <c r="X147" s="88" t="str">
        <f aca="false">IF(AND(E147&lt;&gt;"",M147="Yes",Q147&lt;&gt;"Decided",Q147&lt;&gt;"Withdrawn"),ROW(),"")</f>
        <v/>
      </c>
    </row>
    <row r="148" customFormat="false" ht="15" hidden="false" customHeight="false" outlineLevel="0" collapsed="false">
      <c r="A148" s="56" t="s">
        <v>1962</v>
      </c>
      <c r="B148" s="63"/>
      <c r="C148" s="61"/>
      <c r="D148" s="61"/>
      <c r="E148" s="60"/>
      <c r="F148" s="60"/>
      <c r="G148" s="60"/>
      <c r="H148" s="60"/>
      <c r="I148" s="61"/>
      <c r="J148" s="61"/>
      <c r="K148" s="61"/>
      <c r="L148" s="61"/>
      <c r="M148" s="61"/>
      <c r="N148" s="60"/>
      <c r="O148" s="61"/>
      <c r="P148" s="63"/>
      <c r="Q148" s="61"/>
      <c r="R148" s="60"/>
      <c r="S148" s="61"/>
      <c r="T148" s="61"/>
      <c r="U148" s="61"/>
      <c r="V148" s="60"/>
      <c r="W148" s="88" t="str">
        <f aca="false">IF(AND(E148&lt;&gt;"",AND(B148&lt;&gt;"",B148&gt;='Weekly Report'!$F$4,B148&lt;='Weekly Report'!$F$5)),ROW(),"")</f>
        <v/>
      </c>
      <c r="X148" s="88" t="str">
        <f aca="false">IF(AND(E148&lt;&gt;"",M148="Yes",Q148&lt;&gt;"Decided",Q148&lt;&gt;"Withdrawn"),ROW(),"")</f>
        <v/>
      </c>
    </row>
    <row r="149" customFormat="false" ht="15" hidden="false" customHeight="false" outlineLevel="0" collapsed="false">
      <c r="A149" s="56" t="s">
        <v>1963</v>
      </c>
      <c r="B149" s="63"/>
      <c r="C149" s="61"/>
      <c r="D149" s="61"/>
      <c r="E149" s="60"/>
      <c r="F149" s="60"/>
      <c r="G149" s="60"/>
      <c r="H149" s="60"/>
      <c r="I149" s="61"/>
      <c r="J149" s="61"/>
      <c r="K149" s="61"/>
      <c r="L149" s="61"/>
      <c r="M149" s="61"/>
      <c r="N149" s="60"/>
      <c r="O149" s="61"/>
      <c r="P149" s="63"/>
      <c r="Q149" s="61"/>
      <c r="R149" s="60"/>
      <c r="S149" s="61"/>
      <c r="T149" s="61"/>
      <c r="U149" s="61"/>
      <c r="V149" s="60"/>
      <c r="W149" s="88" t="str">
        <f aca="false">IF(AND(E149&lt;&gt;"",AND(B149&lt;&gt;"",B149&gt;='Weekly Report'!$F$4,B149&lt;='Weekly Report'!$F$5)),ROW(),"")</f>
        <v/>
      </c>
      <c r="X149" s="88" t="str">
        <f aca="false">IF(AND(E149&lt;&gt;"",M149="Yes",Q149&lt;&gt;"Decided",Q149&lt;&gt;"Withdrawn"),ROW(),"")</f>
        <v/>
      </c>
    </row>
    <row r="150" customFormat="false" ht="15" hidden="false" customHeight="false" outlineLevel="0" collapsed="false">
      <c r="A150" s="56" t="s">
        <v>1964</v>
      </c>
      <c r="B150" s="63"/>
      <c r="C150" s="61"/>
      <c r="D150" s="61"/>
      <c r="E150" s="60"/>
      <c r="F150" s="60"/>
      <c r="G150" s="60"/>
      <c r="H150" s="60"/>
      <c r="I150" s="61"/>
      <c r="J150" s="61"/>
      <c r="K150" s="61"/>
      <c r="L150" s="61"/>
      <c r="M150" s="61"/>
      <c r="N150" s="60"/>
      <c r="O150" s="61"/>
      <c r="P150" s="63"/>
      <c r="Q150" s="61"/>
      <c r="R150" s="60"/>
      <c r="S150" s="61"/>
      <c r="T150" s="61"/>
      <c r="U150" s="61"/>
      <c r="V150" s="60"/>
      <c r="W150" s="88" t="str">
        <f aca="false">IF(AND(E150&lt;&gt;"",AND(B150&lt;&gt;"",B150&gt;='Weekly Report'!$F$4,B150&lt;='Weekly Report'!$F$5)),ROW(),"")</f>
        <v/>
      </c>
      <c r="X150" s="88" t="str">
        <f aca="false">IF(AND(E150&lt;&gt;"",M150="Yes",Q150&lt;&gt;"Decided",Q150&lt;&gt;"Withdrawn"),ROW(),"")</f>
        <v/>
      </c>
    </row>
    <row r="151" customFormat="false" ht="15" hidden="false" customHeight="false" outlineLevel="0" collapsed="false">
      <c r="A151" s="56" t="s">
        <v>1965</v>
      </c>
      <c r="B151" s="63"/>
      <c r="C151" s="61"/>
      <c r="D151" s="61"/>
      <c r="E151" s="60"/>
      <c r="F151" s="60"/>
      <c r="G151" s="60"/>
      <c r="H151" s="60"/>
      <c r="I151" s="61"/>
      <c r="J151" s="61"/>
      <c r="K151" s="61"/>
      <c r="L151" s="61"/>
      <c r="M151" s="61"/>
      <c r="N151" s="60"/>
      <c r="O151" s="61"/>
      <c r="P151" s="63"/>
      <c r="Q151" s="61"/>
      <c r="R151" s="60"/>
      <c r="S151" s="61"/>
      <c r="T151" s="61"/>
      <c r="U151" s="61"/>
      <c r="V151" s="60"/>
      <c r="W151" s="88" t="str">
        <f aca="false">IF(AND(E151&lt;&gt;"",AND(B151&lt;&gt;"",B151&gt;='Weekly Report'!$F$4,B151&lt;='Weekly Report'!$F$5)),ROW(),"")</f>
        <v/>
      </c>
      <c r="X151" s="88" t="str">
        <f aca="false">IF(AND(E151&lt;&gt;"",M151="Yes",Q151&lt;&gt;"Decided",Q151&lt;&gt;"Withdrawn"),ROW(),"")</f>
        <v/>
      </c>
    </row>
    <row r="152" customFormat="false" ht="15" hidden="false" customHeight="false" outlineLevel="0" collapsed="false">
      <c r="A152" s="56" t="s">
        <v>1966</v>
      </c>
      <c r="B152" s="63"/>
      <c r="C152" s="61"/>
      <c r="D152" s="61"/>
      <c r="E152" s="60"/>
      <c r="F152" s="60"/>
      <c r="G152" s="60"/>
      <c r="H152" s="60"/>
      <c r="I152" s="61"/>
      <c r="J152" s="61"/>
      <c r="K152" s="61"/>
      <c r="L152" s="61"/>
      <c r="M152" s="61"/>
      <c r="N152" s="60"/>
      <c r="O152" s="61"/>
      <c r="P152" s="63"/>
      <c r="Q152" s="61"/>
      <c r="R152" s="60"/>
      <c r="S152" s="61"/>
      <c r="T152" s="61"/>
      <c r="U152" s="61"/>
      <c r="V152" s="60"/>
      <c r="W152" s="88" t="str">
        <f aca="false">IF(AND(E152&lt;&gt;"",AND(B152&lt;&gt;"",B152&gt;='Weekly Report'!$F$4,B152&lt;='Weekly Report'!$F$5)),ROW(),"")</f>
        <v/>
      </c>
      <c r="X152" s="88" t="str">
        <f aca="false">IF(AND(E152&lt;&gt;"",M152="Yes",Q152&lt;&gt;"Decided",Q152&lt;&gt;"Withdrawn"),ROW(),"")</f>
        <v/>
      </c>
    </row>
    <row r="153" customFormat="false" ht="15" hidden="false" customHeight="false" outlineLevel="0" collapsed="false">
      <c r="A153" s="56" t="s">
        <v>1967</v>
      </c>
      <c r="B153" s="63"/>
      <c r="C153" s="61"/>
      <c r="D153" s="61"/>
      <c r="E153" s="60"/>
      <c r="F153" s="60"/>
      <c r="G153" s="60"/>
      <c r="H153" s="60"/>
      <c r="I153" s="61"/>
      <c r="J153" s="61"/>
      <c r="K153" s="61"/>
      <c r="L153" s="61"/>
      <c r="M153" s="61"/>
      <c r="N153" s="60"/>
      <c r="O153" s="61"/>
      <c r="P153" s="63"/>
      <c r="Q153" s="61"/>
      <c r="R153" s="60"/>
      <c r="S153" s="61"/>
      <c r="T153" s="61"/>
      <c r="U153" s="61"/>
      <c r="V153" s="60"/>
      <c r="W153" s="88" t="str">
        <f aca="false">IF(AND(E153&lt;&gt;"",AND(B153&lt;&gt;"",B153&gt;='Weekly Report'!$F$4,B153&lt;='Weekly Report'!$F$5)),ROW(),"")</f>
        <v/>
      </c>
      <c r="X153" s="88" t="str">
        <f aca="false">IF(AND(E153&lt;&gt;"",M153="Yes",Q153&lt;&gt;"Decided",Q153&lt;&gt;"Withdrawn"),ROW(),"")</f>
        <v/>
      </c>
    </row>
    <row r="154" customFormat="false" ht="15" hidden="false" customHeight="false" outlineLevel="0" collapsed="false">
      <c r="A154" s="56" t="s">
        <v>1968</v>
      </c>
      <c r="B154" s="63"/>
      <c r="C154" s="61"/>
      <c r="D154" s="61"/>
      <c r="E154" s="60"/>
      <c r="F154" s="60"/>
      <c r="G154" s="60"/>
      <c r="H154" s="60"/>
      <c r="I154" s="61"/>
      <c r="J154" s="61"/>
      <c r="K154" s="61"/>
      <c r="L154" s="61"/>
      <c r="M154" s="61"/>
      <c r="N154" s="60"/>
      <c r="O154" s="61"/>
      <c r="P154" s="63"/>
      <c r="Q154" s="61"/>
      <c r="R154" s="60"/>
      <c r="S154" s="61"/>
      <c r="T154" s="61"/>
      <c r="U154" s="61"/>
      <c r="V154" s="60"/>
      <c r="W154" s="88" t="str">
        <f aca="false">IF(AND(E154&lt;&gt;"",AND(B154&lt;&gt;"",B154&gt;='Weekly Report'!$F$4,B154&lt;='Weekly Report'!$F$5)),ROW(),"")</f>
        <v/>
      </c>
      <c r="X154" s="88" t="str">
        <f aca="false">IF(AND(E154&lt;&gt;"",M154="Yes",Q154&lt;&gt;"Decided",Q154&lt;&gt;"Withdrawn"),ROW(),"")</f>
        <v/>
      </c>
    </row>
    <row r="155" customFormat="false" ht="15" hidden="false" customHeight="false" outlineLevel="0" collapsed="false">
      <c r="A155" s="56" t="s">
        <v>1969</v>
      </c>
      <c r="B155" s="63"/>
      <c r="C155" s="61"/>
      <c r="D155" s="61"/>
      <c r="E155" s="60"/>
      <c r="F155" s="60"/>
      <c r="G155" s="60"/>
      <c r="H155" s="60"/>
      <c r="I155" s="61"/>
      <c r="J155" s="61"/>
      <c r="K155" s="61"/>
      <c r="L155" s="61"/>
      <c r="M155" s="61"/>
      <c r="N155" s="60"/>
      <c r="O155" s="61"/>
      <c r="P155" s="63"/>
      <c r="Q155" s="61"/>
      <c r="R155" s="60"/>
      <c r="S155" s="61"/>
      <c r="T155" s="61"/>
      <c r="U155" s="61"/>
      <c r="V155" s="60"/>
      <c r="W155" s="88" t="str">
        <f aca="false">IF(AND(E155&lt;&gt;"",AND(B155&lt;&gt;"",B155&gt;='Weekly Report'!$F$4,B155&lt;='Weekly Report'!$F$5)),ROW(),"")</f>
        <v/>
      </c>
      <c r="X155" s="88" t="str">
        <f aca="false">IF(AND(E155&lt;&gt;"",M155="Yes",Q155&lt;&gt;"Decided",Q155&lt;&gt;"Withdrawn"),ROW(),"")</f>
        <v/>
      </c>
    </row>
    <row r="156" customFormat="false" ht="15" hidden="false" customHeight="false" outlineLevel="0" collapsed="false">
      <c r="A156" s="56" t="s">
        <v>1970</v>
      </c>
      <c r="B156" s="63"/>
      <c r="C156" s="61"/>
      <c r="D156" s="61"/>
      <c r="E156" s="60"/>
      <c r="F156" s="60"/>
      <c r="G156" s="60"/>
      <c r="H156" s="60"/>
      <c r="I156" s="61"/>
      <c r="J156" s="61"/>
      <c r="K156" s="61"/>
      <c r="L156" s="61"/>
      <c r="M156" s="61"/>
      <c r="N156" s="60"/>
      <c r="O156" s="61"/>
      <c r="P156" s="63"/>
      <c r="Q156" s="61"/>
      <c r="R156" s="60"/>
      <c r="S156" s="61"/>
      <c r="T156" s="61"/>
      <c r="U156" s="61"/>
      <c r="V156" s="60"/>
      <c r="W156" s="88" t="str">
        <f aca="false">IF(AND(E156&lt;&gt;"",AND(B156&lt;&gt;"",B156&gt;='Weekly Report'!$F$4,B156&lt;='Weekly Report'!$F$5)),ROW(),"")</f>
        <v/>
      </c>
      <c r="X156" s="88" t="str">
        <f aca="false">IF(AND(E156&lt;&gt;"",M156="Yes",Q156&lt;&gt;"Decided",Q156&lt;&gt;"Withdrawn"),ROW(),"")</f>
        <v/>
      </c>
    </row>
    <row r="157" customFormat="false" ht="15" hidden="false" customHeight="false" outlineLevel="0" collapsed="false">
      <c r="A157" s="56" t="s">
        <v>1971</v>
      </c>
      <c r="B157" s="63"/>
      <c r="C157" s="61"/>
      <c r="D157" s="61"/>
      <c r="E157" s="60"/>
      <c r="F157" s="60"/>
      <c r="G157" s="60"/>
      <c r="H157" s="60"/>
      <c r="I157" s="61"/>
      <c r="J157" s="61"/>
      <c r="K157" s="61"/>
      <c r="L157" s="61"/>
      <c r="M157" s="61"/>
      <c r="N157" s="60"/>
      <c r="O157" s="61"/>
      <c r="P157" s="63"/>
      <c r="Q157" s="61"/>
      <c r="R157" s="60"/>
      <c r="S157" s="61"/>
      <c r="T157" s="61"/>
      <c r="U157" s="61"/>
      <c r="V157" s="60"/>
      <c r="W157" s="88" t="str">
        <f aca="false">IF(AND(E157&lt;&gt;"",AND(B157&lt;&gt;"",B157&gt;='Weekly Report'!$F$4,B157&lt;='Weekly Report'!$F$5)),ROW(),"")</f>
        <v/>
      </c>
      <c r="X157" s="88" t="str">
        <f aca="false">IF(AND(E157&lt;&gt;"",M157="Yes",Q157&lt;&gt;"Decided",Q157&lt;&gt;"Withdrawn"),ROW(),"")</f>
        <v/>
      </c>
    </row>
    <row r="158" customFormat="false" ht="15" hidden="false" customHeight="false" outlineLevel="0" collapsed="false">
      <c r="A158" s="56" t="s">
        <v>1972</v>
      </c>
      <c r="B158" s="63"/>
      <c r="C158" s="61"/>
      <c r="D158" s="61"/>
      <c r="E158" s="60"/>
      <c r="F158" s="60"/>
      <c r="G158" s="60"/>
      <c r="H158" s="60"/>
      <c r="I158" s="61"/>
      <c r="J158" s="61"/>
      <c r="K158" s="61"/>
      <c r="L158" s="61"/>
      <c r="M158" s="61"/>
      <c r="N158" s="60"/>
      <c r="O158" s="61"/>
      <c r="P158" s="63"/>
      <c r="Q158" s="61"/>
      <c r="R158" s="60"/>
      <c r="S158" s="61"/>
      <c r="T158" s="61"/>
      <c r="U158" s="61"/>
      <c r="V158" s="60"/>
      <c r="W158" s="88" t="str">
        <f aca="false">IF(AND(E158&lt;&gt;"",AND(B158&lt;&gt;"",B158&gt;='Weekly Report'!$F$4,B158&lt;='Weekly Report'!$F$5)),ROW(),"")</f>
        <v/>
      </c>
      <c r="X158" s="88" t="str">
        <f aca="false">IF(AND(E158&lt;&gt;"",M158="Yes",Q158&lt;&gt;"Decided",Q158&lt;&gt;"Withdrawn"),ROW(),"")</f>
        <v/>
      </c>
    </row>
    <row r="159" customFormat="false" ht="15" hidden="false" customHeight="false" outlineLevel="0" collapsed="false">
      <c r="A159" s="56" t="s">
        <v>1973</v>
      </c>
      <c r="B159" s="63"/>
      <c r="C159" s="61"/>
      <c r="D159" s="61"/>
      <c r="E159" s="60"/>
      <c r="F159" s="60"/>
      <c r="G159" s="60"/>
      <c r="H159" s="60"/>
      <c r="I159" s="61"/>
      <c r="J159" s="61"/>
      <c r="K159" s="61"/>
      <c r="L159" s="61"/>
      <c r="M159" s="61"/>
      <c r="N159" s="60"/>
      <c r="O159" s="61"/>
      <c r="P159" s="63"/>
      <c r="Q159" s="61"/>
      <c r="R159" s="60"/>
      <c r="S159" s="61"/>
      <c r="T159" s="61"/>
      <c r="U159" s="61"/>
      <c r="V159" s="60"/>
      <c r="W159" s="88" t="str">
        <f aca="false">IF(AND(E159&lt;&gt;"",AND(B159&lt;&gt;"",B159&gt;='Weekly Report'!$F$4,B159&lt;='Weekly Report'!$F$5)),ROW(),"")</f>
        <v/>
      </c>
      <c r="X159" s="88" t="str">
        <f aca="false">IF(AND(E159&lt;&gt;"",M159="Yes",Q159&lt;&gt;"Decided",Q159&lt;&gt;"Withdrawn"),ROW(),"")</f>
        <v/>
      </c>
    </row>
    <row r="160" customFormat="false" ht="15" hidden="false" customHeight="false" outlineLevel="0" collapsed="false">
      <c r="A160" s="56" t="s">
        <v>1974</v>
      </c>
      <c r="B160" s="63"/>
      <c r="C160" s="61"/>
      <c r="D160" s="61"/>
      <c r="E160" s="60"/>
      <c r="F160" s="60"/>
      <c r="G160" s="60"/>
      <c r="H160" s="60"/>
      <c r="I160" s="61"/>
      <c r="J160" s="61"/>
      <c r="K160" s="61"/>
      <c r="L160" s="61"/>
      <c r="M160" s="61"/>
      <c r="N160" s="60"/>
      <c r="O160" s="61"/>
      <c r="P160" s="63"/>
      <c r="Q160" s="61"/>
      <c r="R160" s="60"/>
      <c r="S160" s="61"/>
      <c r="T160" s="61"/>
      <c r="U160" s="61"/>
      <c r="V160" s="60"/>
      <c r="W160" s="88" t="str">
        <f aca="false">IF(AND(E160&lt;&gt;"",AND(B160&lt;&gt;"",B160&gt;='Weekly Report'!$F$4,B160&lt;='Weekly Report'!$F$5)),ROW(),"")</f>
        <v/>
      </c>
      <c r="X160" s="88" t="str">
        <f aca="false">IF(AND(E160&lt;&gt;"",M160="Yes",Q160&lt;&gt;"Decided",Q160&lt;&gt;"Withdrawn"),ROW(),"")</f>
        <v/>
      </c>
    </row>
    <row r="161" customFormat="false" ht="15" hidden="false" customHeight="false" outlineLevel="0" collapsed="false">
      <c r="A161" s="56" t="s">
        <v>1975</v>
      </c>
      <c r="B161" s="63"/>
      <c r="C161" s="61"/>
      <c r="D161" s="61"/>
      <c r="E161" s="60"/>
      <c r="F161" s="60"/>
      <c r="G161" s="60"/>
      <c r="H161" s="60"/>
      <c r="I161" s="61"/>
      <c r="J161" s="61"/>
      <c r="K161" s="61"/>
      <c r="L161" s="61"/>
      <c r="M161" s="61"/>
      <c r="N161" s="60"/>
      <c r="O161" s="61"/>
      <c r="P161" s="63"/>
      <c r="Q161" s="61"/>
      <c r="R161" s="60"/>
      <c r="S161" s="61"/>
      <c r="T161" s="61"/>
      <c r="U161" s="61"/>
      <c r="V161" s="60"/>
      <c r="W161" s="88" t="str">
        <f aca="false">IF(AND(E161&lt;&gt;"",AND(B161&lt;&gt;"",B161&gt;='Weekly Report'!$F$4,B161&lt;='Weekly Report'!$F$5)),ROW(),"")</f>
        <v/>
      </c>
      <c r="X161" s="88" t="str">
        <f aca="false">IF(AND(E161&lt;&gt;"",M161="Yes",Q161&lt;&gt;"Decided",Q161&lt;&gt;"Withdrawn"),ROW(),"")</f>
        <v/>
      </c>
    </row>
    <row r="162" customFormat="false" ht="15" hidden="false" customHeight="false" outlineLevel="0" collapsed="false">
      <c r="A162" s="56" t="s">
        <v>1976</v>
      </c>
      <c r="B162" s="63"/>
      <c r="C162" s="61"/>
      <c r="D162" s="61"/>
      <c r="E162" s="60"/>
      <c r="F162" s="60"/>
      <c r="G162" s="60"/>
      <c r="H162" s="60"/>
      <c r="I162" s="61"/>
      <c r="J162" s="61"/>
      <c r="K162" s="61"/>
      <c r="L162" s="61"/>
      <c r="M162" s="61"/>
      <c r="N162" s="60"/>
      <c r="O162" s="61"/>
      <c r="P162" s="63"/>
      <c r="Q162" s="61"/>
      <c r="R162" s="60"/>
      <c r="S162" s="61"/>
      <c r="T162" s="61"/>
      <c r="U162" s="61"/>
      <c r="V162" s="60"/>
      <c r="W162" s="88" t="str">
        <f aca="false">IF(AND(E162&lt;&gt;"",AND(B162&lt;&gt;"",B162&gt;='Weekly Report'!$F$4,B162&lt;='Weekly Report'!$F$5)),ROW(),"")</f>
        <v/>
      </c>
      <c r="X162" s="88" t="str">
        <f aca="false">IF(AND(E162&lt;&gt;"",M162="Yes",Q162&lt;&gt;"Decided",Q162&lt;&gt;"Withdrawn"),ROW(),"")</f>
        <v/>
      </c>
    </row>
    <row r="163" customFormat="false" ht="15" hidden="false" customHeight="false" outlineLevel="0" collapsed="false">
      <c r="A163" s="56" t="s">
        <v>1977</v>
      </c>
      <c r="B163" s="63"/>
      <c r="C163" s="61"/>
      <c r="D163" s="61"/>
      <c r="E163" s="60"/>
      <c r="F163" s="60"/>
      <c r="G163" s="60"/>
      <c r="H163" s="60"/>
      <c r="I163" s="61"/>
      <c r="J163" s="61"/>
      <c r="K163" s="61"/>
      <c r="L163" s="61"/>
      <c r="M163" s="61"/>
      <c r="N163" s="60"/>
      <c r="O163" s="61"/>
      <c r="P163" s="63"/>
      <c r="Q163" s="61"/>
      <c r="R163" s="60"/>
      <c r="S163" s="61"/>
      <c r="T163" s="61"/>
      <c r="U163" s="61"/>
      <c r="V163" s="60"/>
      <c r="W163" s="88" t="str">
        <f aca="false">IF(AND(E163&lt;&gt;"",AND(B163&lt;&gt;"",B163&gt;='Weekly Report'!$F$4,B163&lt;='Weekly Report'!$F$5)),ROW(),"")</f>
        <v/>
      </c>
      <c r="X163" s="88" t="str">
        <f aca="false">IF(AND(E163&lt;&gt;"",M163="Yes",Q163&lt;&gt;"Decided",Q163&lt;&gt;"Withdrawn"),ROW(),"")</f>
        <v/>
      </c>
    </row>
    <row r="164" customFormat="false" ht="15" hidden="false" customHeight="false" outlineLevel="0" collapsed="false">
      <c r="A164" s="56" t="s">
        <v>1978</v>
      </c>
      <c r="B164" s="63"/>
      <c r="C164" s="61"/>
      <c r="D164" s="61"/>
      <c r="E164" s="60"/>
      <c r="F164" s="60"/>
      <c r="G164" s="60"/>
      <c r="H164" s="60"/>
      <c r="I164" s="61"/>
      <c r="J164" s="61"/>
      <c r="K164" s="61"/>
      <c r="L164" s="61"/>
      <c r="M164" s="61"/>
      <c r="N164" s="60"/>
      <c r="O164" s="61"/>
      <c r="P164" s="63"/>
      <c r="Q164" s="61"/>
      <c r="R164" s="60"/>
      <c r="S164" s="61"/>
      <c r="T164" s="61"/>
      <c r="U164" s="61"/>
      <c r="V164" s="60"/>
      <c r="W164" s="88" t="str">
        <f aca="false">IF(AND(E164&lt;&gt;"",AND(B164&lt;&gt;"",B164&gt;='Weekly Report'!$F$4,B164&lt;='Weekly Report'!$F$5)),ROW(),"")</f>
        <v/>
      </c>
      <c r="X164" s="88" t="str">
        <f aca="false">IF(AND(E164&lt;&gt;"",M164="Yes",Q164&lt;&gt;"Decided",Q164&lt;&gt;"Withdrawn"),ROW(),"")</f>
        <v/>
      </c>
    </row>
    <row r="165" customFormat="false" ht="15" hidden="false" customHeight="false" outlineLevel="0" collapsed="false">
      <c r="A165" s="56" t="s">
        <v>1979</v>
      </c>
      <c r="B165" s="63"/>
      <c r="C165" s="61"/>
      <c r="D165" s="61"/>
      <c r="E165" s="60"/>
      <c r="F165" s="60"/>
      <c r="G165" s="60"/>
      <c r="H165" s="60"/>
      <c r="I165" s="61"/>
      <c r="J165" s="61"/>
      <c r="K165" s="61"/>
      <c r="L165" s="61"/>
      <c r="M165" s="61"/>
      <c r="N165" s="60"/>
      <c r="O165" s="61"/>
      <c r="P165" s="63"/>
      <c r="Q165" s="61"/>
      <c r="R165" s="60"/>
      <c r="S165" s="61"/>
      <c r="T165" s="61"/>
      <c r="U165" s="61"/>
      <c r="V165" s="60"/>
      <c r="W165" s="88" t="str">
        <f aca="false">IF(AND(E165&lt;&gt;"",AND(B165&lt;&gt;"",B165&gt;='Weekly Report'!$F$4,B165&lt;='Weekly Report'!$F$5)),ROW(),"")</f>
        <v/>
      </c>
      <c r="X165" s="88" t="str">
        <f aca="false">IF(AND(E165&lt;&gt;"",M165="Yes",Q165&lt;&gt;"Decided",Q165&lt;&gt;"Withdrawn"),ROW(),"")</f>
        <v/>
      </c>
    </row>
    <row r="166" customFormat="false" ht="15" hidden="false" customHeight="false" outlineLevel="0" collapsed="false">
      <c r="A166" s="56" t="s">
        <v>1980</v>
      </c>
      <c r="B166" s="63"/>
      <c r="C166" s="61"/>
      <c r="D166" s="61"/>
      <c r="E166" s="60"/>
      <c r="F166" s="60"/>
      <c r="G166" s="60"/>
      <c r="H166" s="60"/>
      <c r="I166" s="61"/>
      <c r="J166" s="61"/>
      <c r="K166" s="61"/>
      <c r="L166" s="61"/>
      <c r="M166" s="61"/>
      <c r="N166" s="60"/>
      <c r="O166" s="61"/>
      <c r="P166" s="63"/>
      <c r="Q166" s="61"/>
      <c r="R166" s="60"/>
      <c r="S166" s="61"/>
      <c r="T166" s="61"/>
      <c r="U166" s="61"/>
      <c r="V166" s="60"/>
      <c r="W166" s="88" t="str">
        <f aca="false">IF(AND(E166&lt;&gt;"",AND(B166&lt;&gt;"",B166&gt;='Weekly Report'!$F$4,B166&lt;='Weekly Report'!$F$5)),ROW(),"")</f>
        <v/>
      </c>
      <c r="X166" s="88" t="str">
        <f aca="false">IF(AND(E166&lt;&gt;"",M166="Yes",Q166&lt;&gt;"Decided",Q166&lt;&gt;"Withdrawn"),ROW(),"")</f>
        <v/>
      </c>
    </row>
    <row r="167" customFormat="false" ht="15" hidden="false" customHeight="false" outlineLevel="0" collapsed="false">
      <c r="A167" s="56" t="s">
        <v>1981</v>
      </c>
      <c r="B167" s="63"/>
      <c r="C167" s="61"/>
      <c r="D167" s="61"/>
      <c r="E167" s="60"/>
      <c r="F167" s="60"/>
      <c r="G167" s="60"/>
      <c r="H167" s="60"/>
      <c r="I167" s="61"/>
      <c r="J167" s="61"/>
      <c r="K167" s="61"/>
      <c r="L167" s="61"/>
      <c r="M167" s="61"/>
      <c r="N167" s="60"/>
      <c r="O167" s="61"/>
      <c r="P167" s="63"/>
      <c r="Q167" s="61"/>
      <c r="R167" s="60"/>
      <c r="S167" s="61"/>
      <c r="T167" s="61"/>
      <c r="U167" s="61"/>
      <c r="V167" s="60"/>
      <c r="W167" s="88" t="str">
        <f aca="false">IF(AND(E167&lt;&gt;"",AND(B167&lt;&gt;"",B167&gt;='Weekly Report'!$F$4,B167&lt;='Weekly Report'!$F$5)),ROW(),"")</f>
        <v/>
      </c>
      <c r="X167" s="88" t="str">
        <f aca="false">IF(AND(E167&lt;&gt;"",M167="Yes",Q167&lt;&gt;"Decided",Q167&lt;&gt;"Withdrawn"),ROW(),"")</f>
        <v/>
      </c>
    </row>
    <row r="168" customFormat="false" ht="15" hidden="false" customHeight="false" outlineLevel="0" collapsed="false">
      <c r="A168" s="56" t="s">
        <v>1982</v>
      </c>
      <c r="B168" s="63"/>
      <c r="C168" s="61"/>
      <c r="D168" s="61"/>
      <c r="E168" s="60"/>
      <c r="F168" s="60"/>
      <c r="G168" s="60"/>
      <c r="H168" s="60"/>
      <c r="I168" s="61"/>
      <c r="J168" s="61"/>
      <c r="K168" s="61"/>
      <c r="L168" s="61"/>
      <c r="M168" s="61"/>
      <c r="N168" s="60"/>
      <c r="O168" s="61"/>
      <c r="P168" s="63"/>
      <c r="Q168" s="61"/>
      <c r="R168" s="60"/>
      <c r="S168" s="61"/>
      <c r="T168" s="61"/>
      <c r="U168" s="61"/>
      <c r="V168" s="60"/>
      <c r="W168" s="88" t="str">
        <f aca="false">IF(AND(E168&lt;&gt;"",AND(B168&lt;&gt;"",B168&gt;='Weekly Report'!$F$4,B168&lt;='Weekly Report'!$F$5)),ROW(),"")</f>
        <v/>
      </c>
      <c r="X168" s="88" t="str">
        <f aca="false">IF(AND(E168&lt;&gt;"",M168="Yes",Q168&lt;&gt;"Decided",Q168&lt;&gt;"Withdrawn"),ROW(),"")</f>
        <v/>
      </c>
    </row>
    <row r="169" customFormat="false" ht="15" hidden="false" customHeight="false" outlineLevel="0" collapsed="false">
      <c r="A169" s="56" t="s">
        <v>1983</v>
      </c>
      <c r="B169" s="63"/>
      <c r="C169" s="61"/>
      <c r="D169" s="61"/>
      <c r="E169" s="60"/>
      <c r="F169" s="60"/>
      <c r="G169" s="60"/>
      <c r="H169" s="60"/>
      <c r="I169" s="61"/>
      <c r="J169" s="61"/>
      <c r="K169" s="61"/>
      <c r="L169" s="61"/>
      <c r="M169" s="61"/>
      <c r="N169" s="60"/>
      <c r="O169" s="61"/>
      <c r="P169" s="63"/>
      <c r="Q169" s="61"/>
      <c r="R169" s="60"/>
      <c r="S169" s="61"/>
      <c r="T169" s="61"/>
      <c r="U169" s="61"/>
      <c r="V169" s="60"/>
      <c r="W169" s="88" t="str">
        <f aca="false">IF(AND(E169&lt;&gt;"",AND(B169&lt;&gt;"",B169&gt;='Weekly Report'!$F$4,B169&lt;='Weekly Report'!$F$5)),ROW(),"")</f>
        <v/>
      </c>
      <c r="X169" s="88" t="str">
        <f aca="false">IF(AND(E169&lt;&gt;"",M169="Yes",Q169&lt;&gt;"Decided",Q169&lt;&gt;"Withdrawn"),ROW(),"")</f>
        <v/>
      </c>
    </row>
    <row r="170" customFormat="false" ht="15" hidden="false" customHeight="false" outlineLevel="0" collapsed="false">
      <c r="A170" s="56" t="s">
        <v>1984</v>
      </c>
      <c r="B170" s="63"/>
      <c r="C170" s="61"/>
      <c r="D170" s="61"/>
      <c r="E170" s="60"/>
      <c r="F170" s="60"/>
      <c r="G170" s="60"/>
      <c r="H170" s="60"/>
      <c r="I170" s="61"/>
      <c r="J170" s="61"/>
      <c r="K170" s="61"/>
      <c r="L170" s="61"/>
      <c r="M170" s="61"/>
      <c r="N170" s="60"/>
      <c r="O170" s="61"/>
      <c r="P170" s="63"/>
      <c r="Q170" s="61"/>
      <c r="R170" s="60"/>
      <c r="S170" s="61"/>
      <c r="T170" s="61"/>
      <c r="U170" s="61"/>
      <c r="V170" s="60"/>
      <c r="W170" s="88" t="str">
        <f aca="false">IF(AND(E170&lt;&gt;"",AND(B170&lt;&gt;"",B170&gt;='Weekly Report'!$F$4,B170&lt;='Weekly Report'!$F$5)),ROW(),"")</f>
        <v/>
      </c>
      <c r="X170" s="88" t="str">
        <f aca="false">IF(AND(E170&lt;&gt;"",M170="Yes",Q170&lt;&gt;"Decided",Q170&lt;&gt;"Withdrawn"),ROW(),"")</f>
        <v/>
      </c>
    </row>
    <row r="171" customFormat="false" ht="15" hidden="false" customHeight="false" outlineLevel="0" collapsed="false">
      <c r="A171" s="56" t="s">
        <v>1985</v>
      </c>
      <c r="B171" s="63"/>
      <c r="C171" s="61"/>
      <c r="D171" s="61"/>
      <c r="E171" s="60"/>
      <c r="F171" s="60"/>
      <c r="G171" s="60"/>
      <c r="H171" s="60"/>
      <c r="I171" s="61"/>
      <c r="J171" s="61"/>
      <c r="K171" s="61"/>
      <c r="L171" s="61"/>
      <c r="M171" s="61"/>
      <c r="N171" s="60"/>
      <c r="O171" s="61"/>
      <c r="P171" s="63"/>
      <c r="Q171" s="61"/>
      <c r="R171" s="60"/>
      <c r="S171" s="61"/>
      <c r="T171" s="61"/>
      <c r="U171" s="61"/>
      <c r="V171" s="60"/>
      <c r="W171" s="88" t="str">
        <f aca="false">IF(AND(E171&lt;&gt;"",AND(B171&lt;&gt;"",B171&gt;='Weekly Report'!$F$4,B171&lt;='Weekly Report'!$F$5)),ROW(),"")</f>
        <v/>
      </c>
      <c r="X171" s="88" t="str">
        <f aca="false">IF(AND(E171&lt;&gt;"",M171="Yes",Q171&lt;&gt;"Decided",Q171&lt;&gt;"Withdrawn"),ROW(),"")</f>
        <v/>
      </c>
    </row>
    <row r="172" customFormat="false" ht="15" hidden="false" customHeight="false" outlineLevel="0" collapsed="false">
      <c r="A172" s="56" t="s">
        <v>1986</v>
      </c>
      <c r="B172" s="63"/>
      <c r="C172" s="61"/>
      <c r="D172" s="61"/>
      <c r="E172" s="60"/>
      <c r="F172" s="60"/>
      <c r="G172" s="60"/>
      <c r="H172" s="60"/>
      <c r="I172" s="61"/>
      <c r="J172" s="61"/>
      <c r="K172" s="61"/>
      <c r="L172" s="61"/>
      <c r="M172" s="61"/>
      <c r="N172" s="60"/>
      <c r="O172" s="61"/>
      <c r="P172" s="63"/>
      <c r="Q172" s="61"/>
      <c r="R172" s="60"/>
      <c r="S172" s="61"/>
      <c r="T172" s="61"/>
      <c r="U172" s="61"/>
      <c r="V172" s="60"/>
      <c r="W172" s="88" t="str">
        <f aca="false">IF(AND(E172&lt;&gt;"",AND(B172&lt;&gt;"",B172&gt;='Weekly Report'!$F$4,B172&lt;='Weekly Report'!$F$5)),ROW(),"")</f>
        <v/>
      </c>
      <c r="X172" s="88" t="str">
        <f aca="false">IF(AND(E172&lt;&gt;"",M172="Yes",Q172&lt;&gt;"Decided",Q172&lt;&gt;"Withdrawn"),ROW(),"")</f>
        <v/>
      </c>
    </row>
    <row r="173" customFormat="false" ht="15" hidden="false" customHeight="false" outlineLevel="0" collapsed="false">
      <c r="A173" s="56" t="s">
        <v>1987</v>
      </c>
      <c r="B173" s="63"/>
      <c r="C173" s="61"/>
      <c r="D173" s="61"/>
      <c r="E173" s="60"/>
      <c r="F173" s="60"/>
      <c r="G173" s="60"/>
      <c r="H173" s="60"/>
      <c r="I173" s="61"/>
      <c r="J173" s="61"/>
      <c r="K173" s="61"/>
      <c r="L173" s="61"/>
      <c r="M173" s="61"/>
      <c r="N173" s="60"/>
      <c r="O173" s="61"/>
      <c r="P173" s="63"/>
      <c r="Q173" s="61"/>
      <c r="R173" s="60"/>
      <c r="S173" s="61"/>
      <c r="T173" s="61"/>
      <c r="U173" s="61"/>
      <c r="V173" s="60"/>
      <c r="W173" s="88" t="str">
        <f aca="false">IF(AND(E173&lt;&gt;"",AND(B173&lt;&gt;"",B173&gt;='Weekly Report'!$F$4,B173&lt;='Weekly Report'!$F$5)),ROW(),"")</f>
        <v/>
      </c>
      <c r="X173" s="88" t="str">
        <f aca="false">IF(AND(E173&lt;&gt;"",M173="Yes",Q173&lt;&gt;"Decided",Q173&lt;&gt;"Withdrawn"),ROW(),"")</f>
        <v/>
      </c>
    </row>
    <row r="174" customFormat="false" ht="15" hidden="false" customHeight="false" outlineLevel="0" collapsed="false">
      <c r="A174" s="56" t="s">
        <v>1988</v>
      </c>
      <c r="B174" s="63"/>
      <c r="C174" s="61"/>
      <c r="D174" s="61"/>
      <c r="E174" s="60"/>
      <c r="F174" s="60"/>
      <c r="G174" s="60"/>
      <c r="H174" s="60"/>
      <c r="I174" s="61"/>
      <c r="J174" s="61"/>
      <c r="K174" s="61"/>
      <c r="L174" s="61"/>
      <c r="M174" s="61"/>
      <c r="N174" s="60"/>
      <c r="O174" s="61"/>
      <c r="P174" s="63"/>
      <c r="Q174" s="61"/>
      <c r="R174" s="60"/>
      <c r="S174" s="61"/>
      <c r="T174" s="61"/>
      <c r="U174" s="61"/>
      <c r="V174" s="60"/>
      <c r="W174" s="88" t="str">
        <f aca="false">IF(AND(E174&lt;&gt;"",AND(B174&lt;&gt;"",B174&gt;='Weekly Report'!$F$4,B174&lt;='Weekly Report'!$F$5)),ROW(),"")</f>
        <v/>
      </c>
      <c r="X174" s="88" t="str">
        <f aca="false">IF(AND(E174&lt;&gt;"",M174="Yes",Q174&lt;&gt;"Decided",Q174&lt;&gt;"Withdrawn"),ROW(),"")</f>
        <v/>
      </c>
    </row>
    <row r="175" customFormat="false" ht="15" hidden="false" customHeight="false" outlineLevel="0" collapsed="false">
      <c r="A175" s="56" t="s">
        <v>1989</v>
      </c>
      <c r="B175" s="63"/>
      <c r="C175" s="61"/>
      <c r="D175" s="61"/>
      <c r="E175" s="60"/>
      <c r="F175" s="60"/>
      <c r="G175" s="60"/>
      <c r="H175" s="60"/>
      <c r="I175" s="61"/>
      <c r="J175" s="61"/>
      <c r="K175" s="61"/>
      <c r="L175" s="61"/>
      <c r="M175" s="61"/>
      <c r="N175" s="60"/>
      <c r="O175" s="61"/>
      <c r="P175" s="63"/>
      <c r="Q175" s="61"/>
      <c r="R175" s="60"/>
      <c r="S175" s="61"/>
      <c r="T175" s="61"/>
      <c r="U175" s="61"/>
      <c r="V175" s="60"/>
      <c r="W175" s="88" t="str">
        <f aca="false">IF(AND(E175&lt;&gt;"",AND(B175&lt;&gt;"",B175&gt;='Weekly Report'!$F$4,B175&lt;='Weekly Report'!$F$5)),ROW(),"")</f>
        <v/>
      </c>
      <c r="X175" s="88" t="str">
        <f aca="false">IF(AND(E175&lt;&gt;"",M175="Yes",Q175&lt;&gt;"Decided",Q175&lt;&gt;"Withdrawn"),ROW(),"")</f>
        <v/>
      </c>
    </row>
    <row r="176" customFormat="false" ht="15" hidden="false" customHeight="false" outlineLevel="0" collapsed="false">
      <c r="A176" s="56" t="s">
        <v>1990</v>
      </c>
      <c r="B176" s="63"/>
      <c r="C176" s="61"/>
      <c r="D176" s="61"/>
      <c r="E176" s="60"/>
      <c r="F176" s="60"/>
      <c r="G176" s="60"/>
      <c r="H176" s="60"/>
      <c r="I176" s="61"/>
      <c r="J176" s="61"/>
      <c r="K176" s="61"/>
      <c r="L176" s="61"/>
      <c r="M176" s="61"/>
      <c r="N176" s="60"/>
      <c r="O176" s="61"/>
      <c r="P176" s="63"/>
      <c r="Q176" s="61"/>
      <c r="R176" s="60"/>
      <c r="S176" s="61"/>
      <c r="T176" s="61"/>
      <c r="U176" s="61"/>
      <c r="V176" s="60"/>
      <c r="W176" s="88" t="str">
        <f aca="false">IF(AND(E176&lt;&gt;"",AND(B176&lt;&gt;"",B176&gt;='Weekly Report'!$F$4,B176&lt;='Weekly Report'!$F$5)),ROW(),"")</f>
        <v/>
      </c>
      <c r="X176" s="88" t="str">
        <f aca="false">IF(AND(E176&lt;&gt;"",M176="Yes",Q176&lt;&gt;"Decided",Q176&lt;&gt;"Withdrawn"),ROW(),"")</f>
        <v/>
      </c>
    </row>
    <row r="177" customFormat="false" ht="15" hidden="false" customHeight="false" outlineLevel="0" collapsed="false">
      <c r="A177" s="56" t="s">
        <v>1991</v>
      </c>
      <c r="B177" s="63"/>
      <c r="C177" s="61"/>
      <c r="D177" s="61"/>
      <c r="E177" s="60"/>
      <c r="F177" s="60"/>
      <c r="G177" s="60"/>
      <c r="H177" s="60"/>
      <c r="I177" s="61"/>
      <c r="J177" s="61"/>
      <c r="K177" s="61"/>
      <c r="L177" s="61"/>
      <c r="M177" s="61"/>
      <c r="N177" s="60"/>
      <c r="O177" s="61"/>
      <c r="P177" s="63"/>
      <c r="Q177" s="61"/>
      <c r="R177" s="60"/>
      <c r="S177" s="61"/>
      <c r="T177" s="61"/>
      <c r="U177" s="61"/>
      <c r="V177" s="60"/>
      <c r="W177" s="88" t="str">
        <f aca="false">IF(AND(E177&lt;&gt;"",AND(B177&lt;&gt;"",B177&gt;='Weekly Report'!$F$4,B177&lt;='Weekly Report'!$F$5)),ROW(),"")</f>
        <v/>
      </c>
      <c r="X177" s="88" t="str">
        <f aca="false">IF(AND(E177&lt;&gt;"",M177="Yes",Q177&lt;&gt;"Decided",Q177&lt;&gt;"Withdrawn"),ROW(),"")</f>
        <v/>
      </c>
    </row>
    <row r="178" customFormat="false" ht="15" hidden="false" customHeight="false" outlineLevel="0" collapsed="false">
      <c r="A178" s="56" t="s">
        <v>1992</v>
      </c>
      <c r="B178" s="63"/>
      <c r="C178" s="61"/>
      <c r="D178" s="61"/>
      <c r="E178" s="60"/>
      <c r="F178" s="60"/>
      <c r="G178" s="60"/>
      <c r="H178" s="60"/>
      <c r="I178" s="61"/>
      <c r="J178" s="61"/>
      <c r="K178" s="61"/>
      <c r="L178" s="61"/>
      <c r="M178" s="61"/>
      <c r="N178" s="60"/>
      <c r="O178" s="61"/>
      <c r="P178" s="63"/>
      <c r="Q178" s="61"/>
      <c r="R178" s="60"/>
      <c r="S178" s="61"/>
      <c r="T178" s="61"/>
      <c r="U178" s="61"/>
      <c r="V178" s="60"/>
      <c r="W178" s="88" t="str">
        <f aca="false">IF(AND(E178&lt;&gt;"",AND(B178&lt;&gt;"",B178&gt;='Weekly Report'!$F$4,B178&lt;='Weekly Report'!$F$5)),ROW(),"")</f>
        <v/>
      </c>
      <c r="X178" s="88" t="str">
        <f aca="false">IF(AND(E178&lt;&gt;"",M178="Yes",Q178&lt;&gt;"Decided",Q178&lt;&gt;"Withdrawn"),ROW(),"")</f>
        <v/>
      </c>
    </row>
    <row r="179" customFormat="false" ht="15" hidden="false" customHeight="false" outlineLevel="0" collapsed="false">
      <c r="A179" s="56" t="s">
        <v>1993</v>
      </c>
      <c r="B179" s="63"/>
      <c r="C179" s="61"/>
      <c r="D179" s="61"/>
      <c r="E179" s="60"/>
      <c r="F179" s="60"/>
      <c r="G179" s="60"/>
      <c r="H179" s="60"/>
      <c r="I179" s="61"/>
      <c r="J179" s="61"/>
      <c r="K179" s="61"/>
      <c r="L179" s="61"/>
      <c r="M179" s="61"/>
      <c r="N179" s="60"/>
      <c r="O179" s="61"/>
      <c r="P179" s="63"/>
      <c r="Q179" s="61"/>
      <c r="R179" s="60"/>
      <c r="S179" s="61"/>
      <c r="T179" s="61"/>
      <c r="U179" s="61"/>
      <c r="V179" s="60"/>
      <c r="W179" s="88" t="str">
        <f aca="false">IF(AND(E179&lt;&gt;"",AND(B179&lt;&gt;"",B179&gt;='Weekly Report'!$F$4,B179&lt;='Weekly Report'!$F$5)),ROW(),"")</f>
        <v/>
      </c>
      <c r="X179" s="88" t="str">
        <f aca="false">IF(AND(E179&lt;&gt;"",M179="Yes",Q179&lt;&gt;"Decided",Q179&lt;&gt;"Withdrawn"),ROW(),"")</f>
        <v/>
      </c>
    </row>
    <row r="180" customFormat="false" ht="15" hidden="false" customHeight="false" outlineLevel="0" collapsed="false">
      <c r="A180" s="56" t="s">
        <v>1994</v>
      </c>
      <c r="B180" s="63"/>
      <c r="C180" s="61"/>
      <c r="D180" s="61"/>
      <c r="E180" s="60"/>
      <c r="F180" s="60"/>
      <c r="G180" s="60"/>
      <c r="H180" s="60"/>
      <c r="I180" s="61"/>
      <c r="J180" s="61"/>
      <c r="K180" s="61"/>
      <c r="L180" s="61"/>
      <c r="M180" s="61"/>
      <c r="N180" s="60"/>
      <c r="O180" s="61"/>
      <c r="P180" s="63"/>
      <c r="Q180" s="61"/>
      <c r="R180" s="60"/>
      <c r="S180" s="61"/>
      <c r="T180" s="61"/>
      <c r="U180" s="61"/>
      <c r="V180" s="60"/>
      <c r="W180" s="88" t="str">
        <f aca="false">IF(AND(E180&lt;&gt;"",AND(B180&lt;&gt;"",B180&gt;='Weekly Report'!$F$4,B180&lt;='Weekly Report'!$F$5)),ROW(),"")</f>
        <v/>
      </c>
      <c r="X180" s="88" t="str">
        <f aca="false">IF(AND(E180&lt;&gt;"",M180="Yes",Q180&lt;&gt;"Decided",Q180&lt;&gt;"Withdrawn"),ROW(),"")</f>
        <v/>
      </c>
    </row>
    <row r="181" customFormat="false" ht="15" hidden="false" customHeight="false" outlineLevel="0" collapsed="false">
      <c r="A181" s="56" t="s">
        <v>1995</v>
      </c>
      <c r="B181" s="63"/>
      <c r="C181" s="61"/>
      <c r="D181" s="61"/>
      <c r="E181" s="60"/>
      <c r="F181" s="60"/>
      <c r="G181" s="60"/>
      <c r="H181" s="60"/>
      <c r="I181" s="61"/>
      <c r="J181" s="61"/>
      <c r="K181" s="61"/>
      <c r="L181" s="61"/>
      <c r="M181" s="61"/>
      <c r="N181" s="60"/>
      <c r="O181" s="61"/>
      <c r="P181" s="63"/>
      <c r="Q181" s="61"/>
      <c r="R181" s="60"/>
      <c r="S181" s="61"/>
      <c r="T181" s="61"/>
      <c r="U181" s="61"/>
      <c r="V181" s="60"/>
      <c r="W181" s="88" t="str">
        <f aca="false">IF(AND(E181&lt;&gt;"",AND(B181&lt;&gt;"",B181&gt;='Weekly Report'!$F$4,B181&lt;='Weekly Report'!$F$5)),ROW(),"")</f>
        <v/>
      </c>
      <c r="X181" s="88" t="str">
        <f aca="false">IF(AND(E181&lt;&gt;"",M181="Yes",Q181&lt;&gt;"Decided",Q181&lt;&gt;"Withdrawn"),ROW(),"")</f>
        <v/>
      </c>
    </row>
    <row r="182" customFormat="false" ht="15" hidden="false" customHeight="false" outlineLevel="0" collapsed="false">
      <c r="A182" s="56" t="s">
        <v>1996</v>
      </c>
      <c r="B182" s="63"/>
      <c r="C182" s="61"/>
      <c r="D182" s="61"/>
      <c r="E182" s="60"/>
      <c r="F182" s="60"/>
      <c r="G182" s="60"/>
      <c r="H182" s="60"/>
      <c r="I182" s="61"/>
      <c r="J182" s="61"/>
      <c r="K182" s="61"/>
      <c r="L182" s="61"/>
      <c r="M182" s="61"/>
      <c r="N182" s="60"/>
      <c r="O182" s="61"/>
      <c r="P182" s="63"/>
      <c r="Q182" s="61"/>
      <c r="R182" s="60"/>
      <c r="S182" s="61"/>
      <c r="T182" s="61"/>
      <c r="U182" s="61"/>
      <c r="V182" s="60"/>
      <c r="W182" s="88" t="str">
        <f aca="false">IF(AND(E182&lt;&gt;"",AND(B182&lt;&gt;"",B182&gt;='Weekly Report'!$F$4,B182&lt;='Weekly Report'!$F$5)),ROW(),"")</f>
        <v/>
      </c>
      <c r="X182" s="88" t="str">
        <f aca="false">IF(AND(E182&lt;&gt;"",M182="Yes",Q182&lt;&gt;"Decided",Q182&lt;&gt;"Withdrawn"),ROW(),"")</f>
        <v/>
      </c>
    </row>
    <row r="183" customFormat="false" ht="15" hidden="false" customHeight="false" outlineLevel="0" collapsed="false">
      <c r="A183" s="56" t="s">
        <v>1997</v>
      </c>
      <c r="B183" s="63"/>
      <c r="C183" s="61"/>
      <c r="D183" s="61"/>
      <c r="E183" s="60"/>
      <c r="F183" s="60"/>
      <c r="G183" s="60"/>
      <c r="H183" s="60"/>
      <c r="I183" s="61"/>
      <c r="J183" s="61"/>
      <c r="K183" s="61"/>
      <c r="L183" s="61"/>
      <c r="M183" s="61"/>
      <c r="N183" s="60"/>
      <c r="O183" s="61"/>
      <c r="P183" s="63"/>
      <c r="Q183" s="61"/>
      <c r="R183" s="60"/>
      <c r="S183" s="61"/>
      <c r="T183" s="61"/>
      <c r="U183" s="61"/>
      <c r="V183" s="60"/>
      <c r="W183" s="88" t="str">
        <f aca="false">IF(AND(E183&lt;&gt;"",AND(B183&lt;&gt;"",B183&gt;='Weekly Report'!$F$4,B183&lt;='Weekly Report'!$F$5)),ROW(),"")</f>
        <v/>
      </c>
      <c r="X183" s="88" t="str">
        <f aca="false">IF(AND(E183&lt;&gt;"",M183="Yes",Q183&lt;&gt;"Decided",Q183&lt;&gt;"Withdrawn"),ROW(),"")</f>
        <v/>
      </c>
    </row>
    <row r="184" customFormat="false" ht="15" hidden="false" customHeight="false" outlineLevel="0" collapsed="false">
      <c r="A184" s="56" t="s">
        <v>1998</v>
      </c>
      <c r="B184" s="63"/>
      <c r="C184" s="61"/>
      <c r="D184" s="61"/>
      <c r="E184" s="60"/>
      <c r="F184" s="60"/>
      <c r="G184" s="60"/>
      <c r="H184" s="60"/>
      <c r="I184" s="61"/>
      <c r="J184" s="61"/>
      <c r="K184" s="61"/>
      <c r="L184" s="61"/>
      <c r="M184" s="61"/>
      <c r="N184" s="60"/>
      <c r="O184" s="61"/>
      <c r="P184" s="63"/>
      <c r="Q184" s="61"/>
      <c r="R184" s="60"/>
      <c r="S184" s="61"/>
      <c r="T184" s="61"/>
      <c r="U184" s="61"/>
      <c r="V184" s="60"/>
      <c r="W184" s="88" t="str">
        <f aca="false">IF(AND(E184&lt;&gt;"",AND(B184&lt;&gt;"",B184&gt;='Weekly Report'!$F$4,B184&lt;='Weekly Report'!$F$5)),ROW(),"")</f>
        <v/>
      </c>
      <c r="X184" s="88" t="str">
        <f aca="false">IF(AND(E184&lt;&gt;"",M184="Yes",Q184&lt;&gt;"Decided",Q184&lt;&gt;"Withdrawn"),ROW(),"")</f>
        <v/>
      </c>
    </row>
    <row r="185" customFormat="false" ht="15" hidden="false" customHeight="false" outlineLevel="0" collapsed="false">
      <c r="A185" s="56" t="s">
        <v>1999</v>
      </c>
      <c r="B185" s="63"/>
      <c r="C185" s="61"/>
      <c r="D185" s="61"/>
      <c r="E185" s="60"/>
      <c r="F185" s="60"/>
      <c r="G185" s="60"/>
      <c r="H185" s="60"/>
      <c r="I185" s="61"/>
      <c r="J185" s="61"/>
      <c r="K185" s="61"/>
      <c r="L185" s="61"/>
      <c r="M185" s="61"/>
      <c r="N185" s="60"/>
      <c r="O185" s="61"/>
      <c r="P185" s="63"/>
      <c r="Q185" s="61"/>
      <c r="R185" s="60"/>
      <c r="S185" s="61"/>
      <c r="T185" s="61"/>
      <c r="U185" s="61"/>
      <c r="V185" s="60"/>
      <c r="W185" s="88" t="str">
        <f aca="false">IF(AND(E185&lt;&gt;"",AND(B185&lt;&gt;"",B185&gt;='Weekly Report'!$F$4,B185&lt;='Weekly Report'!$F$5)),ROW(),"")</f>
        <v/>
      </c>
      <c r="X185" s="88" t="str">
        <f aca="false">IF(AND(E185&lt;&gt;"",M185="Yes",Q185&lt;&gt;"Decided",Q185&lt;&gt;"Withdrawn"),ROW(),"")</f>
        <v/>
      </c>
    </row>
    <row r="186" customFormat="false" ht="15" hidden="false" customHeight="false" outlineLevel="0" collapsed="false">
      <c r="A186" s="56" t="s">
        <v>2000</v>
      </c>
      <c r="B186" s="63"/>
      <c r="C186" s="61"/>
      <c r="D186" s="61"/>
      <c r="E186" s="60"/>
      <c r="F186" s="60"/>
      <c r="G186" s="60"/>
      <c r="H186" s="60"/>
      <c r="I186" s="61"/>
      <c r="J186" s="61"/>
      <c r="K186" s="61"/>
      <c r="L186" s="61"/>
      <c r="M186" s="61"/>
      <c r="N186" s="60"/>
      <c r="O186" s="61"/>
      <c r="P186" s="63"/>
      <c r="Q186" s="61"/>
      <c r="R186" s="60"/>
      <c r="S186" s="61"/>
      <c r="T186" s="61"/>
      <c r="U186" s="61"/>
      <c r="V186" s="60"/>
      <c r="W186" s="88" t="str">
        <f aca="false">IF(AND(E186&lt;&gt;"",AND(B186&lt;&gt;"",B186&gt;='Weekly Report'!$F$4,B186&lt;='Weekly Report'!$F$5)),ROW(),"")</f>
        <v/>
      </c>
      <c r="X186" s="88" t="str">
        <f aca="false">IF(AND(E186&lt;&gt;"",M186="Yes",Q186&lt;&gt;"Decided",Q186&lt;&gt;"Withdrawn"),ROW(),"")</f>
        <v/>
      </c>
    </row>
    <row r="187" customFormat="false" ht="15" hidden="false" customHeight="false" outlineLevel="0" collapsed="false">
      <c r="A187" s="56" t="s">
        <v>2001</v>
      </c>
      <c r="B187" s="63"/>
      <c r="C187" s="61"/>
      <c r="D187" s="61"/>
      <c r="E187" s="60"/>
      <c r="F187" s="60"/>
      <c r="G187" s="60"/>
      <c r="H187" s="60"/>
      <c r="I187" s="61"/>
      <c r="J187" s="61"/>
      <c r="K187" s="61"/>
      <c r="L187" s="61"/>
      <c r="M187" s="61"/>
      <c r="N187" s="60"/>
      <c r="O187" s="61"/>
      <c r="P187" s="63"/>
      <c r="Q187" s="61"/>
      <c r="R187" s="60"/>
      <c r="S187" s="61"/>
      <c r="T187" s="61"/>
      <c r="U187" s="61"/>
      <c r="V187" s="60"/>
      <c r="W187" s="88" t="str">
        <f aca="false">IF(AND(E187&lt;&gt;"",AND(B187&lt;&gt;"",B187&gt;='Weekly Report'!$F$4,B187&lt;='Weekly Report'!$F$5)),ROW(),"")</f>
        <v/>
      </c>
      <c r="X187" s="88" t="str">
        <f aca="false">IF(AND(E187&lt;&gt;"",M187="Yes",Q187&lt;&gt;"Decided",Q187&lt;&gt;"Withdrawn"),ROW(),"")</f>
        <v/>
      </c>
    </row>
    <row r="188" customFormat="false" ht="15" hidden="false" customHeight="false" outlineLevel="0" collapsed="false">
      <c r="A188" s="56" t="s">
        <v>2002</v>
      </c>
      <c r="B188" s="63"/>
      <c r="C188" s="61"/>
      <c r="D188" s="61"/>
      <c r="E188" s="60"/>
      <c r="F188" s="60"/>
      <c r="G188" s="60"/>
      <c r="H188" s="60"/>
      <c r="I188" s="61"/>
      <c r="J188" s="61"/>
      <c r="K188" s="61"/>
      <c r="L188" s="61"/>
      <c r="M188" s="61"/>
      <c r="N188" s="60"/>
      <c r="O188" s="61"/>
      <c r="P188" s="63"/>
      <c r="Q188" s="61"/>
      <c r="R188" s="60"/>
      <c r="S188" s="61"/>
      <c r="T188" s="61"/>
      <c r="U188" s="61"/>
      <c r="V188" s="60"/>
      <c r="W188" s="88" t="str">
        <f aca="false">IF(AND(E188&lt;&gt;"",AND(B188&lt;&gt;"",B188&gt;='Weekly Report'!$F$4,B188&lt;='Weekly Report'!$F$5)),ROW(),"")</f>
        <v/>
      </c>
      <c r="X188" s="88" t="str">
        <f aca="false">IF(AND(E188&lt;&gt;"",M188="Yes",Q188&lt;&gt;"Decided",Q188&lt;&gt;"Withdrawn"),ROW(),"")</f>
        <v/>
      </c>
    </row>
    <row r="189" customFormat="false" ht="15" hidden="false" customHeight="false" outlineLevel="0" collapsed="false">
      <c r="A189" s="56" t="s">
        <v>2003</v>
      </c>
      <c r="B189" s="63"/>
      <c r="C189" s="61"/>
      <c r="D189" s="61"/>
      <c r="E189" s="60"/>
      <c r="F189" s="60"/>
      <c r="G189" s="60"/>
      <c r="H189" s="60"/>
      <c r="I189" s="61"/>
      <c r="J189" s="61"/>
      <c r="K189" s="61"/>
      <c r="L189" s="61"/>
      <c r="M189" s="61"/>
      <c r="N189" s="60"/>
      <c r="O189" s="61"/>
      <c r="P189" s="63"/>
      <c r="Q189" s="61"/>
      <c r="R189" s="60"/>
      <c r="S189" s="61"/>
      <c r="T189" s="61"/>
      <c r="U189" s="61"/>
      <c r="V189" s="60"/>
      <c r="W189" s="88" t="str">
        <f aca="false">IF(AND(E189&lt;&gt;"",AND(B189&lt;&gt;"",B189&gt;='Weekly Report'!$F$4,B189&lt;='Weekly Report'!$F$5)),ROW(),"")</f>
        <v/>
      </c>
      <c r="X189" s="88" t="str">
        <f aca="false">IF(AND(E189&lt;&gt;"",M189="Yes",Q189&lt;&gt;"Decided",Q189&lt;&gt;"Withdrawn"),ROW(),"")</f>
        <v/>
      </c>
    </row>
    <row r="190" customFormat="false" ht="15" hidden="false" customHeight="false" outlineLevel="0" collapsed="false">
      <c r="A190" s="56" t="s">
        <v>2004</v>
      </c>
      <c r="B190" s="63"/>
      <c r="C190" s="61"/>
      <c r="D190" s="61"/>
      <c r="E190" s="60"/>
      <c r="F190" s="60"/>
      <c r="G190" s="60"/>
      <c r="H190" s="60"/>
      <c r="I190" s="61"/>
      <c r="J190" s="61"/>
      <c r="K190" s="61"/>
      <c r="L190" s="61"/>
      <c r="M190" s="61"/>
      <c r="N190" s="60"/>
      <c r="O190" s="61"/>
      <c r="P190" s="63"/>
      <c r="Q190" s="61"/>
      <c r="R190" s="60"/>
      <c r="S190" s="61"/>
      <c r="T190" s="61"/>
      <c r="U190" s="61"/>
      <c r="V190" s="60"/>
      <c r="W190" s="88" t="str">
        <f aca="false">IF(AND(E190&lt;&gt;"",AND(B190&lt;&gt;"",B190&gt;='Weekly Report'!$F$4,B190&lt;='Weekly Report'!$F$5)),ROW(),"")</f>
        <v/>
      </c>
      <c r="X190" s="88" t="str">
        <f aca="false">IF(AND(E190&lt;&gt;"",M190="Yes",Q190&lt;&gt;"Decided",Q190&lt;&gt;"Withdrawn"),ROW(),"")</f>
        <v/>
      </c>
    </row>
    <row r="191" customFormat="false" ht="15" hidden="false" customHeight="false" outlineLevel="0" collapsed="false">
      <c r="A191" s="56" t="s">
        <v>2005</v>
      </c>
      <c r="B191" s="63"/>
      <c r="C191" s="61"/>
      <c r="D191" s="61"/>
      <c r="E191" s="60"/>
      <c r="F191" s="60"/>
      <c r="G191" s="60"/>
      <c r="H191" s="60"/>
      <c r="I191" s="61"/>
      <c r="J191" s="61"/>
      <c r="K191" s="61"/>
      <c r="L191" s="61"/>
      <c r="M191" s="61"/>
      <c r="N191" s="60"/>
      <c r="O191" s="61"/>
      <c r="P191" s="63"/>
      <c r="Q191" s="61"/>
      <c r="R191" s="60"/>
      <c r="S191" s="61"/>
      <c r="T191" s="61"/>
      <c r="U191" s="61"/>
      <c r="V191" s="60"/>
      <c r="W191" s="88" t="str">
        <f aca="false">IF(AND(E191&lt;&gt;"",AND(B191&lt;&gt;"",B191&gt;='Weekly Report'!$F$4,B191&lt;='Weekly Report'!$F$5)),ROW(),"")</f>
        <v/>
      </c>
      <c r="X191" s="88" t="str">
        <f aca="false">IF(AND(E191&lt;&gt;"",M191="Yes",Q191&lt;&gt;"Decided",Q191&lt;&gt;"Withdrawn"),ROW(),"")</f>
        <v/>
      </c>
    </row>
    <row r="192" customFormat="false" ht="15" hidden="false" customHeight="false" outlineLevel="0" collapsed="false">
      <c r="A192" s="56" t="s">
        <v>2006</v>
      </c>
      <c r="B192" s="63"/>
      <c r="C192" s="61"/>
      <c r="D192" s="61"/>
      <c r="E192" s="60"/>
      <c r="F192" s="60"/>
      <c r="G192" s="60"/>
      <c r="H192" s="60"/>
      <c r="I192" s="61"/>
      <c r="J192" s="61"/>
      <c r="K192" s="61"/>
      <c r="L192" s="61"/>
      <c r="M192" s="61"/>
      <c r="N192" s="60"/>
      <c r="O192" s="61"/>
      <c r="P192" s="63"/>
      <c r="Q192" s="61"/>
      <c r="R192" s="60"/>
      <c r="S192" s="61"/>
      <c r="T192" s="61"/>
      <c r="U192" s="61"/>
      <c r="V192" s="60"/>
      <c r="W192" s="88" t="str">
        <f aca="false">IF(AND(E192&lt;&gt;"",AND(B192&lt;&gt;"",B192&gt;='Weekly Report'!$F$4,B192&lt;='Weekly Report'!$F$5)),ROW(),"")</f>
        <v/>
      </c>
      <c r="X192" s="88" t="str">
        <f aca="false">IF(AND(E192&lt;&gt;"",M192="Yes",Q192&lt;&gt;"Decided",Q192&lt;&gt;"Withdrawn"),ROW(),"")</f>
        <v/>
      </c>
    </row>
    <row r="193" customFormat="false" ht="15" hidden="false" customHeight="false" outlineLevel="0" collapsed="false">
      <c r="A193" s="56" t="s">
        <v>2007</v>
      </c>
      <c r="B193" s="63"/>
      <c r="C193" s="61"/>
      <c r="D193" s="61"/>
      <c r="E193" s="60"/>
      <c r="F193" s="60"/>
      <c r="G193" s="60"/>
      <c r="H193" s="60"/>
      <c r="I193" s="61"/>
      <c r="J193" s="61"/>
      <c r="K193" s="61"/>
      <c r="L193" s="61"/>
      <c r="M193" s="61"/>
      <c r="N193" s="60"/>
      <c r="O193" s="61"/>
      <c r="P193" s="63"/>
      <c r="Q193" s="61"/>
      <c r="R193" s="60"/>
      <c r="S193" s="61"/>
      <c r="T193" s="61"/>
      <c r="U193" s="61"/>
      <c r="V193" s="60"/>
      <c r="W193" s="88" t="str">
        <f aca="false">IF(AND(E193&lt;&gt;"",AND(B193&lt;&gt;"",B193&gt;='Weekly Report'!$F$4,B193&lt;='Weekly Report'!$F$5)),ROW(),"")</f>
        <v/>
      </c>
      <c r="X193" s="88" t="str">
        <f aca="false">IF(AND(E193&lt;&gt;"",M193="Yes",Q193&lt;&gt;"Decided",Q193&lt;&gt;"Withdrawn"),ROW(),"")</f>
        <v/>
      </c>
    </row>
    <row r="194" customFormat="false" ht="15" hidden="false" customHeight="false" outlineLevel="0" collapsed="false">
      <c r="A194" s="56" t="s">
        <v>2008</v>
      </c>
      <c r="B194" s="63"/>
      <c r="C194" s="61"/>
      <c r="D194" s="61"/>
      <c r="E194" s="60"/>
      <c r="F194" s="60"/>
      <c r="G194" s="60"/>
      <c r="H194" s="60"/>
      <c r="I194" s="61"/>
      <c r="J194" s="61"/>
      <c r="K194" s="61"/>
      <c r="L194" s="61"/>
      <c r="M194" s="61"/>
      <c r="N194" s="60"/>
      <c r="O194" s="61"/>
      <c r="P194" s="63"/>
      <c r="Q194" s="61"/>
      <c r="R194" s="60"/>
      <c r="S194" s="61"/>
      <c r="T194" s="61"/>
      <c r="U194" s="61"/>
      <c r="V194" s="60"/>
      <c r="W194" s="88" t="str">
        <f aca="false">IF(AND(E194&lt;&gt;"",AND(B194&lt;&gt;"",B194&gt;='Weekly Report'!$F$4,B194&lt;='Weekly Report'!$F$5)),ROW(),"")</f>
        <v/>
      </c>
      <c r="X194" s="88" t="str">
        <f aca="false">IF(AND(E194&lt;&gt;"",M194="Yes",Q194&lt;&gt;"Decided",Q194&lt;&gt;"Withdrawn"),ROW(),"")</f>
        <v/>
      </c>
    </row>
    <row r="195" customFormat="false" ht="15" hidden="false" customHeight="false" outlineLevel="0" collapsed="false">
      <c r="A195" s="56" t="s">
        <v>2009</v>
      </c>
      <c r="B195" s="63"/>
      <c r="C195" s="61"/>
      <c r="D195" s="61"/>
      <c r="E195" s="60"/>
      <c r="F195" s="60"/>
      <c r="G195" s="60"/>
      <c r="H195" s="60"/>
      <c r="I195" s="61"/>
      <c r="J195" s="61"/>
      <c r="K195" s="61"/>
      <c r="L195" s="61"/>
      <c r="M195" s="61"/>
      <c r="N195" s="60"/>
      <c r="O195" s="61"/>
      <c r="P195" s="63"/>
      <c r="Q195" s="61"/>
      <c r="R195" s="60"/>
      <c r="S195" s="61"/>
      <c r="T195" s="61"/>
      <c r="U195" s="61"/>
      <c r="V195" s="60"/>
      <c r="W195" s="88" t="str">
        <f aca="false">IF(AND(E195&lt;&gt;"",AND(B195&lt;&gt;"",B195&gt;='Weekly Report'!$F$4,B195&lt;='Weekly Report'!$F$5)),ROW(),"")</f>
        <v/>
      </c>
      <c r="X195" s="88" t="str">
        <f aca="false">IF(AND(E195&lt;&gt;"",M195="Yes",Q195&lt;&gt;"Decided",Q195&lt;&gt;"Withdrawn"),ROW(),"")</f>
        <v/>
      </c>
    </row>
    <row r="196" customFormat="false" ht="15" hidden="false" customHeight="false" outlineLevel="0" collapsed="false">
      <c r="A196" s="56" t="s">
        <v>2010</v>
      </c>
      <c r="B196" s="63"/>
      <c r="C196" s="61"/>
      <c r="D196" s="61"/>
      <c r="E196" s="60"/>
      <c r="F196" s="60"/>
      <c r="G196" s="60"/>
      <c r="H196" s="60"/>
      <c r="I196" s="61"/>
      <c r="J196" s="61"/>
      <c r="K196" s="61"/>
      <c r="L196" s="61"/>
      <c r="M196" s="61"/>
      <c r="N196" s="60"/>
      <c r="O196" s="61"/>
      <c r="P196" s="63"/>
      <c r="Q196" s="61"/>
      <c r="R196" s="60"/>
      <c r="S196" s="61"/>
      <c r="T196" s="61"/>
      <c r="U196" s="61"/>
      <c r="V196" s="60"/>
      <c r="W196" s="88" t="str">
        <f aca="false">IF(AND(E196&lt;&gt;"",AND(B196&lt;&gt;"",B196&gt;='Weekly Report'!$F$4,B196&lt;='Weekly Report'!$F$5)),ROW(),"")</f>
        <v/>
      </c>
      <c r="X196" s="88" t="str">
        <f aca="false">IF(AND(E196&lt;&gt;"",M196="Yes",Q196&lt;&gt;"Decided",Q196&lt;&gt;"Withdrawn"),ROW(),"")</f>
        <v/>
      </c>
    </row>
    <row r="197" customFormat="false" ht="15" hidden="false" customHeight="false" outlineLevel="0" collapsed="false">
      <c r="A197" s="56" t="s">
        <v>2011</v>
      </c>
      <c r="B197" s="63"/>
      <c r="C197" s="61"/>
      <c r="D197" s="61"/>
      <c r="E197" s="60"/>
      <c r="F197" s="60"/>
      <c r="G197" s="60"/>
      <c r="H197" s="60"/>
      <c r="I197" s="61"/>
      <c r="J197" s="61"/>
      <c r="K197" s="61"/>
      <c r="L197" s="61"/>
      <c r="M197" s="61"/>
      <c r="N197" s="60"/>
      <c r="O197" s="61"/>
      <c r="P197" s="63"/>
      <c r="Q197" s="61"/>
      <c r="R197" s="60"/>
      <c r="S197" s="61"/>
      <c r="T197" s="61"/>
      <c r="U197" s="61"/>
      <c r="V197" s="60"/>
      <c r="W197" s="88" t="str">
        <f aca="false">IF(AND(E197&lt;&gt;"",AND(B197&lt;&gt;"",B197&gt;='Weekly Report'!$F$4,B197&lt;='Weekly Report'!$F$5)),ROW(),"")</f>
        <v/>
      </c>
      <c r="X197" s="88" t="str">
        <f aca="false">IF(AND(E197&lt;&gt;"",M197="Yes",Q197&lt;&gt;"Decided",Q197&lt;&gt;"Withdrawn"),ROW(),"")</f>
        <v/>
      </c>
    </row>
    <row r="198" customFormat="false" ht="15" hidden="false" customHeight="false" outlineLevel="0" collapsed="false">
      <c r="A198" s="56" t="s">
        <v>2012</v>
      </c>
      <c r="B198" s="63"/>
      <c r="C198" s="61"/>
      <c r="D198" s="61"/>
      <c r="E198" s="60"/>
      <c r="F198" s="60"/>
      <c r="G198" s="60"/>
      <c r="H198" s="60"/>
      <c r="I198" s="61"/>
      <c r="J198" s="61"/>
      <c r="K198" s="61"/>
      <c r="L198" s="61"/>
      <c r="M198" s="61"/>
      <c r="N198" s="60"/>
      <c r="O198" s="61"/>
      <c r="P198" s="63"/>
      <c r="Q198" s="61"/>
      <c r="R198" s="60"/>
      <c r="S198" s="61"/>
      <c r="T198" s="61"/>
      <c r="U198" s="61"/>
      <c r="V198" s="60"/>
      <c r="W198" s="88" t="str">
        <f aca="false">IF(AND(E198&lt;&gt;"",AND(B198&lt;&gt;"",B198&gt;='Weekly Report'!$F$4,B198&lt;='Weekly Report'!$F$5)),ROW(),"")</f>
        <v/>
      </c>
      <c r="X198" s="88" t="str">
        <f aca="false">IF(AND(E198&lt;&gt;"",M198="Yes",Q198&lt;&gt;"Decided",Q198&lt;&gt;"Withdrawn"),ROW(),"")</f>
        <v/>
      </c>
    </row>
    <row r="199" customFormat="false" ht="15" hidden="false" customHeight="false" outlineLevel="0" collapsed="false">
      <c r="A199" s="56" t="s">
        <v>2013</v>
      </c>
      <c r="B199" s="63"/>
      <c r="C199" s="61"/>
      <c r="D199" s="61"/>
      <c r="E199" s="60"/>
      <c r="F199" s="60"/>
      <c r="G199" s="60"/>
      <c r="H199" s="60"/>
      <c r="I199" s="61"/>
      <c r="J199" s="61"/>
      <c r="K199" s="61"/>
      <c r="L199" s="61"/>
      <c r="M199" s="61"/>
      <c r="N199" s="60"/>
      <c r="O199" s="61"/>
      <c r="P199" s="63"/>
      <c r="Q199" s="61"/>
      <c r="R199" s="60"/>
      <c r="S199" s="61"/>
      <c r="T199" s="61"/>
      <c r="U199" s="61"/>
      <c r="V199" s="60"/>
      <c r="W199" s="88" t="str">
        <f aca="false">IF(AND(E199&lt;&gt;"",AND(B199&lt;&gt;"",B199&gt;='Weekly Report'!$F$4,B199&lt;='Weekly Report'!$F$5)),ROW(),"")</f>
        <v/>
      </c>
      <c r="X199" s="88" t="str">
        <f aca="false">IF(AND(E199&lt;&gt;"",M199="Yes",Q199&lt;&gt;"Decided",Q199&lt;&gt;"Withdrawn"),ROW(),"")</f>
        <v/>
      </c>
    </row>
    <row r="200" customFormat="false" ht="15" hidden="false" customHeight="false" outlineLevel="0" collapsed="false">
      <c r="A200" s="56" t="s">
        <v>2014</v>
      </c>
      <c r="B200" s="63"/>
      <c r="C200" s="61"/>
      <c r="D200" s="61"/>
      <c r="E200" s="60"/>
      <c r="F200" s="60"/>
      <c r="G200" s="60"/>
      <c r="H200" s="60"/>
      <c r="I200" s="61"/>
      <c r="J200" s="61"/>
      <c r="K200" s="61"/>
      <c r="L200" s="61"/>
      <c r="M200" s="61"/>
      <c r="N200" s="60"/>
      <c r="O200" s="61"/>
      <c r="P200" s="63"/>
      <c r="Q200" s="61"/>
      <c r="R200" s="60"/>
      <c r="S200" s="61"/>
      <c r="T200" s="61"/>
      <c r="U200" s="61"/>
      <c r="V200" s="60"/>
      <c r="W200" s="88" t="str">
        <f aca="false">IF(AND(E200&lt;&gt;"",AND(B200&lt;&gt;"",B200&gt;='Weekly Report'!$F$4,B200&lt;='Weekly Report'!$F$5)),ROW(),"")</f>
        <v/>
      </c>
      <c r="X200" s="88" t="str">
        <f aca="false">IF(AND(E200&lt;&gt;"",M200="Yes",Q200&lt;&gt;"Decided",Q200&lt;&gt;"Withdrawn"),ROW(),"")</f>
        <v/>
      </c>
    </row>
    <row r="201" customFormat="false" ht="15" hidden="false" customHeight="false" outlineLevel="0" collapsed="false">
      <c r="A201" s="56" t="s">
        <v>2015</v>
      </c>
      <c r="B201" s="63"/>
      <c r="C201" s="61"/>
      <c r="D201" s="61"/>
      <c r="E201" s="60"/>
      <c r="F201" s="60"/>
      <c r="G201" s="60"/>
      <c r="H201" s="60"/>
      <c r="I201" s="61"/>
      <c r="J201" s="61"/>
      <c r="K201" s="61"/>
      <c r="L201" s="61"/>
      <c r="M201" s="61"/>
      <c r="N201" s="60"/>
      <c r="O201" s="61"/>
      <c r="P201" s="63"/>
      <c r="Q201" s="61"/>
      <c r="R201" s="60"/>
      <c r="S201" s="61"/>
      <c r="T201" s="61"/>
      <c r="U201" s="61"/>
      <c r="V201" s="60"/>
      <c r="W201" s="88" t="str">
        <f aca="false">IF(AND(E201&lt;&gt;"",AND(B201&lt;&gt;"",B201&gt;='Weekly Report'!$F$4,B201&lt;='Weekly Report'!$F$5)),ROW(),"")</f>
        <v/>
      </c>
      <c r="X201" s="88" t="str">
        <f aca="false">IF(AND(E201&lt;&gt;"",M201="Yes",Q201&lt;&gt;"Decided",Q201&lt;&gt;"Withdrawn"),ROW(),"")</f>
        <v/>
      </c>
    </row>
    <row r="202" customFormat="false" ht="15" hidden="false" customHeight="false" outlineLevel="0" collapsed="false">
      <c r="A202" s="56" t="s">
        <v>2016</v>
      </c>
      <c r="B202" s="63"/>
      <c r="C202" s="61"/>
      <c r="D202" s="61"/>
      <c r="E202" s="60"/>
      <c r="F202" s="60"/>
      <c r="G202" s="60"/>
      <c r="H202" s="60"/>
      <c r="I202" s="61"/>
      <c r="J202" s="61"/>
      <c r="K202" s="61"/>
      <c r="L202" s="61"/>
      <c r="M202" s="61"/>
      <c r="N202" s="60"/>
      <c r="O202" s="61"/>
      <c r="P202" s="63"/>
      <c r="Q202" s="61"/>
      <c r="R202" s="60"/>
      <c r="S202" s="61"/>
      <c r="T202" s="61"/>
      <c r="U202" s="61"/>
      <c r="V202" s="60"/>
      <c r="W202" s="88" t="str">
        <f aca="false">IF(AND(E202&lt;&gt;"",AND(B202&lt;&gt;"",B202&gt;='Weekly Report'!$F$4,B202&lt;='Weekly Report'!$F$5)),ROW(),"")</f>
        <v/>
      </c>
      <c r="X202" s="88" t="str">
        <f aca="false">IF(AND(E202&lt;&gt;"",M202="Yes",Q202&lt;&gt;"Decided",Q202&lt;&gt;"Withdrawn"),ROW(),"")</f>
        <v/>
      </c>
    </row>
    <row r="203" customFormat="false" ht="15" hidden="false" customHeight="false" outlineLevel="0" collapsed="false">
      <c r="A203" s="56" t="s">
        <v>2017</v>
      </c>
      <c r="B203" s="63"/>
      <c r="C203" s="61"/>
      <c r="D203" s="61"/>
      <c r="E203" s="60"/>
      <c r="F203" s="60"/>
      <c r="G203" s="60"/>
      <c r="H203" s="60"/>
      <c r="I203" s="61"/>
      <c r="J203" s="61"/>
      <c r="K203" s="61"/>
      <c r="L203" s="61"/>
      <c r="M203" s="61"/>
      <c r="N203" s="60"/>
      <c r="O203" s="61"/>
      <c r="P203" s="63"/>
      <c r="Q203" s="61"/>
      <c r="R203" s="60"/>
      <c r="S203" s="61"/>
      <c r="T203" s="61"/>
      <c r="U203" s="61"/>
      <c r="V203" s="60"/>
      <c r="W203" s="88" t="str">
        <f aca="false">IF(AND(E203&lt;&gt;"",AND(B203&lt;&gt;"",B203&gt;='Weekly Report'!$F$4,B203&lt;='Weekly Report'!$F$5)),ROW(),"")</f>
        <v/>
      </c>
      <c r="X203" s="88" t="str">
        <f aca="false">IF(AND(E203&lt;&gt;"",M203="Yes",Q203&lt;&gt;"Decided",Q203&lt;&gt;"Withdrawn"),ROW(),"")</f>
        <v/>
      </c>
    </row>
    <row r="204" customFormat="false" ht="15" hidden="false" customHeight="false" outlineLevel="0" collapsed="false">
      <c r="A204" s="56" t="s">
        <v>2018</v>
      </c>
      <c r="B204" s="63"/>
      <c r="C204" s="61"/>
      <c r="D204" s="61"/>
      <c r="E204" s="60"/>
      <c r="F204" s="60"/>
      <c r="G204" s="60"/>
      <c r="H204" s="60"/>
      <c r="I204" s="61"/>
      <c r="J204" s="61"/>
      <c r="K204" s="61"/>
      <c r="L204" s="61"/>
      <c r="M204" s="61"/>
      <c r="N204" s="60"/>
      <c r="O204" s="61"/>
      <c r="P204" s="63"/>
      <c r="Q204" s="61"/>
      <c r="R204" s="60"/>
      <c r="S204" s="61"/>
      <c r="T204" s="61"/>
      <c r="U204" s="61"/>
      <c r="V204" s="60"/>
      <c r="W204" s="88" t="str">
        <f aca="false">IF(AND(E204&lt;&gt;"",AND(B204&lt;&gt;"",B204&gt;='Weekly Report'!$F$4,B204&lt;='Weekly Report'!$F$5)),ROW(),"")</f>
        <v/>
      </c>
      <c r="X204" s="88" t="str">
        <f aca="false">IF(AND(E204&lt;&gt;"",M204="Yes",Q204&lt;&gt;"Decided",Q204&lt;&gt;"Withdrawn"),ROW(),"")</f>
        <v/>
      </c>
    </row>
    <row r="205" customFormat="false" ht="15" hidden="false" customHeight="false" outlineLevel="0" collapsed="false">
      <c r="A205" s="56" t="s">
        <v>2019</v>
      </c>
      <c r="B205" s="63"/>
      <c r="C205" s="61"/>
      <c r="D205" s="61"/>
      <c r="E205" s="60"/>
      <c r="F205" s="60"/>
      <c r="G205" s="60"/>
      <c r="H205" s="60"/>
      <c r="I205" s="61"/>
      <c r="J205" s="61"/>
      <c r="K205" s="61"/>
      <c r="L205" s="61"/>
      <c r="M205" s="61"/>
      <c r="N205" s="60"/>
      <c r="O205" s="61"/>
      <c r="P205" s="63"/>
      <c r="Q205" s="61"/>
      <c r="R205" s="60"/>
      <c r="S205" s="61"/>
      <c r="T205" s="61"/>
      <c r="U205" s="61"/>
      <c r="V205" s="60"/>
      <c r="W205" s="88" t="str">
        <f aca="false">IF(AND(E205&lt;&gt;"",AND(B205&lt;&gt;"",B205&gt;='Weekly Report'!$F$4,B205&lt;='Weekly Report'!$F$5)),ROW(),"")</f>
        <v/>
      </c>
      <c r="X205" s="88" t="str">
        <f aca="false">IF(AND(E205&lt;&gt;"",M205="Yes",Q205&lt;&gt;"Decided",Q205&lt;&gt;"Withdrawn"),ROW(),"")</f>
        <v/>
      </c>
    </row>
    <row r="206" customFormat="false" ht="15" hidden="false" customHeight="false" outlineLevel="0" collapsed="false">
      <c r="A206" s="56" t="s">
        <v>2020</v>
      </c>
      <c r="B206" s="63"/>
      <c r="C206" s="61"/>
      <c r="D206" s="61"/>
      <c r="E206" s="60"/>
      <c r="F206" s="60"/>
      <c r="G206" s="60"/>
      <c r="H206" s="60"/>
      <c r="I206" s="61"/>
      <c r="J206" s="61"/>
      <c r="K206" s="61"/>
      <c r="L206" s="61"/>
      <c r="M206" s="61"/>
      <c r="N206" s="60"/>
      <c r="O206" s="61"/>
      <c r="P206" s="63"/>
      <c r="Q206" s="61"/>
      <c r="R206" s="60"/>
      <c r="S206" s="61"/>
      <c r="T206" s="61"/>
      <c r="U206" s="61"/>
      <c r="V206" s="60"/>
      <c r="W206" s="88" t="str">
        <f aca="false">IF(AND(E206&lt;&gt;"",AND(B206&lt;&gt;"",B206&gt;='Weekly Report'!$F$4,B206&lt;='Weekly Report'!$F$5)),ROW(),"")</f>
        <v/>
      </c>
      <c r="X206" s="88" t="str">
        <f aca="false">IF(AND(E206&lt;&gt;"",M206="Yes",Q206&lt;&gt;"Decided",Q206&lt;&gt;"Withdrawn"),ROW(),"")</f>
        <v/>
      </c>
    </row>
    <row r="207" customFormat="false" ht="15" hidden="false" customHeight="false" outlineLevel="0" collapsed="false">
      <c r="A207" s="56" t="s">
        <v>2021</v>
      </c>
      <c r="B207" s="63"/>
      <c r="C207" s="61"/>
      <c r="D207" s="61"/>
      <c r="E207" s="60"/>
      <c r="F207" s="60"/>
      <c r="G207" s="60"/>
      <c r="H207" s="60"/>
      <c r="I207" s="61"/>
      <c r="J207" s="61"/>
      <c r="K207" s="61"/>
      <c r="L207" s="61"/>
      <c r="M207" s="61"/>
      <c r="N207" s="60"/>
      <c r="O207" s="61"/>
      <c r="P207" s="63"/>
      <c r="Q207" s="61"/>
      <c r="R207" s="60"/>
      <c r="S207" s="61"/>
      <c r="T207" s="61"/>
      <c r="U207" s="61"/>
      <c r="V207" s="60"/>
      <c r="W207" s="88" t="str">
        <f aca="false">IF(AND(E207&lt;&gt;"",AND(B207&lt;&gt;"",B207&gt;='Weekly Report'!$F$4,B207&lt;='Weekly Report'!$F$5)),ROW(),"")</f>
        <v/>
      </c>
      <c r="X207" s="88" t="str">
        <f aca="false">IF(AND(E207&lt;&gt;"",M207="Yes",Q207&lt;&gt;"Decided",Q207&lt;&gt;"Withdrawn"),ROW(),"")</f>
        <v/>
      </c>
    </row>
    <row r="208" customFormat="false" ht="15" hidden="false" customHeight="false" outlineLevel="0" collapsed="false">
      <c r="A208" s="56" t="s">
        <v>2022</v>
      </c>
      <c r="B208" s="63"/>
      <c r="C208" s="61"/>
      <c r="D208" s="61"/>
      <c r="E208" s="60"/>
      <c r="F208" s="60"/>
      <c r="G208" s="60"/>
      <c r="H208" s="60"/>
      <c r="I208" s="61"/>
      <c r="J208" s="61"/>
      <c r="K208" s="61"/>
      <c r="L208" s="61"/>
      <c r="M208" s="61"/>
      <c r="N208" s="60"/>
      <c r="O208" s="61"/>
      <c r="P208" s="63"/>
      <c r="Q208" s="61"/>
      <c r="R208" s="60"/>
      <c r="S208" s="61"/>
      <c r="T208" s="61"/>
      <c r="U208" s="61"/>
      <c r="V208" s="60"/>
      <c r="W208" s="88" t="str">
        <f aca="false">IF(AND(E208&lt;&gt;"",AND(B208&lt;&gt;"",B208&gt;='Weekly Report'!$F$4,B208&lt;='Weekly Report'!$F$5)),ROW(),"")</f>
        <v/>
      </c>
      <c r="X208" s="88" t="str">
        <f aca="false">IF(AND(E208&lt;&gt;"",M208="Yes",Q208&lt;&gt;"Decided",Q208&lt;&gt;"Withdrawn"),ROW(),"")</f>
        <v/>
      </c>
    </row>
    <row r="209" customFormat="false" ht="15" hidden="false" customHeight="false" outlineLevel="0" collapsed="false">
      <c r="A209" s="56" t="s">
        <v>2023</v>
      </c>
      <c r="B209" s="63"/>
      <c r="C209" s="61"/>
      <c r="D209" s="61"/>
      <c r="E209" s="60"/>
      <c r="F209" s="60"/>
      <c r="G209" s="60"/>
      <c r="H209" s="60"/>
      <c r="I209" s="61"/>
      <c r="J209" s="61"/>
      <c r="K209" s="61"/>
      <c r="L209" s="61"/>
      <c r="M209" s="61"/>
      <c r="N209" s="60"/>
      <c r="O209" s="61"/>
      <c r="P209" s="63"/>
      <c r="Q209" s="61"/>
      <c r="R209" s="60"/>
      <c r="S209" s="61"/>
      <c r="T209" s="61"/>
      <c r="U209" s="61"/>
      <c r="V209" s="60"/>
      <c r="W209" s="88" t="str">
        <f aca="false">IF(AND(E209&lt;&gt;"",AND(B209&lt;&gt;"",B209&gt;='Weekly Report'!$F$4,B209&lt;='Weekly Report'!$F$5)),ROW(),"")</f>
        <v/>
      </c>
      <c r="X209" s="88" t="str">
        <f aca="false">IF(AND(E209&lt;&gt;"",M209="Yes",Q209&lt;&gt;"Decided",Q209&lt;&gt;"Withdrawn"),ROW(),"")</f>
        <v/>
      </c>
    </row>
    <row r="210" customFormat="false" ht="15" hidden="false" customHeight="false" outlineLevel="0" collapsed="false">
      <c r="A210" s="56" t="s">
        <v>2024</v>
      </c>
      <c r="B210" s="63"/>
      <c r="C210" s="61"/>
      <c r="D210" s="61"/>
      <c r="E210" s="60"/>
      <c r="F210" s="60"/>
      <c r="G210" s="60"/>
      <c r="H210" s="60"/>
      <c r="I210" s="61"/>
      <c r="J210" s="61"/>
      <c r="K210" s="61"/>
      <c r="L210" s="61"/>
      <c r="M210" s="61"/>
      <c r="N210" s="60"/>
      <c r="O210" s="61"/>
      <c r="P210" s="63"/>
      <c r="Q210" s="61"/>
      <c r="R210" s="60"/>
      <c r="S210" s="61"/>
      <c r="T210" s="61"/>
      <c r="U210" s="61"/>
      <c r="V210" s="60"/>
      <c r="W210" s="88" t="str">
        <f aca="false">IF(AND(E210&lt;&gt;"",AND(B210&lt;&gt;"",B210&gt;='Weekly Report'!$F$4,B210&lt;='Weekly Report'!$F$5)),ROW(),"")</f>
        <v/>
      </c>
      <c r="X210" s="88" t="str">
        <f aca="false">IF(AND(E210&lt;&gt;"",M210="Yes",Q210&lt;&gt;"Decided",Q210&lt;&gt;"Withdrawn"),ROW(),"")</f>
        <v/>
      </c>
    </row>
    <row r="211" customFormat="false" ht="15" hidden="false" customHeight="false" outlineLevel="0" collapsed="false">
      <c r="A211" s="56" t="s">
        <v>2025</v>
      </c>
      <c r="B211" s="63"/>
      <c r="C211" s="61"/>
      <c r="D211" s="61"/>
      <c r="E211" s="60"/>
      <c r="F211" s="60"/>
      <c r="G211" s="60"/>
      <c r="H211" s="60"/>
      <c r="I211" s="61"/>
      <c r="J211" s="61"/>
      <c r="K211" s="61"/>
      <c r="L211" s="61"/>
      <c r="M211" s="61"/>
      <c r="N211" s="60"/>
      <c r="O211" s="61"/>
      <c r="P211" s="63"/>
      <c r="Q211" s="61"/>
      <c r="R211" s="60"/>
      <c r="S211" s="61"/>
      <c r="T211" s="61"/>
      <c r="U211" s="61"/>
      <c r="V211" s="60"/>
      <c r="W211" s="88" t="str">
        <f aca="false">IF(AND(E211&lt;&gt;"",AND(B211&lt;&gt;"",B211&gt;='Weekly Report'!$F$4,B211&lt;='Weekly Report'!$F$5)),ROW(),"")</f>
        <v/>
      </c>
      <c r="X211" s="88" t="str">
        <f aca="false">IF(AND(E211&lt;&gt;"",M211="Yes",Q211&lt;&gt;"Decided",Q211&lt;&gt;"Withdrawn"),ROW(),"")</f>
        <v/>
      </c>
    </row>
    <row r="212" customFormat="false" ht="15" hidden="false" customHeight="false" outlineLevel="0" collapsed="false">
      <c r="A212" s="56" t="s">
        <v>2026</v>
      </c>
      <c r="B212" s="63"/>
      <c r="C212" s="61"/>
      <c r="D212" s="61"/>
      <c r="E212" s="60"/>
      <c r="F212" s="60"/>
      <c r="G212" s="60"/>
      <c r="H212" s="60"/>
      <c r="I212" s="61"/>
      <c r="J212" s="61"/>
      <c r="K212" s="61"/>
      <c r="L212" s="61"/>
      <c r="M212" s="61"/>
      <c r="N212" s="60"/>
      <c r="O212" s="61"/>
      <c r="P212" s="63"/>
      <c r="Q212" s="61"/>
      <c r="R212" s="60"/>
      <c r="S212" s="61"/>
      <c r="T212" s="61"/>
      <c r="U212" s="61"/>
      <c r="V212" s="60"/>
      <c r="W212" s="88" t="str">
        <f aca="false">IF(AND(E212&lt;&gt;"",AND(B212&lt;&gt;"",B212&gt;='Weekly Report'!$F$4,B212&lt;='Weekly Report'!$F$5)),ROW(),"")</f>
        <v/>
      </c>
      <c r="X212" s="88" t="str">
        <f aca="false">IF(AND(E212&lt;&gt;"",M212="Yes",Q212&lt;&gt;"Decided",Q212&lt;&gt;"Withdrawn"),ROW(),"")</f>
        <v/>
      </c>
    </row>
    <row r="213" customFormat="false" ht="15" hidden="false" customHeight="false" outlineLevel="0" collapsed="false">
      <c r="A213" s="56" t="s">
        <v>2027</v>
      </c>
      <c r="B213" s="63"/>
      <c r="C213" s="61"/>
      <c r="D213" s="61"/>
      <c r="E213" s="60"/>
      <c r="F213" s="60"/>
      <c r="G213" s="60"/>
      <c r="H213" s="60"/>
      <c r="I213" s="61"/>
      <c r="J213" s="61"/>
      <c r="K213" s="61"/>
      <c r="L213" s="61"/>
      <c r="M213" s="61"/>
      <c r="N213" s="60"/>
      <c r="O213" s="61"/>
      <c r="P213" s="63"/>
      <c r="Q213" s="61"/>
      <c r="R213" s="60"/>
      <c r="S213" s="61"/>
      <c r="T213" s="61"/>
      <c r="U213" s="61"/>
      <c r="V213" s="60"/>
      <c r="W213" s="88" t="str">
        <f aca="false">IF(AND(E213&lt;&gt;"",AND(B213&lt;&gt;"",B213&gt;='Weekly Report'!$F$4,B213&lt;='Weekly Report'!$F$5)),ROW(),"")</f>
        <v/>
      </c>
      <c r="X213" s="88" t="str">
        <f aca="false">IF(AND(E213&lt;&gt;"",M213="Yes",Q213&lt;&gt;"Decided",Q213&lt;&gt;"Withdrawn"),ROW(),"")</f>
        <v/>
      </c>
    </row>
    <row r="214" customFormat="false" ht="15" hidden="false" customHeight="false" outlineLevel="0" collapsed="false">
      <c r="A214" s="56" t="s">
        <v>2028</v>
      </c>
      <c r="B214" s="63"/>
      <c r="C214" s="61"/>
      <c r="D214" s="61"/>
      <c r="E214" s="60"/>
      <c r="F214" s="60"/>
      <c r="G214" s="60"/>
      <c r="H214" s="60"/>
      <c r="I214" s="61"/>
      <c r="J214" s="61"/>
      <c r="K214" s="61"/>
      <c r="L214" s="61"/>
      <c r="M214" s="61"/>
      <c r="N214" s="60"/>
      <c r="O214" s="61"/>
      <c r="P214" s="63"/>
      <c r="Q214" s="61"/>
      <c r="R214" s="60"/>
      <c r="S214" s="61"/>
      <c r="T214" s="61"/>
      <c r="U214" s="61"/>
      <c r="V214" s="60"/>
      <c r="W214" s="88" t="str">
        <f aca="false">IF(AND(E214&lt;&gt;"",AND(B214&lt;&gt;"",B214&gt;='Weekly Report'!$F$4,B214&lt;='Weekly Report'!$F$5)),ROW(),"")</f>
        <v/>
      </c>
      <c r="X214" s="88" t="str">
        <f aca="false">IF(AND(E214&lt;&gt;"",M214="Yes",Q214&lt;&gt;"Decided",Q214&lt;&gt;"Withdrawn"),ROW(),"")</f>
        <v/>
      </c>
    </row>
    <row r="215" customFormat="false" ht="15" hidden="false" customHeight="false" outlineLevel="0" collapsed="false">
      <c r="A215" s="56" t="s">
        <v>2029</v>
      </c>
      <c r="B215" s="63"/>
      <c r="C215" s="61"/>
      <c r="D215" s="61"/>
      <c r="E215" s="60"/>
      <c r="F215" s="60"/>
      <c r="G215" s="60"/>
      <c r="H215" s="60"/>
      <c r="I215" s="61"/>
      <c r="J215" s="61"/>
      <c r="K215" s="61"/>
      <c r="L215" s="61"/>
      <c r="M215" s="61"/>
      <c r="N215" s="60"/>
      <c r="O215" s="61"/>
      <c r="P215" s="63"/>
      <c r="Q215" s="61"/>
      <c r="R215" s="60"/>
      <c r="S215" s="61"/>
      <c r="T215" s="61"/>
      <c r="U215" s="61"/>
      <c r="V215" s="60"/>
      <c r="W215" s="88" t="str">
        <f aca="false">IF(AND(E215&lt;&gt;"",AND(B215&lt;&gt;"",B215&gt;='Weekly Report'!$F$4,B215&lt;='Weekly Report'!$F$5)),ROW(),"")</f>
        <v/>
      </c>
      <c r="X215" s="88" t="str">
        <f aca="false">IF(AND(E215&lt;&gt;"",M215="Yes",Q215&lt;&gt;"Decided",Q215&lt;&gt;"Withdrawn"),ROW(),"")</f>
        <v/>
      </c>
    </row>
    <row r="216" customFormat="false" ht="15" hidden="false" customHeight="false" outlineLevel="0" collapsed="false">
      <c r="A216" s="56" t="s">
        <v>2030</v>
      </c>
      <c r="B216" s="63"/>
      <c r="C216" s="61"/>
      <c r="D216" s="61"/>
      <c r="E216" s="60"/>
      <c r="F216" s="60"/>
      <c r="G216" s="60"/>
      <c r="H216" s="60"/>
      <c r="I216" s="61"/>
      <c r="J216" s="61"/>
      <c r="K216" s="61"/>
      <c r="L216" s="61"/>
      <c r="M216" s="61"/>
      <c r="N216" s="60"/>
      <c r="O216" s="61"/>
      <c r="P216" s="63"/>
      <c r="Q216" s="61"/>
      <c r="R216" s="60"/>
      <c r="S216" s="61"/>
      <c r="T216" s="61"/>
      <c r="U216" s="61"/>
      <c r="V216" s="60"/>
      <c r="W216" s="88" t="str">
        <f aca="false">IF(AND(E216&lt;&gt;"",AND(B216&lt;&gt;"",B216&gt;='Weekly Report'!$F$4,B216&lt;='Weekly Report'!$F$5)),ROW(),"")</f>
        <v/>
      </c>
      <c r="X216" s="88" t="str">
        <f aca="false">IF(AND(E216&lt;&gt;"",M216="Yes",Q216&lt;&gt;"Decided",Q216&lt;&gt;"Withdrawn"),ROW(),"")</f>
        <v/>
      </c>
    </row>
    <row r="217" customFormat="false" ht="15" hidden="false" customHeight="false" outlineLevel="0" collapsed="false">
      <c r="A217" s="56" t="s">
        <v>2031</v>
      </c>
      <c r="B217" s="63"/>
      <c r="C217" s="61"/>
      <c r="D217" s="61"/>
      <c r="E217" s="60"/>
      <c r="F217" s="60"/>
      <c r="G217" s="60"/>
      <c r="H217" s="60"/>
      <c r="I217" s="61"/>
      <c r="J217" s="61"/>
      <c r="K217" s="61"/>
      <c r="L217" s="61"/>
      <c r="M217" s="61"/>
      <c r="N217" s="60"/>
      <c r="O217" s="61"/>
      <c r="P217" s="63"/>
      <c r="Q217" s="61"/>
      <c r="R217" s="60"/>
      <c r="S217" s="61"/>
      <c r="T217" s="61"/>
      <c r="U217" s="61"/>
      <c r="V217" s="60"/>
      <c r="W217" s="88" t="str">
        <f aca="false">IF(AND(E217&lt;&gt;"",AND(B217&lt;&gt;"",B217&gt;='Weekly Report'!$F$4,B217&lt;='Weekly Report'!$F$5)),ROW(),"")</f>
        <v/>
      </c>
      <c r="X217" s="88" t="str">
        <f aca="false">IF(AND(E217&lt;&gt;"",M217="Yes",Q217&lt;&gt;"Decided",Q217&lt;&gt;"Withdrawn"),ROW(),"")</f>
        <v/>
      </c>
    </row>
    <row r="218" customFormat="false" ht="15" hidden="false" customHeight="false" outlineLevel="0" collapsed="false">
      <c r="A218" s="56" t="s">
        <v>2032</v>
      </c>
      <c r="B218" s="63"/>
      <c r="C218" s="61"/>
      <c r="D218" s="61"/>
      <c r="E218" s="60"/>
      <c r="F218" s="60"/>
      <c r="G218" s="60"/>
      <c r="H218" s="60"/>
      <c r="I218" s="61"/>
      <c r="J218" s="61"/>
      <c r="K218" s="61"/>
      <c r="L218" s="61"/>
      <c r="M218" s="61"/>
      <c r="N218" s="60"/>
      <c r="O218" s="61"/>
      <c r="P218" s="63"/>
      <c r="Q218" s="61"/>
      <c r="R218" s="60"/>
      <c r="S218" s="61"/>
      <c r="T218" s="61"/>
      <c r="U218" s="61"/>
      <c r="V218" s="60"/>
      <c r="W218" s="88" t="str">
        <f aca="false">IF(AND(E218&lt;&gt;"",AND(B218&lt;&gt;"",B218&gt;='Weekly Report'!$F$4,B218&lt;='Weekly Report'!$F$5)),ROW(),"")</f>
        <v/>
      </c>
      <c r="X218" s="88" t="str">
        <f aca="false">IF(AND(E218&lt;&gt;"",M218="Yes",Q218&lt;&gt;"Decided",Q218&lt;&gt;"Withdrawn"),ROW(),"")</f>
        <v/>
      </c>
    </row>
    <row r="219" customFormat="false" ht="15" hidden="false" customHeight="false" outlineLevel="0" collapsed="false">
      <c r="A219" s="56" t="s">
        <v>2033</v>
      </c>
      <c r="B219" s="63"/>
      <c r="C219" s="61"/>
      <c r="D219" s="61"/>
      <c r="E219" s="60"/>
      <c r="F219" s="60"/>
      <c r="G219" s="60"/>
      <c r="H219" s="60"/>
      <c r="I219" s="61"/>
      <c r="J219" s="61"/>
      <c r="K219" s="61"/>
      <c r="L219" s="61"/>
      <c r="M219" s="61"/>
      <c r="N219" s="60"/>
      <c r="O219" s="61"/>
      <c r="P219" s="63"/>
      <c r="Q219" s="61"/>
      <c r="R219" s="60"/>
      <c r="S219" s="61"/>
      <c r="T219" s="61"/>
      <c r="U219" s="61"/>
      <c r="V219" s="60"/>
      <c r="W219" s="88" t="str">
        <f aca="false">IF(AND(E219&lt;&gt;"",AND(B219&lt;&gt;"",B219&gt;='Weekly Report'!$F$4,B219&lt;='Weekly Report'!$F$5)),ROW(),"")</f>
        <v/>
      </c>
      <c r="X219" s="88" t="str">
        <f aca="false">IF(AND(E219&lt;&gt;"",M219="Yes",Q219&lt;&gt;"Decided",Q219&lt;&gt;"Withdrawn"),ROW(),"")</f>
        <v/>
      </c>
    </row>
    <row r="220" customFormat="false" ht="15" hidden="false" customHeight="false" outlineLevel="0" collapsed="false">
      <c r="A220" s="56" t="s">
        <v>2034</v>
      </c>
      <c r="B220" s="63"/>
      <c r="C220" s="61"/>
      <c r="D220" s="61"/>
      <c r="E220" s="60"/>
      <c r="F220" s="60"/>
      <c r="G220" s="60"/>
      <c r="H220" s="60"/>
      <c r="I220" s="61"/>
      <c r="J220" s="61"/>
      <c r="K220" s="61"/>
      <c r="L220" s="61"/>
      <c r="M220" s="61"/>
      <c r="N220" s="60"/>
      <c r="O220" s="61"/>
      <c r="P220" s="63"/>
      <c r="Q220" s="61"/>
      <c r="R220" s="60"/>
      <c r="S220" s="61"/>
      <c r="T220" s="61"/>
      <c r="U220" s="61"/>
      <c r="V220" s="60"/>
      <c r="W220" s="88" t="str">
        <f aca="false">IF(AND(E220&lt;&gt;"",AND(B220&lt;&gt;"",B220&gt;='Weekly Report'!$F$4,B220&lt;='Weekly Report'!$F$5)),ROW(),"")</f>
        <v/>
      </c>
      <c r="X220" s="88" t="str">
        <f aca="false">IF(AND(E220&lt;&gt;"",M220="Yes",Q220&lt;&gt;"Decided",Q220&lt;&gt;"Withdrawn"),ROW(),"")</f>
        <v/>
      </c>
    </row>
    <row r="221" customFormat="false" ht="15" hidden="false" customHeight="false" outlineLevel="0" collapsed="false">
      <c r="A221" s="56" t="s">
        <v>2035</v>
      </c>
      <c r="B221" s="63"/>
      <c r="C221" s="61"/>
      <c r="D221" s="61"/>
      <c r="E221" s="60"/>
      <c r="F221" s="60"/>
      <c r="G221" s="60"/>
      <c r="H221" s="60"/>
      <c r="I221" s="61"/>
      <c r="J221" s="61"/>
      <c r="K221" s="61"/>
      <c r="L221" s="61"/>
      <c r="M221" s="61"/>
      <c r="N221" s="60"/>
      <c r="O221" s="61"/>
      <c r="P221" s="63"/>
      <c r="Q221" s="61"/>
      <c r="R221" s="60"/>
      <c r="S221" s="61"/>
      <c r="T221" s="61"/>
      <c r="U221" s="61"/>
      <c r="V221" s="60"/>
      <c r="W221" s="88" t="str">
        <f aca="false">IF(AND(E221&lt;&gt;"",AND(B221&lt;&gt;"",B221&gt;='Weekly Report'!$F$4,B221&lt;='Weekly Report'!$F$5)),ROW(),"")</f>
        <v/>
      </c>
      <c r="X221" s="88" t="str">
        <f aca="false">IF(AND(E221&lt;&gt;"",M221="Yes",Q221&lt;&gt;"Decided",Q221&lt;&gt;"Withdrawn"),ROW(),"")</f>
        <v/>
      </c>
    </row>
    <row r="222" customFormat="false" ht="15" hidden="false" customHeight="false" outlineLevel="0" collapsed="false">
      <c r="A222" s="56" t="s">
        <v>2036</v>
      </c>
      <c r="B222" s="63"/>
      <c r="C222" s="61"/>
      <c r="D222" s="61"/>
      <c r="E222" s="60"/>
      <c r="F222" s="60"/>
      <c r="G222" s="60"/>
      <c r="H222" s="60"/>
      <c r="I222" s="61"/>
      <c r="J222" s="61"/>
      <c r="K222" s="61"/>
      <c r="L222" s="61"/>
      <c r="M222" s="61"/>
      <c r="N222" s="60"/>
      <c r="O222" s="61"/>
      <c r="P222" s="63"/>
      <c r="Q222" s="61"/>
      <c r="R222" s="60"/>
      <c r="S222" s="61"/>
      <c r="T222" s="61"/>
      <c r="U222" s="61"/>
      <c r="V222" s="60"/>
      <c r="W222" s="88" t="str">
        <f aca="false">IF(AND(E222&lt;&gt;"",AND(B222&lt;&gt;"",B222&gt;='Weekly Report'!$F$4,B222&lt;='Weekly Report'!$F$5)),ROW(),"")</f>
        <v/>
      </c>
      <c r="X222" s="88" t="str">
        <f aca="false">IF(AND(E222&lt;&gt;"",M222="Yes",Q222&lt;&gt;"Decided",Q222&lt;&gt;"Withdrawn"),ROW(),"")</f>
        <v/>
      </c>
    </row>
    <row r="223" customFormat="false" ht="15" hidden="false" customHeight="false" outlineLevel="0" collapsed="false">
      <c r="A223" s="56" t="s">
        <v>2037</v>
      </c>
      <c r="B223" s="63"/>
      <c r="C223" s="61"/>
      <c r="D223" s="61"/>
      <c r="E223" s="60"/>
      <c r="F223" s="60"/>
      <c r="G223" s="60"/>
      <c r="H223" s="60"/>
      <c r="I223" s="61"/>
      <c r="J223" s="61"/>
      <c r="K223" s="61"/>
      <c r="L223" s="61"/>
      <c r="M223" s="61"/>
      <c r="N223" s="60"/>
      <c r="O223" s="61"/>
      <c r="P223" s="63"/>
      <c r="Q223" s="61"/>
      <c r="R223" s="60"/>
      <c r="S223" s="61"/>
      <c r="T223" s="61"/>
      <c r="U223" s="61"/>
      <c r="V223" s="60"/>
      <c r="W223" s="88" t="str">
        <f aca="false">IF(AND(E223&lt;&gt;"",AND(B223&lt;&gt;"",B223&gt;='Weekly Report'!$F$4,B223&lt;='Weekly Report'!$F$5)),ROW(),"")</f>
        <v/>
      </c>
      <c r="X223" s="88" t="str">
        <f aca="false">IF(AND(E223&lt;&gt;"",M223="Yes",Q223&lt;&gt;"Decided",Q223&lt;&gt;"Withdrawn"),ROW(),"")</f>
        <v/>
      </c>
    </row>
    <row r="224" customFormat="false" ht="15" hidden="false" customHeight="false" outlineLevel="0" collapsed="false">
      <c r="A224" s="56" t="s">
        <v>2038</v>
      </c>
      <c r="B224" s="63"/>
      <c r="C224" s="61"/>
      <c r="D224" s="61"/>
      <c r="E224" s="60"/>
      <c r="F224" s="60"/>
      <c r="G224" s="60"/>
      <c r="H224" s="60"/>
      <c r="I224" s="61"/>
      <c r="J224" s="61"/>
      <c r="K224" s="61"/>
      <c r="L224" s="61"/>
      <c r="M224" s="61"/>
      <c r="N224" s="60"/>
      <c r="O224" s="61"/>
      <c r="P224" s="63"/>
      <c r="Q224" s="61"/>
      <c r="R224" s="60"/>
      <c r="S224" s="61"/>
      <c r="T224" s="61"/>
      <c r="U224" s="61"/>
      <c r="V224" s="60"/>
      <c r="W224" s="88" t="str">
        <f aca="false">IF(AND(E224&lt;&gt;"",AND(B224&lt;&gt;"",B224&gt;='Weekly Report'!$F$4,B224&lt;='Weekly Report'!$F$5)),ROW(),"")</f>
        <v/>
      </c>
      <c r="X224" s="88" t="str">
        <f aca="false">IF(AND(E224&lt;&gt;"",M224="Yes",Q224&lt;&gt;"Decided",Q224&lt;&gt;"Withdrawn"),ROW(),"")</f>
        <v/>
      </c>
    </row>
    <row r="225" customFormat="false" ht="15" hidden="false" customHeight="false" outlineLevel="0" collapsed="false">
      <c r="A225" s="56" t="s">
        <v>2039</v>
      </c>
      <c r="B225" s="63"/>
      <c r="C225" s="61"/>
      <c r="D225" s="61"/>
      <c r="E225" s="60"/>
      <c r="F225" s="60"/>
      <c r="G225" s="60"/>
      <c r="H225" s="60"/>
      <c r="I225" s="61"/>
      <c r="J225" s="61"/>
      <c r="K225" s="61"/>
      <c r="L225" s="61"/>
      <c r="M225" s="61"/>
      <c r="N225" s="60"/>
      <c r="O225" s="61"/>
      <c r="P225" s="63"/>
      <c r="Q225" s="61"/>
      <c r="R225" s="60"/>
      <c r="S225" s="61"/>
      <c r="T225" s="61"/>
      <c r="U225" s="61"/>
      <c r="V225" s="60"/>
      <c r="W225" s="88" t="str">
        <f aca="false">IF(AND(E225&lt;&gt;"",AND(B225&lt;&gt;"",B225&gt;='Weekly Report'!$F$4,B225&lt;='Weekly Report'!$F$5)),ROW(),"")</f>
        <v/>
      </c>
      <c r="X225" s="88" t="str">
        <f aca="false">IF(AND(E225&lt;&gt;"",M225="Yes",Q225&lt;&gt;"Decided",Q225&lt;&gt;"Withdrawn"),ROW(),"")</f>
        <v/>
      </c>
    </row>
    <row r="226" customFormat="false" ht="15" hidden="false" customHeight="false" outlineLevel="0" collapsed="false">
      <c r="A226" s="56" t="s">
        <v>2040</v>
      </c>
      <c r="B226" s="63"/>
      <c r="C226" s="61"/>
      <c r="D226" s="61"/>
      <c r="E226" s="60"/>
      <c r="F226" s="60"/>
      <c r="G226" s="60"/>
      <c r="H226" s="60"/>
      <c r="I226" s="61"/>
      <c r="J226" s="61"/>
      <c r="K226" s="61"/>
      <c r="L226" s="61"/>
      <c r="M226" s="61"/>
      <c r="N226" s="60"/>
      <c r="O226" s="61"/>
      <c r="P226" s="63"/>
      <c r="Q226" s="61"/>
      <c r="R226" s="60"/>
      <c r="S226" s="61"/>
      <c r="T226" s="61"/>
      <c r="U226" s="61"/>
      <c r="V226" s="60"/>
      <c r="W226" s="88" t="str">
        <f aca="false">IF(AND(E226&lt;&gt;"",AND(B226&lt;&gt;"",B226&gt;='Weekly Report'!$F$4,B226&lt;='Weekly Report'!$F$5)),ROW(),"")</f>
        <v/>
      </c>
      <c r="X226" s="88" t="str">
        <f aca="false">IF(AND(E226&lt;&gt;"",M226="Yes",Q226&lt;&gt;"Decided",Q226&lt;&gt;"Withdrawn"),ROW(),"")</f>
        <v/>
      </c>
    </row>
    <row r="227" customFormat="false" ht="15" hidden="false" customHeight="false" outlineLevel="0" collapsed="false">
      <c r="A227" s="56" t="s">
        <v>2041</v>
      </c>
      <c r="B227" s="63"/>
      <c r="C227" s="61"/>
      <c r="D227" s="61"/>
      <c r="E227" s="60"/>
      <c r="F227" s="60"/>
      <c r="G227" s="60"/>
      <c r="H227" s="60"/>
      <c r="I227" s="61"/>
      <c r="J227" s="61"/>
      <c r="K227" s="61"/>
      <c r="L227" s="61"/>
      <c r="M227" s="61"/>
      <c r="N227" s="60"/>
      <c r="O227" s="61"/>
      <c r="P227" s="63"/>
      <c r="Q227" s="61"/>
      <c r="R227" s="60"/>
      <c r="S227" s="61"/>
      <c r="T227" s="61"/>
      <c r="U227" s="61"/>
      <c r="V227" s="60"/>
      <c r="W227" s="88" t="str">
        <f aca="false">IF(AND(E227&lt;&gt;"",AND(B227&lt;&gt;"",B227&gt;='Weekly Report'!$F$4,B227&lt;='Weekly Report'!$F$5)),ROW(),"")</f>
        <v/>
      </c>
      <c r="X227" s="88" t="str">
        <f aca="false">IF(AND(E227&lt;&gt;"",M227="Yes",Q227&lt;&gt;"Decided",Q227&lt;&gt;"Withdrawn"),ROW(),"")</f>
        <v/>
      </c>
    </row>
    <row r="228" customFormat="false" ht="15" hidden="false" customHeight="false" outlineLevel="0" collapsed="false">
      <c r="A228" s="56" t="s">
        <v>2042</v>
      </c>
      <c r="B228" s="63"/>
      <c r="C228" s="61"/>
      <c r="D228" s="61"/>
      <c r="E228" s="60"/>
      <c r="F228" s="60"/>
      <c r="G228" s="60"/>
      <c r="H228" s="60"/>
      <c r="I228" s="61"/>
      <c r="J228" s="61"/>
      <c r="K228" s="61"/>
      <c r="L228" s="61"/>
      <c r="M228" s="61"/>
      <c r="N228" s="60"/>
      <c r="O228" s="61"/>
      <c r="P228" s="63"/>
      <c r="Q228" s="61"/>
      <c r="R228" s="60"/>
      <c r="S228" s="61"/>
      <c r="T228" s="61"/>
      <c r="U228" s="61"/>
      <c r="V228" s="60"/>
      <c r="W228" s="88" t="str">
        <f aca="false">IF(AND(E228&lt;&gt;"",AND(B228&lt;&gt;"",B228&gt;='Weekly Report'!$F$4,B228&lt;='Weekly Report'!$F$5)),ROW(),"")</f>
        <v/>
      </c>
      <c r="X228" s="88" t="str">
        <f aca="false">IF(AND(E228&lt;&gt;"",M228="Yes",Q228&lt;&gt;"Decided",Q228&lt;&gt;"Withdrawn"),ROW(),"")</f>
        <v/>
      </c>
    </row>
    <row r="229" customFormat="false" ht="15" hidden="false" customHeight="false" outlineLevel="0" collapsed="false">
      <c r="A229" s="56" t="s">
        <v>2043</v>
      </c>
      <c r="B229" s="63"/>
      <c r="C229" s="61"/>
      <c r="D229" s="61"/>
      <c r="E229" s="60"/>
      <c r="F229" s="60"/>
      <c r="G229" s="60"/>
      <c r="H229" s="60"/>
      <c r="I229" s="61"/>
      <c r="J229" s="61"/>
      <c r="K229" s="61"/>
      <c r="L229" s="61"/>
      <c r="M229" s="61"/>
      <c r="N229" s="60"/>
      <c r="O229" s="61"/>
      <c r="P229" s="63"/>
      <c r="Q229" s="61"/>
      <c r="R229" s="60"/>
      <c r="S229" s="61"/>
      <c r="T229" s="61"/>
      <c r="U229" s="61"/>
      <c r="V229" s="60"/>
      <c r="W229" s="88" t="str">
        <f aca="false">IF(AND(E229&lt;&gt;"",AND(B229&lt;&gt;"",B229&gt;='Weekly Report'!$F$4,B229&lt;='Weekly Report'!$F$5)),ROW(),"")</f>
        <v/>
      </c>
      <c r="X229" s="88" t="str">
        <f aca="false">IF(AND(E229&lt;&gt;"",M229="Yes",Q229&lt;&gt;"Decided",Q229&lt;&gt;"Withdrawn"),ROW(),"")</f>
        <v/>
      </c>
    </row>
    <row r="230" customFormat="false" ht="15" hidden="false" customHeight="false" outlineLevel="0" collapsed="false">
      <c r="A230" s="56" t="s">
        <v>2044</v>
      </c>
      <c r="B230" s="63"/>
      <c r="C230" s="61"/>
      <c r="D230" s="61"/>
      <c r="E230" s="60"/>
      <c r="F230" s="60"/>
      <c r="G230" s="60"/>
      <c r="H230" s="60"/>
      <c r="I230" s="61"/>
      <c r="J230" s="61"/>
      <c r="K230" s="61"/>
      <c r="L230" s="61"/>
      <c r="M230" s="61"/>
      <c r="N230" s="60"/>
      <c r="O230" s="61"/>
      <c r="P230" s="63"/>
      <c r="Q230" s="61"/>
      <c r="R230" s="60"/>
      <c r="S230" s="61"/>
      <c r="T230" s="61"/>
      <c r="U230" s="61"/>
      <c r="V230" s="60"/>
      <c r="W230" s="88" t="str">
        <f aca="false">IF(AND(E230&lt;&gt;"",AND(B230&lt;&gt;"",B230&gt;='Weekly Report'!$F$4,B230&lt;='Weekly Report'!$F$5)),ROW(),"")</f>
        <v/>
      </c>
      <c r="X230" s="88" t="str">
        <f aca="false">IF(AND(E230&lt;&gt;"",M230="Yes",Q230&lt;&gt;"Decided",Q230&lt;&gt;"Withdrawn"),ROW(),"")</f>
        <v/>
      </c>
    </row>
    <row r="231" customFormat="false" ht="15" hidden="false" customHeight="false" outlineLevel="0" collapsed="false">
      <c r="A231" s="56" t="s">
        <v>2045</v>
      </c>
      <c r="B231" s="63"/>
      <c r="C231" s="61"/>
      <c r="D231" s="61"/>
      <c r="E231" s="60"/>
      <c r="F231" s="60"/>
      <c r="G231" s="60"/>
      <c r="H231" s="60"/>
      <c r="I231" s="61"/>
      <c r="J231" s="61"/>
      <c r="K231" s="61"/>
      <c r="L231" s="61"/>
      <c r="M231" s="61"/>
      <c r="N231" s="60"/>
      <c r="O231" s="61"/>
      <c r="P231" s="63"/>
      <c r="Q231" s="61"/>
      <c r="R231" s="60"/>
      <c r="S231" s="61"/>
      <c r="T231" s="61"/>
      <c r="U231" s="61"/>
      <c r="V231" s="60"/>
      <c r="W231" s="88" t="str">
        <f aca="false">IF(AND(E231&lt;&gt;"",AND(B231&lt;&gt;"",B231&gt;='Weekly Report'!$F$4,B231&lt;='Weekly Report'!$F$5)),ROW(),"")</f>
        <v/>
      </c>
      <c r="X231" s="88" t="str">
        <f aca="false">IF(AND(E231&lt;&gt;"",M231="Yes",Q231&lt;&gt;"Decided",Q231&lt;&gt;"Withdrawn"),ROW(),"")</f>
        <v/>
      </c>
    </row>
    <row r="232" customFormat="false" ht="15" hidden="false" customHeight="false" outlineLevel="0" collapsed="false">
      <c r="A232" s="56" t="s">
        <v>2046</v>
      </c>
      <c r="B232" s="63"/>
      <c r="C232" s="61"/>
      <c r="D232" s="61"/>
      <c r="E232" s="60"/>
      <c r="F232" s="60"/>
      <c r="G232" s="60"/>
      <c r="H232" s="60"/>
      <c r="I232" s="61"/>
      <c r="J232" s="61"/>
      <c r="K232" s="61"/>
      <c r="L232" s="61"/>
      <c r="M232" s="61"/>
      <c r="N232" s="60"/>
      <c r="O232" s="61"/>
      <c r="P232" s="63"/>
      <c r="Q232" s="61"/>
      <c r="R232" s="60"/>
      <c r="S232" s="61"/>
      <c r="T232" s="61"/>
      <c r="U232" s="61"/>
      <c r="V232" s="60"/>
      <c r="W232" s="88" t="str">
        <f aca="false">IF(AND(E232&lt;&gt;"",AND(B232&lt;&gt;"",B232&gt;='Weekly Report'!$F$4,B232&lt;='Weekly Report'!$F$5)),ROW(),"")</f>
        <v/>
      </c>
      <c r="X232" s="88" t="str">
        <f aca="false">IF(AND(E232&lt;&gt;"",M232="Yes",Q232&lt;&gt;"Decided",Q232&lt;&gt;"Withdrawn"),ROW(),"")</f>
        <v/>
      </c>
    </row>
    <row r="233" customFormat="false" ht="15" hidden="false" customHeight="false" outlineLevel="0" collapsed="false">
      <c r="A233" s="56" t="s">
        <v>2047</v>
      </c>
      <c r="B233" s="63"/>
      <c r="C233" s="61"/>
      <c r="D233" s="61"/>
      <c r="E233" s="60"/>
      <c r="F233" s="60"/>
      <c r="G233" s="60"/>
      <c r="H233" s="60"/>
      <c r="I233" s="61"/>
      <c r="J233" s="61"/>
      <c r="K233" s="61"/>
      <c r="L233" s="61"/>
      <c r="M233" s="61"/>
      <c r="N233" s="60"/>
      <c r="O233" s="61"/>
      <c r="P233" s="63"/>
      <c r="Q233" s="61"/>
      <c r="R233" s="60"/>
      <c r="S233" s="61"/>
      <c r="T233" s="61"/>
      <c r="U233" s="61"/>
      <c r="V233" s="60"/>
      <c r="W233" s="88" t="str">
        <f aca="false">IF(AND(E233&lt;&gt;"",AND(B233&lt;&gt;"",B233&gt;='Weekly Report'!$F$4,B233&lt;='Weekly Report'!$F$5)),ROW(),"")</f>
        <v/>
      </c>
      <c r="X233" s="88" t="str">
        <f aca="false">IF(AND(E233&lt;&gt;"",M233="Yes",Q233&lt;&gt;"Decided",Q233&lt;&gt;"Withdrawn"),ROW(),"")</f>
        <v/>
      </c>
    </row>
    <row r="234" customFormat="false" ht="15" hidden="false" customHeight="false" outlineLevel="0" collapsed="false">
      <c r="A234" s="56" t="s">
        <v>2048</v>
      </c>
      <c r="B234" s="63"/>
      <c r="C234" s="61"/>
      <c r="D234" s="61"/>
      <c r="E234" s="60"/>
      <c r="F234" s="60"/>
      <c r="G234" s="60"/>
      <c r="H234" s="60"/>
      <c r="I234" s="61"/>
      <c r="J234" s="61"/>
      <c r="K234" s="61"/>
      <c r="L234" s="61"/>
      <c r="M234" s="61"/>
      <c r="N234" s="60"/>
      <c r="O234" s="61"/>
      <c r="P234" s="63"/>
      <c r="Q234" s="61"/>
      <c r="R234" s="60"/>
      <c r="S234" s="61"/>
      <c r="T234" s="61"/>
      <c r="U234" s="61"/>
      <c r="V234" s="60"/>
      <c r="W234" s="88" t="str">
        <f aca="false">IF(AND(E234&lt;&gt;"",AND(B234&lt;&gt;"",B234&gt;='Weekly Report'!$F$4,B234&lt;='Weekly Report'!$F$5)),ROW(),"")</f>
        <v/>
      </c>
      <c r="X234" s="88" t="str">
        <f aca="false">IF(AND(E234&lt;&gt;"",M234="Yes",Q234&lt;&gt;"Decided",Q234&lt;&gt;"Withdrawn"),ROW(),"")</f>
        <v/>
      </c>
    </row>
    <row r="235" customFormat="false" ht="15" hidden="false" customHeight="false" outlineLevel="0" collapsed="false">
      <c r="A235" s="56" t="s">
        <v>2049</v>
      </c>
      <c r="B235" s="63"/>
      <c r="C235" s="61"/>
      <c r="D235" s="61"/>
      <c r="E235" s="60"/>
      <c r="F235" s="60"/>
      <c r="G235" s="60"/>
      <c r="H235" s="60"/>
      <c r="I235" s="61"/>
      <c r="J235" s="61"/>
      <c r="K235" s="61"/>
      <c r="L235" s="61"/>
      <c r="M235" s="61"/>
      <c r="N235" s="60"/>
      <c r="O235" s="61"/>
      <c r="P235" s="63"/>
      <c r="Q235" s="61"/>
      <c r="R235" s="60"/>
      <c r="S235" s="61"/>
      <c r="T235" s="61"/>
      <c r="U235" s="61"/>
      <c r="V235" s="60"/>
      <c r="W235" s="88" t="str">
        <f aca="false">IF(AND(E235&lt;&gt;"",AND(B235&lt;&gt;"",B235&gt;='Weekly Report'!$F$4,B235&lt;='Weekly Report'!$F$5)),ROW(),"")</f>
        <v/>
      </c>
      <c r="X235" s="88" t="str">
        <f aca="false">IF(AND(E235&lt;&gt;"",M235="Yes",Q235&lt;&gt;"Decided",Q235&lt;&gt;"Withdrawn"),ROW(),"")</f>
        <v/>
      </c>
    </row>
    <row r="236" customFormat="false" ht="15" hidden="false" customHeight="false" outlineLevel="0" collapsed="false">
      <c r="A236" s="56" t="s">
        <v>2050</v>
      </c>
      <c r="B236" s="63"/>
      <c r="C236" s="61"/>
      <c r="D236" s="61"/>
      <c r="E236" s="60"/>
      <c r="F236" s="60"/>
      <c r="G236" s="60"/>
      <c r="H236" s="60"/>
      <c r="I236" s="61"/>
      <c r="J236" s="61"/>
      <c r="K236" s="61"/>
      <c r="L236" s="61"/>
      <c r="M236" s="61"/>
      <c r="N236" s="60"/>
      <c r="O236" s="61"/>
      <c r="P236" s="63"/>
      <c r="Q236" s="61"/>
      <c r="R236" s="60"/>
      <c r="S236" s="61"/>
      <c r="T236" s="61"/>
      <c r="U236" s="61"/>
      <c r="V236" s="60"/>
      <c r="W236" s="88" t="str">
        <f aca="false">IF(AND(E236&lt;&gt;"",AND(B236&lt;&gt;"",B236&gt;='Weekly Report'!$F$4,B236&lt;='Weekly Report'!$F$5)),ROW(),"")</f>
        <v/>
      </c>
      <c r="X236" s="88" t="str">
        <f aca="false">IF(AND(E236&lt;&gt;"",M236="Yes",Q236&lt;&gt;"Decided",Q236&lt;&gt;"Withdrawn"),ROW(),"")</f>
        <v/>
      </c>
    </row>
    <row r="237" customFormat="false" ht="15" hidden="false" customHeight="false" outlineLevel="0" collapsed="false">
      <c r="A237" s="56" t="s">
        <v>2051</v>
      </c>
      <c r="B237" s="63"/>
      <c r="C237" s="61"/>
      <c r="D237" s="61"/>
      <c r="E237" s="60"/>
      <c r="F237" s="60"/>
      <c r="G237" s="60"/>
      <c r="H237" s="60"/>
      <c r="I237" s="61"/>
      <c r="J237" s="61"/>
      <c r="K237" s="61"/>
      <c r="L237" s="61"/>
      <c r="M237" s="61"/>
      <c r="N237" s="60"/>
      <c r="O237" s="61"/>
      <c r="P237" s="63"/>
      <c r="Q237" s="61"/>
      <c r="R237" s="60"/>
      <c r="S237" s="61"/>
      <c r="T237" s="61"/>
      <c r="U237" s="61"/>
      <c r="V237" s="60"/>
      <c r="W237" s="88" t="str">
        <f aca="false">IF(AND(E237&lt;&gt;"",AND(B237&lt;&gt;"",B237&gt;='Weekly Report'!$F$4,B237&lt;='Weekly Report'!$F$5)),ROW(),"")</f>
        <v/>
      </c>
      <c r="X237" s="88" t="str">
        <f aca="false">IF(AND(E237&lt;&gt;"",M237="Yes",Q237&lt;&gt;"Decided",Q237&lt;&gt;"Withdrawn"),ROW(),"")</f>
        <v/>
      </c>
    </row>
    <row r="238" customFormat="false" ht="15" hidden="false" customHeight="false" outlineLevel="0" collapsed="false">
      <c r="A238" s="56" t="s">
        <v>2052</v>
      </c>
      <c r="B238" s="63"/>
      <c r="C238" s="61"/>
      <c r="D238" s="61"/>
      <c r="E238" s="60"/>
      <c r="F238" s="60"/>
      <c r="G238" s="60"/>
      <c r="H238" s="60"/>
      <c r="I238" s="61"/>
      <c r="J238" s="61"/>
      <c r="K238" s="61"/>
      <c r="L238" s="61"/>
      <c r="M238" s="61"/>
      <c r="N238" s="60"/>
      <c r="O238" s="61"/>
      <c r="P238" s="63"/>
      <c r="Q238" s="61"/>
      <c r="R238" s="60"/>
      <c r="S238" s="61"/>
      <c r="T238" s="61"/>
      <c r="U238" s="61"/>
      <c r="V238" s="60"/>
      <c r="W238" s="88" t="str">
        <f aca="false">IF(AND(E238&lt;&gt;"",AND(B238&lt;&gt;"",B238&gt;='Weekly Report'!$F$4,B238&lt;='Weekly Report'!$F$5)),ROW(),"")</f>
        <v/>
      </c>
      <c r="X238" s="88" t="str">
        <f aca="false">IF(AND(E238&lt;&gt;"",M238="Yes",Q238&lt;&gt;"Decided",Q238&lt;&gt;"Withdrawn"),ROW(),"")</f>
        <v/>
      </c>
    </row>
    <row r="239" customFormat="false" ht="15" hidden="false" customHeight="false" outlineLevel="0" collapsed="false">
      <c r="A239" s="56" t="s">
        <v>2053</v>
      </c>
      <c r="B239" s="63"/>
      <c r="C239" s="61"/>
      <c r="D239" s="61"/>
      <c r="E239" s="60"/>
      <c r="F239" s="60"/>
      <c r="G239" s="60"/>
      <c r="H239" s="60"/>
      <c r="I239" s="61"/>
      <c r="J239" s="61"/>
      <c r="K239" s="61"/>
      <c r="L239" s="61"/>
      <c r="M239" s="61"/>
      <c r="N239" s="60"/>
      <c r="O239" s="61"/>
      <c r="P239" s="63"/>
      <c r="Q239" s="61"/>
      <c r="R239" s="60"/>
      <c r="S239" s="61"/>
      <c r="T239" s="61"/>
      <c r="U239" s="61"/>
      <c r="V239" s="60"/>
      <c r="W239" s="88" t="str">
        <f aca="false">IF(AND(E239&lt;&gt;"",AND(B239&lt;&gt;"",B239&gt;='Weekly Report'!$F$4,B239&lt;='Weekly Report'!$F$5)),ROW(),"")</f>
        <v/>
      </c>
      <c r="X239" s="88" t="str">
        <f aca="false">IF(AND(E239&lt;&gt;"",M239="Yes",Q239&lt;&gt;"Decided",Q239&lt;&gt;"Withdrawn"),ROW(),"")</f>
        <v/>
      </c>
    </row>
    <row r="240" customFormat="false" ht="15" hidden="false" customHeight="false" outlineLevel="0" collapsed="false">
      <c r="A240" s="56" t="s">
        <v>2054</v>
      </c>
      <c r="B240" s="63"/>
      <c r="C240" s="61"/>
      <c r="D240" s="61"/>
      <c r="E240" s="60"/>
      <c r="F240" s="60"/>
      <c r="G240" s="60"/>
      <c r="H240" s="60"/>
      <c r="I240" s="61"/>
      <c r="J240" s="61"/>
      <c r="K240" s="61"/>
      <c r="L240" s="61"/>
      <c r="M240" s="61"/>
      <c r="N240" s="60"/>
      <c r="O240" s="61"/>
      <c r="P240" s="63"/>
      <c r="Q240" s="61"/>
      <c r="R240" s="60"/>
      <c r="S240" s="61"/>
      <c r="T240" s="61"/>
      <c r="U240" s="61"/>
      <c r="V240" s="60"/>
      <c r="W240" s="88" t="str">
        <f aca="false">IF(AND(E240&lt;&gt;"",AND(B240&lt;&gt;"",B240&gt;='Weekly Report'!$F$4,B240&lt;='Weekly Report'!$F$5)),ROW(),"")</f>
        <v/>
      </c>
      <c r="X240" s="88" t="str">
        <f aca="false">IF(AND(E240&lt;&gt;"",M240="Yes",Q240&lt;&gt;"Decided",Q240&lt;&gt;"Withdrawn"),ROW(),"")</f>
        <v/>
      </c>
    </row>
    <row r="241" customFormat="false" ht="15" hidden="false" customHeight="false" outlineLevel="0" collapsed="false">
      <c r="A241" s="56" t="s">
        <v>2055</v>
      </c>
      <c r="B241" s="63"/>
      <c r="C241" s="61"/>
      <c r="D241" s="61"/>
      <c r="E241" s="60"/>
      <c r="F241" s="60"/>
      <c r="G241" s="60"/>
      <c r="H241" s="60"/>
      <c r="I241" s="61"/>
      <c r="J241" s="61"/>
      <c r="K241" s="61"/>
      <c r="L241" s="61"/>
      <c r="M241" s="61"/>
      <c r="N241" s="60"/>
      <c r="O241" s="61"/>
      <c r="P241" s="63"/>
      <c r="Q241" s="61"/>
      <c r="R241" s="60"/>
      <c r="S241" s="61"/>
      <c r="T241" s="61"/>
      <c r="U241" s="61"/>
      <c r="V241" s="60"/>
      <c r="W241" s="88" t="str">
        <f aca="false">IF(AND(E241&lt;&gt;"",AND(B241&lt;&gt;"",B241&gt;='Weekly Report'!$F$4,B241&lt;='Weekly Report'!$F$5)),ROW(),"")</f>
        <v/>
      </c>
      <c r="X241" s="88" t="str">
        <f aca="false">IF(AND(E241&lt;&gt;"",M241="Yes",Q241&lt;&gt;"Decided",Q241&lt;&gt;"Withdrawn"),ROW(),"")</f>
        <v/>
      </c>
    </row>
    <row r="242" customFormat="false" ht="15" hidden="false" customHeight="false" outlineLevel="0" collapsed="false">
      <c r="A242" s="56" t="s">
        <v>2056</v>
      </c>
      <c r="B242" s="63"/>
      <c r="C242" s="61"/>
      <c r="D242" s="61"/>
      <c r="E242" s="60"/>
      <c r="F242" s="60"/>
      <c r="G242" s="60"/>
      <c r="H242" s="60"/>
      <c r="I242" s="61"/>
      <c r="J242" s="61"/>
      <c r="K242" s="61"/>
      <c r="L242" s="61"/>
      <c r="M242" s="61"/>
      <c r="N242" s="60"/>
      <c r="O242" s="61"/>
      <c r="P242" s="63"/>
      <c r="Q242" s="61"/>
      <c r="R242" s="60"/>
      <c r="S242" s="61"/>
      <c r="T242" s="61"/>
      <c r="U242" s="61"/>
      <c r="V242" s="60"/>
      <c r="W242" s="88" t="str">
        <f aca="false">IF(AND(E242&lt;&gt;"",AND(B242&lt;&gt;"",B242&gt;='Weekly Report'!$F$4,B242&lt;='Weekly Report'!$F$5)),ROW(),"")</f>
        <v/>
      </c>
      <c r="X242" s="88" t="str">
        <f aca="false">IF(AND(E242&lt;&gt;"",M242="Yes",Q242&lt;&gt;"Decided",Q242&lt;&gt;"Withdrawn"),ROW(),"")</f>
        <v/>
      </c>
    </row>
    <row r="243" customFormat="false" ht="15" hidden="false" customHeight="false" outlineLevel="0" collapsed="false">
      <c r="A243" s="56" t="s">
        <v>2057</v>
      </c>
      <c r="B243" s="63"/>
      <c r="C243" s="61"/>
      <c r="D243" s="61"/>
      <c r="E243" s="60"/>
      <c r="F243" s="60"/>
      <c r="G243" s="60"/>
      <c r="H243" s="60"/>
      <c r="I243" s="61"/>
      <c r="J243" s="61"/>
      <c r="K243" s="61"/>
      <c r="L243" s="61"/>
      <c r="M243" s="61"/>
      <c r="N243" s="60"/>
      <c r="O243" s="61"/>
      <c r="P243" s="63"/>
      <c r="Q243" s="61"/>
      <c r="R243" s="60"/>
      <c r="S243" s="61"/>
      <c r="T243" s="61"/>
      <c r="U243" s="61"/>
      <c r="V243" s="60"/>
      <c r="W243" s="88" t="str">
        <f aca="false">IF(AND(E243&lt;&gt;"",AND(B243&lt;&gt;"",B243&gt;='Weekly Report'!$F$4,B243&lt;='Weekly Report'!$F$5)),ROW(),"")</f>
        <v/>
      </c>
      <c r="X243" s="88" t="str">
        <f aca="false">IF(AND(E243&lt;&gt;"",M243="Yes",Q243&lt;&gt;"Decided",Q243&lt;&gt;"Withdrawn"),ROW(),"")</f>
        <v/>
      </c>
    </row>
    <row r="244" customFormat="false" ht="15" hidden="false" customHeight="false" outlineLevel="0" collapsed="false">
      <c r="A244" s="56" t="s">
        <v>2058</v>
      </c>
      <c r="B244" s="63"/>
      <c r="C244" s="61"/>
      <c r="D244" s="61"/>
      <c r="E244" s="60"/>
      <c r="F244" s="60"/>
      <c r="G244" s="60"/>
      <c r="H244" s="60"/>
      <c r="I244" s="61"/>
      <c r="J244" s="61"/>
      <c r="K244" s="61"/>
      <c r="L244" s="61"/>
      <c r="M244" s="61"/>
      <c r="N244" s="60"/>
      <c r="O244" s="61"/>
      <c r="P244" s="63"/>
      <c r="Q244" s="61"/>
      <c r="R244" s="60"/>
      <c r="S244" s="61"/>
      <c r="T244" s="61"/>
      <c r="U244" s="61"/>
      <c r="V244" s="60"/>
      <c r="W244" s="88" t="str">
        <f aca="false">IF(AND(E244&lt;&gt;"",AND(B244&lt;&gt;"",B244&gt;='Weekly Report'!$F$4,B244&lt;='Weekly Report'!$F$5)),ROW(),"")</f>
        <v/>
      </c>
      <c r="X244" s="88" t="str">
        <f aca="false">IF(AND(E244&lt;&gt;"",M244="Yes",Q244&lt;&gt;"Decided",Q244&lt;&gt;"Withdrawn"),ROW(),"")</f>
        <v/>
      </c>
    </row>
    <row r="245" customFormat="false" ht="15" hidden="false" customHeight="false" outlineLevel="0" collapsed="false">
      <c r="A245" s="56" t="s">
        <v>2059</v>
      </c>
      <c r="B245" s="63"/>
      <c r="C245" s="61"/>
      <c r="D245" s="61"/>
      <c r="E245" s="60"/>
      <c r="F245" s="60"/>
      <c r="G245" s="60"/>
      <c r="H245" s="60"/>
      <c r="I245" s="61"/>
      <c r="J245" s="61"/>
      <c r="K245" s="61"/>
      <c r="L245" s="61"/>
      <c r="M245" s="61"/>
      <c r="N245" s="60"/>
      <c r="O245" s="61"/>
      <c r="P245" s="63"/>
      <c r="Q245" s="61"/>
      <c r="R245" s="60"/>
      <c r="S245" s="61"/>
      <c r="T245" s="61"/>
      <c r="U245" s="61"/>
      <c r="V245" s="60"/>
      <c r="W245" s="88" t="str">
        <f aca="false">IF(AND(E245&lt;&gt;"",AND(B245&lt;&gt;"",B245&gt;='Weekly Report'!$F$4,B245&lt;='Weekly Report'!$F$5)),ROW(),"")</f>
        <v/>
      </c>
      <c r="X245" s="88" t="str">
        <f aca="false">IF(AND(E245&lt;&gt;"",M245="Yes",Q245&lt;&gt;"Decided",Q245&lt;&gt;"Withdrawn"),ROW(),"")</f>
        <v/>
      </c>
    </row>
    <row r="246" customFormat="false" ht="15" hidden="false" customHeight="false" outlineLevel="0" collapsed="false">
      <c r="A246" s="56" t="s">
        <v>2060</v>
      </c>
      <c r="B246" s="63"/>
      <c r="C246" s="61"/>
      <c r="D246" s="61"/>
      <c r="E246" s="60"/>
      <c r="F246" s="60"/>
      <c r="G246" s="60"/>
      <c r="H246" s="60"/>
      <c r="I246" s="61"/>
      <c r="J246" s="61"/>
      <c r="K246" s="61"/>
      <c r="L246" s="61"/>
      <c r="M246" s="61"/>
      <c r="N246" s="60"/>
      <c r="O246" s="61"/>
      <c r="P246" s="63"/>
      <c r="Q246" s="61"/>
      <c r="R246" s="60"/>
      <c r="S246" s="61"/>
      <c r="T246" s="61"/>
      <c r="U246" s="61"/>
      <c r="V246" s="60"/>
      <c r="W246" s="88" t="str">
        <f aca="false">IF(AND(E246&lt;&gt;"",AND(B246&lt;&gt;"",B246&gt;='Weekly Report'!$F$4,B246&lt;='Weekly Report'!$F$5)),ROW(),"")</f>
        <v/>
      </c>
      <c r="X246" s="88" t="str">
        <f aca="false">IF(AND(E246&lt;&gt;"",M246="Yes",Q246&lt;&gt;"Decided",Q246&lt;&gt;"Withdrawn"),ROW(),"")</f>
        <v/>
      </c>
    </row>
    <row r="247" customFormat="false" ht="15" hidden="false" customHeight="false" outlineLevel="0" collapsed="false">
      <c r="A247" s="56" t="s">
        <v>2061</v>
      </c>
      <c r="B247" s="63"/>
      <c r="C247" s="61"/>
      <c r="D247" s="61"/>
      <c r="E247" s="60"/>
      <c r="F247" s="60"/>
      <c r="G247" s="60"/>
      <c r="H247" s="60"/>
      <c r="I247" s="61"/>
      <c r="J247" s="61"/>
      <c r="K247" s="61"/>
      <c r="L247" s="61"/>
      <c r="M247" s="61"/>
      <c r="N247" s="60"/>
      <c r="O247" s="61"/>
      <c r="P247" s="63"/>
      <c r="Q247" s="61"/>
      <c r="R247" s="60"/>
      <c r="S247" s="61"/>
      <c r="T247" s="61"/>
      <c r="U247" s="61"/>
      <c r="V247" s="60"/>
      <c r="W247" s="88" t="str">
        <f aca="false">IF(AND(E247&lt;&gt;"",AND(B247&lt;&gt;"",B247&gt;='Weekly Report'!$F$4,B247&lt;='Weekly Report'!$F$5)),ROW(),"")</f>
        <v/>
      </c>
      <c r="X247" s="88" t="str">
        <f aca="false">IF(AND(E247&lt;&gt;"",M247="Yes",Q247&lt;&gt;"Decided",Q247&lt;&gt;"Withdrawn"),ROW(),"")</f>
        <v/>
      </c>
    </row>
    <row r="248" customFormat="false" ht="15" hidden="false" customHeight="false" outlineLevel="0" collapsed="false">
      <c r="A248" s="56" t="s">
        <v>2062</v>
      </c>
      <c r="B248" s="63"/>
      <c r="C248" s="61"/>
      <c r="D248" s="61"/>
      <c r="E248" s="60"/>
      <c r="F248" s="60"/>
      <c r="G248" s="60"/>
      <c r="H248" s="60"/>
      <c r="I248" s="61"/>
      <c r="J248" s="61"/>
      <c r="K248" s="61"/>
      <c r="L248" s="61"/>
      <c r="M248" s="61"/>
      <c r="N248" s="60"/>
      <c r="O248" s="61"/>
      <c r="P248" s="63"/>
      <c r="Q248" s="61"/>
      <c r="R248" s="60"/>
      <c r="S248" s="61"/>
      <c r="T248" s="61"/>
      <c r="U248" s="61"/>
      <c r="V248" s="60"/>
      <c r="W248" s="88" t="str">
        <f aca="false">IF(AND(E248&lt;&gt;"",AND(B248&lt;&gt;"",B248&gt;='Weekly Report'!$F$4,B248&lt;='Weekly Report'!$F$5)),ROW(),"")</f>
        <v/>
      </c>
      <c r="X248" s="88" t="str">
        <f aca="false">IF(AND(E248&lt;&gt;"",M248="Yes",Q248&lt;&gt;"Decided",Q248&lt;&gt;"Withdrawn"),ROW(),"")</f>
        <v/>
      </c>
    </row>
    <row r="249" customFormat="false" ht="15" hidden="false" customHeight="false" outlineLevel="0" collapsed="false">
      <c r="A249" s="56" t="s">
        <v>2063</v>
      </c>
      <c r="B249" s="63"/>
      <c r="C249" s="61"/>
      <c r="D249" s="61"/>
      <c r="E249" s="60"/>
      <c r="F249" s="60"/>
      <c r="G249" s="60"/>
      <c r="H249" s="60"/>
      <c r="I249" s="61"/>
      <c r="J249" s="61"/>
      <c r="K249" s="61"/>
      <c r="L249" s="61"/>
      <c r="M249" s="61"/>
      <c r="N249" s="60"/>
      <c r="O249" s="61"/>
      <c r="P249" s="63"/>
      <c r="Q249" s="61"/>
      <c r="R249" s="60"/>
      <c r="S249" s="61"/>
      <c r="T249" s="61"/>
      <c r="U249" s="61"/>
      <c r="V249" s="60"/>
      <c r="W249" s="88" t="str">
        <f aca="false">IF(AND(E249&lt;&gt;"",AND(B249&lt;&gt;"",B249&gt;='Weekly Report'!$F$4,B249&lt;='Weekly Report'!$F$5)),ROW(),"")</f>
        <v/>
      </c>
      <c r="X249" s="88" t="str">
        <f aca="false">IF(AND(E249&lt;&gt;"",M249="Yes",Q249&lt;&gt;"Decided",Q249&lt;&gt;"Withdrawn"),ROW(),"")</f>
        <v/>
      </c>
    </row>
    <row r="250" customFormat="false" ht="15" hidden="false" customHeight="false" outlineLevel="0" collapsed="false">
      <c r="A250" s="56" t="s">
        <v>2064</v>
      </c>
      <c r="B250" s="63"/>
      <c r="C250" s="61"/>
      <c r="D250" s="61"/>
      <c r="E250" s="60"/>
      <c r="F250" s="60"/>
      <c r="G250" s="60"/>
      <c r="H250" s="60"/>
      <c r="I250" s="61"/>
      <c r="J250" s="61"/>
      <c r="K250" s="61"/>
      <c r="L250" s="61"/>
      <c r="M250" s="61"/>
      <c r="N250" s="60"/>
      <c r="O250" s="61"/>
      <c r="P250" s="63"/>
      <c r="Q250" s="61"/>
      <c r="R250" s="60"/>
      <c r="S250" s="61"/>
      <c r="T250" s="61"/>
      <c r="U250" s="61"/>
      <c r="V250" s="60"/>
      <c r="W250" s="88" t="str">
        <f aca="false">IF(AND(E250&lt;&gt;"",AND(B250&lt;&gt;"",B250&gt;='Weekly Report'!$F$4,B250&lt;='Weekly Report'!$F$5)),ROW(),"")</f>
        <v/>
      </c>
      <c r="X250" s="88" t="str">
        <f aca="false">IF(AND(E250&lt;&gt;"",M250="Yes",Q250&lt;&gt;"Decided",Q250&lt;&gt;"Withdrawn"),ROW(),"")</f>
        <v/>
      </c>
    </row>
    <row r="251" customFormat="false" ht="15" hidden="false" customHeight="false" outlineLevel="0" collapsed="false">
      <c r="A251" s="56" t="s">
        <v>2065</v>
      </c>
      <c r="B251" s="63"/>
      <c r="C251" s="61"/>
      <c r="D251" s="61"/>
      <c r="E251" s="60"/>
      <c r="F251" s="60"/>
      <c r="G251" s="60"/>
      <c r="H251" s="60"/>
      <c r="I251" s="61"/>
      <c r="J251" s="61"/>
      <c r="K251" s="61"/>
      <c r="L251" s="61"/>
      <c r="M251" s="61"/>
      <c r="N251" s="60"/>
      <c r="O251" s="61"/>
      <c r="P251" s="63"/>
      <c r="Q251" s="61"/>
      <c r="R251" s="60"/>
      <c r="S251" s="61"/>
      <c r="T251" s="61"/>
      <c r="U251" s="61"/>
      <c r="V251" s="60"/>
      <c r="W251" s="88" t="str">
        <f aca="false">IF(AND(E251&lt;&gt;"",AND(B251&lt;&gt;"",B251&gt;='Weekly Report'!$F$4,B251&lt;='Weekly Report'!$F$5)),ROW(),"")</f>
        <v/>
      </c>
      <c r="X251" s="88" t="str">
        <f aca="false">IF(AND(E251&lt;&gt;"",M251="Yes",Q251&lt;&gt;"Decided",Q251&lt;&gt;"Withdrawn"),ROW(),"")</f>
        <v/>
      </c>
    </row>
    <row r="252" customFormat="false" ht="15" hidden="false" customHeight="false" outlineLevel="0" collapsed="false">
      <c r="A252" s="56" t="s">
        <v>2066</v>
      </c>
      <c r="B252" s="63"/>
      <c r="C252" s="61"/>
      <c r="D252" s="61"/>
      <c r="E252" s="60"/>
      <c r="F252" s="60"/>
      <c r="G252" s="60"/>
      <c r="H252" s="60"/>
      <c r="I252" s="61"/>
      <c r="J252" s="61"/>
      <c r="K252" s="61"/>
      <c r="L252" s="61"/>
      <c r="M252" s="61"/>
      <c r="N252" s="60"/>
      <c r="O252" s="61"/>
      <c r="P252" s="63"/>
      <c r="Q252" s="61"/>
      <c r="R252" s="60"/>
      <c r="S252" s="61"/>
      <c r="T252" s="61"/>
      <c r="U252" s="61"/>
      <c r="V252" s="60"/>
      <c r="W252" s="88" t="str">
        <f aca="false">IF(AND(E252&lt;&gt;"",AND(B252&lt;&gt;"",B252&gt;='Weekly Report'!$F$4,B252&lt;='Weekly Report'!$F$5)),ROW(),"")</f>
        <v/>
      </c>
      <c r="X252" s="88" t="str">
        <f aca="false">IF(AND(E252&lt;&gt;"",M252="Yes",Q252&lt;&gt;"Decided",Q252&lt;&gt;"Withdrawn"),ROW(),"")</f>
        <v/>
      </c>
    </row>
    <row r="253" customFormat="false" ht="15" hidden="false" customHeight="false" outlineLevel="0" collapsed="false">
      <c r="A253" s="56" t="s">
        <v>2067</v>
      </c>
      <c r="B253" s="63"/>
      <c r="C253" s="61"/>
      <c r="D253" s="61"/>
      <c r="E253" s="60"/>
      <c r="F253" s="60"/>
      <c r="G253" s="60"/>
      <c r="H253" s="60"/>
      <c r="I253" s="61"/>
      <c r="J253" s="61"/>
      <c r="K253" s="61"/>
      <c r="L253" s="61"/>
      <c r="M253" s="61"/>
      <c r="N253" s="60"/>
      <c r="O253" s="61"/>
      <c r="P253" s="63"/>
      <c r="Q253" s="61"/>
      <c r="R253" s="60"/>
      <c r="S253" s="61"/>
      <c r="T253" s="61"/>
      <c r="U253" s="61"/>
      <c r="V253" s="60"/>
      <c r="W253" s="88" t="str">
        <f aca="false">IF(AND(E253&lt;&gt;"",AND(B253&lt;&gt;"",B253&gt;='Weekly Report'!$F$4,B253&lt;='Weekly Report'!$F$5)),ROW(),"")</f>
        <v/>
      </c>
      <c r="X253" s="88" t="str">
        <f aca="false">IF(AND(E253&lt;&gt;"",M253="Yes",Q253&lt;&gt;"Decided",Q253&lt;&gt;"Withdrawn"),ROW(),"")</f>
        <v/>
      </c>
    </row>
    <row r="254" customFormat="false" ht="15" hidden="false" customHeight="false" outlineLevel="0" collapsed="false">
      <c r="A254" s="56" t="s">
        <v>2068</v>
      </c>
      <c r="B254" s="63"/>
      <c r="C254" s="61"/>
      <c r="D254" s="61"/>
      <c r="E254" s="60"/>
      <c r="F254" s="60"/>
      <c r="G254" s="60"/>
      <c r="H254" s="60"/>
      <c r="I254" s="61"/>
      <c r="J254" s="61"/>
      <c r="K254" s="61"/>
      <c r="L254" s="61"/>
      <c r="M254" s="61"/>
      <c r="N254" s="60"/>
      <c r="O254" s="61"/>
      <c r="P254" s="63"/>
      <c r="Q254" s="61"/>
      <c r="R254" s="60"/>
      <c r="S254" s="61"/>
      <c r="T254" s="61"/>
      <c r="U254" s="61"/>
      <c r="V254" s="60"/>
      <c r="W254" s="88" t="str">
        <f aca="false">IF(AND(E254&lt;&gt;"",AND(B254&lt;&gt;"",B254&gt;='Weekly Report'!$F$4,B254&lt;='Weekly Report'!$F$5)),ROW(),"")</f>
        <v/>
      </c>
      <c r="X254" s="88" t="str">
        <f aca="false">IF(AND(E254&lt;&gt;"",M254="Yes",Q254&lt;&gt;"Decided",Q254&lt;&gt;"Withdrawn"),ROW(),"")</f>
        <v/>
      </c>
    </row>
    <row r="255" customFormat="false" ht="15" hidden="false" customHeight="false" outlineLevel="0" collapsed="false">
      <c r="A255" s="56" t="s">
        <v>2069</v>
      </c>
      <c r="B255" s="63"/>
      <c r="C255" s="61"/>
      <c r="D255" s="61"/>
      <c r="E255" s="60"/>
      <c r="F255" s="60"/>
      <c r="G255" s="60"/>
      <c r="H255" s="60"/>
      <c r="I255" s="61"/>
      <c r="J255" s="61"/>
      <c r="K255" s="61"/>
      <c r="L255" s="61"/>
      <c r="M255" s="61"/>
      <c r="N255" s="60"/>
      <c r="O255" s="61"/>
      <c r="P255" s="63"/>
      <c r="Q255" s="61"/>
      <c r="R255" s="60"/>
      <c r="S255" s="61"/>
      <c r="T255" s="61"/>
      <c r="U255" s="61"/>
      <c r="V255" s="60"/>
      <c r="W255" s="88" t="str">
        <f aca="false">IF(AND(E255&lt;&gt;"",AND(B255&lt;&gt;"",B255&gt;='Weekly Report'!$F$4,B255&lt;='Weekly Report'!$F$5)),ROW(),"")</f>
        <v/>
      </c>
      <c r="X255" s="88" t="str">
        <f aca="false">IF(AND(E255&lt;&gt;"",M255="Yes",Q255&lt;&gt;"Decided",Q255&lt;&gt;"Withdrawn"),ROW(),"")</f>
        <v/>
      </c>
    </row>
    <row r="256" customFormat="false" ht="15" hidden="false" customHeight="false" outlineLevel="0" collapsed="false">
      <c r="A256" s="56" t="s">
        <v>2070</v>
      </c>
      <c r="B256" s="63"/>
      <c r="C256" s="61"/>
      <c r="D256" s="61"/>
      <c r="E256" s="60"/>
      <c r="F256" s="60"/>
      <c r="G256" s="60"/>
      <c r="H256" s="60"/>
      <c r="I256" s="61"/>
      <c r="J256" s="61"/>
      <c r="K256" s="61"/>
      <c r="L256" s="61"/>
      <c r="M256" s="61"/>
      <c r="N256" s="60"/>
      <c r="O256" s="61"/>
      <c r="P256" s="63"/>
      <c r="Q256" s="61"/>
      <c r="R256" s="60"/>
      <c r="S256" s="61"/>
      <c r="T256" s="61"/>
      <c r="U256" s="61"/>
      <c r="V256" s="60"/>
      <c r="W256" s="88" t="str">
        <f aca="false">IF(AND(E256&lt;&gt;"",AND(B256&lt;&gt;"",B256&gt;='Weekly Report'!$F$4,B256&lt;='Weekly Report'!$F$5)),ROW(),"")</f>
        <v/>
      </c>
      <c r="X256" s="88" t="str">
        <f aca="false">IF(AND(E256&lt;&gt;"",M256="Yes",Q256&lt;&gt;"Decided",Q256&lt;&gt;"Withdrawn"),ROW(),"")</f>
        <v/>
      </c>
    </row>
    <row r="257" customFormat="false" ht="15" hidden="false" customHeight="false" outlineLevel="0" collapsed="false">
      <c r="A257" s="56" t="s">
        <v>2071</v>
      </c>
      <c r="B257" s="63"/>
      <c r="C257" s="61"/>
      <c r="D257" s="61"/>
      <c r="E257" s="60"/>
      <c r="F257" s="60"/>
      <c r="G257" s="60"/>
      <c r="H257" s="60"/>
      <c r="I257" s="61"/>
      <c r="J257" s="61"/>
      <c r="K257" s="61"/>
      <c r="L257" s="61"/>
      <c r="M257" s="61"/>
      <c r="N257" s="60"/>
      <c r="O257" s="61"/>
      <c r="P257" s="63"/>
      <c r="Q257" s="61"/>
      <c r="R257" s="60"/>
      <c r="S257" s="61"/>
      <c r="T257" s="61"/>
      <c r="U257" s="61"/>
      <c r="V257" s="60"/>
      <c r="W257" s="88" t="str">
        <f aca="false">IF(AND(E257&lt;&gt;"",AND(B257&lt;&gt;"",B257&gt;='Weekly Report'!$F$4,B257&lt;='Weekly Report'!$F$5)),ROW(),"")</f>
        <v/>
      </c>
      <c r="X257" s="88" t="str">
        <f aca="false">IF(AND(E257&lt;&gt;"",M257="Yes",Q257&lt;&gt;"Decided",Q257&lt;&gt;"Withdrawn"),ROW(),"")</f>
        <v/>
      </c>
    </row>
    <row r="258" customFormat="false" ht="15" hidden="false" customHeight="false" outlineLevel="0" collapsed="false">
      <c r="A258" s="56" t="s">
        <v>2072</v>
      </c>
      <c r="B258" s="63"/>
      <c r="C258" s="61"/>
      <c r="D258" s="61"/>
      <c r="E258" s="60"/>
      <c r="F258" s="60"/>
      <c r="G258" s="60"/>
      <c r="H258" s="60"/>
      <c r="I258" s="61"/>
      <c r="J258" s="61"/>
      <c r="K258" s="61"/>
      <c r="L258" s="61"/>
      <c r="M258" s="61"/>
      <c r="N258" s="60"/>
      <c r="O258" s="61"/>
      <c r="P258" s="63"/>
      <c r="Q258" s="61"/>
      <c r="R258" s="60"/>
      <c r="S258" s="61"/>
      <c r="T258" s="61"/>
      <c r="U258" s="61"/>
      <c r="V258" s="60"/>
      <c r="W258" s="88" t="str">
        <f aca="false">IF(AND(E258&lt;&gt;"",AND(B258&lt;&gt;"",B258&gt;='Weekly Report'!$F$4,B258&lt;='Weekly Report'!$F$5)),ROW(),"")</f>
        <v/>
      </c>
      <c r="X258" s="88" t="str">
        <f aca="false">IF(AND(E258&lt;&gt;"",M258="Yes",Q258&lt;&gt;"Decided",Q258&lt;&gt;"Withdrawn"),ROW(),"")</f>
        <v/>
      </c>
    </row>
    <row r="259" customFormat="false" ht="15" hidden="false" customHeight="false" outlineLevel="0" collapsed="false">
      <c r="A259" s="56" t="s">
        <v>2073</v>
      </c>
      <c r="B259" s="63"/>
      <c r="C259" s="61"/>
      <c r="D259" s="61"/>
      <c r="E259" s="60"/>
      <c r="F259" s="60"/>
      <c r="G259" s="60"/>
      <c r="H259" s="60"/>
      <c r="I259" s="61"/>
      <c r="J259" s="61"/>
      <c r="K259" s="61"/>
      <c r="L259" s="61"/>
      <c r="M259" s="61"/>
      <c r="N259" s="60"/>
      <c r="O259" s="61"/>
      <c r="P259" s="63"/>
      <c r="Q259" s="61"/>
      <c r="R259" s="60"/>
      <c r="S259" s="61"/>
      <c r="T259" s="61"/>
      <c r="U259" s="61"/>
      <c r="V259" s="60"/>
      <c r="W259" s="88" t="str">
        <f aca="false">IF(AND(E259&lt;&gt;"",AND(B259&lt;&gt;"",B259&gt;='Weekly Report'!$F$4,B259&lt;='Weekly Report'!$F$5)),ROW(),"")</f>
        <v/>
      </c>
      <c r="X259" s="88" t="str">
        <f aca="false">IF(AND(E259&lt;&gt;"",M259="Yes",Q259&lt;&gt;"Decided",Q259&lt;&gt;"Withdrawn"),ROW(),"")</f>
        <v/>
      </c>
    </row>
    <row r="260" customFormat="false" ht="15" hidden="false" customHeight="false" outlineLevel="0" collapsed="false">
      <c r="A260" s="56" t="s">
        <v>2074</v>
      </c>
      <c r="B260" s="63"/>
      <c r="C260" s="61"/>
      <c r="D260" s="61"/>
      <c r="E260" s="60"/>
      <c r="F260" s="60"/>
      <c r="G260" s="60"/>
      <c r="H260" s="60"/>
      <c r="I260" s="61"/>
      <c r="J260" s="61"/>
      <c r="K260" s="61"/>
      <c r="L260" s="61"/>
      <c r="M260" s="61"/>
      <c r="N260" s="60"/>
      <c r="O260" s="61"/>
      <c r="P260" s="63"/>
      <c r="Q260" s="61"/>
      <c r="R260" s="60"/>
      <c r="S260" s="61"/>
      <c r="T260" s="61"/>
      <c r="U260" s="61"/>
      <c r="V260" s="60"/>
      <c r="W260" s="88" t="str">
        <f aca="false">IF(AND(E260&lt;&gt;"",AND(B260&lt;&gt;"",B260&gt;='Weekly Report'!$F$4,B260&lt;='Weekly Report'!$F$5)),ROW(),"")</f>
        <v/>
      </c>
      <c r="X260" s="88" t="str">
        <f aca="false">IF(AND(E260&lt;&gt;"",M260="Yes",Q260&lt;&gt;"Decided",Q260&lt;&gt;"Withdrawn"),ROW(),"")</f>
        <v/>
      </c>
    </row>
    <row r="261" customFormat="false" ht="15" hidden="false" customHeight="false" outlineLevel="0" collapsed="false">
      <c r="A261" s="56" t="s">
        <v>2075</v>
      </c>
      <c r="B261" s="63"/>
      <c r="C261" s="61"/>
      <c r="D261" s="61"/>
      <c r="E261" s="60"/>
      <c r="F261" s="60"/>
      <c r="G261" s="60"/>
      <c r="H261" s="60"/>
      <c r="I261" s="61"/>
      <c r="J261" s="61"/>
      <c r="K261" s="61"/>
      <c r="L261" s="61"/>
      <c r="M261" s="61"/>
      <c r="N261" s="60"/>
      <c r="O261" s="61"/>
      <c r="P261" s="63"/>
      <c r="Q261" s="61"/>
      <c r="R261" s="60"/>
      <c r="S261" s="61"/>
      <c r="T261" s="61"/>
      <c r="U261" s="61"/>
      <c r="V261" s="60"/>
      <c r="W261" s="88" t="str">
        <f aca="false">IF(AND(E261&lt;&gt;"",AND(B261&lt;&gt;"",B261&gt;='Weekly Report'!$F$4,B261&lt;='Weekly Report'!$F$5)),ROW(),"")</f>
        <v/>
      </c>
      <c r="X261" s="88" t="str">
        <f aca="false">IF(AND(E261&lt;&gt;"",M261="Yes",Q261&lt;&gt;"Decided",Q261&lt;&gt;"Withdrawn"),ROW(),"")</f>
        <v/>
      </c>
    </row>
    <row r="262" customFormat="false" ht="15" hidden="false" customHeight="false" outlineLevel="0" collapsed="false">
      <c r="A262" s="56" t="s">
        <v>2076</v>
      </c>
      <c r="B262" s="63"/>
      <c r="C262" s="61"/>
      <c r="D262" s="61"/>
      <c r="E262" s="60"/>
      <c r="F262" s="60"/>
      <c r="G262" s="60"/>
      <c r="H262" s="60"/>
      <c r="I262" s="61"/>
      <c r="J262" s="61"/>
      <c r="K262" s="61"/>
      <c r="L262" s="61"/>
      <c r="M262" s="61"/>
      <c r="N262" s="60"/>
      <c r="O262" s="61"/>
      <c r="P262" s="63"/>
      <c r="Q262" s="61"/>
      <c r="R262" s="60"/>
      <c r="S262" s="61"/>
      <c r="T262" s="61"/>
      <c r="U262" s="61"/>
      <c r="V262" s="60"/>
      <c r="W262" s="88" t="str">
        <f aca="false">IF(AND(E262&lt;&gt;"",AND(B262&lt;&gt;"",B262&gt;='Weekly Report'!$F$4,B262&lt;='Weekly Report'!$F$5)),ROW(),"")</f>
        <v/>
      </c>
      <c r="X262" s="88" t="str">
        <f aca="false">IF(AND(E262&lt;&gt;"",M262="Yes",Q262&lt;&gt;"Decided",Q262&lt;&gt;"Withdrawn"),ROW(),"")</f>
        <v/>
      </c>
    </row>
    <row r="263" customFormat="false" ht="15" hidden="false" customHeight="false" outlineLevel="0" collapsed="false">
      <c r="A263" s="56" t="s">
        <v>2077</v>
      </c>
      <c r="B263" s="63"/>
      <c r="C263" s="61"/>
      <c r="D263" s="61"/>
      <c r="E263" s="60"/>
      <c r="F263" s="60"/>
      <c r="G263" s="60"/>
      <c r="H263" s="60"/>
      <c r="I263" s="61"/>
      <c r="J263" s="61"/>
      <c r="K263" s="61"/>
      <c r="L263" s="61"/>
      <c r="M263" s="61"/>
      <c r="N263" s="60"/>
      <c r="O263" s="61"/>
      <c r="P263" s="63"/>
      <c r="Q263" s="61"/>
      <c r="R263" s="60"/>
      <c r="S263" s="61"/>
      <c r="T263" s="61"/>
      <c r="U263" s="61"/>
      <c r="V263" s="60"/>
      <c r="W263" s="88" t="str">
        <f aca="false">IF(AND(E263&lt;&gt;"",AND(B263&lt;&gt;"",B263&gt;='Weekly Report'!$F$4,B263&lt;='Weekly Report'!$F$5)),ROW(),"")</f>
        <v/>
      </c>
      <c r="X263" s="88" t="str">
        <f aca="false">IF(AND(E263&lt;&gt;"",M263="Yes",Q263&lt;&gt;"Decided",Q263&lt;&gt;"Withdrawn"),ROW(),"")</f>
        <v/>
      </c>
    </row>
    <row r="264" customFormat="false" ht="15" hidden="false" customHeight="false" outlineLevel="0" collapsed="false">
      <c r="A264" s="56" t="s">
        <v>2078</v>
      </c>
      <c r="B264" s="63"/>
      <c r="C264" s="61"/>
      <c r="D264" s="61"/>
      <c r="E264" s="60"/>
      <c r="F264" s="60"/>
      <c r="G264" s="60"/>
      <c r="H264" s="60"/>
      <c r="I264" s="61"/>
      <c r="J264" s="61"/>
      <c r="K264" s="61"/>
      <c r="L264" s="61"/>
      <c r="M264" s="61"/>
      <c r="N264" s="60"/>
      <c r="O264" s="61"/>
      <c r="P264" s="63"/>
      <c r="Q264" s="61"/>
      <c r="R264" s="60"/>
      <c r="S264" s="61"/>
      <c r="T264" s="61"/>
      <c r="U264" s="61"/>
      <c r="V264" s="60"/>
      <c r="W264" s="88" t="str">
        <f aca="false">IF(AND(E264&lt;&gt;"",AND(B264&lt;&gt;"",B264&gt;='Weekly Report'!$F$4,B264&lt;='Weekly Report'!$F$5)),ROW(),"")</f>
        <v/>
      </c>
      <c r="X264" s="88" t="str">
        <f aca="false">IF(AND(E264&lt;&gt;"",M264="Yes",Q264&lt;&gt;"Decided",Q264&lt;&gt;"Withdrawn"),ROW(),"")</f>
        <v/>
      </c>
    </row>
    <row r="265" customFormat="false" ht="15" hidden="false" customHeight="false" outlineLevel="0" collapsed="false">
      <c r="A265" s="56" t="s">
        <v>2079</v>
      </c>
      <c r="B265" s="63"/>
      <c r="C265" s="61"/>
      <c r="D265" s="61"/>
      <c r="E265" s="60"/>
      <c r="F265" s="60"/>
      <c r="G265" s="60"/>
      <c r="H265" s="60"/>
      <c r="I265" s="61"/>
      <c r="J265" s="61"/>
      <c r="K265" s="61"/>
      <c r="L265" s="61"/>
      <c r="M265" s="61"/>
      <c r="N265" s="60"/>
      <c r="O265" s="61"/>
      <c r="P265" s="63"/>
      <c r="Q265" s="61"/>
      <c r="R265" s="60"/>
      <c r="S265" s="61"/>
      <c r="T265" s="61"/>
      <c r="U265" s="61"/>
      <c r="V265" s="60"/>
      <c r="W265" s="88" t="str">
        <f aca="false">IF(AND(E265&lt;&gt;"",AND(B265&lt;&gt;"",B265&gt;='Weekly Report'!$F$4,B265&lt;='Weekly Report'!$F$5)),ROW(),"")</f>
        <v/>
      </c>
      <c r="X265" s="88" t="str">
        <f aca="false">IF(AND(E265&lt;&gt;"",M265="Yes",Q265&lt;&gt;"Decided",Q265&lt;&gt;"Withdrawn"),ROW(),"")</f>
        <v/>
      </c>
    </row>
    <row r="266" customFormat="false" ht="15" hidden="false" customHeight="false" outlineLevel="0" collapsed="false">
      <c r="A266" s="56" t="s">
        <v>2080</v>
      </c>
      <c r="B266" s="63"/>
      <c r="C266" s="61"/>
      <c r="D266" s="61"/>
      <c r="E266" s="60"/>
      <c r="F266" s="60"/>
      <c r="G266" s="60"/>
      <c r="H266" s="60"/>
      <c r="I266" s="61"/>
      <c r="J266" s="61"/>
      <c r="K266" s="61"/>
      <c r="L266" s="61"/>
      <c r="M266" s="61"/>
      <c r="N266" s="60"/>
      <c r="O266" s="61"/>
      <c r="P266" s="63"/>
      <c r="Q266" s="61"/>
      <c r="R266" s="60"/>
      <c r="S266" s="61"/>
      <c r="T266" s="61"/>
      <c r="U266" s="61"/>
      <c r="V266" s="60"/>
      <c r="W266" s="88" t="str">
        <f aca="false">IF(AND(E266&lt;&gt;"",AND(B266&lt;&gt;"",B266&gt;='Weekly Report'!$F$4,B266&lt;='Weekly Report'!$F$5)),ROW(),"")</f>
        <v/>
      </c>
      <c r="X266" s="88" t="str">
        <f aca="false">IF(AND(E266&lt;&gt;"",M266="Yes",Q266&lt;&gt;"Decided",Q266&lt;&gt;"Withdrawn"),ROW(),"")</f>
        <v/>
      </c>
    </row>
    <row r="267" customFormat="false" ht="15" hidden="false" customHeight="false" outlineLevel="0" collapsed="false">
      <c r="A267" s="56" t="s">
        <v>2081</v>
      </c>
      <c r="B267" s="63"/>
      <c r="C267" s="61"/>
      <c r="D267" s="61"/>
      <c r="E267" s="60"/>
      <c r="F267" s="60"/>
      <c r="G267" s="60"/>
      <c r="H267" s="60"/>
      <c r="I267" s="61"/>
      <c r="J267" s="61"/>
      <c r="K267" s="61"/>
      <c r="L267" s="61"/>
      <c r="M267" s="61"/>
      <c r="N267" s="60"/>
      <c r="O267" s="61"/>
      <c r="P267" s="63"/>
      <c r="Q267" s="61"/>
      <c r="R267" s="60"/>
      <c r="S267" s="61"/>
      <c r="T267" s="61"/>
      <c r="U267" s="61"/>
      <c r="V267" s="60"/>
      <c r="W267" s="88" t="str">
        <f aca="false">IF(AND(E267&lt;&gt;"",AND(B267&lt;&gt;"",B267&gt;='Weekly Report'!$F$4,B267&lt;='Weekly Report'!$F$5)),ROW(),"")</f>
        <v/>
      </c>
      <c r="X267" s="88" t="str">
        <f aca="false">IF(AND(E267&lt;&gt;"",M267="Yes",Q267&lt;&gt;"Decided",Q267&lt;&gt;"Withdrawn"),ROW(),"")</f>
        <v/>
      </c>
    </row>
    <row r="268" customFormat="false" ht="15" hidden="false" customHeight="false" outlineLevel="0" collapsed="false">
      <c r="A268" s="56" t="s">
        <v>2082</v>
      </c>
      <c r="B268" s="63"/>
      <c r="C268" s="61"/>
      <c r="D268" s="61"/>
      <c r="E268" s="60"/>
      <c r="F268" s="60"/>
      <c r="G268" s="60"/>
      <c r="H268" s="60"/>
      <c r="I268" s="61"/>
      <c r="J268" s="61"/>
      <c r="K268" s="61"/>
      <c r="L268" s="61"/>
      <c r="M268" s="61"/>
      <c r="N268" s="60"/>
      <c r="O268" s="61"/>
      <c r="P268" s="63"/>
      <c r="Q268" s="61"/>
      <c r="R268" s="60"/>
      <c r="S268" s="61"/>
      <c r="T268" s="61"/>
      <c r="U268" s="61"/>
      <c r="V268" s="60"/>
      <c r="W268" s="88" t="str">
        <f aca="false">IF(AND(E268&lt;&gt;"",AND(B268&lt;&gt;"",B268&gt;='Weekly Report'!$F$4,B268&lt;='Weekly Report'!$F$5)),ROW(),"")</f>
        <v/>
      </c>
      <c r="X268" s="88" t="str">
        <f aca="false">IF(AND(E268&lt;&gt;"",M268="Yes",Q268&lt;&gt;"Decided",Q268&lt;&gt;"Withdrawn"),ROW(),"")</f>
        <v/>
      </c>
    </row>
    <row r="269" customFormat="false" ht="15" hidden="false" customHeight="false" outlineLevel="0" collapsed="false">
      <c r="A269" s="56" t="s">
        <v>2083</v>
      </c>
      <c r="B269" s="63"/>
      <c r="C269" s="61"/>
      <c r="D269" s="61"/>
      <c r="E269" s="60"/>
      <c r="F269" s="60"/>
      <c r="G269" s="60"/>
      <c r="H269" s="60"/>
      <c r="I269" s="61"/>
      <c r="J269" s="61"/>
      <c r="K269" s="61"/>
      <c r="L269" s="61"/>
      <c r="M269" s="61"/>
      <c r="N269" s="60"/>
      <c r="O269" s="61"/>
      <c r="P269" s="63"/>
      <c r="Q269" s="61"/>
      <c r="R269" s="60"/>
      <c r="S269" s="61"/>
      <c r="T269" s="61"/>
      <c r="U269" s="61"/>
      <c r="V269" s="60"/>
      <c r="W269" s="88" t="str">
        <f aca="false">IF(AND(E269&lt;&gt;"",AND(B269&lt;&gt;"",B269&gt;='Weekly Report'!$F$4,B269&lt;='Weekly Report'!$F$5)),ROW(),"")</f>
        <v/>
      </c>
      <c r="X269" s="88" t="str">
        <f aca="false">IF(AND(E269&lt;&gt;"",M269="Yes",Q269&lt;&gt;"Decided",Q269&lt;&gt;"Withdrawn"),ROW(),"")</f>
        <v/>
      </c>
    </row>
    <row r="270" customFormat="false" ht="15" hidden="false" customHeight="false" outlineLevel="0" collapsed="false">
      <c r="A270" s="56" t="s">
        <v>2084</v>
      </c>
      <c r="B270" s="63"/>
      <c r="C270" s="61"/>
      <c r="D270" s="61"/>
      <c r="E270" s="60"/>
      <c r="F270" s="60"/>
      <c r="G270" s="60"/>
      <c r="H270" s="60"/>
      <c r="I270" s="61"/>
      <c r="J270" s="61"/>
      <c r="K270" s="61"/>
      <c r="L270" s="61"/>
      <c r="M270" s="61"/>
      <c r="N270" s="60"/>
      <c r="O270" s="61"/>
      <c r="P270" s="63"/>
      <c r="Q270" s="61"/>
      <c r="R270" s="60"/>
      <c r="S270" s="61"/>
      <c r="T270" s="61"/>
      <c r="U270" s="61"/>
      <c r="V270" s="60"/>
      <c r="W270" s="88" t="str">
        <f aca="false">IF(AND(E270&lt;&gt;"",AND(B270&lt;&gt;"",B270&gt;='Weekly Report'!$F$4,B270&lt;='Weekly Report'!$F$5)),ROW(),"")</f>
        <v/>
      </c>
      <c r="X270" s="88" t="str">
        <f aca="false">IF(AND(E270&lt;&gt;"",M270="Yes",Q270&lt;&gt;"Decided",Q270&lt;&gt;"Withdrawn"),ROW(),"")</f>
        <v/>
      </c>
    </row>
    <row r="271" customFormat="false" ht="15" hidden="false" customHeight="false" outlineLevel="0" collapsed="false">
      <c r="A271" s="56" t="s">
        <v>2085</v>
      </c>
      <c r="B271" s="63"/>
      <c r="C271" s="61"/>
      <c r="D271" s="61"/>
      <c r="E271" s="60"/>
      <c r="F271" s="60"/>
      <c r="G271" s="60"/>
      <c r="H271" s="60"/>
      <c r="I271" s="61"/>
      <c r="J271" s="61"/>
      <c r="K271" s="61"/>
      <c r="L271" s="61"/>
      <c r="M271" s="61"/>
      <c r="N271" s="60"/>
      <c r="O271" s="61"/>
      <c r="P271" s="63"/>
      <c r="Q271" s="61"/>
      <c r="R271" s="60"/>
      <c r="S271" s="61"/>
      <c r="T271" s="61"/>
      <c r="U271" s="61"/>
      <c r="V271" s="60"/>
      <c r="W271" s="88" t="str">
        <f aca="false">IF(AND(E271&lt;&gt;"",AND(B271&lt;&gt;"",B271&gt;='Weekly Report'!$F$4,B271&lt;='Weekly Report'!$F$5)),ROW(),"")</f>
        <v/>
      </c>
      <c r="X271" s="88" t="str">
        <f aca="false">IF(AND(E271&lt;&gt;"",M271="Yes",Q271&lt;&gt;"Decided",Q271&lt;&gt;"Withdrawn"),ROW(),"")</f>
        <v/>
      </c>
    </row>
    <row r="272" customFormat="false" ht="15" hidden="false" customHeight="false" outlineLevel="0" collapsed="false">
      <c r="A272" s="56" t="s">
        <v>2086</v>
      </c>
      <c r="B272" s="63"/>
      <c r="C272" s="61"/>
      <c r="D272" s="61"/>
      <c r="E272" s="60"/>
      <c r="F272" s="60"/>
      <c r="G272" s="60"/>
      <c r="H272" s="60"/>
      <c r="I272" s="61"/>
      <c r="J272" s="61"/>
      <c r="K272" s="61"/>
      <c r="L272" s="61"/>
      <c r="M272" s="61"/>
      <c r="N272" s="60"/>
      <c r="O272" s="61"/>
      <c r="P272" s="63"/>
      <c r="Q272" s="61"/>
      <c r="R272" s="60"/>
      <c r="S272" s="61"/>
      <c r="T272" s="61"/>
      <c r="U272" s="61"/>
      <c r="V272" s="60"/>
      <c r="W272" s="88" t="str">
        <f aca="false">IF(AND(E272&lt;&gt;"",AND(B272&lt;&gt;"",B272&gt;='Weekly Report'!$F$4,B272&lt;='Weekly Report'!$F$5)),ROW(),"")</f>
        <v/>
      </c>
      <c r="X272" s="88" t="str">
        <f aca="false">IF(AND(E272&lt;&gt;"",M272="Yes",Q272&lt;&gt;"Decided",Q272&lt;&gt;"Withdrawn"),ROW(),"")</f>
        <v/>
      </c>
    </row>
    <row r="273" customFormat="false" ht="15" hidden="false" customHeight="false" outlineLevel="0" collapsed="false">
      <c r="A273" s="56" t="s">
        <v>2087</v>
      </c>
      <c r="B273" s="63"/>
      <c r="C273" s="61"/>
      <c r="D273" s="61"/>
      <c r="E273" s="60"/>
      <c r="F273" s="60"/>
      <c r="G273" s="60"/>
      <c r="H273" s="60"/>
      <c r="I273" s="61"/>
      <c r="J273" s="61"/>
      <c r="K273" s="61"/>
      <c r="L273" s="61"/>
      <c r="M273" s="61"/>
      <c r="N273" s="60"/>
      <c r="O273" s="61"/>
      <c r="P273" s="63"/>
      <c r="Q273" s="61"/>
      <c r="R273" s="60"/>
      <c r="S273" s="61"/>
      <c r="T273" s="61"/>
      <c r="U273" s="61"/>
      <c r="V273" s="60"/>
      <c r="W273" s="88" t="str">
        <f aca="false">IF(AND(E273&lt;&gt;"",AND(B273&lt;&gt;"",B273&gt;='Weekly Report'!$F$4,B273&lt;='Weekly Report'!$F$5)),ROW(),"")</f>
        <v/>
      </c>
      <c r="X273" s="88" t="str">
        <f aca="false">IF(AND(E273&lt;&gt;"",M273="Yes",Q273&lt;&gt;"Decided",Q273&lt;&gt;"Withdrawn"),ROW(),"")</f>
        <v/>
      </c>
    </row>
    <row r="274" customFormat="false" ht="15" hidden="false" customHeight="false" outlineLevel="0" collapsed="false">
      <c r="A274" s="56" t="s">
        <v>2088</v>
      </c>
      <c r="B274" s="63"/>
      <c r="C274" s="61"/>
      <c r="D274" s="61"/>
      <c r="E274" s="60"/>
      <c r="F274" s="60"/>
      <c r="G274" s="60"/>
      <c r="H274" s="60"/>
      <c r="I274" s="61"/>
      <c r="J274" s="61"/>
      <c r="K274" s="61"/>
      <c r="L274" s="61"/>
      <c r="M274" s="61"/>
      <c r="N274" s="60"/>
      <c r="O274" s="61"/>
      <c r="P274" s="63"/>
      <c r="Q274" s="61"/>
      <c r="R274" s="60"/>
      <c r="S274" s="61"/>
      <c r="T274" s="61"/>
      <c r="U274" s="61"/>
      <c r="V274" s="60"/>
      <c r="W274" s="88" t="str">
        <f aca="false">IF(AND(E274&lt;&gt;"",AND(B274&lt;&gt;"",B274&gt;='Weekly Report'!$F$4,B274&lt;='Weekly Report'!$F$5)),ROW(),"")</f>
        <v/>
      </c>
      <c r="X274" s="88" t="str">
        <f aca="false">IF(AND(E274&lt;&gt;"",M274="Yes",Q274&lt;&gt;"Decided",Q274&lt;&gt;"Withdrawn"),ROW(),"")</f>
        <v/>
      </c>
    </row>
    <row r="275" customFormat="false" ht="15" hidden="false" customHeight="false" outlineLevel="0" collapsed="false">
      <c r="A275" s="56" t="s">
        <v>2089</v>
      </c>
      <c r="B275" s="63"/>
      <c r="C275" s="61"/>
      <c r="D275" s="61"/>
      <c r="E275" s="60"/>
      <c r="F275" s="60"/>
      <c r="G275" s="60"/>
      <c r="H275" s="60"/>
      <c r="I275" s="61"/>
      <c r="J275" s="61"/>
      <c r="K275" s="61"/>
      <c r="L275" s="61"/>
      <c r="M275" s="61"/>
      <c r="N275" s="60"/>
      <c r="O275" s="61"/>
      <c r="P275" s="63"/>
      <c r="Q275" s="61"/>
      <c r="R275" s="60"/>
      <c r="S275" s="61"/>
      <c r="T275" s="61"/>
      <c r="U275" s="61"/>
      <c r="V275" s="60"/>
      <c r="W275" s="88" t="str">
        <f aca="false">IF(AND(E275&lt;&gt;"",AND(B275&lt;&gt;"",B275&gt;='Weekly Report'!$F$4,B275&lt;='Weekly Report'!$F$5)),ROW(),"")</f>
        <v/>
      </c>
      <c r="X275" s="88" t="str">
        <f aca="false">IF(AND(E275&lt;&gt;"",M275="Yes",Q275&lt;&gt;"Decided",Q275&lt;&gt;"Withdrawn"),ROW(),"")</f>
        <v/>
      </c>
    </row>
    <row r="276" customFormat="false" ht="15" hidden="false" customHeight="false" outlineLevel="0" collapsed="false">
      <c r="A276" s="56" t="s">
        <v>2090</v>
      </c>
      <c r="B276" s="63"/>
      <c r="C276" s="61"/>
      <c r="D276" s="61"/>
      <c r="E276" s="60"/>
      <c r="F276" s="60"/>
      <c r="G276" s="60"/>
      <c r="H276" s="60"/>
      <c r="I276" s="61"/>
      <c r="J276" s="61"/>
      <c r="K276" s="61"/>
      <c r="L276" s="61"/>
      <c r="M276" s="61"/>
      <c r="N276" s="60"/>
      <c r="O276" s="61"/>
      <c r="P276" s="63"/>
      <c r="Q276" s="61"/>
      <c r="R276" s="60"/>
      <c r="S276" s="61"/>
      <c r="T276" s="61"/>
      <c r="U276" s="61"/>
      <c r="V276" s="60"/>
      <c r="W276" s="88" t="str">
        <f aca="false">IF(AND(E276&lt;&gt;"",AND(B276&lt;&gt;"",B276&gt;='Weekly Report'!$F$4,B276&lt;='Weekly Report'!$F$5)),ROW(),"")</f>
        <v/>
      </c>
      <c r="X276" s="88" t="str">
        <f aca="false">IF(AND(E276&lt;&gt;"",M276="Yes",Q276&lt;&gt;"Decided",Q276&lt;&gt;"Withdrawn"),ROW(),"")</f>
        <v/>
      </c>
    </row>
    <row r="277" customFormat="false" ht="15" hidden="false" customHeight="false" outlineLevel="0" collapsed="false">
      <c r="A277" s="56" t="s">
        <v>2091</v>
      </c>
      <c r="B277" s="63"/>
      <c r="C277" s="61"/>
      <c r="D277" s="61"/>
      <c r="E277" s="60"/>
      <c r="F277" s="60"/>
      <c r="G277" s="60"/>
      <c r="H277" s="60"/>
      <c r="I277" s="61"/>
      <c r="J277" s="61"/>
      <c r="K277" s="61"/>
      <c r="L277" s="61"/>
      <c r="M277" s="61"/>
      <c r="N277" s="60"/>
      <c r="O277" s="61"/>
      <c r="P277" s="63"/>
      <c r="Q277" s="61"/>
      <c r="R277" s="60"/>
      <c r="S277" s="61"/>
      <c r="T277" s="61"/>
      <c r="U277" s="61"/>
      <c r="V277" s="60"/>
      <c r="W277" s="88" t="str">
        <f aca="false">IF(AND(E277&lt;&gt;"",AND(B277&lt;&gt;"",B277&gt;='Weekly Report'!$F$4,B277&lt;='Weekly Report'!$F$5)),ROW(),"")</f>
        <v/>
      </c>
      <c r="X277" s="88" t="str">
        <f aca="false">IF(AND(E277&lt;&gt;"",M277="Yes",Q277&lt;&gt;"Decided",Q277&lt;&gt;"Withdrawn"),ROW(),"")</f>
        <v/>
      </c>
    </row>
    <row r="278" customFormat="false" ht="15" hidden="false" customHeight="false" outlineLevel="0" collapsed="false">
      <c r="A278" s="56" t="s">
        <v>2092</v>
      </c>
      <c r="B278" s="63"/>
      <c r="C278" s="61"/>
      <c r="D278" s="61"/>
      <c r="E278" s="60"/>
      <c r="F278" s="60"/>
      <c r="G278" s="60"/>
      <c r="H278" s="60"/>
      <c r="I278" s="61"/>
      <c r="J278" s="61"/>
      <c r="K278" s="61"/>
      <c r="L278" s="61"/>
      <c r="M278" s="61"/>
      <c r="N278" s="60"/>
      <c r="O278" s="61"/>
      <c r="P278" s="63"/>
      <c r="Q278" s="61"/>
      <c r="R278" s="60"/>
      <c r="S278" s="61"/>
      <c r="T278" s="61"/>
      <c r="U278" s="61"/>
      <c r="V278" s="60"/>
      <c r="W278" s="88" t="str">
        <f aca="false">IF(AND(E278&lt;&gt;"",AND(B278&lt;&gt;"",B278&gt;='Weekly Report'!$F$4,B278&lt;='Weekly Report'!$F$5)),ROW(),"")</f>
        <v/>
      </c>
      <c r="X278" s="88" t="str">
        <f aca="false">IF(AND(E278&lt;&gt;"",M278="Yes",Q278&lt;&gt;"Decided",Q278&lt;&gt;"Withdrawn"),ROW(),"")</f>
        <v/>
      </c>
    </row>
    <row r="279" customFormat="false" ht="15" hidden="false" customHeight="false" outlineLevel="0" collapsed="false">
      <c r="A279" s="56" t="s">
        <v>2093</v>
      </c>
      <c r="B279" s="63"/>
      <c r="C279" s="61"/>
      <c r="D279" s="61"/>
      <c r="E279" s="60"/>
      <c r="F279" s="60"/>
      <c r="G279" s="60"/>
      <c r="H279" s="60"/>
      <c r="I279" s="61"/>
      <c r="J279" s="61"/>
      <c r="K279" s="61"/>
      <c r="L279" s="61"/>
      <c r="M279" s="61"/>
      <c r="N279" s="60"/>
      <c r="O279" s="61"/>
      <c r="P279" s="63"/>
      <c r="Q279" s="61"/>
      <c r="R279" s="60"/>
      <c r="S279" s="61"/>
      <c r="T279" s="61"/>
      <c r="U279" s="61"/>
      <c r="V279" s="60"/>
      <c r="W279" s="88" t="str">
        <f aca="false">IF(AND(E279&lt;&gt;"",AND(B279&lt;&gt;"",B279&gt;='Weekly Report'!$F$4,B279&lt;='Weekly Report'!$F$5)),ROW(),"")</f>
        <v/>
      </c>
      <c r="X279" s="88" t="str">
        <f aca="false">IF(AND(E279&lt;&gt;"",M279="Yes",Q279&lt;&gt;"Decided",Q279&lt;&gt;"Withdrawn"),ROW(),"")</f>
        <v/>
      </c>
    </row>
    <row r="280" customFormat="false" ht="15" hidden="false" customHeight="false" outlineLevel="0" collapsed="false">
      <c r="A280" s="56" t="s">
        <v>2094</v>
      </c>
      <c r="B280" s="63"/>
      <c r="C280" s="61"/>
      <c r="D280" s="61"/>
      <c r="E280" s="60"/>
      <c r="F280" s="60"/>
      <c r="G280" s="60"/>
      <c r="H280" s="60"/>
      <c r="I280" s="61"/>
      <c r="J280" s="61"/>
      <c r="K280" s="61"/>
      <c r="L280" s="61"/>
      <c r="M280" s="61"/>
      <c r="N280" s="60"/>
      <c r="O280" s="61"/>
      <c r="P280" s="63"/>
      <c r="Q280" s="61"/>
      <c r="R280" s="60"/>
      <c r="S280" s="61"/>
      <c r="T280" s="61"/>
      <c r="U280" s="61"/>
      <c r="V280" s="60"/>
      <c r="W280" s="88" t="str">
        <f aca="false">IF(AND(E280&lt;&gt;"",AND(B280&lt;&gt;"",B280&gt;='Weekly Report'!$F$4,B280&lt;='Weekly Report'!$F$5)),ROW(),"")</f>
        <v/>
      </c>
      <c r="X280" s="88" t="str">
        <f aca="false">IF(AND(E280&lt;&gt;"",M280="Yes",Q280&lt;&gt;"Decided",Q280&lt;&gt;"Withdrawn"),ROW(),"")</f>
        <v/>
      </c>
    </row>
    <row r="281" customFormat="false" ht="15" hidden="false" customHeight="false" outlineLevel="0" collapsed="false">
      <c r="A281" s="56" t="s">
        <v>2095</v>
      </c>
      <c r="B281" s="63"/>
      <c r="C281" s="61"/>
      <c r="D281" s="61"/>
      <c r="E281" s="60"/>
      <c r="F281" s="60"/>
      <c r="G281" s="60"/>
      <c r="H281" s="60"/>
      <c r="I281" s="61"/>
      <c r="J281" s="61"/>
      <c r="K281" s="61"/>
      <c r="L281" s="61"/>
      <c r="M281" s="61"/>
      <c r="N281" s="60"/>
      <c r="O281" s="61"/>
      <c r="P281" s="63"/>
      <c r="Q281" s="61"/>
      <c r="R281" s="60"/>
      <c r="S281" s="61"/>
      <c r="T281" s="61"/>
      <c r="U281" s="61"/>
      <c r="V281" s="60"/>
      <c r="W281" s="88" t="str">
        <f aca="false">IF(AND(E281&lt;&gt;"",AND(B281&lt;&gt;"",B281&gt;='Weekly Report'!$F$4,B281&lt;='Weekly Report'!$F$5)),ROW(),"")</f>
        <v/>
      </c>
      <c r="X281" s="88" t="str">
        <f aca="false">IF(AND(E281&lt;&gt;"",M281="Yes",Q281&lt;&gt;"Decided",Q281&lt;&gt;"Withdrawn"),ROW(),"")</f>
        <v/>
      </c>
    </row>
    <row r="282" customFormat="false" ht="15" hidden="false" customHeight="false" outlineLevel="0" collapsed="false">
      <c r="A282" s="56" t="s">
        <v>2096</v>
      </c>
      <c r="B282" s="63"/>
      <c r="C282" s="61"/>
      <c r="D282" s="61"/>
      <c r="E282" s="60"/>
      <c r="F282" s="60"/>
      <c r="G282" s="60"/>
      <c r="H282" s="60"/>
      <c r="I282" s="61"/>
      <c r="J282" s="61"/>
      <c r="K282" s="61"/>
      <c r="L282" s="61"/>
      <c r="M282" s="61"/>
      <c r="N282" s="60"/>
      <c r="O282" s="61"/>
      <c r="P282" s="63"/>
      <c r="Q282" s="61"/>
      <c r="R282" s="60"/>
      <c r="S282" s="61"/>
      <c r="T282" s="61"/>
      <c r="U282" s="61"/>
      <c r="V282" s="60"/>
      <c r="W282" s="88" t="str">
        <f aca="false">IF(AND(E282&lt;&gt;"",AND(B282&lt;&gt;"",B282&gt;='Weekly Report'!$F$4,B282&lt;='Weekly Report'!$F$5)),ROW(),"")</f>
        <v/>
      </c>
      <c r="X282" s="88" t="str">
        <f aca="false">IF(AND(E282&lt;&gt;"",M282="Yes",Q282&lt;&gt;"Decided",Q282&lt;&gt;"Withdrawn"),ROW(),"")</f>
        <v/>
      </c>
    </row>
    <row r="283" customFormat="false" ht="15" hidden="false" customHeight="false" outlineLevel="0" collapsed="false">
      <c r="A283" s="56" t="s">
        <v>2097</v>
      </c>
      <c r="B283" s="63"/>
      <c r="C283" s="61"/>
      <c r="D283" s="61"/>
      <c r="E283" s="60"/>
      <c r="F283" s="60"/>
      <c r="G283" s="60"/>
      <c r="H283" s="60"/>
      <c r="I283" s="61"/>
      <c r="J283" s="61"/>
      <c r="K283" s="61"/>
      <c r="L283" s="61"/>
      <c r="M283" s="61"/>
      <c r="N283" s="60"/>
      <c r="O283" s="61"/>
      <c r="P283" s="63"/>
      <c r="Q283" s="61"/>
      <c r="R283" s="60"/>
      <c r="S283" s="61"/>
      <c r="T283" s="61"/>
      <c r="U283" s="61"/>
      <c r="V283" s="60"/>
      <c r="W283" s="88" t="str">
        <f aca="false">IF(AND(E283&lt;&gt;"",AND(B283&lt;&gt;"",B283&gt;='Weekly Report'!$F$4,B283&lt;='Weekly Report'!$F$5)),ROW(),"")</f>
        <v/>
      </c>
      <c r="X283" s="88" t="str">
        <f aca="false">IF(AND(E283&lt;&gt;"",M283="Yes",Q283&lt;&gt;"Decided",Q283&lt;&gt;"Withdrawn"),ROW(),"")</f>
        <v/>
      </c>
    </row>
    <row r="284" customFormat="false" ht="15" hidden="false" customHeight="false" outlineLevel="0" collapsed="false">
      <c r="A284" s="56" t="s">
        <v>2098</v>
      </c>
      <c r="B284" s="63"/>
      <c r="C284" s="61"/>
      <c r="D284" s="61"/>
      <c r="E284" s="60"/>
      <c r="F284" s="60"/>
      <c r="G284" s="60"/>
      <c r="H284" s="60"/>
      <c r="I284" s="61"/>
      <c r="J284" s="61"/>
      <c r="K284" s="61"/>
      <c r="L284" s="61"/>
      <c r="M284" s="61"/>
      <c r="N284" s="60"/>
      <c r="O284" s="61"/>
      <c r="P284" s="63"/>
      <c r="Q284" s="61"/>
      <c r="R284" s="60"/>
      <c r="S284" s="61"/>
      <c r="T284" s="61"/>
      <c r="U284" s="61"/>
      <c r="V284" s="60"/>
      <c r="W284" s="88" t="str">
        <f aca="false">IF(AND(E284&lt;&gt;"",AND(B284&lt;&gt;"",B284&gt;='Weekly Report'!$F$4,B284&lt;='Weekly Report'!$F$5)),ROW(),"")</f>
        <v/>
      </c>
      <c r="X284" s="88" t="str">
        <f aca="false">IF(AND(E284&lt;&gt;"",M284="Yes",Q284&lt;&gt;"Decided",Q284&lt;&gt;"Withdrawn"),ROW(),"")</f>
        <v/>
      </c>
    </row>
    <row r="285" customFormat="false" ht="15" hidden="false" customHeight="false" outlineLevel="0" collapsed="false">
      <c r="A285" s="56" t="s">
        <v>2099</v>
      </c>
      <c r="B285" s="63"/>
      <c r="C285" s="61"/>
      <c r="D285" s="61"/>
      <c r="E285" s="60"/>
      <c r="F285" s="60"/>
      <c r="G285" s="60"/>
      <c r="H285" s="60"/>
      <c r="I285" s="61"/>
      <c r="J285" s="61"/>
      <c r="K285" s="61"/>
      <c r="L285" s="61"/>
      <c r="M285" s="61"/>
      <c r="N285" s="60"/>
      <c r="O285" s="61"/>
      <c r="P285" s="63"/>
      <c r="Q285" s="61"/>
      <c r="R285" s="60"/>
      <c r="S285" s="61"/>
      <c r="T285" s="61"/>
      <c r="U285" s="61"/>
      <c r="V285" s="60"/>
      <c r="W285" s="88" t="str">
        <f aca="false">IF(AND(E285&lt;&gt;"",AND(B285&lt;&gt;"",B285&gt;='Weekly Report'!$F$4,B285&lt;='Weekly Report'!$F$5)),ROW(),"")</f>
        <v/>
      </c>
      <c r="X285" s="88" t="str">
        <f aca="false">IF(AND(E285&lt;&gt;"",M285="Yes",Q285&lt;&gt;"Decided",Q285&lt;&gt;"Withdrawn"),ROW(),"")</f>
        <v/>
      </c>
    </row>
    <row r="286" customFormat="false" ht="15" hidden="false" customHeight="false" outlineLevel="0" collapsed="false">
      <c r="A286" s="56" t="s">
        <v>2100</v>
      </c>
      <c r="B286" s="63"/>
      <c r="C286" s="61"/>
      <c r="D286" s="61"/>
      <c r="E286" s="60"/>
      <c r="F286" s="60"/>
      <c r="G286" s="60"/>
      <c r="H286" s="60"/>
      <c r="I286" s="61"/>
      <c r="J286" s="61"/>
      <c r="K286" s="61"/>
      <c r="L286" s="61"/>
      <c r="M286" s="61"/>
      <c r="N286" s="60"/>
      <c r="O286" s="61"/>
      <c r="P286" s="63"/>
      <c r="Q286" s="61"/>
      <c r="R286" s="60"/>
      <c r="S286" s="61"/>
      <c r="T286" s="61"/>
      <c r="U286" s="61"/>
      <c r="V286" s="60"/>
      <c r="W286" s="88" t="str">
        <f aca="false">IF(AND(E286&lt;&gt;"",AND(B286&lt;&gt;"",B286&gt;='Weekly Report'!$F$4,B286&lt;='Weekly Report'!$F$5)),ROW(),"")</f>
        <v/>
      </c>
      <c r="X286" s="88" t="str">
        <f aca="false">IF(AND(E286&lt;&gt;"",M286="Yes",Q286&lt;&gt;"Decided",Q286&lt;&gt;"Withdrawn"),ROW(),"")</f>
        <v/>
      </c>
    </row>
    <row r="287" customFormat="false" ht="15" hidden="false" customHeight="false" outlineLevel="0" collapsed="false">
      <c r="A287" s="56" t="s">
        <v>2101</v>
      </c>
      <c r="B287" s="63"/>
      <c r="C287" s="61"/>
      <c r="D287" s="61"/>
      <c r="E287" s="60"/>
      <c r="F287" s="60"/>
      <c r="G287" s="60"/>
      <c r="H287" s="60"/>
      <c r="I287" s="61"/>
      <c r="J287" s="61"/>
      <c r="K287" s="61"/>
      <c r="L287" s="61"/>
      <c r="M287" s="61"/>
      <c r="N287" s="60"/>
      <c r="O287" s="61"/>
      <c r="P287" s="63"/>
      <c r="Q287" s="61"/>
      <c r="R287" s="60"/>
      <c r="S287" s="61"/>
      <c r="T287" s="61"/>
      <c r="U287" s="61"/>
      <c r="V287" s="60"/>
      <c r="W287" s="88" t="str">
        <f aca="false">IF(AND(E287&lt;&gt;"",AND(B287&lt;&gt;"",B287&gt;='Weekly Report'!$F$4,B287&lt;='Weekly Report'!$F$5)),ROW(),"")</f>
        <v/>
      </c>
      <c r="X287" s="88" t="str">
        <f aca="false">IF(AND(E287&lt;&gt;"",M287="Yes",Q287&lt;&gt;"Decided",Q287&lt;&gt;"Withdrawn"),ROW(),"")</f>
        <v/>
      </c>
    </row>
    <row r="288" customFormat="false" ht="15" hidden="false" customHeight="false" outlineLevel="0" collapsed="false">
      <c r="A288" s="56" t="s">
        <v>2102</v>
      </c>
      <c r="B288" s="63"/>
      <c r="C288" s="61"/>
      <c r="D288" s="61"/>
      <c r="E288" s="60"/>
      <c r="F288" s="60"/>
      <c r="G288" s="60"/>
      <c r="H288" s="60"/>
      <c r="I288" s="61"/>
      <c r="J288" s="61"/>
      <c r="K288" s="61"/>
      <c r="L288" s="61"/>
      <c r="M288" s="61"/>
      <c r="N288" s="60"/>
      <c r="O288" s="61"/>
      <c r="P288" s="63"/>
      <c r="Q288" s="61"/>
      <c r="R288" s="60"/>
      <c r="S288" s="61"/>
      <c r="T288" s="61"/>
      <c r="U288" s="61"/>
      <c r="V288" s="60"/>
      <c r="W288" s="88" t="str">
        <f aca="false">IF(AND(E288&lt;&gt;"",AND(B288&lt;&gt;"",B288&gt;='Weekly Report'!$F$4,B288&lt;='Weekly Report'!$F$5)),ROW(),"")</f>
        <v/>
      </c>
      <c r="X288" s="88" t="str">
        <f aca="false">IF(AND(E288&lt;&gt;"",M288="Yes",Q288&lt;&gt;"Decided",Q288&lt;&gt;"Withdrawn"),ROW(),"")</f>
        <v/>
      </c>
    </row>
    <row r="289" customFormat="false" ht="15" hidden="false" customHeight="false" outlineLevel="0" collapsed="false">
      <c r="A289" s="56" t="s">
        <v>2103</v>
      </c>
      <c r="B289" s="63"/>
      <c r="C289" s="61"/>
      <c r="D289" s="61"/>
      <c r="E289" s="60"/>
      <c r="F289" s="60"/>
      <c r="G289" s="60"/>
      <c r="H289" s="60"/>
      <c r="I289" s="61"/>
      <c r="J289" s="61"/>
      <c r="K289" s="61"/>
      <c r="L289" s="61"/>
      <c r="M289" s="61"/>
      <c r="N289" s="60"/>
      <c r="O289" s="61"/>
      <c r="P289" s="63"/>
      <c r="Q289" s="61"/>
      <c r="R289" s="60"/>
      <c r="S289" s="61"/>
      <c r="T289" s="61"/>
      <c r="U289" s="61"/>
      <c r="V289" s="60"/>
      <c r="W289" s="88" t="str">
        <f aca="false">IF(AND(E289&lt;&gt;"",AND(B289&lt;&gt;"",B289&gt;='Weekly Report'!$F$4,B289&lt;='Weekly Report'!$F$5)),ROW(),"")</f>
        <v/>
      </c>
      <c r="X289" s="88" t="str">
        <f aca="false">IF(AND(E289&lt;&gt;"",M289="Yes",Q289&lt;&gt;"Decided",Q289&lt;&gt;"Withdrawn"),ROW(),"")</f>
        <v/>
      </c>
    </row>
    <row r="290" customFormat="false" ht="15" hidden="false" customHeight="false" outlineLevel="0" collapsed="false">
      <c r="A290" s="56" t="s">
        <v>2104</v>
      </c>
      <c r="B290" s="63"/>
      <c r="C290" s="61"/>
      <c r="D290" s="61"/>
      <c r="E290" s="60"/>
      <c r="F290" s="60"/>
      <c r="G290" s="60"/>
      <c r="H290" s="60"/>
      <c r="I290" s="61"/>
      <c r="J290" s="61"/>
      <c r="K290" s="61"/>
      <c r="L290" s="61"/>
      <c r="M290" s="61"/>
      <c r="N290" s="60"/>
      <c r="O290" s="61"/>
      <c r="P290" s="63"/>
      <c r="Q290" s="61"/>
      <c r="R290" s="60"/>
      <c r="S290" s="61"/>
      <c r="T290" s="61"/>
      <c r="U290" s="61"/>
      <c r="V290" s="60"/>
      <c r="W290" s="88" t="str">
        <f aca="false">IF(AND(E290&lt;&gt;"",AND(B290&lt;&gt;"",B290&gt;='Weekly Report'!$F$4,B290&lt;='Weekly Report'!$F$5)),ROW(),"")</f>
        <v/>
      </c>
      <c r="X290" s="88" t="str">
        <f aca="false">IF(AND(E290&lt;&gt;"",M290="Yes",Q290&lt;&gt;"Decided",Q290&lt;&gt;"Withdrawn"),ROW(),"")</f>
        <v/>
      </c>
    </row>
    <row r="291" customFormat="false" ht="15" hidden="false" customHeight="false" outlineLevel="0" collapsed="false">
      <c r="A291" s="56" t="s">
        <v>2105</v>
      </c>
      <c r="B291" s="63"/>
      <c r="C291" s="61"/>
      <c r="D291" s="61"/>
      <c r="E291" s="60"/>
      <c r="F291" s="60"/>
      <c r="G291" s="60"/>
      <c r="H291" s="60"/>
      <c r="I291" s="61"/>
      <c r="J291" s="61"/>
      <c r="K291" s="61"/>
      <c r="L291" s="61"/>
      <c r="M291" s="61"/>
      <c r="N291" s="60"/>
      <c r="O291" s="61"/>
      <c r="P291" s="63"/>
      <c r="Q291" s="61"/>
      <c r="R291" s="60"/>
      <c r="S291" s="61"/>
      <c r="T291" s="61"/>
      <c r="U291" s="61"/>
      <c r="V291" s="60"/>
      <c r="W291" s="88" t="str">
        <f aca="false">IF(AND(E291&lt;&gt;"",AND(B291&lt;&gt;"",B291&gt;='Weekly Report'!$F$4,B291&lt;='Weekly Report'!$F$5)),ROW(),"")</f>
        <v/>
      </c>
      <c r="X291" s="88" t="str">
        <f aca="false">IF(AND(E291&lt;&gt;"",M291="Yes",Q291&lt;&gt;"Decided",Q291&lt;&gt;"Withdrawn"),ROW(),"")</f>
        <v/>
      </c>
    </row>
    <row r="292" customFormat="false" ht="15" hidden="false" customHeight="false" outlineLevel="0" collapsed="false">
      <c r="A292" s="56" t="s">
        <v>2106</v>
      </c>
      <c r="B292" s="63"/>
      <c r="C292" s="61"/>
      <c r="D292" s="61"/>
      <c r="E292" s="60"/>
      <c r="F292" s="60"/>
      <c r="G292" s="60"/>
      <c r="H292" s="60"/>
      <c r="I292" s="61"/>
      <c r="J292" s="61"/>
      <c r="K292" s="61"/>
      <c r="L292" s="61"/>
      <c r="M292" s="61"/>
      <c r="N292" s="60"/>
      <c r="O292" s="61"/>
      <c r="P292" s="63"/>
      <c r="Q292" s="61"/>
      <c r="R292" s="60"/>
      <c r="S292" s="61"/>
      <c r="T292" s="61"/>
      <c r="U292" s="61"/>
      <c r="V292" s="60"/>
      <c r="W292" s="88" t="str">
        <f aca="false">IF(AND(E292&lt;&gt;"",AND(B292&lt;&gt;"",B292&gt;='Weekly Report'!$F$4,B292&lt;='Weekly Report'!$F$5)),ROW(),"")</f>
        <v/>
      </c>
      <c r="X292" s="88" t="str">
        <f aca="false">IF(AND(E292&lt;&gt;"",M292="Yes",Q292&lt;&gt;"Decided",Q292&lt;&gt;"Withdrawn"),ROW(),"")</f>
        <v/>
      </c>
    </row>
    <row r="293" customFormat="false" ht="15" hidden="false" customHeight="false" outlineLevel="0" collapsed="false">
      <c r="A293" s="56" t="s">
        <v>2107</v>
      </c>
      <c r="B293" s="63"/>
      <c r="C293" s="61"/>
      <c r="D293" s="61"/>
      <c r="E293" s="60"/>
      <c r="F293" s="60"/>
      <c r="G293" s="60"/>
      <c r="H293" s="60"/>
      <c r="I293" s="61"/>
      <c r="J293" s="61"/>
      <c r="K293" s="61"/>
      <c r="L293" s="61"/>
      <c r="M293" s="61"/>
      <c r="N293" s="60"/>
      <c r="O293" s="61"/>
      <c r="P293" s="63"/>
      <c r="Q293" s="61"/>
      <c r="R293" s="60"/>
      <c r="S293" s="61"/>
      <c r="T293" s="61"/>
      <c r="U293" s="61"/>
      <c r="V293" s="60"/>
      <c r="W293" s="88" t="str">
        <f aca="false">IF(AND(E293&lt;&gt;"",AND(B293&lt;&gt;"",B293&gt;='Weekly Report'!$F$4,B293&lt;='Weekly Report'!$F$5)),ROW(),"")</f>
        <v/>
      </c>
      <c r="X293" s="88" t="str">
        <f aca="false">IF(AND(E293&lt;&gt;"",M293="Yes",Q293&lt;&gt;"Decided",Q293&lt;&gt;"Withdrawn"),ROW(),"")</f>
        <v/>
      </c>
    </row>
    <row r="294" customFormat="false" ht="15" hidden="false" customHeight="false" outlineLevel="0" collapsed="false">
      <c r="A294" s="56" t="s">
        <v>2108</v>
      </c>
      <c r="B294" s="63"/>
      <c r="C294" s="61"/>
      <c r="D294" s="61"/>
      <c r="E294" s="60"/>
      <c r="F294" s="60"/>
      <c r="G294" s="60"/>
      <c r="H294" s="60"/>
      <c r="I294" s="61"/>
      <c r="J294" s="61"/>
      <c r="K294" s="61"/>
      <c r="L294" s="61"/>
      <c r="M294" s="61"/>
      <c r="N294" s="60"/>
      <c r="O294" s="61"/>
      <c r="P294" s="63"/>
      <c r="Q294" s="61"/>
      <c r="R294" s="60"/>
      <c r="S294" s="61"/>
      <c r="T294" s="61"/>
      <c r="U294" s="61"/>
      <c r="V294" s="60"/>
      <c r="W294" s="88" t="str">
        <f aca="false">IF(AND(E294&lt;&gt;"",AND(B294&lt;&gt;"",B294&gt;='Weekly Report'!$F$4,B294&lt;='Weekly Report'!$F$5)),ROW(),"")</f>
        <v/>
      </c>
      <c r="X294" s="88" t="str">
        <f aca="false">IF(AND(E294&lt;&gt;"",M294="Yes",Q294&lt;&gt;"Decided",Q294&lt;&gt;"Withdrawn"),ROW(),"")</f>
        <v/>
      </c>
    </row>
    <row r="295" customFormat="false" ht="15" hidden="false" customHeight="false" outlineLevel="0" collapsed="false">
      <c r="A295" s="56" t="s">
        <v>2109</v>
      </c>
      <c r="B295" s="63"/>
      <c r="C295" s="61"/>
      <c r="D295" s="61"/>
      <c r="E295" s="60"/>
      <c r="F295" s="60"/>
      <c r="G295" s="60"/>
      <c r="H295" s="60"/>
      <c r="I295" s="61"/>
      <c r="J295" s="61"/>
      <c r="K295" s="61"/>
      <c r="L295" s="61"/>
      <c r="M295" s="61"/>
      <c r="N295" s="60"/>
      <c r="O295" s="61"/>
      <c r="P295" s="63"/>
      <c r="Q295" s="61"/>
      <c r="R295" s="60"/>
      <c r="S295" s="61"/>
      <c r="T295" s="61"/>
      <c r="U295" s="61"/>
      <c r="V295" s="60"/>
      <c r="W295" s="88" t="str">
        <f aca="false">IF(AND(E295&lt;&gt;"",AND(B295&lt;&gt;"",B295&gt;='Weekly Report'!$F$4,B295&lt;='Weekly Report'!$F$5)),ROW(),"")</f>
        <v/>
      </c>
      <c r="X295" s="88" t="str">
        <f aca="false">IF(AND(E295&lt;&gt;"",M295="Yes",Q295&lt;&gt;"Decided",Q295&lt;&gt;"Withdrawn"),ROW(),"")</f>
        <v/>
      </c>
    </row>
    <row r="296" customFormat="false" ht="15" hidden="false" customHeight="false" outlineLevel="0" collapsed="false">
      <c r="A296" s="56" t="s">
        <v>2110</v>
      </c>
      <c r="B296" s="63"/>
      <c r="C296" s="61"/>
      <c r="D296" s="61"/>
      <c r="E296" s="60"/>
      <c r="F296" s="60"/>
      <c r="G296" s="60"/>
      <c r="H296" s="60"/>
      <c r="I296" s="61"/>
      <c r="J296" s="61"/>
      <c r="K296" s="61"/>
      <c r="L296" s="61"/>
      <c r="M296" s="61"/>
      <c r="N296" s="60"/>
      <c r="O296" s="61"/>
      <c r="P296" s="63"/>
      <c r="Q296" s="61"/>
      <c r="R296" s="60"/>
      <c r="S296" s="61"/>
      <c r="T296" s="61"/>
      <c r="U296" s="61"/>
      <c r="V296" s="60"/>
      <c r="W296" s="88" t="str">
        <f aca="false">IF(AND(E296&lt;&gt;"",AND(B296&lt;&gt;"",B296&gt;='Weekly Report'!$F$4,B296&lt;='Weekly Report'!$F$5)),ROW(),"")</f>
        <v/>
      </c>
      <c r="X296" s="88" t="str">
        <f aca="false">IF(AND(E296&lt;&gt;"",M296="Yes",Q296&lt;&gt;"Decided",Q296&lt;&gt;"Withdrawn"),ROW(),"")</f>
        <v/>
      </c>
    </row>
    <row r="297" customFormat="false" ht="15" hidden="false" customHeight="false" outlineLevel="0" collapsed="false">
      <c r="A297" s="56" t="s">
        <v>2111</v>
      </c>
      <c r="B297" s="63"/>
      <c r="C297" s="61"/>
      <c r="D297" s="61"/>
      <c r="E297" s="60"/>
      <c r="F297" s="60"/>
      <c r="G297" s="60"/>
      <c r="H297" s="60"/>
      <c r="I297" s="61"/>
      <c r="J297" s="61"/>
      <c r="K297" s="61"/>
      <c r="L297" s="61"/>
      <c r="M297" s="61"/>
      <c r="N297" s="60"/>
      <c r="O297" s="61"/>
      <c r="P297" s="63"/>
      <c r="Q297" s="61"/>
      <c r="R297" s="60"/>
      <c r="S297" s="61"/>
      <c r="T297" s="61"/>
      <c r="U297" s="61"/>
      <c r="V297" s="60"/>
      <c r="W297" s="88" t="str">
        <f aca="false">IF(AND(E297&lt;&gt;"",AND(B297&lt;&gt;"",B297&gt;='Weekly Report'!$F$4,B297&lt;='Weekly Report'!$F$5)),ROW(),"")</f>
        <v/>
      </c>
      <c r="X297" s="88" t="str">
        <f aca="false">IF(AND(E297&lt;&gt;"",M297="Yes",Q297&lt;&gt;"Decided",Q297&lt;&gt;"Withdrawn"),ROW(),"")</f>
        <v/>
      </c>
    </row>
    <row r="298" customFormat="false" ht="15" hidden="false" customHeight="false" outlineLevel="0" collapsed="false">
      <c r="A298" s="56" t="s">
        <v>2112</v>
      </c>
      <c r="B298" s="63"/>
      <c r="C298" s="61"/>
      <c r="D298" s="61"/>
      <c r="E298" s="60"/>
      <c r="F298" s="60"/>
      <c r="G298" s="60"/>
      <c r="H298" s="60"/>
      <c r="I298" s="61"/>
      <c r="J298" s="61"/>
      <c r="K298" s="61"/>
      <c r="L298" s="61"/>
      <c r="M298" s="61"/>
      <c r="N298" s="60"/>
      <c r="O298" s="61"/>
      <c r="P298" s="63"/>
      <c r="Q298" s="61"/>
      <c r="R298" s="60"/>
      <c r="S298" s="61"/>
      <c r="T298" s="61"/>
      <c r="U298" s="61"/>
      <c r="V298" s="60"/>
      <c r="W298" s="88" t="str">
        <f aca="false">IF(AND(E298&lt;&gt;"",AND(B298&lt;&gt;"",B298&gt;='Weekly Report'!$F$4,B298&lt;='Weekly Report'!$F$5)),ROW(),"")</f>
        <v/>
      </c>
      <c r="X298" s="88" t="str">
        <f aca="false">IF(AND(E298&lt;&gt;"",M298="Yes",Q298&lt;&gt;"Decided",Q298&lt;&gt;"Withdrawn"),ROW(),"")</f>
        <v/>
      </c>
    </row>
    <row r="299" customFormat="false" ht="15" hidden="false" customHeight="false" outlineLevel="0" collapsed="false">
      <c r="A299" s="56" t="s">
        <v>2113</v>
      </c>
      <c r="B299" s="63"/>
      <c r="C299" s="61"/>
      <c r="D299" s="61"/>
      <c r="E299" s="60"/>
      <c r="F299" s="60"/>
      <c r="G299" s="60"/>
      <c r="H299" s="60"/>
      <c r="I299" s="61"/>
      <c r="J299" s="61"/>
      <c r="K299" s="61"/>
      <c r="L299" s="61"/>
      <c r="M299" s="61"/>
      <c r="N299" s="60"/>
      <c r="O299" s="61"/>
      <c r="P299" s="63"/>
      <c r="Q299" s="61"/>
      <c r="R299" s="60"/>
      <c r="S299" s="61"/>
      <c r="T299" s="61"/>
      <c r="U299" s="61"/>
      <c r="V299" s="60"/>
      <c r="W299" s="88" t="str">
        <f aca="false">IF(AND(E299&lt;&gt;"",AND(B299&lt;&gt;"",B299&gt;='Weekly Report'!$F$4,B299&lt;='Weekly Report'!$F$5)),ROW(),"")</f>
        <v/>
      </c>
      <c r="X299" s="88" t="str">
        <f aca="false">IF(AND(E299&lt;&gt;"",M299="Yes",Q299&lt;&gt;"Decided",Q299&lt;&gt;"Withdrawn"),ROW(),"")</f>
        <v/>
      </c>
    </row>
    <row r="300" customFormat="false" ht="15" hidden="false" customHeight="false" outlineLevel="0" collapsed="false">
      <c r="A300" s="56" t="s">
        <v>2114</v>
      </c>
      <c r="B300" s="63"/>
      <c r="C300" s="61"/>
      <c r="D300" s="61"/>
      <c r="E300" s="60"/>
      <c r="F300" s="60"/>
      <c r="G300" s="60"/>
      <c r="H300" s="60"/>
      <c r="I300" s="61"/>
      <c r="J300" s="61"/>
      <c r="K300" s="61"/>
      <c r="L300" s="61"/>
      <c r="M300" s="61"/>
      <c r="N300" s="60"/>
      <c r="O300" s="61"/>
      <c r="P300" s="63"/>
      <c r="Q300" s="61"/>
      <c r="R300" s="60"/>
      <c r="S300" s="61"/>
      <c r="T300" s="61"/>
      <c r="U300" s="61"/>
      <c r="V300" s="60"/>
      <c r="W300" s="88" t="str">
        <f aca="false">IF(AND(E300&lt;&gt;"",AND(B300&lt;&gt;"",B300&gt;='Weekly Report'!$F$4,B300&lt;='Weekly Report'!$F$5)),ROW(),"")</f>
        <v/>
      </c>
      <c r="X300" s="88" t="str">
        <f aca="false">IF(AND(E300&lt;&gt;"",M300="Yes",Q300&lt;&gt;"Decided",Q300&lt;&gt;"Withdrawn"),ROW(),"")</f>
        <v/>
      </c>
    </row>
    <row r="301" customFormat="false" ht="15" hidden="false" customHeight="false" outlineLevel="0" collapsed="false">
      <c r="A301" s="56" t="s">
        <v>2115</v>
      </c>
      <c r="B301" s="63"/>
      <c r="C301" s="61"/>
      <c r="D301" s="61"/>
      <c r="E301" s="60"/>
      <c r="F301" s="60"/>
      <c r="G301" s="60"/>
      <c r="H301" s="60"/>
      <c r="I301" s="61"/>
      <c r="J301" s="61"/>
      <c r="K301" s="61"/>
      <c r="L301" s="61"/>
      <c r="M301" s="61"/>
      <c r="N301" s="60"/>
      <c r="O301" s="61"/>
      <c r="P301" s="63"/>
      <c r="Q301" s="61"/>
      <c r="R301" s="60"/>
      <c r="S301" s="61"/>
      <c r="T301" s="61"/>
      <c r="U301" s="61"/>
      <c r="V301" s="60"/>
      <c r="W301" s="88" t="str">
        <f aca="false">IF(AND(E301&lt;&gt;"",AND(B301&lt;&gt;"",B301&gt;='Weekly Report'!$F$4,B301&lt;='Weekly Report'!$F$5)),ROW(),"")</f>
        <v/>
      </c>
      <c r="X301" s="88" t="str">
        <f aca="false">IF(AND(E301&lt;&gt;"",M301="Yes",Q301&lt;&gt;"Decided",Q301&lt;&gt;"Withdrawn"),ROW(),"")</f>
        <v/>
      </c>
    </row>
    <row r="302" customFormat="false" ht="15" hidden="false" customHeight="false" outlineLevel="0" collapsed="false">
      <c r="A302" s="56" t="s">
        <v>2116</v>
      </c>
      <c r="B302" s="63"/>
      <c r="C302" s="61"/>
      <c r="D302" s="61"/>
      <c r="E302" s="60"/>
      <c r="F302" s="60"/>
      <c r="G302" s="60"/>
      <c r="H302" s="60"/>
      <c r="I302" s="61"/>
      <c r="J302" s="61"/>
      <c r="K302" s="61"/>
      <c r="L302" s="61"/>
      <c r="M302" s="61"/>
      <c r="N302" s="60"/>
      <c r="O302" s="61"/>
      <c r="P302" s="63"/>
      <c r="Q302" s="61"/>
      <c r="R302" s="60"/>
      <c r="S302" s="61"/>
      <c r="T302" s="61"/>
      <c r="U302" s="61"/>
      <c r="V302" s="60"/>
      <c r="W302" s="88" t="str">
        <f aca="false">IF(AND(E302&lt;&gt;"",AND(B302&lt;&gt;"",B302&gt;='Weekly Report'!$F$4,B302&lt;='Weekly Report'!$F$5)),ROW(),"")</f>
        <v/>
      </c>
      <c r="X302" s="88" t="str">
        <f aca="false">IF(AND(E302&lt;&gt;"",M302="Yes",Q302&lt;&gt;"Decided",Q302&lt;&gt;"Withdrawn"),ROW(),"")</f>
        <v/>
      </c>
    </row>
    <row r="303" customFormat="false" ht="15" hidden="false" customHeight="false" outlineLevel="0" collapsed="false">
      <c r="A303" s="56" t="s">
        <v>2117</v>
      </c>
      <c r="B303" s="63"/>
      <c r="C303" s="61"/>
      <c r="D303" s="61"/>
      <c r="E303" s="60"/>
      <c r="F303" s="60"/>
      <c r="G303" s="60"/>
      <c r="H303" s="60"/>
      <c r="I303" s="61"/>
      <c r="J303" s="61"/>
      <c r="K303" s="61"/>
      <c r="L303" s="61"/>
      <c r="M303" s="61"/>
      <c r="N303" s="60"/>
      <c r="O303" s="61"/>
      <c r="P303" s="63"/>
      <c r="Q303" s="61"/>
      <c r="R303" s="60"/>
      <c r="S303" s="61"/>
      <c r="T303" s="61"/>
      <c r="U303" s="61"/>
      <c r="V303" s="60"/>
      <c r="W303" s="88" t="str">
        <f aca="false">IF(AND(E303&lt;&gt;"",AND(B303&lt;&gt;"",B303&gt;='Weekly Report'!$F$4,B303&lt;='Weekly Report'!$F$5)),ROW(),"")</f>
        <v/>
      </c>
      <c r="X303" s="88" t="str">
        <f aca="false">IF(AND(E303&lt;&gt;"",M303="Yes",Q303&lt;&gt;"Decided",Q303&lt;&gt;"Withdrawn"),ROW(),"")</f>
        <v/>
      </c>
    </row>
    <row r="304" customFormat="false" ht="15" hidden="false" customHeight="false" outlineLevel="0" collapsed="false">
      <c r="A304" s="56" t="s">
        <v>2118</v>
      </c>
      <c r="B304" s="63"/>
      <c r="C304" s="61"/>
      <c r="D304" s="61"/>
      <c r="E304" s="60"/>
      <c r="F304" s="60"/>
      <c r="G304" s="60"/>
      <c r="H304" s="60"/>
      <c r="I304" s="61"/>
      <c r="J304" s="61"/>
      <c r="K304" s="61"/>
      <c r="L304" s="61"/>
      <c r="M304" s="61"/>
      <c r="N304" s="60"/>
      <c r="O304" s="61"/>
      <c r="P304" s="63"/>
      <c r="Q304" s="61"/>
      <c r="R304" s="60"/>
      <c r="S304" s="61"/>
      <c r="T304" s="61"/>
      <c r="U304" s="61"/>
      <c r="V304" s="60"/>
      <c r="W304" s="88" t="str">
        <f aca="false">IF(AND(E304&lt;&gt;"",AND(B304&lt;&gt;"",B304&gt;='Weekly Report'!$F$4,B304&lt;='Weekly Report'!$F$5)),ROW(),"")</f>
        <v/>
      </c>
      <c r="X304" s="88" t="str">
        <f aca="false">IF(AND(E304&lt;&gt;"",M304="Yes",Q304&lt;&gt;"Decided",Q304&lt;&gt;"Withdrawn"),ROW(),"")</f>
        <v/>
      </c>
    </row>
  </sheetData>
  <autoFilter ref="A4:V304"/>
  <conditionalFormatting sqref="J5:J304">
    <cfRule type="cellIs" priority="2" operator="equal" aboveAverage="0" equalAverage="0" bottom="0" percent="0" rank="0" text="" dxfId="13">
      <formula>"Critical"</formula>
    </cfRule>
    <cfRule type="cellIs" priority="3" operator="equal" aboveAverage="0" equalAverage="0" bottom="0" percent="0" rank="0" text="" dxfId="26">
      <formula>"High"</formula>
    </cfRule>
    <cfRule type="cellIs" priority="4" operator="equal" aboveAverage="0" equalAverage="0" bottom="0" percent="0" rank="0" text="" dxfId="2">
      <formula>"Medium"</formula>
    </cfRule>
  </conditionalFormatting>
  <conditionalFormatting sqref="L5:L304">
    <cfRule type="expression" priority="5" aboveAverage="0" equalAverage="0" bottom="0" percent="0" rank="0" text="" dxfId="13">
      <formula>LEFT(L5,6)="Breach"</formula>
    </cfRule>
    <cfRule type="cellIs" priority="6" operator="equal" aboveAverage="0" equalAverage="0" bottom="0" percent="0" rank="0" text="" dxfId="2">
      <formula>"Within Tolerance"</formula>
    </cfRule>
    <cfRule type="cellIs" priority="7" operator="equal" aboveAverage="0" equalAverage="0" bottom="0" percent="0" rank="0" text="" dxfId="1">
      <formula>"Within Appetite"</formula>
    </cfRule>
  </conditionalFormatting>
  <conditionalFormatting sqref="Q5:Q304">
    <cfRule type="cellIs" priority="8" operator="equal" aboveAverage="0" equalAverage="0" bottom="0" percent="0" rank="0" text="" dxfId="1">
      <formula>"Completed"</formula>
    </cfRule>
    <cfRule type="cellIs" priority="9" operator="equal" aboveAverage="0" equalAverage="0" bottom="0" percent="0" rank="0" text="" dxfId="1">
      <formula>"Achieved"</formula>
    </cfRule>
    <cfRule type="cellIs" priority="10" operator="equal" aboveAverage="0" equalAverage="0" bottom="0" percent="0" rank="0" text="" dxfId="1">
      <formula>"Remediated"</formula>
    </cfRule>
    <cfRule type="cellIs" priority="11" operator="equal" aboveAverage="0" equalAverage="0" bottom="0" percent="0" rank="0" text="" dxfId="1">
      <formula>"Responded"</formula>
    </cfRule>
    <cfRule type="cellIs" priority="12" operator="equal" aboveAverage="0" equalAverage="0" bottom="0" percent="0" rank="0" text="" dxfId="1">
      <formula>"Closed"</formula>
    </cfRule>
    <cfRule type="cellIs" priority="13" operator="equal" aboveAverage="0" equalAverage="0" bottom="0" percent="0" rank="0" text="" dxfId="1">
      <formula>"Decided"</formula>
    </cfRule>
    <cfRule type="cellIs" priority="14" operator="equal" aboveAverage="0" equalAverage="0" bottom="0" percent="0" rank="0" text="" dxfId="2">
      <formula>"In Progress"</formula>
    </cfRule>
    <cfRule type="cellIs" priority="15" operator="equal" aboveAverage="0" equalAverage="0" bottom="0" percent="0" rank="0" text="" dxfId="2">
      <formula>"Remediation In Progress"</formula>
    </cfRule>
    <cfRule type="cellIs" priority="16" operator="equal" aboveAverage="0" equalAverage="0" bottom="0" percent="0" rank="0" text="" dxfId="2">
      <formula>"At Risk"</formula>
    </cfRule>
    <cfRule type="cellIs" priority="17" operator="equal" aboveAverage="0" equalAverage="0" bottom="0" percent="0" rank="0" text="" dxfId="2">
      <formula>"Validating"</formula>
    </cfRule>
    <cfRule type="cellIs" priority="18" operator="equal" aboveAverage="0" equalAverage="0" bottom="0" percent="0" rank="0" text="" dxfId="2">
      <formula>"Awaiting Response"</formula>
    </cfRule>
    <cfRule type="cellIs" priority="19" operator="equal" aboveAverage="0" equalAverage="0" bottom="0" percent="0" rank="0" text="" dxfId="2">
      <formula>"Open"</formula>
    </cfRule>
    <cfRule type="cellIs" priority="20" operator="equal" aboveAverage="0" equalAverage="0" bottom="0" percent="0" rank="0" text="" dxfId="3">
      <formula>"Blocked"</formula>
    </cfRule>
    <cfRule type="cellIs" priority="21" operator="equal" aboveAverage="0" equalAverage="0" bottom="0" percent="0" rank="0" text="" dxfId="3">
      <formula>"Off Track"</formula>
    </cfRule>
    <cfRule type="cellIs" priority="22" operator="equal" aboveAverage="0" equalAverage="0" bottom="0" percent="0" rank="0" text="" dxfId="3">
      <formula>"Escalated"</formula>
    </cfRule>
    <cfRule type="cellIs" priority="23" operator="equal" aboveAverage="0" equalAverage="0" bottom="0" percent="0" rank="0" text="" dxfId="3">
      <formula>"Confirmed"</formula>
    </cfRule>
    <cfRule type="cellIs" priority="24" operator="equal" aboveAverage="0" equalAverage="0" bottom="0" percent="0" rank="0" text="" dxfId="3">
      <formula>"Delayed"</formula>
    </cfRule>
    <cfRule type="cellIs" priority="25" operator="equal" aboveAverage="0" equalAverage="0" bottom="0" percent="0" rank="0" text="" dxfId="4">
      <formula>"Cancelled"</formula>
    </cfRule>
    <cfRule type="cellIs" priority="26" operator="equal" aboveAverage="0" equalAverage="0" bottom="0" percent="0" rank="0" text="" dxfId="4">
      <formula>"False Positive"</formula>
    </cfRule>
    <cfRule type="cellIs" priority="27" operator="equal" aboveAverage="0" equalAverage="0" bottom="0" percent="0" rank="0" text="" dxfId="4">
      <formula>"Deferred"</formula>
    </cfRule>
    <cfRule type="cellIs" priority="28" operator="equal" aboveAverage="0" equalAverage="0" bottom="0" percent="0" rank="0" text="" dxfId="4">
      <formula>"On Hold"</formula>
    </cfRule>
    <cfRule type="cellIs" priority="29" operator="equal" aboveAverage="0" equalAverage="0" bottom="0" percent="0" rank="0" text="" dxfId="4">
      <formula>"Withdrawn"</formula>
    </cfRule>
  </conditionalFormatting>
  <dataValidations count="10">
    <dataValidation allowBlank="true" error="Enter a valid date (e.g. 19-Oct-2026)." errorStyle="stop" operator="greaterThan" showDropDown="false" showErrorMessage="true" showInputMessage="false" sqref="B5:B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C5:C304" type="list">
      <formula1>Lists!$N$4:$N$11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D5:D304" type="list">
      <formula1>Lists!$G$4:$G$14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J5:J304" type="list">
      <formula1>Lists!$P$4:$P$8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K5:K304" type="list">
      <formula1>Lists!$Q$4:$Q$10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L5:L304" type="list">
      <formula1>Lists!$R$4:$R$8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M5:M304" type="list">
      <formula1>Lists!$A$4:$A$5</formula1>
      <formula2>0</formula2>
    </dataValidation>
    <dataValidation allowBlank="true" error="Enter a valid date (e.g. 19-Oct-2026)." errorStyle="stop" operator="greaterThan" showDropDown="false" showErrorMessage="true" showInputMessage="false" sqref="P5:P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Q5:Q304" type="list">
      <formula1>Lists!$O$4:$O$7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T5:T304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AG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5" min="14" style="0" width="34"/>
    <col collapsed="false" customWidth="true" hidden="false" outlineLevel="0" max="16" min="16" style="0" width="30"/>
    <col collapsed="false" customWidth="true" hidden="false" outlineLevel="0" max="17" min="17" style="0" width="17"/>
    <col collapsed="false" customWidth="true" hidden="false" outlineLevel="0" max="18" min="18" style="0" width="18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3" min="22" style="0" width="13"/>
    <col collapsed="false" customWidth="true" hidden="false" outlineLevel="0" max="24" min="24" style="0" width="32"/>
    <col collapsed="false" customWidth="true" hidden="false" outlineLevel="0" max="25" min="25" style="0" width="11"/>
    <col collapsed="false" customWidth="true" hidden="false" outlineLevel="0" max="26" min="26" style="0" width="9"/>
    <col collapsed="false" customWidth="true" hidden="false" outlineLevel="0" max="27" min="27" style="0" width="13"/>
    <col collapsed="false" customWidth="true" hidden="false" outlineLevel="0" max="28" min="28" style="0" width="11"/>
    <col collapsed="false" customWidth="true" hidden="false" outlineLevel="0" max="29" min="29" style="0" width="16"/>
    <col collapsed="false" customWidth="true" hidden="false" outlineLevel="0" max="30" min="30" style="0" width="28"/>
    <col collapsed="false" customWidth="true" hidden="true" outlineLevel="1" max="33" min="31" style="0" width="8"/>
  </cols>
  <sheetData>
    <row r="1" customFormat="false" ht="19.7" hidden="false" customHeight="false" outlineLevel="0" collapsed="false">
      <c r="A1" s="53" t="s">
        <v>2119</v>
      </c>
    </row>
    <row r="2" customFormat="false" ht="15" hidden="false" customHeight="false" outlineLevel="0" collapsed="false">
      <c r="A2" s="2" t="s">
        <v>2120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2121</v>
      </c>
      <c r="B4" s="55" t="s">
        <v>2122</v>
      </c>
      <c r="C4" s="55" t="s">
        <v>2123</v>
      </c>
      <c r="D4" s="55" t="s">
        <v>2124</v>
      </c>
      <c r="E4" s="55" t="s">
        <v>2125</v>
      </c>
      <c r="F4" s="55" t="s">
        <v>2126</v>
      </c>
      <c r="G4" s="55" t="s">
        <v>2127</v>
      </c>
      <c r="H4" s="55" t="s">
        <v>2128</v>
      </c>
      <c r="I4" s="55" t="s">
        <v>2129</v>
      </c>
      <c r="J4" s="55" t="s">
        <v>2130</v>
      </c>
      <c r="K4" s="55" t="s">
        <v>2131</v>
      </c>
      <c r="L4" s="55" t="s">
        <v>179</v>
      </c>
      <c r="M4" s="55" t="s">
        <v>2132</v>
      </c>
      <c r="N4" s="55" t="s">
        <v>2133</v>
      </c>
      <c r="O4" s="55" t="s">
        <v>2134</v>
      </c>
      <c r="P4" s="55" t="s">
        <v>2135</v>
      </c>
      <c r="Q4" s="55" t="s">
        <v>1797</v>
      </c>
      <c r="R4" s="55" t="s">
        <v>2136</v>
      </c>
      <c r="S4" s="55" t="s">
        <v>2137</v>
      </c>
      <c r="T4" s="55" t="s">
        <v>2138</v>
      </c>
      <c r="U4" s="55" t="s">
        <v>94</v>
      </c>
      <c r="V4" s="55" t="s">
        <v>2139</v>
      </c>
      <c r="W4" s="55" t="s">
        <v>2140</v>
      </c>
      <c r="X4" s="55" t="s">
        <v>2141</v>
      </c>
      <c r="Y4" s="55" t="s">
        <v>2142</v>
      </c>
      <c r="Z4" s="55" t="s">
        <v>1475</v>
      </c>
      <c r="AA4" s="55" t="s">
        <v>2143</v>
      </c>
      <c r="AB4" s="55" t="s">
        <v>2144</v>
      </c>
      <c r="AC4" s="55" t="s">
        <v>2145</v>
      </c>
      <c r="AD4" s="55" t="s">
        <v>232</v>
      </c>
      <c r="AE4" s="84" t="s">
        <v>2146</v>
      </c>
      <c r="AF4" s="84" t="s">
        <v>2147</v>
      </c>
      <c r="AG4" s="84" t="s">
        <v>2148</v>
      </c>
    </row>
    <row r="5" customFormat="false" ht="35.05" hidden="false" customHeight="false" outlineLevel="0" collapsed="false">
      <c r="A5" s="56" t="s">
        <v>2149</v>
      </c>
      <c r="B5" s="57" t="n">
        <v>46311</v>
      </c>
      <c r="C5" s="58" t="s">
        <v>2150</v>
      </c>
      <c r="D5" s="58" t="s">
        <v>2151</v>
      </c>
      <c r="E5" s="59" t="s">
        <v>2152</v>
      </c>
      <c r="F5" s="58" t="s">
        <v>364</v>
      </c>
      <c r="G5" s="58" t="s">
        <v>2153</v>
      </c>
      <c r="H5" s="58" t="s">
        <v>2154</v>
      </c>
      <c r="I5" s="58" t="s">
        <v>822</v>
      </c>
      <c r="J5" s="59" t="s">
        <v>2155</v>
      </c>
      <c r="K5" s="58" t="s">
        <v>2156</v>
      </c>
      <c r="L5" s="58" t="s">
        <v>360</v>
      </c>
      <c r="M5" s="58" t="s">
        <v>2157</v>
      </c>
      <c r="N5" s="59" t="s">
        <v>2158</v>
      </c>
      <c r="O5" s="59" t="s">
        <v>2159</v>
      </c>
      <c r="P5" s="59" t="s">
        <v>2160</v>
      </c>
      <c r="Q5" s="58" t="s">
        <v>1816</v>
      </c>
      <c r="R5" s="58" t="s">
        <v>1485</v>
      </c>
      <c r="S5" s="87" t="n">
        <f aca="false">IF(OR(B5="",L5=""),"",INDEX(Lists!$AD$4:$AD$8,MATCH(L5,Lists!$AC$4:$AC$8,0)))</f>
        <v>15</v>
      </c>
      <c r="T5" s="95" t="n">
        <f aca="false">IF(OR(S5="",ISERROR(S5)),"",B5+S5)</f>
        <v>46326</v>
      </c>
      <c r="U5" s="58" t="s">
        <v>374</v>
      </c>
      <c r="V5" s="63"/>
      <c r="W5" s="57" t="n">
        <v>46314</v>
      </c>
      <c r="X5" s="59" t="s">
        <v>2161</v>
      </c>
      <c r="Y5" s="62" t="str">
        <f aca="false">IF(E5="","",IF(AND(B5&lt;&gt;"",B5&gt;='Weekly Report'!$F$4,B5&lt;='Weekly Report'!$F$5),"NEW",IF(AND(W5&lt;&gt;"",W5&gt;='Weekly Report'!$F$4,W5&lt;='Weekly Report'!$F$5),"CHANGED","")))</f>
        <v>NEW</v>
      </c>
      <c r="Z5" s="87" t="n">
        <f aca="true">IF(B5="","",IF(V5&lt;&gt;"",V5-B5,TODAY()-B5))</f>
        <v>4</v>
      </c>
      <c r="AA5" s="62" t="str">
        <f aca="true">IF(OR(B5="",T5="",U5="False Positive",U5="Risk Accepted"),"",IF(V5&lt;&gt;"",IF(V5&gt;T5,"Closed Late","Met"),IF(TODAY()&gt;T5,"SLA BREACH",IF(T5-TODAY()&lt;=7,"Due ≤7d","Within SLA"))))</f>
        <v>Within SLA</v>
      </c>
      <c r="AB5" s="58" t="s">
        <v>820</v>
      </c>
      <c r="AC5" s="61"/>
      <c r="AD5" s="60"/>
      <c r="AE5" s="88" t="n">
        <f aca="false">IF(Y5&lt;&gt;"",ROW(),"")</f>
        <v>5</v>
      </c>
      <c r="AF5" s="88" t="str">
        <f aca="false">IF(AND(AND(E5&lt;&gt;"",U5&lt;&gt;"Remediated",U5&lt;&gt;"False Positive",U5&lt;&gt;"Risk Accepted"),T5&lt;&gt;"",T5&lt;='Weekly Report'!$F$7),ROW(),"")</f>
        <v/>
      </c>
      <c r="AG5" s="88" t="str">
        <f aca="false">IF(AND(AND(E5&lt;&gt;"",U5&lt;&gt;"Remediated",U5&lt;&gt;"False Positive",U5&lt;&gt;"Risk Accepted"),LEFT(Q5,6)="Breach"),ROW(),"")</f>
        <v/>
      </c>
    </row>
    <row r="6" customFormat="false" ht="15" hidden="false" customHeight="false" outlineLevel="0" collapsed="false">
      <c r="A6" s="56" t="s">
        <v>2162</v>
      </c>
      <c r="B6" s="63"/>
      <c r="C6" s="61"/>
      <c r="D6" s="61"/>
      <c r="E6" s="60"/>
      <c r="F6" s="61"/>
      <c r="G6" s="61"/>
      <c r="H6" s="61"/>
      <c r="I6" s="61"/>
      <c r="J6" s="60"/>
      <c r="K6" s="61"/>
      <c r="L6" s="61"/>
      <c r="M6" s="61"/>
      <c r="N6" s="60"/>
      <c r="O6" s="60"/>
      <c r="P6" s="60"/>
      <c r="Q6" s="61"/>
      <c r="R6" s="61"/>
      <c r="S6" s="87" t="str">
        <f aca="false">IF(OR(B6="",L6=""),"",INDEX(Lists!$AD$4:$AD$8,MATCH(L6,Lists!$AC$4:$AC$8,0)))</f>
        <v/>
      </c>
      <c r="T6" s="95" t="str">
        <f aca="false">IF(OR(S6="",ISERROR(S6)),"",B6+S6)</f>
        <v/>
      </c>
      <c r="U6" s="61"/>
      <c r="V6" s="63"/>
      <c r="W6" s="63"/>
      <c r="X6" s="60"/>
      <c r="Y6" s="62" t="str">
        <f aca="false">IF(E6="","",IF(AND(B6&lt;&gt;"",B6&gt;='Weekly Report'!$F$4,B6&lt;='Weekly Report'!$F$5),"NEW",IF(AND(W6&lt;&gt;"",W6&gt;='Weekly Report'!$F$4,W6&lt;='Weekly Report'!$F$5),"CHANGED","")))</f>
        <v/>
      </c>
      <c r="Z6" s="87" t="str">
        <f aca="true">IF(B6="","",IF(V6&lt;&gt;"",V6-B6,TODAY()-B6))</f>
        <v/>
      </c>
      <c r="AA6" s="62" t="str">
        <f aca="true">IF(OR(B6="",T6="",U6="False Positive",U6="Risk Accepted"),"",IF(V6&lt;&gt;"",IF(V6&gt;T6,"Closed Late","Met"),IF(TODAY()&gt;T6,"SLA BREACH",IF(T6-TODAY()&lt;=7,"Due ≤7d","Within SLA"))))</f>
        <v/>
      </c>
      <c r="AB6" s="61"/>
      <c r="AC6" s="61"/>
      <c r="AD6" s="60"/>
      <c r="AE6" s="88" t="str">
        <f aca="false">IF(Y6&lt;&gt;"",ROW(),"")</f>
        <v/>
      </c>
      <c r="AF6" s="88" t="str">
        <f aca="false">IF(AND(AND(E6&lt;&gt;"",U6&lt;&gt;"Remediated",U6&lt;&gt;"False Positive",U6&lt;&gt;"Risk Accepted"),T6&lt;&gt;"",T6&lt;='Weekly Report'!$F$7),ROW(),"")</f>
        <v/>
      </c>
      <c r="AG6" s="88" t="str">
        <f aca="false">IF(AND(AND(E6&lt;&gt;"",U6&lt;&gt;"Remediated",U6&lt;&gt;"False Positive",U6&lt;&gt;"Risk Accepted"),LEFT(Q6,6)="Breach"),ROW(),"")</f>
        <v/>
      </c>
    </row>
    <row r="7" customFormat="false" ht="15" hidden="false" customHeight="false" outlineLevel="0" collapsed="false">
      <c r="A7" s="56" t="s">
        <v>2163</v>
      </c>
      <c r="B7" s="63"/>
      <c r="C7" s="61"/>
      <c r="D7" s="61"/>
      <c r="E7" s="60"/>
      <c r="F7" s="61"/>
      <c r="G7" s="61"/>
      <c r="H7" s="61"/>
      <c r="I7" s="61"/>
      <c r="J7" s="60"/>
      <c r="K7" s="61"/>
      <c r="L7" s="61"/>
      <c r="M7" s="61"/>
      <c r="N7" s="60"/>
      <c r="O7" s="60"/>
      <c r="P7" s="60"/>
      <c r="Q7" s="61"/>
      <c r="R7" s="61"/>
      <c r="S7" s="87" t="str">
        <f aca="false">IF(OR(B7="",L7=""),"",INDEX(Lists!$AD$4:$AD$8,MATCH(L7,Lists!$AC$4:$AC$8,0)))</f>
        <v/>
      </c>
      <c r="T7" s="95" t="str">
        <f aca="false">IF(OR(S7="",ISERROR(S7)),"",B7+S7)</f>
        <v/>
      </c>
      <c r="U7" s="61"/>
      <c r="V7" s="63"/>
      <c r="W7" s="63"/>
      <c r="X7" s="60"/>
      <c r="Y7" s="62" t="str">
        <f aca="false">IF(E7="","",IF(AND(B7&lt;&gt;"",B7&gt;='Weekly Report'!$F$4,B7&lt;='Weekly Report'!$F$5),"NEW",IF(AND(W7&lt;&gt;"",W7&gt;='Weekly Report'!$F$4,W7&lt;='Weekly Report'!$F$5),"CHANGED","")))</f>
        <v/>
      </c>
      <c r="Z7" s="87" t="str">
        <f aca="true">IF(B7="","",IF(V7&lt;&gt;"",V7-B7,TODAY()-B7))</f>
        <v/>
      </c>
      <c r="AA7" s="62" t="str">
        <f aca="true">IF(OR(B7="",T7="",U7="False Positive",U7="Risk Accepted"),"",IF(V7&lt;&gt;"",IF(V7&gt;T7,"Closed Late","Met"),IF(TODAY()&gt;T7,"SLA BREACH",IF(T7-TODAY()&lt;=7,"Due ≤7d","Within SLA"))))</f>
        <v/>
      </c>
      <c r="AB7" s="61"/>
      <c r="AC7" s="61"/>
      <c r="AD7" s="60"/>
      <c r="AE7" s="88" t="str">
        <f aca="false">IF(Y7&lt;&gt;"",ROW(),"")</f>
        <v/>
      </c>
      <c r="AF7" s="88" t="str">
        <f aca="false">IF(AND(AND(E7&lt;&gt;"",U7&lt;&gt;"Remediated",U7&lt;&gt;"False Positive",U7&lt;&gt;"Risk Accepted"),T7&lt;&gt;"",T7&lt;='Weekly Report'!$F$7),ROW(),"")</f>
        <v/>
      </c>
      <c r="AG7" s="88" t="str">
        <f aca="false">IF(AND(AND(E7&lt;&gt;"",U7&lt;&gt;"Remediated",U7&lt;&gt;"False Positive",U7&lt;&gt;"Risk Accepted"),LEFT(Q7,6)="Breach"),ROW(),"")</f>
        <v/>
      </c>
    </row>
    <row r="8" customFormat="false" ht="15" hidden="false" customHeight="false" outlineLevel="0" collapsed="false">
      <c r="A8" s="56" t="s">
        <v>2164</v>
      </c>
      <c r="B8" s="63"/>
      <c r="C8" s="61"/>
      <c r="D8" s="61"/>
      <c r="E8" s="60"/>
      <c r="F8" s="61"/>
      <c r="G8" s="61"/>
      <c r="H8" s="61"/>
      <c r="I8" s="61"/>
      <c r="J8" s="60"/>
      <c r="K8" s="61"/>
      <c r="L8" s="61"/>
      <c r="M8" s="61"/>
      <c r="N8" s="60"/>
      <c r="O8" s="60"/>
      <c r="P8" s="60"/>
      <c r="Q8" s="61"/>
      <c r="R8" s="61"/>
      <c r="S8" s="87" t="str">
        <f aca="false">IF(OR(B8="",L8=""),"",INDEX(Lists!$AD$4:$AD$8,MATCH(L8,Lists!$AC$4:$AC$8,0)))</f>
        <v/>
      </c>
      <c r="T8" s="95" t="str">
        <f aca="false">IF(OR(S8="",ISERROR(S8)),"",B8+S8)</f>
        <v/>
      </c>
      <c r="U8" s="61"/>
      <c r="V8" s="63"/>
      <c r="W8" s="63"/>
      <c r="X8" s="60"/>
      <c r="Y8" s="62" t="str">
        <f aca="false">IF(E8="","",IF(AND(B8&lt;&gt;"",B8&gt;='Weekly Report'!$F$4,B8&lt;='Weekly Report'!$F$5),"NEW",IF(AND(W8&lt;&gt;"",W8&gt;='Weekly Report'!$F$4,W8&lt;='Weekly Report'!$F$5),"CHANGED","")))</f>
        <v/>
      </c>
      <c r="Z8" s="87" t="str">
        <f aca="true">IF(B8="","",IF(V8&lt;&gt;"",V8-B8,TODAY()-B8))</f>
        <v/>
      </c>
      <c r="AA8" s="62" t="str">
        <f aca="true">IF(OR(B8="",T8="",U8="False Positive",U8="Risk Accepted"),"",IF(V8&lt;&gt;"",IF(V8&gt;T8,"Closed Late","Met"),IF(TODAY()&gt;T8,"SLA BREACH",IF(T8-TODAY()&lt;=7,"Due ≤7d","Within SLA"))))</f>
        <v/>
      </c>
      <c r="AB8" s="61"/>
      <c r="AC8" s="61"/>
      <c r="AD8" s="60"/>
      <c r="AE8" s="88" t="str">
        <f aca="false">IF(Y8&lt;&gt;"",ROW(),"")</f>
        <v/>
      </c>
      <c r="AF8" s="88" t="str">
        <f aca="false">IF(AND(AND(E8&lt;&gt;"",U8&lt;&gt;"Remediated",U8&lt;&gt;"False Positive",U8&lt;&gt;"Risk Accepted"),T8&lt;&gt;"",T8&lt;='Weekly Report'!$F$7),ROW(),"")</f>
        <v/>
      </c>
      <c r="AG8" s="88" t="str">
        <f aca="false">IF(AND(AND(E8&lt;&gt;"",U8&lt;&gt;"Remediated",U8&lt;&gt;"False Positive",U8&lt;&gt;"Risk Accepted"),LEFT(Q8,6)="Breach"),ROW(),"")</f>
        <v/>
      </c>
    </row>
    <row r="9" customFormat="false" ht="15" hidden="false" customHeight="false" outlineLevel="0" collapsed="false">
      <c r="A9" s="56" t="s">
        <v>2165</v>
      </c>
      <c r="B9" s="63"/>
      <c r="C9" s="61"/>
      <c r="D9" s="61"/>
      <c r="E9" s="60"/>
      <c r="F9" s="61"/>
      <c r="G9" s="61"/>
      <c r="H9" s="61"/>
      <c r="I9" s="61"/>
      <c r="J9" s="60"/>
      <c r="K9" s="61"/>
      <c r="L9" s="61"/>
      <c r="M9" s="61"/>
      <c r="N9" s="60"/>
      <c r="O9" s="60"/>
      <c r="P9" s="60"/>
      <c r="Q9" s="61"/>
      <c r="R9" s="61"/>
      <c r="S9" s="87" t="str">
        <f aca="false">IF(OR(B9="",L9=""),"",INDEX(Lists!$AD$4:$AD$8,MATCH(L9,Lists!$AC$4:$AC$8,0)))</f>
        <v/>
      </c>
      <c r="T9" s="95" t="str">
        <f aca="false">IF(OR(S9="",ISERROR(S9)),"",B9+S9)</f>
        <v/>
      </c>
      <c r="U9" s="61"/>
      <c r="V9" s="63"/>
      <c r="W9" s="63"/>
      <c r="X9" s="60"/>
      <c r="Y9" s="62" t="str">
        <f aca="false">IF(E9="","",IF(AND(B9&lt;&gt;"",B9&gt;='Weekly Report'!$F$4,B9&lt;='Weekly Report'!$F$5),"NEW",IF(AND(W9&lt;&gt;"",W9&gt;='Weekly Report'!$F$4,W9&lt;='Weekly Report'!$F$5),"CHANGED","")))</f>
        <v/>
      </c>
      <c r="Z9" s="87" t="str">
        <f aca="true">IF(B9="","",IF(V9&lt;&gt;"",V9-B9,TODAY()-B9))</f>
        <v/>
      </c>
      <c r="AA9" s="62" t="str">
        <f aca="true">IF(OR(B9="",T9="",U9="False Positive",U9="Risk Accepted"),"",IF(V9&lt;&gt;"",IF(V9&gt;T9,"Closed Late","Met"),IF(TODAY()&gt;T9,"SLA BREACH",IF(T9-TODAY()&lt;=7,"Due ≤7d","Within SLA"))))</f>
        <v/>
      </c>
      <c r="AB9" s="61"/>
      <c r="AC9" s="61"/>
      <c r="AD9" s="60"/>
      <c r="AE9" s="88" t="str">
        <f aca="false">IF(Y9&lt;&gt;"",ROW(),"")</f>
        <v/>
      </c>
      <c r="AF9" s="88" t="str">
        <f aca="false">IF(AND(AND(E9&lt;&gt;"",U9&lt;&gt;"Remediated",U9&lt;&gt;"False Positive",U9&lt;&gt;"Risk Accepted"),T9&lt;&gt;"",T9&lt;='Weekly Report'!$F$7),ROW(),"")</f>
        <v/>
      </c>
      <c r="AG9" s="88" t="str">
        <f aca="false">IF(AND(AND(E9&lt;&gt;"",U9&lt;&gt;"Remediated",U9&lt;&gt;"False Positive",U9&lt;&gt;"Risk Accepted"),LEFT(Q9,6)="Breach"),ROW(),"")</f>
        <v/>
      </c>
    </row>
    <row r="10" customFormat="false" ht="15" hidden="false" customHeight="false" outlineLevel="0" collapsed="false">
      <c r="A10" s="56" t="s">
        <v>2166</v>
      </c>
      <c r="B10" s="63"/>
      <c r="C10" s="61"/>
      <c r="D10" s="61"/>
      <c r="E10" s="60"/>
      <c r="F10" s="61"/>
      <c r="G10" s="61"/>
      <c r="H10" s="61"/>
      <c r="I10" s="61"/>
      <c r="J10" s="60"/>
      <c r="K10" s="61"/>
      <c r="L10" s="61"/>
      <c r="M10" s="61"/>
      <c r="N10" s="60"/>
      <c r="O10" s="60"/>
      <c r="P10" s="60"/>
      <c r="Q10" s="61"/>
      <c r="R10" s="61"/>
      <c r="S10" s="87" t="str">
        <f aca="false">IF(OR(B10="",L10=""),"",INDEX(Lists!$AD$4:$AD$8,MATCH(L10,Lists!$AC$4:$AC$8,0)))</f>
        <v/>
      </c>
      <c r="T10" s="95" t="str">
        <f aca="false">IF(OR(S10="",ISERROR(S10)),"",B10+S10)</f>
        <v/>
      </c>
      <c r="U10" s="61"/>
      <c r="V10" s="63"/>
      <c r="W10" s="63"/>
      <c r="X10" s="60"/>
      <c r="Y10" s="62" t="str">
        <f aca="false">IF(E10="","",IF(AND(B10&lt;&gt;"",B10&gt;='Weekly Report'!$F$4,B10&lt;='Weekly Report'!$F$5),"NEW",IF(AND(W10&lt;&gt;"",W10&gt;='Weekly Report'!$F$4,W10&lt;='Weekly Report'!$F$5),"CHANGED","")))</f>
        <v/>
      </c>
      <c r="Z10" s="87" t="str">
        <f aca="true">IF(B10="","",IF(V10&lt;&gt;"",V10-B10,TODAY()-B10))</f>
        <v/>
      </c>
      <c r="AA10" s="62" t="str">
        <f aca="true">IF(OR(B10="",T10="",U10="False Positive",U10="Risk Accepted"),"",IF(V10&lt;&gt;"",IF(V10&gt;T10,"Closed Late","Met"),IF(TODAY()&gt;T10,"SLA BREACH",IF(T10-TODAY()&lt;=7,"Due ≤7d","Within SLA"))))</f>
        <v/>
      </c>
      <c r="AB10" s="61"/>
      <c r="AC10" s="61"/>
      <c r="AD10" s="60"/>
      <c r="AE10" s="88" t="str">
        <f aca="false">IF(Y10&lt;&gt;"",ROW(),"")</f>
        <v/>
      </c>
      <c r="AF10" s="88" t="str">
        <f aca="false">IF(AND(AND(E10&lt;&gt;"",U10&lt;&gt;"Remediated",U10&lt;&gt;"False Positive",U10&lt;&gt;"Risk Accepted"),T10&lt;&gt;"",T10&lt;='Weekly Report'!$F$7),ROW(),"")</f>
        <v/>
      </c>
      <c r="AG10" s="88" t="str">
        <f aca="false">IF(AND(AND(E10&lt;&gt;"",U10&lt;&gt;"Remediated",U10&lt;&gt;"False Positive",U10&lt;&gt;"Risk Accepted"),LEFT(Q10,6)="Breach"),ROW(),"")</f>
        <v/>
      </c>
    </row>
    <row r="11" customFormat="false" ht="15" hidden="false" customHeight="false" outlineLevel="0" collapsed="false">
      <c r="A11" s="56" t="s">
        <v>2167</v>
      </c>
      <c r="B11" s="63"/>
      <c r="C11" s="61"/>
      <c r="D11" s="61"/>
      <c r="E11" s="60"/>
      <c r="F11" s="61"/>
      <c r="G11" s="61"/>
      <c r="H11" s="61"/>
      <c r="I11" s="61"/>
      <c r="J11" s="60"/>
      <c r="K11" s="61"/>
      <c r="L11" s="61"/>
      <c r="M11" s="61"/>
      <c r="N11" s="60"/>
      <c r="O11" s="60"/>
      <c r="P11" s="60"/>
      <c r="Q11" s="61"/>
      <c r="R11" s="61"/>
      <c r="S11" s="87" t="str">
        <f aca="false">IF(OR(B11="",L11=""),"",INDEX(Lists!$AD$4:$AD$8,MATCH(L11,Lists!$AC$4:$AC$8,0)))</f>
        <v/>
      </c>
      <c r="T11" s="95" t="str">
        <f aca="false">IF(OR(S11="",ISERROR(S11)),"",B11+S11)</f>
        <v/>
      </c>
      <c r="U11" s="61"/>
      <c r="V11" s="63"/>
      <c r="W11" s="63"/>
      <c r="X11" s="60"/>
      <c r="Y11" s="62" t="str">
        <f aca="false">IF(E11="","",IF(AND(B11&lt;&gt;"",B11&gt;='Weekly Report'!$F$4,B11&lt;='Weekly Report'!$F$5),"NEW",IF(AND(W11&lt;&gt;"",W11&gt;='Weekly Report'!$F$4,W11&lt;='Weekly Report'!$F$5),"CHANGED","")))</f>
        <v/>
      </c>
      <c r="Z11" s="87" t="str">
        <f aca="true">IF(B11="","",IF(V11&lt;&gt;"",V11-B11,TODAY()-B11))</f>
        <v/>
      </c>
      <c r="AA11" s="62" t="str">
        <f aca="true">IF(OR(B11="",T11="",U11="False Positive",U11="Risk Accepted"),"",IF(V11&lt;&gt;"",IF(V11&gt;T11,"Closed Late","Met"),IF(TODAY()&gt;T11,"SLA BREACH",IF(T11-TODAY()&lt;=7,"Due ≤7d","Within SLA"))))</f>
        <v/>
      </c>
      <c r="AB11" s="61"/>
      <c r="AC11" s="61"/>
      <c r="AD11" s="60"/>
      <c r="AE11" s="88" t="str">
        <f aca="false">IF(Y11&lt;&gt;"",ROW(),"")</f>
        <v/>
      </c>
      <c r="AF11" s="88" t="str">
        <f aca="false">IF(AND(AND(E11&lt;&gt;"",U11&lt;&gt;"Remediated",U11&lt;&gt;"False Positive",U11&lt;&gt;"Risk Accepted"),T11&lt;&gt;"",T11&lt;='Weekly Report'!$F$7),ROW(),"")</f>
        <v/>
      </c>
      <c r="AG11" s="88" t="str">
        <f aca="false">IF(AND(AND(E11&lt;&gt;"",U11&lt;&gt;"Remediated",U11&lt;&gt;"False Positive",U11&lt;&gt;"Risk Accepted"),LEFT(Q11,6)="Breach"),ROW(),"")</f>
        <v/>
      </c>
    </row>
    <row r="12" customFormat="false" ht="15" hidden="false" customHeight="false" outlineLevel="0" collapsed="false">
      <c r="A12" s="56" t="s">
        <v>2168</v>
      </c>
      <c r="B12" s="63"/>
      <c r="C12" s="61"/>
      <c r="D12" s="61"/>
      <c r="E12" s="60"/>
      <c r="F12" s="61"/>
      <c r="G12" s="61"/>
      <c r="H12" s="61"/>
      <c r="I12" s="61"/>
      <c r="J12" s="60"/>
      <c r="K12" s="61"/>
      <c r="L12" s="61"/>
      <c r="M12" s="61"/>
      <c r="N12" s="60"/>
      <c r="O12" s="60"/>
      <c r="P12" s="60"/>
      <c r="Q12" s="61"/>
      <c r="R12" s="61"/>
      <c r="S12" s="87" t="str">
        <f aca="false">IF(OR(B12="",L12=""),"",INDEX(Lists!$AD$4:$AD$8,MATCH(L12,Lists!$AC$4:$AC$8,0)))</f>
        <v/>
      </c>
      <c r="T12" s="95" t="str">
        <f aca="false">IF(OR(S12="",ISERROR(S12)),"",B12+S12)</f>
        <v/>
      </c>
      <c r="U12" s="61"/>
      <c r="V12" s="63"/>
      <c r="W12" s="63"/>
      <c r="X12" s="60"/>
      <c r="Y12" s="62" t="str">
        <f aca="false">IF(E12="","",IF(AND(B12&lt;&gt;"",B12&gt;='Weekly Report'!$F$4,B12&lt;='Weekly Report'!$F$5),"NEW",IF(AND(W12&lt;&gt;"",W12&gt;='Weekly Report'!$F$4,W12&lt;='Weekly Report'!$F$5),"CHANGED","")))</f>
        <v/>
      </c>
      <c r="Z12" s="87" t="str">
        <f aca="true">IF(B12="","",IF(V12&lt;&gt;"",V12-B12,TODAY()-B12))</f>
        <v/>
      </c>
      <c r="AA12" s="62" t="str">
        <f aca="true">IF(OR(B12="",T12="",U12="False Positive",U12="Risk Accepted"),"",IF(V12&lt;&gt;"",IF(V12&gt;T12,"Closed Late","Met"),IF(TODAY()&gt;T12,"SLA BREACH",IF(T12-TODAY()&lt;=7,"Due ≤7d","Within SLA"))))</f>
        <v/>
      </c>
      <c r="AB12" s="61"/>
      <c r="AC12" s="61"/>
      <c r="AD12" s="60"/>
      <c r="AE12" s="88" t="str">
        <f aca="false">IF(Y12&lt;&gt;"",ROW(),"")</f>
        <v/>
      </c>
      <c r="AF12" s="88" t="str">
        <f aca="false">IF(AND(AND(E12&lt;&gt;"",U12&lt;&gt;"Remediated",U12&lt;&gt;"False Positive",U12&lt;&gt;"Risk Accepted"),T12&lt;&gt;"",T12&lt;='Weekly Report'!$F$7),ROW(),"")</f>
        <v/>
      </c>
      <c r="AG12" s="88" t="str">
        <f aca="false">IF(AND(AND(E12&lt;&gt;"",U12&lt;&gt;"Remediated",U12&lt;&gt;"False Positive",U12&lt;&gt;"Risk Accepted"),LEFT(Q12,6)="Breach"),ROW(),"")</f>
        <v/>
      </c>
    </row>
    <row r="13" customFormat="false" ht="15" hidden="false" customHeight="false" outlineLevel="0" collapsed="false">
      <c r="A13" s="56" t="s">
        <v>2169</v>
      </c>
      <c r="B13" s="63"/>
      <c r="C13" s="61"/>
      <c r="D13" s="61"/>
      <c r="E13" s="60"/>
      <c r="F13" s="61"/>
      <c r="G13" s="61"/>
      <c r="H13" s="61"/>
      <c r="I13" s="61"/>
      <c r="J13" s="60"/>
      <c r="K13" s="61"/>
      <c r="L13" s="61"/>
      <c r="M13" s="61"/>
      <c r="N13" s="60"/>
      <c r="O13" s="60"/>
      <c r="P13" s="60"/>
      <c r="Q13" s="61"/>
      <c r="R13" s="61"/>
      <c r="S13" s="87" t="str">
        <f aca="false">IF(OR(B13="",L13=""),"",INDEX(Lists!$AD$4:$AD$8,MATCH(L13,Lists!$AC$4:$AC$8,0)))</f>
        <v/>
      </c>
      <c r="T13" s="95" t="str">
        <f aca="false">IF(OR(S13="",ISERROR(S13)),"",B13+S13)</f>
        <v/>
      </c>
      <c r="U13" s="61"/>
      <c r="V13" s="63"/>
      <c r="W13" s="63"/>
      <c r="X13" s="60"/>
      <c r="Y13" s="62" t="str">
        <f aca="false">IF(E13="","",IF(AND(B13&lt;&gt;"",B13&gt;='Weekly Report'!$F$4,B13&lt;='Weekly Report'!$F$5),"NEW",IF(AND(W13&lt;&gt;"",W13&gt;='Weekly Report'!$F$4,W13&lt;='Weekly Report'!$F$5),"CHANGED","")))</f>
        <v/>
      </c>
      <c r="Z13" s="87" t="str">
        <f aca="true">IF(B13="","",IF(V13&lt;&gt;"",V13-B13,TODAY()-B13))</f>
        <v/>
      </c>
      <c r="AA13" s="62" t="str">
        <f aca="true">IF(OR(B13="",T13="",U13="False Positive",U13="Risk Accepted"),"",IF(V13&lt;&gt;"",IF(V13&gt;T13,"Closed Late","Met"),IF(TODAY()&gt;T13,"SLA BREACH",IF(T13-TODAY()&lt;=7,"Due ≤7d","Within SLA"))))</f>
        <v/>
      </c>
      <c r="AB13" s="61"/>
      <c r="AC13" s="61"/>
      <c r="AD13" s="60"/>
      <c r="AE13" s="88" t="str">
        <f aca="false">IF(Y13&lt;&gt;"",ROW(),"")</f>
        <v/>
      </c>
      <c r="AF13" s="88" t="str">
        <f aca="false">IF(AND(AND(E13&lt;&gt;"",U13&lt;&gt;"Remediated",U13&lt;&gt;"False Positive",U13&lt;&gt;"Risk Accepted"),T13&lt;&gt;"",T13&lt;='Weekly Report'!$F$7),ROW(),"")</f>
        <v/>
      </c>
      <c r="AG13" s="88" t="str">
        <f aca="false">IF(AND(AND(E13&lt;&gt;"",U13&lt;&gt;"Remediated",U13&lt;&gt;"False Positive",U13&lt;&gt;"Risk Accepted"),LEFT(Q13,6)="Breach"),ROW(),"")</f>
        <v/>
      </c>
    </row>
    <row r="14" customFormat="false" ht="15" hidden="false" customHeight="false" outlineLevel="0" collapsed="false">
      <c r="A14" s="56" t="s">
        <v>2170</v>
      </c>
      <c r="B14" s="63"/>
      <c r="C14" s="61"/>
      <c r="D14" s="61"/>
      <c r="E14" s="60"/>
      <c r="F14" s="61"/>
      <c r="G14" s="61"/>
      <c r="H14" s="61"/>
      <c r="I14" s="61"/>
      <c r="J14" s="60"/>
      <c r="K14" s="61"/>
      <c r="L14" s="61"/>
      <c r="M14" s="61"/>
      <c r="N14" s="60"/>
      <c r="O14" s="60"/>
      <c r="P14" s="60"/>
      <c r="Q14" s="61"/>
      <c r="R14" s="61"/>
      <c r="S14" s="87" t="str">
        <f aca="false">IF(OR(B14="",L14=""),"",INDEX(Lists!$AD$4:$AD$8,MATCH(L14,Lists!$AC$4:$AC$8,0)))</f>
        <v/>
      </c>
      <c r="T14" s="95" t="str">
        <f aca="false">IF(OR(S14="",ISERROR(S14)),"",B14+S14)</f>
        <v/>
      </c>
      <c r="U14" s="61"/>
      <c r="V14" s="63"/>
      <c r="W14" s="63"/>
      <c r="X14" s="60"/>
      <c r="Y14" s="62" t="str">
        <f aca="false">IF(E14="","",IF(AND(B14&lt;&gt;"",B14&gt;='Weekly Report'!$F$4,B14&lt;='Weekly Report'!$F$5),"NEW",IF(AND(W14&lt;&gt;"",W14&gt;='Weekly Report'!$F$4,W14&lt;='Weekly Report'!$F$5),"CHANGED","")))</f>
        <v/>
      </c>
      <c r="Z14" s="87" t="str">
        <f aca="true">IF(B14="","",IF(V14&lt;&gt;"",V14-B14,TODAY()-B14))</f>
        <v/>
      </c>
      <c r="AA14" s="62" t="str">
        <f aca="true">IF(OR(B14="",T14="",U14="False Positive",U14="Risk Accepted"),"",IF(V14&lt;&gt;"",IF(V14&gt;T14,"Closed Late","Met"),IF(TODAY()&gt;T14,"SLA BREACH",IF(T14-TODAY()&lt;=7,"Due ≤7d","Within SLA"))))</f>
        <v/>
      </c>
      <c r="AB14" s="61"/>
      <c r="AC14" s="61"/>
      <c r="AD14" s="60"/>
      <c r="AE14" s="88" t="str">
        <f aca="false">IF(Y14&lt;&gt;"",ROW(),"")</f>
        <v/>
      </c>
      <c r="AF14" s="88" t="str">
        <f aca="false">IF(AND(AND(E14&lt;&gt;"",U14&lt;&gt;"Remediated",U14&lt;&gt;"False Positive",U14&lt;&gt;"Risk Accepted"),T14&lt;&gt;"",T14&lt;='Weekly Report'!$F$7),ROW(),"")</f>
        <v/>
      </c>
      <c r="AG14" s="88" t="str">
        <f aca="false">IF(AND(AND(E14&lt;&gt;"",U14&lt;&gt;"Remediated",U14&lt;&gt;"False Positive",U14&lt;&gt;"Risk Accepted"),LEFT(Q14,6)="Breach"),ROW(),"")</f>
        <v/>
      </c>
    </row>
    <row r="15" customFormat="false" ht="15" hidden="false" customHeight="false" outlineLevel="0" collapsed="false">
      <c r="A15" s="56" t="s">
        <v>2171</v>
      </c>
      <c r="B15" s="63"/>
      <c r="C15" s="61"/>
      <c r="D15" s="61"/>
      <c r="E15" s="60"/>
      <c r="F15" s="61"/>
      <c r="G15" s="61"/>
      <c r="H15" s="61"/>
      <c r="I15" s="61"/>
      <c r="J15" s="60"/>
      <c r="K15" s="61"/>
      <c r="L15" s="61"/>
      <c r="M15" s="61"/>
      <c r="N15" s="60"/>
      <c r="O15" s="60"/>
      <c r="P15" s="60"/>
      <c r="Q15" s="61"/>
      <c r="R15" s="61"/>
      <c r="S15" s="87" t="str">
        <f aca="false">IF(OR(B15="",L15=""),"",INDEX(Lists!$AD$4:$AD$8,MATCH(L15,Lists!$AC$4:$AC$8,0)))</f>
        <v/>
      </c>
      <c r="T15" s="95" t="str">
        <f aca="false">IF(OR(S15="",ISERROR(S15)),"",B15+S15)</f>
        <v/>
      </c>
      <c r="U15" s="61"/>
      <c r="V15" s="63"/>
      <c r="W15" s="63"/>
      <c r="X15" s="60"/>
      <c r="Y15" s="62" t="str">
        <f aca="false">IF(E15="","",IF(AND(B15&lt;&gt;"",B15&gt;='Weekly Report'!$F$4,B15&lt;='Weekly Report'!$F$5),"NEW",IF(AND(W15&lt;&gt;"",W15&gt;='Weekly Report'!$F$4,W15&lt;='Weekly Report'!$F$5),"CHANGED","")))</f>
        <v/>
      </c>
      <c r="Z15" s="87" t="str">
        <f aca="true">IF(B15="","",IF(V15&lt;&gt;"",V15-B15,TODAY()-B15))</f>
        <v/>
      </c>
      <c r="AA15" s="62" t="str">
        <f aca="true">IF(OR(B15="",T15="",U15="False Positive",U15="Risk Accepted"),"",IF(V15&lt;&gt;"",IF(V15&gt;T15,"Closed Late","Met"),IF(TODAY()&gt;T15,"SLA BREACH",IF(T15-TODAY()&lt;=7,"Due ≤7d","Within SLA"))))</f>
        <v/>
      </c>
      <c r="AB15" s="61"/>
      <c r="AC15" s="61"/>
      <c r="AD15" s="60"/>
      <c r="AE15" s="88" t="str">
        <f aca="false">IF(Y15&lt;&gt;"",ROW(),"")</f>
        <v/>
      </c>
      <c r="AF15" s="88" t="str">
        <f aca="false">IF(AND(AND(E15&lt;&gt;"",U15&lt;&gt;"Remediated",U15&lt;&gt;"False Positive",U15&lt;&gt;"Risk Accepted"),T15&lt;&gt;"",T15&lt;='Weekly Report'!$F$7),ROW(),"")</f>
        <v/>
      </c>
      <c r="AG15" s="88" t="str">
        <f aca="false">IF(AND(AND(E15&lt;&gt;"",U15&lt;&gt;"Remediated",U15&lt;&gt;"False Positive",U15&lt;&gt;"Risk Accepted"),LEFT(Q15,6)="Breach"),ROW(),"")</f>
        <v/>
      </c>
    </row>
    <row r="16" customFormat="false" ht="15" hidden="false" customHeight="false" outlineLevel="0" collapsed="false">
      <c r="A16" s="56" t="s">
        <v>2172</v>
      </c>
      <c r="B16" s="63"/>
      <c r="C16" s="61"/>
      <c r="D16" s="61"/>
      <c r="E16" s="60"/>
      <c r="F16" s="61"/>
      <c r="G16" s="61"/>
      <c r="H16" s="61"/>
      <c r="I16" s="61"/>
      <c r="J16" s="60"/>
      <c r="K16" s="61"/>
      <c r="L16" s="61"/>
      <c r="M16" s="61"/>
      <c r="N16" s="60"/>
      <c r="O16" s="60"/>
      <c r="P16" s="60"/>
      <c r="Q16" s="61"/>
      <c r="R16" s="61"/>
      <c r="S16" s="87" t="str">
        <f aca="false">IF(OR(B16="",L16=""),"",INDEX(Lists!$AD$4:$AD$8,MATCH(L16,Lists!$AC$4:$AC$8,0)))</f>
        <v/>
      </c>
      <c r="T16" s="95" t="str">
        <f aca="false">IF(OR(S16="",ISERROR(S16)),"",B16+S16)</f>
        <v/>
      </c>
      <c r="U16" s="61"/>
      <c r="V16" s="63"/>
      <c r="W16" s="63"/>
      <c r="X16" s="60"/>
      <c r="Y16" s="62" t="str">
        <f aca="false">IF(E16="","",IF(AND(B16&lt;&gt;"",B16&gt;='Weekly Report'!$F$4,B16&lt;='Weekly Report'!$F$5),"NEW",IF(AND(W16&lt;&gt;"",W16&gt;='Weekly Report'!$F$4,W16&lt;='Weekly Report'!$F$5),"CHANGED","")))</f>
        <v/>
      </c>
      <c r="Z16" s="87" t="str">
        <f aca="true">IF(B16="","",IF(V16&lt;&gt;"",V16-B16,TODAY()-B16))</f>
        <v/>
      </c>
      <c r="AA16" s="62" t="str">
        <f aca="true">IF(OR(B16="",T16="",U16="False Positive",U16="Risk Accepted"),"",IF(V16&lt;&gt;"",IF(V16&gt;T16,"Closed Late","Met"),IF(TODAY()&gt;T16,"SLA BREACH",IF(T16-TODAY()&lt;=7,"Due ≤7d","Within SLA"))))</f>
        <v/>
      </c>
      <c r="AB16" s="61"/>
      <c r="AC16" s="61"/>
      <c r="AD16" s="60"/>
      <c r="AE16" s="88" t="str">
        <f aca="false">IF(Y16&lt;&gt;"",ROW(),"")</f>
        <v/>
      </c>
      <c r="AF16" s="88" t="str">
        <f aca="false">IF(AND(AND(E16&lt;&gt;"",U16&lt;&gt;"Remediated",U16&lt;&gt;"False Positive",U16&lt;&gt;"Risk Accepted"),T16&lt;&gt;"",T16&lt;='Weekly Report'!$F$7),ROW(),"")</f>
        <v/>
      </c>
      <c r="AG16" s="88" t="str">
        <f aca="false">IF(AND(AND(E16&lt;&gt;"",U16&lt;&gt;"Remediated",U16&lt;&gt;"False Positive",U16&lt;&gt;"Risk Accepted"),LEFT(Q16,6)="Breach"),ROW(),"")</f>
        <v/>
      </c>
    </row>
    <row r="17" customFormat="false" ht="15" hidden="false" customHeight="false" outlineLevel="0" collapsed="false">
      <c r="A17" s="56" t="s">
        <v>2173</v>
      </c>
      <c r="B17" s="63"/>
      <c r="C17" s="61"/>
      <c r="D17" s="61"/>
      <c r="E17" s="60"/>
      <c r="F17" s="61"/>
      <c r="G17" s="61"/>
      <c r="H17" s="61"/>
      <c r="I17" s="61"/>
      <c r="J17" s="60"/>
      <c r="K17" s="61"/>
      <c r="L17" s="61"/>
      <c r="M17" s="61"/>
      <c r="N17" s="60"/>
      <c r="O17" s="60"/>
      <c r="P17" s="60"/>
      <c r="Q17" s="61"/>
      <c r="R17" s="61"/>
      <c r="S17" s="87" t="str">
        <f aca="false">IF(OR(B17="",L17=""),"",INDEX(Lists!$AD$4:$AD$8,MATCH(L17,Lists!$AC$4:$AC$8,0)))</f>
        <v/>
      </c>
      <c r="T17" s="95" t="str">
        <f aca="false">IF(OR(S17="",ISERROR(S17)),"",B17+S17)</f>
        <v/>
      </c>
      <c r="U17" s="61"/>
      <c r="V17" s="63"/>
      <c r="W17" s="63"/>
      <c r="X17" s="60"/>
      <c r="Y17" s="62" t="str">
        <f aca="false">IF(E17="","",IF(AND(B17&lt;&gt;"",B17&gt;='Weekly Report'!$F$4,B17&lt;='Weekly Report'!$F$5),"NEW",IF(AND(W17&lt;&gt;"",W17&gt;='Weekly Report'!$F$4,W17&lt;='Weekly Report'!$F$5),"CHANGED","")))</f>
        <v/>
      </c>
      <c r="Z17" s="87" t="str">
        <f aca="true">IF(B17="","",IF(V17&lt;&gt;"",V17-B17,TODAY()-B17))</f>
        <v/>
      </c>
      <c r="AA17" s="62" t="str">
        <f aca="true">IF(OR(B17="",T17="",U17="False Positive",U17="Risk Accepted"),"",IF(V17&lt;&gt;"",IF(V17&gt;T17,"Closed Late","Met"),IF(TODAY()&gt;T17,"SLA BREACH",IF(T17-TODAY()&lt;=7,"Due ≤7d","Within SLA"))))</f>
        <v/>
      </c>
      <c r="AB17" s="61"/>
      <c r="AC17" s="61"/>
      <c r="AD17" s="60"/>
      <c r="AE17" s="88" t="str">
        <f aca="false">IF(Y17&lt;&gt;"",ROW(),"")</f>
        <v/>
      </c>
      <c r="AF17" s="88" t="str">
        <f aca="false">IF(AND(AND(E17&lt;&gt;"",U17&lt;&gt;"Remediated",U17&lt;&gt;"False Positive",U17&lt;&gt;"Risk Accepted"),T17&lt;&gt;"",T17&lt;='Weekly Report'!$F$7),ROW(),"")</f>
        <v/>
      </c>
      <c r="AG17" s="88" t="str">
        <f aca="false">IF(AND(AND(E17&lt;&gt;"",U17&lt;&gt;"Remediated",U17&lt;&gt;"False Positive",U17&lt;&gt;"Risk Accepted"),LEFT(Q17,6)="Breach"),ROW(),"")</f>
        <v/>
      </c>
    </row>
    <row r="18" customFormat="false" ht="15" hidden="false" customHeight="false" outlineLevel="0" collapsed="false">
      <c r="A18" s="56" t="s">
        <v>2174</v>
      </c>
      <c r="B18" s="63"/>
      <c r="C18" s="61"/>
      <c r="D18" s="61"/>
      <c r="E18" s="60"/>
      <c r="F18" s="61"/>
      <c r="G18" s="61"/>
      <c r="H18" s="61"/>
      <c r="I18" s="61"/>
      <c r="J18" s="60"/>
      <c r="K18" s="61"/>
      <c r="L18" s="61"/>
      <c r="M18" s="61"/>
      <c r="N18" s="60"/>
      <c r="O18" s="60"/>
      <c r="P18" s="60"/>
      <c r="Q18" s="61"/>
      <c r="R18" s="61"/>
      <c r="S18" s="87" t="str">
        <f aca="false">IF(OR(B18="",L18=""),"",INDEX(Lists!$AD$4:$AD$8,MATCH(L18,Lists!$AC$4:$AC$8,0)))</f>
        <v/>
      </c>
      <c r="T18" s="95" t="str">
        <f aca="false">IF(OR(S18="",ISERROR(S18)),"",B18+S18)</f>
        <v/>
      </c>
      <c r="U18" s="61"/>
      <c r="V18" s="63"/>
      <c r="W18" s="63"/>
      <c r="X18" s="60"/>
      <c r="Y18" s="62" t="str">
        <f aca="false">IF(E18="","",IF(AND(B18&lt;&gt;"",B18&gt;='Weekly Report'!$F$4,B18&lt;='Weekly Report'!$F$5),"NEW",IF(AND(W18&lt;&gt;"",W18&gt;='Weekly Report'!$F$4,W18&lt;='Weekly Report'!$F$5),"CHANGED","")))</f>
        <v/>
      </c>
      <c r="Z18" s="87" t="str">
        <f aca="true">IF(B18="","",IF(V18&lt;&gt;"",V18-B18,TODAY()-B18))</f>
        <v/>
      </c>
      <c r="AA18" s="62" t="str">
        <f aca="true">IF(OR(B18="",T18="",U18="False Positive",U18="Risk Accepted"),"",IF(V18&lt;&gt;"",IF(V18&gt;T18,"Closed Late","Met"),IF(TODAY()&gt;T18,"SLA BREACH",IF(T18-TODAY()&lt;=7,"Due ≤7d","Within SLA"))))</f>
        <v/>
      </c>
      <c r="AB18" s="61"/>
      <c r="AC18" s="61"/>
      <c r="AD18" s="60"/>
      <c r="AE18" s="88" t="str">
        <f aca="false">IF(Y18&lt;&gt;"",ROW(),"")</f>
        <v/>
      </c>
      <c r="AF18" s="88" t="str">
        <f aca="false">IF(AND(AND(E18&lt;&gt;"",U18&lt;&gt;"Remediated",U18&lt;&gt;"False Positive",U18&lt;&gt;"Risk Accepted"),T18&lt;&gt;"",T18&lt;='Weekly Report'!$F$7),ROW(),"")</f>
        <v/>
      </c>
      <c r="AG18" s="88" t="str">
        <f aca="false">IF(AND(AND(E18&lt;&gt;"",U18&lt;&gt;"Remediated",U18&lt;&gt;"False Positive",U18&lt;&gt;"Risk Accepted"),LEFT(Q18,6)="Breach"),ROW(),"")</f>
        <v/>
      </c>
    </row>
    <row r="19" customFormat="false" ht="15" hidden="false" customHeight="false" outlineLevel="0" collapsed="false">
      <c r="A19" s="56" t="s">
        <v>2175</v>
      </c>
      <c r="B19" s="63"/>
      <c r="C19" s="61"/>
      <c r="D19" s="61"/>
      <c r="E19" s="60"/>
      <c r="F19" s="61"/>
      <c r="G19" s="61"/>
      <c r="H19" s="61"/>
      <c r="I19" s="61"/>
      <c r="J19" s="60"/>
      <c r="K19" s="61"/>
      <c r="L19" s="61"/>
      <c r="M19" s="61"/>
      <c r="N19" s="60"/>
      <c r="O19" s="60"/>
      <c r="P19" s="60"/>
      <c r="Q19" s="61"/>
      <c r="R19" s="61"/>
      <c r="S19" s="87" t="str">
        <f aca="false">IF(OR(B19="",L19=""),"",INDEX(Lists!$AD$4:$AD$8,MATCH(L19,Lists!$AC$4:$AC$8,0)))</f>
        <v/>
      </c>
      <c r="T19" s="95" t="str">
        <f aca="false">IF(OR(S19="",ISERROR(S19)),"",B19+S19)</f>
        <v/>
      </c>
      <c r="U19" s="61"/>
      <c r="V19" s="63"/>
      <c r="W19" s="63"/>
      <c r="X19" s="60"/>
      <c r="Y19" s="62" t="str">
        <f aca="false">IF(E19="","",IF(AND(B19&lt;&gt;"",B19&gt;='Weekly Report'!$F$4,B19&lt;='Weekly Report'!$F$5),"NEW",IF(AND(W19&lt;&gt;"",W19&gt;='Weekly Report'!$F$4,W19&lt;='Weekly Report'!$F$5),"CHANGED","")))</f>
        <v/>
      </c>
      <c r="Z19" s="87" t="str">
        <f aca="true">IF(B19="","",IF(V19&lt;&gt;"",V19-B19,TODAY()-B19))</f>
        <v/>
      </c>
      <c r="AA19" s="62" t="str">
        <f aca="true">IF(OR(B19="",T19="",U19="False Positive",U19="Risk Accepted"),"",IF(V19&lt;&gt;"",IF(V19&gt;T19,"Closed Late","Met"),IF(TODAY()&gt;T19,"SLA BREACH",IF(T19-TODAY()&lt;=7,"Due ≤7d","Within SLA"))))</f>
        <v/>
      </c>
      <c r="AB19" s="61"/>
      <c r="AC19" s="61"/>
      <c r="AD19" s="60"/>
      <c r="AE19" s="88" t="str">
        <f aca="false">IF(Y19&lt;&gt;"",ROW(),"")</f>
        <v/>
      </c>
      <c r="AF19" s="88" t="str">
        <f aca="false">IF(AND(AND(E19&lt;&gt;"",U19&lt;&gt;"Remediated",U19&lt;&gt;"False Positive",U19&lt;&gt;"Risk Accepted"),T19&lt;&gt;"",T19&lt;='Weekly Report'!$F$7),ROW(),"")</f>
        <v/>
      </c>
      <c r="AG19" s="88" t="str">
        <f aca="false">IF(AND(AND(E19&lt;&gt;"",U19&lt;&gt;"Remediated",U19&lt;&gt;"False Positive",U19&lt;&gt;"Risk Accepted"),LEFT(Q19,6)="Breach"),ROW(),"")</f>
        <v/>
      </c>
    </row>
    <row r="20" customFormat="false" ht="15" hidden="false" customHeight="false" outlineLevel="0" collapsed="false">
      <c r="A20" s="56" t="s">
        <v>2176</v>
      </c>
      <c r="B20" s="63"/>
      <c r="C20" s="61"/>
      <c r="D20" s="61"/>
      <c r="E20" s="60"/>
      <c r="F20" s="61"/>
      <c r="G20" s="61"/>
      <c r="H20" s="61"/>
      <c r="I20" s="61"/>
      <c r="J20" s="60"/>
      <c r="K20" s="61"/>
      <c r="L20" s="61"/>
      <c r="M20" s="61"/>
      <c r="N20" s="60"/>
      <c r="O20" s="60"/>
      <c r="P20" s="60"/>
      <c r="Q20" s="61"/>
      <c r="R20" s="61"/>
      <c r="S20" s="87" t="str">
        <f aca="false">IF(OR(B20="",L20=""),"",INDEX(Lists!$AD$4:$AD$8,MATCH(L20,Lists!$AC$4:$AC$8,0)))</f>
        <v/>
      </c>
      <c r="T20" s="95" t="str">
        <f aca="false">IF(OR(S20="",ISERROR(S20)),"",B20+S20)</f>
        <v/>
      </c>
      <c r="U20" s="61"/>
      <c r="V20" s="63"/>
      <c r="W20" s="63"/>
      <c r="X20" s="60"/>
      <c r="Y20" s="62" t="str">
        <f aca="false">IF(E20="","",IF(AND(B20&lt;&gt;"",B20&gt;='Weekly Report'!$F$4,B20&lt;='Weekly Report'!$F$5),"NEW",IF(AND(W20&lt;&gt;"",W20&gt;='Weekly Report'!$F$4,W20&lt;='Weekly Report'!$F$5),"CHANGED","")))</f>
        <v/>
      </c>
      <c r="Z20" s="87" t="str">
        <f aca="true">IF(B20="","",IF(V20&lt;&gt;"",V20-B20,TODAY()-B20))</f>
        <v/>
      </c>
      <c r="AA20" s="62" t="str">
        <f aca="true">IF(OR(B20="",T20="",U20="False Positive",U20="Risk Accepted"),"",IF(V20&lt;&gt;"",IF(V20&gt;T20,"Closed Late","Met"),IF(TODAY()&gt;T20,"SLA BREACH",IF(T20-TODAY()&lt;=7,"Due ≤7d","Within SLA"))))</f>
        <v/>
      </c>
      <c r="AB20" s="61"/>
      <c r="AC20" s="61"/>
      <c r="AD20" s="60"/>
      <c r="AE20" s="88" t="str">
        <f aca="false">IF(Y20&lt;&gt;"",ROW(),"")</f>
        <v/>
      </c>
      <c r="AF20" s="88" t="str">
        <f aca="false">IF(AND(AND(E20&lt;&gt;"",U20&lt;&gt;"Remediated",U20&lt;&gt;"False Positive",U20&lt;&gt;"Risk Accepted"),T20&lt;&gt;"",T20&lt;='Weekly Report'!$F$7),ROW(),"")</f>
        <v/>
      </c>
      <c r="AG20" s="88" t="str">
        <f aca="false">IF(AND(AND(E20&lt;&gt;"",U20&lt;&gt;"Remediated",U20&lt;&gt;"False Positive",U20&lt;&gt;"Risk Accepted"),LEFT(Q20,6)="Breach"),ROW(),"")</f>
        <v/>
      </c>
    </row>
    <row r="21" customFormat="false" ht="15" hidden="false" customHeight="false" outlineLevel="0" collapsed="false">
      <c r="A21" s="56" t="s">
        <v>2177</v>
      </c>
      <c r="B21" s="63"/>
      <c r="C21" s="61"/>
      <c r="D21" s="61"/>
      <c r="E21" s="60"/>
      <c r="F21" s="61"/>
      <c r="G21" s="61"/>
      <c r="H21" s="61"/>
      <c r="I21" s="61"/>
      <c r="J21" s="60"/>
      <c r="K21" s="61"/>
      <c r="L21" s="61"/>
      <c r="M21" s="61"/>
      <c r="N21" s="60"/>
      <c r="O21" s="60"/>
      <c r="P21" s="60"/>
      <c r="Q21" s="61"/>
      <c r="R21" s="61"/>
      <c r="S21" s="87" t="str">
        <f aca="false">IF(OR(B21="",L21=""),"",INDEX(Lists!$AD$4:$AD$8,MATCH(L21,Lists!$AC$4:$AC$8,0)))</f>
        <v/>
      </c>
      <c r="T21" s="95" t="str">
        <f aca="false">IF(OR(S21="",ISERROR(S21)),"",B21+S21)</f>
        <v/>
      </c>
      <c r="U21" s="61"/>
      <c r="V21" s="63"/>
      <c r="W21" s="63"/>
      <c r="X21" s="60"/>
      <c r="Y21" s="62" t="str">
        <f aca="false">IF(E21="","",IF(AND(B21&lt;&gt;"",B21&gt;='Weekly Report'!$F$4,B21&lt;='Weekly Report'!$F$5),"NEW",IF(AND(W21&lt;&gt;"",W21&gt;='Weekly Report'!$F$4,W21&lt;='Weekly Report'!$F$5),"CHANGED","")))</f>
        <v/>
      </c>
      <c r="Z21" s="87" t="str">
        <f aca="true">IF(B21="","",IF(V21&lt;&gt;"",V21-B21,TODAY()-B21))</f>
        <v/>
      </c>
      <c r="AA21" s="62" t="str">
        <f aca="true">IF(OR(B21="",T21="",U21="False Positive",U21="Risk Accepted"),"",IF(V21&lt;&gt;"",IF(V21&gt;T21,"Closed Late","Met"),IF(TODAY()&gt;T21,"SLA BREACH",IF(T21-TODAY()&lt;=7,"Due ≤7d","Within SLA"))))</f>
        <v/>
      </c>
      <c r="AB21" s="61"/>
      <c r="AC21" s="61"/>
      <c r="AD21" s="60"/>
      <c r="AE21" s="88" t="str">
        <f aca="false">IF(Y21&lt;&gt;"",ROW(),"")</f>
        <v/>
      </c>
      <c r="AF21" s="88" t="str">
        <f aca="false">IF(AND(AND(E21&lt;&gt;"",U21&lt;&gt;"Remediated",U21&lt;&gt;"False Positive",U21&lt;&gt;"Risk Accepted"),T21&lt;&gt;"",T21&lt;='Weekly Report'!$F$7),ROW(),"")</f>
        <v/>
      </c>
      <c r="AG21" s="88" t="str">
        <f aca="false">IF(AND(AND(E21&lt;&gt;"",U21&lt;&gt;"Remediated",U21&lt;&gt;"False Positive",U21&lt;&gt;"Risk Accepted"),LEFT(Q21,6)="Breach"),ROW(),"")</f>
        <v/>
      </c>
    </row>
    <row r="22" customFormat="false" ht="15" hidden="false" customHeight="false" outlineLevel="0" collapsed="false">
      <c r="A22" s="56" t="s">
        <v>2178</v>
      </c>
      <c r="B22" s="63"/>
      <c r="C22" s="61"/>
      <c r="D22" s="61"/>
      <c r="E22" s="60"/>
      <c r="F22" s="61"/>
      <c r="G22" s="61"/>
      <c r="H22" s="61"/>
      <c r="I22" s="61"/>
      <c r="J22" s="60"/>
      <c r="K22" s="61"/>
      <c r="L22" s="61"/>
      <c r="M22" s="61"/>
      <c r="N22" s="60"/>
      <c r="O22" s="60"/>
      <c r="P22" s="60"/>
      <c r="Q22" s="61"/>
      <c r="R22" s="61"/>
      <c r="S22" s="87" t="str">
        <f aca="false">IF(OR(B22="",L22=""),"",INDEX(Lists!$AD$4:$AD$8,MATCH(L22,Lists!$AC$4:$AC$8,0)))</f>
        <v/>
      </c>
      <c r="T22" s="95" t="str">
        <f aca="false">IF(OR(S22="",ISERROR(S22)),"",B22+S22)</f>
        <v/>
      </c>
      <c r="U22" s="61"/>
      <c r="V22" s="63"/>
      <c r="W22" s="63"/>
      <c r="X22" s="60"/>
      <c r="Y22" s="62" t="str">
        <f aca="false">IF(E22="","",IF(AND(B22&lt;&gt;"",B22&gt;='Weekly Report'!$F$4,B22&lt;='Weekly Report'!$F$5),"NEW",IF(AND(W22&lt;&gt;"",W22&gt;='Weekly Report'!$F$4,W22&lt;='Weekly Report'!$F$5),"CHANGED","")))</f>
        <v/>
      </c>
      <c r="Z22" s="87" t="str">
        <f aca="true">IF(B22="","",IF(V22&lt;&gt;"",V22-B22,TODAY()-B22))</f>
        <v/>
      </c>
      <c r="AA22" s="62" t="str">
        <f aca="true">IF(OR(B22="",T22="",U22="False Positive",U22="Risk Accepted"),"",IF(V22&lt;&gt;"",IF(V22&gt;T22,"Closed Late","Met"),IF(TODAY()&gt;T22,"SLA BREACH",IF(T22-TODAY()&lt;=7,"Due ≤7d","Within SLA"))))</f>
        <v/>
      </c>
      <c r="AB22" s="61"/>
      <c r="AC22" s="61"/>
      <c r="AD22" s="60"/>
      <c r="AE22" s="88" t="str">
        <f aca="false">IF(Y22&lt;&gt;"",ROW(),"")</f>
        <v/>
      </c>
      <c r="AF22" s="88" t="str">
        <f aca="false">IF(AND(AND(E22&lt;&gt;"",U22&lt;&gt;"Remediated",U22&lt;&gt;"False Positive",U22&lt;&gt;"Risk Accepted"),T22&lt;&gt;"",T22&lt;='Weekly Report'!$F$7),ROW(),"")</f>
        <v/>
      </c>
      <c r="AG22" s="88" t="str">
        <f aca="false">IF(AND(AND(E22&lt;&gt;"",U22&lt;&gt;"Remediated",U22&lt;&gt;"False Positive",U22&lt;&gt;"Risk Accepted"),LEFT(Q22,6)="Breach"),ROW(),"")</f>
        <v/>
      </c>
    </row>
    <row r="23" customFormat="false" ht="15" hidden="false" customHeight="false" outlineLevel="0" collapsed="false">
      <c r="A23" s="56" t="s">
        <v>2179</v>
      </c>
      <c r="B23" s="63"/>
      <c r="C23" s="61"/>
      <c r="D23" s="61"/>
      <c r="E23" s="60"/>
      <c r="F23" s="61"/>
      <c r="G23" s="61"/>
      <c r="H23" s="61"/>
      <c r="I23" s="61"/>
      <c r="J23" s="60"/>
      <c r="K23" s="61"/>
      <c r="L23" s="61"/>
      <c r="M23" s="61"/>
      <c r="N23" s="60"/>
      <c r="O23" s="60"/>
      <c r="P23" s="60"/>
      <c r="Q23" s="61"/>
      <c r="R23" s="61"/>
      <c r="S23" s="87" t="str">
        <f aca="false">IF(OR(B23="",L23=""),"",INDEX(Lists!$AD$4:$AD$8,MATCH(L23,Lists!$AC$4:$AC$8,0)))</f>
        <v/>
      </c>
      <c r="T23" s="95" t="str">
        <f aca="false">IF(OR(S23="",ISERROR(S23)),"",B23+S23)</f>
        <v/>
      </c>
      <c r="U23" s="61"/>
      <c r="V23" s="63"/>
      <c r="W23" s="63"/>
      <c r="X23" s="60"/>
      <c r="Y23" s="62" t="str">
        <f aca="false">IF(E23="","",IF(AND(B23&lt;&gt;"",B23&gt;='Weekly Report'!$F$4,B23&lt;='Weekly Report'!$F$5),"NEW",IF(AND(W23&lt;&gt;"",W23&gt;='Weekly Report'!$F$4,W23&lt;='Weekly Report'!$F$5),"CHANGED","")))</f>
        <v/>
      </c>
      <c r="Z23" s="87" t="str">
        <f aca="true">IF(B23="","",IF(V23&lt;&gt;"",V23-B23,TODAY()-B23))</f>
        <v/>
      </c>
      <c r="AA23" s="62" t="str">
        <f aca="true">IF(OR(B23="",T23="",U23="False Positive",U23="Risk Accepted"),"",IF(V23&lt;&gt;"",IF(V23&gt;T23,"Closed Late","Met"),IF(TODAY()&gt;T23,"SLA BREACH",IF(T23-TODAY()&lt;=7,"Due ≤7d","Within SLA"))))</f>
        <v/>
      </c>
      <c r="AB23" s="61"/>
      <c r="AC23" s="61"/>
      <c r="AD23" s="60"/>
      <c r="AE23" s="88" t="str">
        <f aca="false">IF(Y23&lt;&gt;"",ROW(),"")</f>
        <v/>
      </c>
      <c r="AF23" s="88" t="str">
        <f aca="false">IF(AND(AND(E23&lt;&gt;"",U23&lt;&gt;"Remediated",U23&lt;&gt;"False Positive",U23&lt;&gt;"Risk Accepted"),T23&lt;&gt;"",T23&lt;='Weekly Report'!$F$7),ROW(),"")</f>
        <v/>
      </c>
      <c r="AG23" s="88" t="str">
        <f aca="false">IF(AND(AND(E23&lt;&gt;"",U23&lt;&gt;"Remediated",U23&lt;&gt;"False Positive",U23&lt;&gt;"Risk Accepted"),LEFT(Q23,6)="Breach"),ROW(),"")</f>
        <v/>
      </c>
    </row>
    <row r="24" customFormat="false" ht="15" hidden="false" customHeight="false" outlineLevel="0" collapsed="false">
      <c r="A24" s="56" t="s">
        <v>2180</v>
      </c>
      <c r="B24" s="63"/>
      <c r="C24" s="61"/>
      <c r="D24" s="61"/>
      <c r="E24" s="60"/>
      <c r="F24" s="61"/>
      <c r="G24" s="61"/>
      <c r="H24" s="61"/>
      <c r="I24" s="61"/>
      <c r="J24" s="60"/>
      <c r="K24" s="61"/>
      <c r="L24" s="61"/>
      <c r="M24" s="61"/>
      <c r="N24" s="60"/>
      <c r="O24" s="60"/>
      <c r="P24" s="60"/>
      <c r="Q24" s="61"/>
      <c r="R24" s="61"/>
      <c r="S24" s="87" t="str">
        <f aca="false">IF(OR(B24="",L24=""),"",INDEX(Lists!$AD$4:$AD$8,MATCH(L24,Lists!$AC$4:$AC$8,0)))</f>
        <v/>
      </c>
      <c r="T24" s="95" t="str">
        <f aca="false">IF(OR(S24="",ISERROR(S24)),"",B24+S24)</f>
        <v/>
      </c>
      <c r="U24" s="61"/>
      <c r="V24" s="63"/>
      <c r="W24" s="63"/>
      <c r="X24" s="60"/>
      <c r="Y24" s="62" t="str">
        <f aca="false">IF(E24="","",IF(AND(B24&lt;&gt;"",B24&gt;='Weekly Report'!$F$4,B24&lt;='Weekly Report'!$F$5),"NEW",IF(AND(W24&lt;&gt;"",W24&gt;='Weekly Report'!$F$4,W24&lt;='Weekly Report'!$F$5),"CHANGED","")))</f>
        <v/>
      </c>
      <c r="Z24" s="87" t="str">
        <f aca="true">IF(B24="","",IF(V24&lt;&gt;"",V24-B24,TODAY()-B24))</f>
        <v/>
      </c>
      <c r="AA24" s="62" t="str">
        <f aca="true">IF(OR(B24="",T24="",U24="False Positive",U24="Risk Accepted"),"",IF(V24&lt;&gt;"",IF(V24&gt;T24,"Closed Late","Met"),IF(TODAY()&gt;T24,"SLA BREACH",IF(T24-TODAY()&lt;=7,"Due ≤7d","Within SLA"))))</f>
        <v/>
      </c>
      <c r="AB24" s="61"/>
      <c r="AC24" s="61"/>
      <c r="AD24" s="60"/>
      <c r="AE24" s="88" t="str">
        <f aca="false">IF(Y24&lt;&gt;"",ROW(),"")</f>
        <v/>
      </c>
      <c r="AF24" s="88" t="str">
        <f aca="false">IF(AND(AND(E24&lt;&gt;"",U24&lt;&gt;"Remediated",U24&lt;&gt;"False Positive",U24&lt;&gt;"Risk Accepted"),T24&lt;&gt;"",T24&lt;='Weekly Report'!$F$7),ROW(),"")</f>
        <v/>
      </c>
      <c r="AG24" s="88" t="str">
        <f aca="false">IF(AND(AND(E24&lt;&gt;"",U24&lt;&gt;"Remediated",U24&lt;&gt;"False Positive",U24&lt;&gt;"Risk Accepted"),LEFT(Q24,6)="Breach"),ROW(),"")</f>
        <v/>
      </c>
    </row>
    <row r="25" customFormat="false" ht="15" hidden="false" customHeight="false" outlineLevel="0" collapsed="false">
      <c r="A25" s="56" t="s">
        <v>2181</v>
      </c>
      <c r="B25" s="63"/>
      <c r="C25" s="61"/>
      <c r="D25" s="61"/>
      <c r="E25" s="60"/>
      <c r="F25" s="61"/>
      <c r="G25" s="61"/>
      <c r="H25" s="61"/>
      <c r="I25" s="61"/>
      <c r="J25" s="60"/>
      <c r="K25" s="61"/>
      <c r="L25" s="61"/>
      <c r="M25" s="61"/>
      <c r="N25" s="60"/>
      <c r="O25" s="60"/>
      <c r="P25" s="60"/>
      <c r="Q25" s="61"/>
      <c r="R25" s="61"/>
      <c r="S25" s="87" t="str">
        <f aca="false">IF(OR(B25="",L25=""),"",INDEX(Lists!$AD$4:$AD$8,MATCH(L25,Lists!$AC$4:$AC$8,0)))</f>
        <v/>
      </c>
      <c r="T25" s="95" t="str">
        <f aca="false">IF(OR(S25="",ISERROR(S25)),"",B25+S25)</f>
        <v/>
      </c>
      <c r="U25" s="61"/>
      <c r="V25" s="63"/>
      <c r="W25" s="63"/>
      <c r="X25" s="60"/>
      <c r="Y25" s="62" t="str">
        <f aca="false">IF(E25="","",IF(AND(B25&lt;&gt;"",B25&gt;='Weekly Report'!$F$4,B25&lt;='Weekly Report'!$F$5),"NEW",IF(AND(W25&lt;&gt;"",W25&gt;='Weekly Report'!$F$4,W25&lt;='Weekly Report'!$F$5),"CHANGED","")))</f>
        <v/>
      </c>
      <c r="Z25" s="87" t="str">
        <f aca="true">IF(B25="","",IF(V25&lt;&gt;"",V25-B25,TODAY()-B25))</f>
        <v/>
      </c>
      <c r="AA25" s="62" t="str">
        <f aca="true">IF(OR(B25="",T25="",U25="False Positive",U25="Risk Accepted"),"",IF(V25&lt;&gt;"",IF(V25&gt;T25,"Closed Late","Met"),IF(TODAY()&gt;T25,"SLA BREACH",IF(T25-TODAY()&lt;=7,"Due ≤7d","Within SLA"))))</f>
        <v/>
      </c>
      <c r="AB25" s="61"/>
      <c r="AC25" s="61"/>
      <c r="AD25" s="60"/>
      <c r="AE25" s="88" t="str">
        <f aca="false">IF(Y25&lt;&gt;"",ROW(),"")</f>
        <v/>
      </c>
      <c r="AF25" s="88" t="str">
        <f aca="false">IF(AND(AND(E25&lt;&gt;"",U25&lt;&gt;"Remediated",U25&lt;&gt;"False Positive",U25&lt;&gt;"Risk Accepted"),T25&lt;&gt;"",T25&lt;='Weekly Report'!$F$7),ROW(),"")</f>
        <v/>
      </c>
      <c r="AG25" s="88" t="str">
        <f aca="false">IF(AND(AND(E25&lt;&gt;"",U25&lt;&gt;"Remediated",U25&lt;&gt;"False Positive",U25&lt;&gt;"Risk Accepted"),LEFT(Q25,6)="Breach"),ROW(),"")</f>
        <v/>
      </c>
    </row>
    <row r="26" customFormat="false" ht="15" hidden="false" customHeight="false" outlineLevel="0" collapsed="false">
      <c r="A26" s="56" t="s">
        <v>2182</v>
      </c>
      <c r="B26" s="63"/>
      <c r="C26" s="61"/>
      <c r="D26" s="61"/>
      <c r="E26" s="60"/>
      <c r="F26" s="61"/>
      <c r="G26" s="61"/>
      <c r="H26" s="61"/>
      <c r="I26" s="61"/>
      <c r="J26" s="60"/>
      <c r="K26" s="61"/>
      <c r="L26" s="61"/>
      <c r="M26" s="61"/>
      <c r="N26" s="60"/>
      <c r="O26" s="60"/>
      <c r="P26" s="60"/>
      <c r="Q26" s="61"/>
      <c r="R26" s="61"/>
      <c r="S26" s="87" t="str">
        <f aca="false">IF(OR(B26="",L26=""),"",INDEX(Lists!$AD$4:$AD$8,MATCH(L26,Lists!$AC$4:$AC$8,0)))</f>
        <v/>
      </c>
      <c r="T26" s="95" t="str">
        <f aca="false">IF(OR(S26="",ISERROR(S26)),"",B26+S26)</f>
        <v/>
      </c>
      <c r="U26" s="61"/>
      <c r="V26" s="63"/>
      <c r="W26" s="63"/>
      <c r="X26" s="60"/>
      <c r="Y26" s="62" t="str">
        <f aca="false">IF(E26="","",IF(AND(B26&lt;&gt;"",B26&gt;='Weekly Report'!$F$4,B26&lt;='Weekly Report'!$F$5),"NEW",IF(AND(W26&lt;&gt;"",W26&gt;='Weekly Report'!$F$4,W26&lt;='Weekly Report'!$F$5),"CHANGED","")))</f>
        <v/>
      </c>
      <c r="Z26" s="87" t="str">
        <f aca="true">IF(B26="","",IF(V26&lt;&gt;"",V26-B26,TODAY()-B26))</f>
        <v/>
      </c>
      <c r="AA26" s="62" t="str">
        <f aca="true">IF(OR(B26="",T26="",U26="False Positive",U26="Risk Accepted"),"",IF(V26&lt;&gt;"",IF(V26&gt;T26,"Closed Late","Met"),IF(TODAY()&gt;T26,"SLA BREACH",IF(T26-TODAY()&lt;=7,"Due ≤7d","Within SLA"))))</f>
        <v/>
      </c>
      <c r="AB26" s="61"/>
      <c r="AC26" s="61"/>
      <c r="AD26" s="60"/>
      <c r="AE26" s="88" t="str">
        <f aca="false">IF(Y26&lt;&gt;"",ROW(),"")</f>
        <v/>
      </c>
      <c r="AF26" s="88" t="str">
        <f aca="false">IF(AND(AND(E26&lt;&gt;"",U26&lt;&gt;"Remediated",U26&lt;&gt;"False Positive",U26&lt;&gt;"Risk Accepted"),T26&lt;&gt;"",T26&lt;='Weekly Report'!$F$7),ROW(),"")</f>
        <v/>
      </c>
      <c r="AG26" s="88" t="str">
        <f aca="false">IF(AND(AND(E26&lt;&gt;"",U26&lt;&gt;"Remediated",U26&lt;&gt;"False Positive",U26&lt;&gt;"Risk Accepted"),LEFT(Q26,6)="Breach"),ROW(),"")</f>
        <v/>
      </c>
    </row>
    <row r="27" customFormat="false" ht="15" hidden="false" customHeight="false" outlineLevel="0" collapsed="false">
      <c r="A27" s="56" t="s">
        <v>2183</v>
      </c>
      <c r="B27" s="63"/>
      <c r="C27" s="61"/>
      <c r="D27" s="61"/>
      <c r="E27" s="60"/>
      <c r="F27" s="61"/>
      <c r="G27" s="61"/>
      <c r="H27" s="61"/>
      <c r="I27" s="61"/>
      <c r="J27" s="60"/>
      <c r="K27" s="61"/>
      <c r="L27" s="61"/>
      <c r="M27" s="61"/>
      <c r="N27" s="60"/>
      <c r="O27" s="60"/>
      <c r="P27" s="60"/>
      <c r="Q27" s="61"/>
      <c r="R27" s="61"/>
      <c r="S27" s="87" t="str">
        <f aca="false">IF(OR(B27="",L27=""),"",INDEX(Lists!$AD$4:$AD$8,MATCH(L27,Lists!$AC$4:$AC$8,0)))</f>
        <v/>
      </c>
      <c r="T27" s="95" t="str">
        <f aca="false">IF(OR(S27="",ISERROR(S27)),"",B27+S27)</f>
        <v/>
      </c>
      <c r="U27" s="61"/>
      <c r="V27" s="63"/>
      <c r="W27" s="63"/>
      <c r="X27" s="60"/>
      <c r="Y27" s="62" t="str">
        <f aca="false">IF(E27="","",IF(AND(B27&lt;&gt;"",B27&gt;='Weekly Report'!$F$4,B27&lt;='Weekly Report'!$F$5),"NEW",IF(AND(W27&lt;&gt;"",W27&gt;='Weekly Report'!$F$4,W27&lt;='Weekly Report'!$F$5),"CHANGED","")))</f>
        <v/>
      </c>
      <c r="Z27" s="87" t="str">
        <f aca="true">IF(B27="","",IF(V27&lt;&gt;"",V27-B27,TODAY()-B27))</f>
        <v/>
      </c>
      <c r="AA27" s="62" t="str">
        <f aca="true">IF(OR(B27="",T27="",U27="False Positive",U27="Risk Accepted"),"",IF(V27&lt;&gt;"",IF(V27&gt;T27,"Closed Late","Met"),IF(TODAY()&gt;T27,"SLA BREACH",IF(T27-TODAY()&lt;=7,"Due ≤7d","Within SLA"))))</f>
        <v/>
      </c>
      <c r="AB27" s="61"/>
      <c r="AC27" s="61"/>
      <c r="AD27" s="60"/>
      <c r="AE27" s="88" t="str">
        <f aca="false">IF(Y27&lt;&gt;"",ROW(),"")</f>
        <v/>
      </c>
      <c r="AF27" s="88" t="str">
        <f aca="false">IF(AND(AND(E27&lt;&gt;"",U27&lt;&gt;"Remediated",U27&lt;&gt;"False Positive",U27&lt;&gt;"Risk Accepted"),T27&lt;&gt;"",T27&lt;='Weekly Report'!$F$7),ROW(),"")</f>
        <v/>
      </c>
      <c r="AG27" s="88" t="str">
        <f aca="false">IF(AND(AND(E27&lt;&gt;"",U27&lt;&gt;"Remediated",U27&lt;&gt;"False Positive",U27&lt;&gt;"Risk Accepted"),LEFT(Q27,6)="Breach"),ROW(),"")</f>
        <v/>
      </c>
    </row>
    <row r="28" customFormat="false" ht="15" hidden="false" customHeight="false" outlineLevel="0" collapsed="false">
      <c r="A28" s="56" t="s">
        <v>2184</v>
      </c>
      <c r="B28" s="63"/>
      <c r="C28" s="61"/>
      <c r="D28" s="61"/>
      <c r="E28" s="60"/>
      <c r="F28" s="61"/>
      <c r="G28" s="61"/>
      <c r="H28" s="61"/>
      <c r="I28" s="61"/>
      <c r="J28" s="60"/>
      <c r="K28" s="61"/>
      <c r="L28" s="61"/>
      <c r="M28" s="61"/>
      <c r="N28" s="60"/>
      <c r="O28" s="60"/>
      <c r="P28" s="60"/>
      <c r="Q28" s="61"/>
      <c r="R28" s="61"/>
      <c r="S28" s="87" t="str">
        <f aca="false">IF(OR(B28="",L28=""),"",INDEX(Lists!$AD$4:$AD$8,MATCH(L28,Lists!$AC$4:$AC$8,0)))</f>
        <v/>
      </c>
      <c r="T28" s="95" t="str">
        <f aca="false">IF(OR(S28="",ISERROR(S28)),"",B28+S28)</f>
        <v/>
      </c>
      <c r="U28" s="61"/>
      <c r="V28" s="63"/>
      <c r="W28" s="63"/>
      <c r="X28" s="60"/>
      <c r="Y28" s="62" t="str">
        <f aca="false">IF(E28="","",IF(AND(B28&lt;&gt;"",B28&gt;='Weekly Report'!$F$4,B28&lt;='Weekly Report'!$F$5),"NEW",IF(AND(W28&lt;&gt;"",W28&gt;='Weekly Report'!$F$4,W28&lt;='Weekly Report'!$F$5),"CHANGED","")))</f>
        <v/>
      </c>
      <c r="Z28" s="87" t="str">
        <f aca="true">IF(B28="","",IF(V28&lt;&gt;"",V28-B28,TODAY()-B28))</f>
        <v/>
      </c>
      <c r="AA28" s="62" t="str">
        <f aca="true">IF(OR(B28="",T28="",U28="False Positive",U28="Risk Accepted"),"",IF(V28&lt;&gt;"",IF(V28&gt;T28,"Closed Late","Met"),IF(TODAY()&gt;T28,"SLA BREACH",IF(T28-TODAY()&lt;=7,"Due ≤7d","Within SLA"))))</f>
        <v/>
      </c>
      <c r="AB28" s="61"/>
      <c r="AC28" s="61"/>
      <c r="AD28" s="60"/>
      <c r="AE28" s="88" t="str">
        <f aca="false">IF(Y28&lt;&gt;"",ROW(),"")</f>
        <v/>
      </c>
      <c r="AF28" s="88" t="str">
        <f aca="false">IF(AND(AND(E28&lt;&gt;"",U28&lt;&gt;"Remediated",U28&lt;&gt;"False Positive",U28&lt;&gt;"Risk Accepted"),T28&lt;&gt;"",T28&lt;='Weekly Report'!$F$7),ROW(),"")</f>
        <v/>
      </c>
      <c r="AG28" s="88" t="str">
        <f aca="false">IF(AND(AND(E28&lt;&gt;"",U28&lt;&gt;"Remediated",U28&lt;&gt;"False Positive",U28&lt;&gt;"Risk Accepted"),LEFT(Q28,6)="Breach"),ROW(),"")</f>
        <v/>
      </c>
    </row>
    <row r="29" customFormat="false" ht="15" hidden="false" customHeight="false" outlineLevel="0" collapsed="false">
      <c r="A29" s="56" t="s">
        <v>2185</v>
      </c>
      <c r="B29" s="63"/>
      <c r="C29" s="61"/>
      <c r="D29" s="61"/>
      <c r="E29" s="60"/>
      <c r="F29" s="61"/>
      <c r="G29" s="61"/>
      <c r="H29" s="61"/>
      <c r="I29" s="61"/>
      <c r="J29" s="60"/>
      <c r="K29" s="61"/>
      <c r="L29" s="61"/>
      <c r="M29" s="61"/>
      <c r="N29" s="60"/>
      <c r="O29" s="60"/>
      <c r="P29" s="60"/>
      <c r="Q29" s="61"/>
      <c r="R29" s="61"/>
      <c r="S29" s="87" t="str">
        <f aca="false">IF(OR(B29="",L29=""),"",INDEX(Lists!$AD$4:$AD$8,MATCH(L29,Lists!$AC$4:$AC$8,0)))</f>
        <v/>
      </c>
      <c r="T29" s="95" t="str">
        <f aca="false">IF(OR(S29="",ISERROR(S29)),"",B29+S29)</f>
        <v/>
      </c>
      <c r="U29" s="61"/>
      <c r="V29" s="63"/>
      <c r="W29" s="63"/>
      <c r="X29" s="60"/>
      <c r="Y29" s="62" t="str">
        <f aca="false">IF(E29="","",IF(AND(B29&lt;&gt;"",B29&gt;='Weekly Report'!$F$4,B29&lt;='Weekly Report'!$F$5),"NEW",IF(AND(W29&lt;&gt;"",W29&gt;='Weekly Report'!$F$4,W29&lt;='Weekly Report'!$F$5),"CHANGED","")))</f>
        <v/>
      </c>
      <c r="Z29" s="87" t="str">
        <f aca="true">IF(B29="","",IF(V29&lt;&gt;"",V29-B29,TODAY()-B29))</f>
        <v/>
      </c>
      <c r="AA29" s="62" t="str">
        <f aca="true">IF(OR(B29="",T29="",U29="False Positive",U29="Risk Accepted"),"",IF(V29&lt;&gt;"",IF(V29&gt;T29,"Closed Late","Met"),IF(TODAY()&gt;T29,"SLA BREACH",IF(T29-TODAY()&lt;=7,"Due ≤7d","Within SLA"))))</f>
        <v/>
      </c>
      <c r="AB29" s="61"/>
      <c r="AC29" s="61"/>
      <c r="AD29" s="60"/>
      <c r="AE29" s="88" t="str">
        <f aca="false">IF(Y29&lt;&gt;"",ROW(),"")</f>
        <v/>
      </c>
      <c r="AF29" s="88" t="str">
        <f aca="false">IF(AND(AND(E29&lt;&gt;"",U29&lt;&gt;"Remediated",U29&lt;&gt;"False Positive",U29&lt;&gt;"Risk Accepted"),T29&lt;&gt;"",T29&lt;='Weekly Report'!$F$7),ROW(),"")</f>
        <v/>
      </c>
      <c r="AG29" s="88" t="str">
        <f aca="false">IF(AND(AND(E29&lt;&gt;"",U29&lt;&gt;"Remediated",U29&lt;&gt;"False Positive",U29&lt;&gt;"Risk Accepted"),LEFT(Q29,6)="Breach"),ROW(),"")</f>
        <v/>
      </c>
    </row>
    <row r="30" customFormat="false" ht="15" hidden="false" customHeight="false" outlineLevel="0" collapsed="false">
      <c r="A30" s="56" t="s">
        <v>2186</v>
      </c>
      <c r="B30" s="63"/>
      <c r="C30" s="61"/>
      <c r="D30" s="61"/>
      <c r="E30" s="60"/>
      <c r="F30" s="61"/>
      <c r="G30" s="61"/>
      <c r="H30" s="61"/>
      <c r="I30" s="61"/>
      <c r="J30" s="60"/>
      <c r="K30" s="61"/>
      <c r="L30" s="61"/>
      <c r="M30" s="61"/>
      <c r="N30" s="60"/>
      <c r="O30" s="60"/>
      <c r="P30" s="60"/>
      <c r="Q30" s="61"/>
      <c r="R30" s="61"/>
      <c r="S30" s="87" t="str">
        <f aca="false">IF(OR(B30="",L30=""),"",INDEX(Lists!$AD$4:$AD$8,MATCH(L30,Lists!$AC$4:$AC$8,0)))</f>
        <v/>
      </c>
      <c r="T30" s="95" t="str">
        <f aca="false">IF(OR(S30="",ISERROR(S30)),"",B30+S30)</f>
        <v/>
      </c>
      <c r="U30" s="61"/>
      <c r="V30" s="63"/>
      <c r="W30" s="63"/>
      <c r="X30" s="60"/>
      <c r="Y30" s="62" t="str">
        <f aca="false">IF(E30="","",IF(AND(B30&lt;&gt;"",B30&gt;='Weekly Report'!$F$4,B30&lt;='Weekly Report'!$F$5),"NEW",IF(AND(W30&lt;&gt;"",W30&gt;='Weekly Report'!$F$4,W30&lt;='Weekly Report'!$F$5),"CHANGED","")))</f>
        <v/>
      </c>
      <c r="Z30" s="87" t="str">
        <f aca="true">IF(B30="","",IF(V30&lt;&gt;"",V30-B30,TODAY()-B30))</f>
        <v/>
      </c>
      <c r="AA30" s="62" t="str">
        <f aca="true">IF(OR(B30="",T30="",U30="False Positive",U30="Risk Accepted"),"",IF(V30&lt;&gt;"",IF(V30&gt;T30,"Closed Late","Met"),IF(TODAY()&gt;T30,"SLA BREACH",IF(T30-TODAY()&lt;=7,"Due ≤7d","Within SLA"))))</f>
        <v/>
      </c>
      <c r="AB30" s="61"/>
      <c r="AC30" s="61"/>
      <c r="AD30" s="60"/>
      <c r="AE30" s="88" t="str">
        <f aca="false">IF(Y30&lt;&gt;"",ROW(),"")</f>
        <v/>
      </c>
      <c r="AF30" s="88" t="str">
        <f aca="false">IF(AND(AND(E30&lt;&gt;"",U30&lt;&gt;"Remediated",U30&lt;&gt;"False Positive",U30&lt;&gt;"Risk Accepted"),T30&lt;&gt;"",T30&lt;='Weekly Report'!$F$7),ROW(),"")</f>
        <v/>
      </c>
      <c r="AG30" s="88" t="str">
        <f aca="false">IF(AND(AND(E30&lt;&gt;"",U30&lt;&gt;"Remediated",U30&lt;&gt;"False Positive",U30&lt;&gt;"Risk Accepted"),LEFT(Q30,6)="Breach"),ROW(),"")</f>
        <v/>
      </c>
    </row>
    <row r="31" customFormat="false" ht="15" hidden="false" customHeight="false" outlineLevel="0" collapsed="false">
      <c r="A31" s="56" t="s">
        <v>2187</v>
      </c>
      <c r="B31" s="63"/>
      <c r="C31" s="61"/>
      <c r="D31" s="61"/>
      <c r="E31" s="60"/>
      <c r="F31" s="61"/>
      <c r="G31" s="61"/>
      <c r="H31" s="61"/>
      <c r="I31" s="61"/>
      <c r="J31" s="60"/>
      <c r="K31" s="61"/>
      <c r="L31" s="61"/>
      <c r="M31" s="61"/>
      <c r="N31" s="60"/>
      <c r="O31" s="60"/>
      <c r="P31" s="60"/>
      <c r="Q31" s="61"/>
      <c r="R31" s="61"/>
      <c r="S31" s="87" t="str">
        <f aca="false">IF(OR(B31="",L31=""),"",INDEX(Lists!$AD$4:$AD$8,MATCH(L31,Lists!$AC$4:$AC$8,0)))</f>
        <v/>
      </c>
      <c r="T31" s="95" t="str">
        <f aca="false">IF(OR(S31="",ISERROR(S31)),"",B31+S31)</f>
        <v/>
      </c>
      <c r="U31" s="61"/>
      <c r="V31" s="63"/>
      <c r="W31" s="63"/>
      <c r="X31" s="60"/>
      <c r="Y31" s="62" t="str">
        <f aca="false">IF(E31="","",IF(AND(B31&lt;&gt;"",B31&gt;='Weekly Report'!$F$4,B31&lt;='Weekly Report'!$F$5),"NEW",IF(AND(W31&lt;&gt;"",W31&gt;='Weekly Report'!$F$4,W31&lt;='Weekly Report'!$F$5),"CHANGED","")))</f>
        <v/>
      </c>
      <c r="Z31" s="87" t="str">
        <f aca="true">IF(B31="","",IF(V31&lt;&gt;"",V31-B31,TODAY()-B31))</f>
        <v/>
      </c>
      <c r="AA31" s="62" t="str">
        <f aca="true">IF(OR(B31="",T31="",U31="False Positive",U31="Risk Accepted"),"",IF(V31&lt;&gt;"",IF(V31&gt;T31,"Closed Late","Met"),IF(TODAY()&gt;T31,"SLA BREACH",IF(T31-TODAY()&lt;=7,"Due ≤7d","Within SLA"))))</f>
        <v/>
      </c>
      <c r="AB31" s="61"/>
      <c r="AC31" s="61"/>
      <c r="AD31" s="60"/>
      <c r="AE31" s="88" t="str">
        <f aca="false">IF(Y31&lt;&gt;"",ROW(),"")</f>
        <v/>
      </c>
      <c r="AF31" s="88" t="str">
        <f aca="false">IF(AND(AND(E31&lt;&gt;"",U31&lt;&gt;"Remediated",U31&lt;&gt;"False Positive",U31&lt;&gt;"Risk Accepted"),T31&lt;&gt;"",T31&lt;='Weekly Report'!$F$7),ROW(),"")</f>
        <v/>
      </c>
      <c r="AG31" s="88" t="str">
        <f aca="false">IF(AND(AND(E31&lt;&gt;"",U31&lt;&gt;"Remediated",U31&lt;&gt;"False Positive",U31&lt;&gt;"Risk Accepted"),LEFT(Q31,6)="Breach"),ROW(),"")</f>
        <v/>
      </c>
    </row>
    <row r="32" customFormat="false" ht="15" hidden="false" customHeight="false" outlineLevel="0" collapsed="false">
      <c r="A32" s="56" t="s">
        <v>2188</v>
      </c>
      <c r="B32" s="63"/>
      <c r="C32" s="61"/>
      <c r="D32" s="61"/>
      <c r="E32" s="60"/>
      <c r="F32" s="61"/>
      <c r="G32" s="61"/>
      <c r="H32" s="61"/>
      <c r="I32" s="61"/>
      <c r="J32" s="60"/>
      <c r="K32" s="61"/>
      <c r="L32" s="61"/>
      <c r="M32" s="61"/>
      <c r="N32" s="60"/>
      <c r="O32" s="60"/>
      <c r="P32" s="60"/>
      <c r="Q32" s="61"/>
      <c r="R32" s="61"/>
      <c r="S32" s="87" t="str">
        <f aca="false">IF(OR(B32="",L32=""),"",INDEX(Lists!$AD$4:$AD$8,MATCH(L32,Lists!$AC$4:$AC$8,0)))</f>
        <v/>
      </c>
      <c r="T32" s="95" t="str">
        <f aca="false">IF(OR(S32="",ISERROR(S32)),"",B32+S32)</f>
        <v/>
      </c>
      <c r="U32" s="61"/>
      <c r="V32" s="63"/>
      <c r="W32" s="63"/>
      <c r="X32" s="60"/>
      <c r="Y32" s="62" t="str">
        <f aca="false">IF(E32="","",IF(AND(B32&lt;&gt;"",B32&gt;='Weekly Report'!$F$4,B32&lt;='Weekly Report'!$F$5),"NEW",IF(AND(W32&lt;&gt;"",W32&gt;='Weekly Report'!$F$4,W32&lt;='Weekly Report'!$F$5),"CHANGED","")))</f>
        <v/>
      </c>
      <c r="Z32" s="87" t="str">
        <f aca="true">IF(B32="","",IF(V32&lt;&gt;"",V32-B32,TODAY()-B32))</f>
        <v/>
      </c>
      <c r="AA32" s="62" t="str">
        <f aca="true">IF(OR(B32="",T32="",U32="False Positive",U32="Risk Accepted"),"",IF(V32&lt;&gt;"",IF(V32&gt;T32,"Closed Late","Met"),IF(TODAY()&gt;T32,"SLA BREACH",IF(T32-TODAY()&lt;=7,"Due ≤7d","Within SLA"))))</f>
        <v/>
      </c>
      <c r="AB32" s="61"/>
      <c r="AC32" s="61"/>
      <c r="AD32" s="60"/>
      <c r="AE32" s="88" t="str">
        <f aca="false">IF(Y32&lt;&gt;"",ROW(),"")</f>
        <v/>
      </c>
      <c r="AF32" s="88" t="str">
        <f aca="false">IF(AND(AND(E32&lt;&gt;"",U32&lt;&gt;"Remediated",U32&lt;&gt;"False Positive",U32&lt;&gt;"Risk Accepted"),T32&lt;&gt;"",T32&lt;='Weekly Report'!$F$7),ROW(),"")</f>
        <v/>
      </c>
      <c r="AG32" s="88" t="str">
        <f aca="false">IF(AND(AND(E32&lt;&gt;"",U32&lt;&gt;"Remediated",U32&lt;&gt;"False Positive",U32&lt;&gt;"Risk Accepted"),LEFT(Q32,6)="Breach"),ROW(),"")</f>
        <v/>
      </c>
    </row>
    <row r="33" customFormat="false" ht="15" hidden="false" customHeight="false" outlineLevel="0" collapsed="false">
      <c r="A33" s="56" t="s">
        <v>2189</v>
      </c>
      <c r="B33" s="63"/>
      <c r="C33" s="61"/>
      <c r="D33" s="61"/>
      <c r="E33" s="60"/>
      <c r="F33" s="61"/>
      <c r="G33" s="61"/>
      <c r="H33" s="61"/>
      <c r="I33" s="61"/>
      <c r="J33" s="60"/>
      <c r="K33" s="61"/>
      <c r="L33" s="61"/>
      <c r="M33" s="61"/>
      <c r="N33" s="60"/>
      <c r="O33" s="60"/>
      <c r="P33" s="60"/>
      <c r="Q33" s="61"/>
      <c r="R33" s="61"/>
      <c r="S33" s="87" t="str">
        <f aca="false">IF(OR(B33="",L33=""),"",INDEX(Lists!$AD$4:$AD$8,MATCH(L33,Lists!$AC$4:$AC$8,0)))</f>
        <v/>
      </c>
      <c r="T33" s="95" t="str">
        <f aca="false">IF(OR(S33="",ISERROR(S33)),"",B33+S33)</f>
        <v/>
      </c>
      <c r="U33" s="61"/>
      <c r="V33" s="63"/>
      <c r="W33" s="63"/>
      <c r="X33" s="60"/>
      <c r="Y33" s="62" t="str">
        <f aca="false">IF(E33="","",IF(AND(B33&lt;&gt;"",B33&gt;='Weekly Report'!$F$4,B33&lt;='Weekly Report'!$F$5),"NEW",IF(AND(W33&lt;&gt;"",W33&gt;='Weekly Report'!$F$4,W33&lt;='Weekly Report'!$F$5),"CHANGED","")))</f>
        <v/>
      </c>
      <c r="Z33" s="87" t="str">
        <f aca="true">IF(B33="","",IF(V33&lt;&gt;"",V33-B33,TODAY()-B33))</f>
        <v/>
      </c>
      <c r="AA33" s="62" t="str">
        <f aca="true">IF(OR(B33="",T33="",U33="False Positive",U33="Risk Accepted"),"",IF(V33&lt;&gt;"",IF(V33&gt;T33,"Closed Late","Met"),IF(TODAY()&gt;T33,"SLA BREACH",IF(T33-TODAY()&lt;=7,"Due ≤7d","Within SLA"))))</f>
        <v/>
      </c>
      <c r="AB33" s="61"/>
      <c r="AC33" s="61"/>
      <c r="AD33" s="60"/>
      <c r="AE33" s="88" t="str">
        <f aca="false">IF(Y33&lt;&gt;"",ROW(),"")</f>
        <v/>
      </c>
      <c r="AF33" s="88" t="str">
        <f aca="false">IF(AND(AND(E33&lt;&gt;"",U33&lt;&gt;"Remediated",U33&lt;&gt;"False Positive",U33&lt;&gt;"Risk Accepted"),T33&lt;&gt;"",T33&lt;='Weekly Report'!$F$7),ROW(),"")</f>
        <v/>
      </c>
      <c r="AG33" s="88" t="str">
        <f aca="false">IF(AND(AND(E33&lt;&gt;"",U33&lt;&gt;"Remediated",U33&lt;&gt;"False Positive",U33&lt;&gt;"Risk Accepted"),LEFT(Q33,6)="Breach"),ROW(),"")</f>
        <v/>
      </c>
    </row>
    <row r="34" customFormat="false" ht="15" hidden="false" customHeight="false" outlineLevel="0" collapsed="false">
      <c r="A34" s="56" t="s">
        <v>2190</v>
      </c>
      <c r="B34" s="63"/>
      <c r="C34" s="61"/>
      <c r="D34" s="61"/>
      <c r="E34" s="60"/>
      <c r="F34" s="61"/>
      <c r="G34" s="61"/>
      <c r="H34" s="61"/>
      <c r="I34" s="61"/>
      <c r="J34" s="60"/>
      <c r="K34" s="61"/>
      <c r="L34" s="61"/>
      <c r="M34" s="61"/>
      <c r="N34" s="60"/>
      <c r="O34" s="60"/>
      <c r="P34" s="60"/>
      <c r="Q34" s="61"/>
      <c r="R34" s="61"/>
      <c r="S34" s="87" t="str">
        <f aca="false">IF(OR(B34="",L34=""),"",INDEX(Lists!$AD$4:$AD$8,MATCH(L34,Lists!$AC$4:$AC$8,0)))</f>
        <v/>
      </c>
      <c r="T34" s="95" t="str">
        <f aca="false">IF(OR(S34="",ISERROR(S34)),"",B34+S34)</f>
        <v/>
      </c>
      <c r="U34" s="61"/>
      <c r="V34" s="63"/>
      <c r="W34" s="63"/>
      <c r="X34" s="60"/>
      <c r="Y34" s="62" t="str">
        <f aca="false">IF(E34="","",IF(AND(B34&lt;&gt;"",B34&gt;='Weekly Report'!$F$4,B34&lt;='Weekly Report'!$F$5),"NEW",IF(AND(W34&lt;&gt;"",W34&gt;='Weekly Report'!$F$4,W34&lt;='Weekly Report'!$F$5),"CHANGED","")))</f>
        <v/>
      </c>
      <c r="Z34" s="87" t="str">
        <f aca="true">IF(B34="","",IF(V34&lt;&gt;"",V34-B34,TODAY()-B34))</f>
        <v/>
      </c>
      <c r="AA34" s="62" t="str">
        <f aca="true">IF(OR(B34="",T34="",U34="False Positive",U34="Risk Accepted"),"",IF(V34&lt;&gt;"",IF(V34&gt;T34,"Closed Late","Met"),IF(TODAY()&gt;T34,"SLA BREACH",IF(T34-TODAY()&lt;=7,"Due ≤7d","Within SLA"))))</f>
        <v/>
      </c>
      <c r="AB34" s="61"/>
      <c r="AC34" s="61"/>
      <c r="AD34" s="60"/>
      <c r="AE34" s="88" t="str">
        <f aca="false">IF(Y34&lt;&gt;"",ROW(),"")</f>
        <v/>
      </c>
      <c r="AF34" s="88" t="str">
        <f aca="false">IF(AND(AND(E34&lt;&gt;"",U34&lt;&gt;"Remediated",U34&lt;&gt;"False Positive",U34&lt;&gt;"Risk Accepted"),T34&lt;&gt;"",T34&lt;='Weekly Report'!$F$7),ROW(),"")</f>
        <v/>
      </c>
      <c r="AG34" s="88" t="str">
        <f aca="false">IF(AND(AND(E34&lt;&gt;"",U34&lt;&gt;"Remediated",U34&lt;&gt;"False Positive",U34&lt;&gt;"Risk Accepted"),LEFT(Q34,6)="Breach"),ROW(),"")</f>
        <v/>
      </c>
    </row>
    <row r="35" customFormat="false" ht="15" hidden="false" customHeight="false" outlineLevel="0" collapsed="false">
      <c r="A35" s="56" t="s">
        <v>2191</v>
      </c>
      <c r="B35" s="63"/>
      <c r="C35" s="61"/>
      <c r="D35" s="61"/>
      <c r="E35" s="60"/>
      <c r="F35" s="61"/>
      <c r="G35" s="61"/>
      <c r="H35" s="61"/>
      <c r="I35" s="61"/>
      <c r="J35" s="60"/>
      <c r="K35" s="61"/>
      <c r="L35" s="61"/>
      <c r="M35" s="61"/>
      <c r="N35" s="60"/>
      <c r="O35" s="60"/>
      <c r="P35" s="60"/>
      <c r="Q35" s="61"/>
      <c r="R35" s="61"/>
      <c r="S35" s="87" t="str">
        <f aca="false">IF(OR(B35="",L35=""),"",INDEX(Lists!$AD$4:$AD$8,MATCH(L35,Lists!$AC$4:$AC$8,0)))</f>
        <v/>
      </c>
      <c r="T35" s="95" t="str">
        <f aca="false">IF(OR(S35="",ISERROR(S35)),"",B35+S35)</f>
        <v/>
      </c>
      <c r="U35" s="61"/>
      <c r="V35" s="63"/>
      <c r="W35" s="63"/>
      <c r="X35" s="60"/>
      <c r="Y35" s="62" t="str">
        <f aca="false">IF(E35="","",IF(AND(B35&lt;&gt;"",B35&gt;='Weekly Report'!$F$4,B35&lt;='Weekly Report'!$F$5),"NEW",IF(AND(W35&lt;&gt;"",W35&gt;='Weekly Report'!$F$4,W35&lt;='Weekly Report'!$F$5),"CHANGED","")))</f>
        <v/>
      </c>
      <c r="Z35" s="87" t="str">
        <f aca="true">IF(B35="","",IF(V35&lt;&gt;"",V35-B35,TODAY()-B35))</f>
        <v/>
      </c>
      <c r="AA35" s="62" t="str">
        <f aca="true">IF(OR(B35="",T35="",U35="False Positive",U35="Risk Accepted"),"",IF(V35&lt;&gt;"",IF(V35&gt;T35,"Closed Late","Met"),IF(TODAY()&gt;T35,"SLA BREACH",IF(T35-TODAY()&lt;=7,"Due ≤7d","Within SLA"))))</f>
        <v/>
      </c>
      <c r="AB35" s="61"/>
      <c r="AC35" s="61"/>
      <c r="AD35" s="60"/>
      <c r="AE35" s="88" t="str">
        <f aca="false">IF(Y35&lt;&gt;"",ROW(),"")</f>
        <v/>
      </c>
      <c r="AF35" s="88" t="str">
        <f aca="false">IF(AND(AND(E35&lt;&gt;"",U35&lt;&gt;"Remediated",U35&lt;&gt;"False Positive",U35&lt;&gt;"Risk Accepted"),T35&lt;&gt;"",T35&lt;='Weekly Report'!$F$7),ROW(),"")</f>
        <v/>
      </c>
      <c r="AG35" s="88" t="str">
        <f aca="false">IF(AND(AND(E35&lt;&gt;"",U35&lt;&gt;"Remediated",U35&lt;&gt;"False Positive",U35&lt;&gt;"Risk Accepted"),LEFT(Q35,6)="Breach"),ROW(),"")</f>
        <v/>
      </c>
    </row>
    <row r="36" customFormat="false" ht="15" hidden="false" customHeight="false" outlineLevel="0" collapsed="false">
      <c r="A36" s="56" t="s">
        <v>2192</v>
      </c>
      <c r="B36" s="63"/>
      <c r="C36" s="61"/>
      <c r="D36" s="61"/>
      <c r="E36" s="60"/>
      <c r="F36" s="61"/>
      <c r="G36" s="61"/>
      <c r="H36" s="61"/>
      <c r="I36" s="61"/>
      <c r="J36" s="60"/>
      <c r="K36" s="61"/>
      <c r="L36" s="61"/>
      <c r="M36" s="61"/>
      <c r="N36" s="60"/>
      <c r="O36" s="60"/>
      <c r="P36" s="60"/>
      <c r="Q36" s="61"/>
      <c r="R36" s="61"/>
      <c r="S36" s="87" t="str">
        <f aca="false">IF(OR(B36="",L36=""),"",INDEX(Lists!$AD$4:$AD$8,MATCH(L36,Lists!$AC$4:$AC$8,0)))</f>
        <v/>
      </c>
      <c r="T36" s="95" t="str">
        <f aca="false">IF(OR(S36="",ISERROR(S36)),"",B36+S36)</f>
        <v/>
      </c>
      <c r="U36" s="61"/>
      <c r="V36" s="63"/>
      <c r="W36" s="63"/>
      <c r="X36" s="60"/>
      <c r="Y36" s="62" t="str">
        <f aca="false">IF(E36="","",IF(AND(B36&lt;&gt;"",B36&gt;='Weekly Report'!$F$4,B36&lt;='Weekly Report'!$F$5),"NEW",IF(AND(W36&lt;&gt;"",W36&gt;='Weekly Report'!$F$4,W36&lt;='Weekly Report'!$F$5),"CHANGED","")))</f>
        <v/>
      </c>
      <c r="Z36" s="87" t="str">
        <f aca="true">IF(B36="","",IF(V36&lt;&gt;"",V36-B36,TODAY()-B36))</f>
        <v/>
      </c>
      <c r="AA36" s="62" t="str">
        <f aca="true">IF(OR(B36="",T36="",U36="False Positive",U36="Risk Accepted"),"",IF(V36&lt;&gt;"",IF(V36&gt;T36,"Closed Late","Met"),IF(TODAY()&gt;T36,"SLA BREACH",IF(T36-TODAY()&lt;=7,"Due ≤7d","Within SLA"))))</f>
        <v/>
      </c>
      <c r="AB36" s="61"/>
      <c r="AC36" s="61"/>
      <c r="AD36" s="60"/>
      <c r="AE36" s="88" t="str">
        <f aca="false">IF(Y36&lt;&gt;"",ROW(),"")</f>
        <v/>
      </c>
      <c r="AF36" s="88" t="str">
        <f aca="false">IF(AND(AND(E36&lt;&gt;"",U36&lt;&gt;"Remediated",U36&lt;&gt;"False Positive",U36&lt;&gt;"Risk Accepted"),T36&lt;&gt;"",T36&lt;='Weekly Report'!$F$7),ROW(),"")</f>
        <v/>
      </c>
      <c r="AG36" s="88" t="str">
        <f aca="false">IF(AND(AND(E36&lt;&gt;"",U36&lt;&gt;"Remediated",U36&lt;&gt;"False Positive",U36&lt;&gt;"Risk Accepted"),LEFT(Q36,6)="Breach"),ROW(),"")</f>
        <v/>
      </c>
    </row>
    <row r="37" customFormat="false" ht="15" hidden="false" customHeight="false" outlineLevel="0" collapsed="false">
      <c r="A37" s="56" t="s">
        <v>2193</v>
      </c>
      <c r="B37" s="63"/>
      <c r="C37" s="61"/>
      <c r="D37" s="61"/>
      <c r="E37" s="60"/>
      <c r="F37" s="61"/>
      <c r="G37" s="61"/>
      <c r="H37" s="61"/>
      <c r="I37" s="61"/>
      <c r="J37" s="60"/>
      <c r="K37" s="61"/>
      <c r="L37" s="61"/>
      <c r="M37" s="61"/>
      <c r="N37" s="60"/>
      <c r="O37" s="60"/>
      <c r="P37" s="60"/>
      <c r="Q37" s="61"/>
      <c r="R37" s="61"/>
      <c r="S37" s="87" t="str">
        <f aca="false">IF(OR(B37="",L37=""),"",INDEX(Lists!$AD$4:$AD$8,MATCH(L37,Lists!$AC$4:$AC$8,0)))</f>
        <v/>
      </c>
      <c r="T37" s="95" t="str">
        <f aca="false">IF(OR(S37="",ISERROR(S37)),"",B37+S37)</f>
        <v/>
      </c>
      <c r="U37" s="61"/>
      <c r="V37" s="63"/>
      <c r="W37" s="63"/>
      <c r="X37" s="60"/>
      <c r="Y37" s="62" t="str">
        <f aca="false">IF(E37="","",IF(AND(B37&lt;&gt;"",B37&gt;='Weekly Report'!$F$4,B37&lt;='Weekly Report'!$F$5),"NEW",IF(AND(W37&lt;&gt;"",W37&gt;='Weekly Report'!$F$4,W37&lt;='Weekly Report'!$F$5),"CHANGED","")))</f>
        <v/>
      </c>
      <c r="Z37" s="87" t="str">
        <f aca="true">IF(B37="","",IF(V37&lt;&gt;"",V37-B37,TODAY()-B37))</f>
        <v/>
      </c>
      <c r="AA37" s="62" t="str">
        <f aca="true">IF(OR(B37="",T37="",U37="False Positive",U37="Risk Accepted"),"",IF(V37&lt;&gt;"",IF(V37&gt;T37,"Closed Late","Met"),IF(TODAY()&gt;T37,"SLA BREACH",IF(T37-TODAY()&lt;=7,"Due ≤7d","Within SLA"))))</f>
        <v/>
      </c>
      <c r="AB37" s="61"/>
      <c r="AC37" s="61"/>
      <c r="AD37" s="60"/>
      <c r="AE37" s="88" t="str">
        <f aca="false">IF(Y37&lt;&gt;"",ROW(),"")</f>
        <v/>
      </c>
      <c r="AF37" s="88" t="str">
        <f aca="false">IF(AND(AND(E37&lt;&gt;"",U37&lt;&gt;"Remediated",U37&lt;&gt;"False Positive",U37&lt;&gt;"Risk Accepted"),T37&lt;&gt;"",T37&lt;='Weekly Report'!$F$7),ROW(),"")</f>
        <v/>
      </c>
      <c r="AG37" s="88" t="str">
        <f aca="false">IF(AND(AND(E37&lt;&gt;"",U37&lt;&gt;"Remediated",U37&lt;&gt;"False Positive",U37&lt;&gt;"Risk Accepted"),LEFT(Q37,6)="Breach"),ROW(),"")</f>
        <v/>
      </c>
    </row>
    <row r="38" customFormat="false" ht="15" hidden="false" customHeight="false" outlineLevel="0" collapsed="false">
      <c r="A38" s="56" t="s">
        <v>2194</v>
      </c>
      <c r="B38" s="63"/>
      <c r="C38" s="61"/>
      <c r="D38" s="61"/>
      <c r="E38" s="60"/>
      <c r="F38" s="61"/>
      <c r="G38" s="61"/>
      <c r="H38" s="61"/>
      <c r="I38" s="61"/>
      <c r="J38" s="60"/>
      <c r="K38" s="61"/>
      <c r="L38" s="61"/>
      <c r="M38" s="61"/>
      <c r="N38" s="60"/>
      <c r="O38" s="60"/>
      <c r="P38" s="60"/>
      <c r="Q38" s="61"/>
      <c r="R38" s="61"/>
      <c r="S38" s="87" t="str">
        <f aca="false">IF(OR(B38="",L38=""),"",INDEX(Lists!$AD$4:$AD$8,MATCH(L38,Lists!$AC$4:$AC$8,0)))</f>
        <v/>
      </c>
      <c r="T38" s="95" t="str">
        <f aca="false">IF(OR(S38="",ISERROR(S38)),"",B38+S38)</f>
        <v/>
      </c>
      <c r="U38" s="61"/>
      <c r="V38" s="63"/>
      <c r="W38" s="63"/>
      <c r="X38" s="60"/>
      <c r="Y38" s="62" t="str">
        <f aca="false">IF(E38="","",IF(AND(B38&lt;&gt;"",B38&gt;='Weekly Report'!$F$4,B38&lt;='Weekly Report'!$F$5),"NEW",IF(AND(W38&lt;&gt;"",W38&gt;='Weekly Report'!$F$4,W38&lt;='Weekly Report'!$F$5),"CHANGED","")))</f>
        <v/>
      </c>
      <c r="Z38" s="87" t="str">
        <f aca="true">IF(B38="","",IF(V38&lt;&gt;"",V38-B38,TODAY()-B38))</f>
        <v/>
      </c>
      <c r="AA38" s="62" t="str">
        <f aca="true">IF(OR(B38="",T38="",U38="False Positive",U38="Risk Accepted"),"",IF(V38&lt;&gt;"",IF(V38&gt;T38,"Closed Late","Met"),IF(TODAY()&gt;T38,"SLA BREACH",IF(T38-TODAY()&lt;=7,"Due ≤7d","Within SLA"))))</f>
        <v/>
      </c>
      <c r="AB38" s="61"/>
      <c r="AC38" s="61"/>
      <c r="AD38" s="60"/>
      <c r="AE38" s="88" t="str">
        <f aca="false">IF(Y38&lt;&gt;"",ROW(),"")</f>
        <v/>
      </c>
      <c r="AF38" s="88" t="str">
        <f aca="false">IF(AND(AND(E38&lt;&gt;"",U38&lt;&gt;"Remediated",U38&lt;&gt;"False Positive",U38&lt;&gt;"Risk Accepted"),T38&lt;&gt;"",T38&lt;='Weekly Report'!$F$7),ROW(),"")</f>
        <v/>
      </c>
      <c r="AG38" s="88" t="str">
        <f aca="false">IF(AND(AND(E38&lt;&gt;"",U38&lt;&gt;"Remediated",U38&lt;&gt;"False Positive",U38&lt;&gt;"Risk Accepted"),LEFT(Q38,6)="Breach"),ROW(),"")</f>
        <v/>
      </c>
    </row>
    <row r="39" customFormat="false" ht="15" hidden="false" customHeight="false" outlineLevel="0" collapsed="false">
      <c r="A39" s="56" t="s">
        <v>2195</v>
      </c>
      <c r="B39" s="63"/>
      <c r="C39" s="61"/>
      <c r="D39" s="61"/>
      <c r="E39" s="60"/>
      <c r="F39" s="61"/>
      <c r="G39" s="61"/>
      <c r="H39" s="61"/>
      <c r="I39" s="61"/>
      <c r="J39" s="60"/>
      <c r="K39" s="61"/>
      <c r="L39" s="61"/>
      <c r="M39" s="61"/>
      <c r="N39" s="60"/>
      <c r="O39" s="60"/>
      <c r="P39" s="60"/>
      <c r="Q39" s="61"/>
      <c r="R39" s="61"/>
      <c r="S39" s="87" t="str">
        <f aca="false">IF(OR(B39="",L39=""),"",INDEX(Lists!$AD$4:$AD$8,MATCH(L39,Lists!$AC$4:$AC$8,0)))</f>
        <v/>
      </c>
      <c r="T39" s="95" t="str">
        <f aca="false">IF(OR(S39="",ISERROR(S39)),"",B39+S39)</f>
        <v/>
      </c>
      <c r="U39" s="61"/>
      <c r="V39" s="63"/>
      <c r="W39" s="63"/>
      <c r="X39" s="60"/>
      <c r="Y39" s="62" t="str">
        <f aca="false">IF(E39="","",IF(AND(B39&lt;&gt;"",B39&gt;='Weekly Report'!$F$4,B39&lt;='Weekly Report'!$F$5),"NEW",IF(AND(W39&lt;&gt;"",W39&gt;='Weekly Report'!$F$4,W39&lt;='Weekly Report'!$F$5),"CHANGED","")))</f>
        <v/>
      </c>
      <c r="Z39" s="87" t="str">
        <f aca="true">IF(B39="","",IF(V39&lt;&gt;"",V39-B39,TODAY()-B39))</f>
        <v/>
      </c>
      <c r="AA39" s="62" t="str">
        <f aca="true">IF(OR(B39="",T39="",U39="False Positive",U39="Risk Accepted"),"",IF(V39&lt;&gt;"",IF(V39&gt;T39,"Closed Late","Met"),IF(TODAY()&gt;T39,"SLA BREACH",IF(T39-TODAY()&lt;=7,"Due ≤7d","Within SLA"))))</f>
        <v/>
      </c>
      <c r="AB39" s="61"/>
      <c r="AC39" s="61"/>
      <c r="AD39" s="60"/>
      <c r="AE39" s="88" t="str">
        <f aca="false">IF(Y39&lt;&gt;"",ROW(),"")</f>
        <v/>
      </c>
      <c r="AF39" s="88" t="str">
        <f aca="false">IF(AND(AND(E39&lt;&gt;"",U39&lt;&gt;"Remediated",U39&lt;&gt;"False Positive",U39&lt;&gt;"Risk Accepted"),T39&lt;&gt;"",T39&lt;='Weekly Report'!$F$7),ROW(),"")</f>
        <v/>
      </c>
      <c r="AG39" s="88" t="str">
        <f aca="false">IF(AND(AND(E39&lt;&gt;"",U39&lt;&gt;"Remediated",U39&lt;&gt;"False Positive",U39&lt;&gt;"Risk Accepted"),LEFT(Q39,6)="Breach"),ROW(),"")</f>
        <v/>
      </c>
    </row>
    <row r="40" customFormat="false" ht="15" hidden="false" customHeight="false" outlineLevel="0" collapsed="false">
      <c r="A40" s="56" t="s">
        <v>2196</v>
      </c>
      <c r="B40" s="63"/>
      <c r="C40" s="61"/>
      <c r="D40" s="61"/>
      <c r="E40" s="60"/>
      <c r="F40" s="61"/>
      <c r="G40" s="61"/>
      <c r="H40" s="61"/>
      <c r="I40" s="61"/>
      <c r="J40" s="60"/>
      <c r="K40" s="61"/>
      <c r="L40" s="61"/>
      <c r="M40" s="61"/>
      <c r="N40" s="60"/>
      <c r="O40" s="60"/>
      <c r="P40" s="60"/>
      <c r="Q40" s="61"/>
      <c r="R40" s="61"/>
      <c r="S40" s="87" t="str">
        <f aca="false">IF(OR(B40="",L40=""),"",INDEX(Lists!$AD$4:$AD$8,MATCH(L40,Lists!$AC$4:$AC$8,0)))</f>
        <v/>
      </c>
      <c r="T40" s="95" t="str">
        <f aca="false">IF(OR(S40="",ISERROR(S40)),"",B40+S40)</f>
        <v/>
      </c>
      <c r="U40" s="61"/>
      <c r="V40" s="63"/>
      <c r="W40" s="63"/>
      <c r="X40" s="60"/>
      <c r="Y40" s="62" t="str">
        <f aca="false">IF(E40="","",IF(AND(B40&lt;&gt;"",B40&gt;='Weekly Report'!$F$4,B40&lt;='Weekly Report'!$F$5),"NEW",IF(AND(W40&lt;&gt;"",W40&gt;='Weekly Report'!$F$4,W40&lt;='Weekly Report'!$F$5),"CHANGED","")))</f>
        <v/>
      </c>
      <c r="Z40" s="87" t="str">
        <f aca="true">IF(B40="","",IF(V40&lt;&gt;"",V40-B40,TODAY()-B40))</f>
        <v/>
      </c>
      <c r="AA40" s="62" t="str">
        <f aca="true">IF(OR(B40="",T40="",U40="False Positive",U40="Risk Accepted"),"",IF(V40&lt;&gt;"",IF(V40&gt;T40,"Closed Late","Met"),IF(TODAY()&gt;T40,"SLA BREACH",IF(T40-TODAY()&lt;=7,"Due ≤7d","Within SLA"))))</f>
        <v/>
      </c>
      <c r="AB40" s="61"/>
      <c r="AC40" s="61"/>
      <c r="AD40" s="60"/>
      <c r="AE40" s="88" t="str">
        <f aca="false">IF(Y40&lt;&gt;"",ROW(),"")</f>
        <v/>
      </c>
      <c r="AF40" s="88" t="str">
        <f aca="false">IF(AND(AND(E40&lt;&gt;"",U40&lt;&gt;"Remediated",U40&lt;&gt;"False Positive",U40&lt;&gt;"Risk Accepted"),T40&lt;&gt;"",T40&lt;='Weekly Report'!$F$7),ROW(),"")</f>
        <v/>
      </c>
      <c r="AG40" s="88" t="str">
        <f aca="false">IF(AND(AND(E40&lt;&gt;"",U40&lt;&gt;"Remediated",U40&lt;&gt;"False Positive",U40&lt;&gt;"Risk Accepted"),LEFT(Q40,6)="Breach"),ROW(),"")</f>
        <v/>
      </c>
    </row>
    <row r="41" customFormat="false" ht="15" hidden="false" customHeight="false" outlineLevel="0" collapsed="false">
      <c r="A41" s="56" t="s">
        <v>2197</v>
      </c>
      <c r="B41" s="63"/>
      <c r="C41" s="61"/>
      <c r="D41" s="61"/>
      <c r="E41" s="60"/>
      <c r="F41" s="61"/>
      <c r="G41" s="61"/>
      <c r="H41" s="61"/>
      <c r="I41" s="61"/>
      <c r="J41" s="60"/>
      <c r="K41" s="61"/>
      <c r="L41" s="61"/>
      <c r="M41" s="61"/>
      <c r="N41" s="60"/>
      <c r="O41" s="60"/>
      <c r="P41" s="60"/>
      <c r="Q41" s="61"/>
      <c r="R41" s="61"/>
      <c r="S41" s="87" t="str">
        <f aca="false">IF(OR(B41="",L41=""),"",INDEX(Lists!$AD$4:$AD$8,MATCH(L41,Lists!$AC$4:$AC$8,0)))</f>
        <v/>
      </c>
      <c r="T41" s="95" t="str">
        <f aca="false">IF(OR(S41="",ISERROR(S41)),"",B41+S41)</f>
        <v/>
      </c>
      <c r="U41" s="61"/>
      <c r="V41" s="63"/>
      <c r="W41" s="63"/>
      <c r="X41" s="60"/>
      <c r="Y41" s="62" t="str">
        <f aca="false">IF(E41="","",IF(AND(B41&lt;&gt;"",B41&gt;='Weekly Report'!$F$4,B41&lt;='Weekly Report'!$F$5),"NEW",IF(AND(W41&lt;&gt;"",W41&gt;='Weekly Report'!$F$4,W41&lt;='Weekly Report'!$F$5),"CHANGED","")))</f>
        <v/>
      </c>
      <c r="Z41" s="87" t="str">
        <f aca="true">IF(B41="","",IF(V41&lt;&gt;"",V41-B41,TODAY()-B41))</f>
        <v/>
      </c>
      <c r="AA41" s="62" t="str">
        <f aca="true">IF(OR(B41="",T41="",U41="False Positive",U41="Risk Accepted"),"",IF(V41&lt;&gt;"",IF(V41&gt;T41,"Closed Late","Met"),IF(TODAY()&gt;T41,"SLA BREACH",IF(T41-TODAY()&lt;=7,"Due ≤7d","Within SLA"))))</f>
        <v/>
      </c>
      <c r="AB41" s="61"/>
      <c r="AC41" s="61"/>
      <c r="AD41" s="60"/>
      <c r="AE41" s="88" t="str">
        <f aca="false">IF(Y41&lt;&gt;"",ROW(),"")</f>
        <v/>
      </c>
      <c r="AF41" s="88" t="str">
        <f aca="false">IF(AND(AND(E41&lt;&gt;"",U41&lt;&gt;"Remediated",U41&lt;&gt;"False Positive",U41&lt;&gt;"Risk Accepted"),T41&lt;&gt;"",T41&lt;='Weekly Report'!$F$7),ROW(),"")</f>
        <v/>
      </c>
      <c r="AG41" s="88" t="str">
        <f aca="false">IF(AND(AND(E41&lt;&gt;"",U41&lt;&gt;"Remediated",U41&lt;&gt;"False Positive",U41&lt;&gt;"Risk Accepted"),LEFT(Q41,6)="Breach"),ROW(),"")</f>
        <v/>
      </c>
    </row>
    <row r="42" customFormat="false" ht="15" hidden="false" customHeight="false" outlineLevel="0" collapsed="false">
      <c r="A42" s="56" t="s">
        <v>2198</v>
      </c>
      <c r="B42" s="63"/>
      <c r="C42" s="61"/>
      <c r="D42" s="61"/>
      <c r="E42" s="60"/>
      <c r="F42" s="61"/>
      <c r="G42" s="61"/>
      <c r="H42" s="61"/>
      <c r="I42" s="61"/>
      <c r="J42" s="60"/>
      <c r="K42" s="61"/>
      <c r="L42" s="61"/>
      <c r="M42" s="61"/>
      <c r="N42" s="60"/>
      <c r="O42" s="60"/>
      <c r="P42" s="60"/>
      <c r="Q42" s="61"/>
      <c r="R42" s="61"/>
      <c r="S42" s="87" t="str">
        <f aca="false">IF(OR(B42="",L42=""),"",INDEX(Lists!$AD$4:$AD$8,MATCH(L42,Lists!$AC$4:$AC$8,0)))</f>
        <v/>
      </c>
      <c r="T42" s="95" t="str">
        <f aca="false">IF(OR(S42="",ISERROR(S42)),"",B42+S42)</f>
        <v/>
      </c>
      <c r="U42" s="61"/>
      <c r="V42" s="63"/>
      <c r="W42" s="63"/>
      <c r="X42" s="60"/>
      <c r="Y42" s="62" t="str">
        <f aca="false">IF(E42="","",IF(AND(B42&lt;&gt;"",B42&gt;='Weekly Report'!$F$4,B42&lt;='Weekly Report'!$F$5),"NEW",IF(AND(W42&lt;&gt;"",W42&gt;='Weekly Report'!$F$4,W42&lt;='Weekly Report'!$F$5),"CHANGED","")))</f>
        <v/>
      </c>
      <c r="Z42" s="87" t="str">
        <f aca="true">IF(B42="","",IF(V42&lt;&gt;"",V42-B42,TODAY()-B42))</f>
        <v/>
      </c>
      <c r="AA42" s="62" t="str">
        <f aca="true">IF(OR(B42="",T42="",U42="False Positive",U42="Risk Accepted"),"",IF(V42&lt;&gt;"",IF(V42&gt;T42,"Closed Late","Met"),IF(TODAY()&gt;T42,"SLA BREACH",IF(T42-TODAY()&lt;=7,"Due ≤7d","Within SLA"))))</f>
        <v/>
      </c>
      <c r="AB42" s="61"/>
      <c r="AC42" s="61"/>
      <c r="AD42" s="60"/>
      <c r="AE42" s="88" t="str">
        <f aca="false">IF(Y42&lt;&gt;"",ROW(),"")</f>
        <v/>
      </c>
      <c r="AF42" s="88" t="str">
        <f aca="false">IF(AND(AND(E42&lt;&gt;"",U42&lt;&gt;"Remediated",U42&lt;&gt;"False Positive",U42&lt;&gt;"Risk Accepted"),T42&lt;&gt;"",T42&lt;='Weekly Report'!$F$7),ROW(),"")</f>
        <v/>
      </c>
      <c r="AG42" s="88" t="str">
        <f aca="false">IF(AND(AND(E42&lt;&gt;"",U42&lt;&gt;"Remediated",U42&lt;&gt;"False Positive",U42&lt;&gt;"Risk Accepted"),LEFT(Q42,6)="Breach"),ROW(),"")</f>
        <v/>
      </c>
    </row>
    <row r="43" customFormat="false" ht="15" hidden="false" customHeight="false" outlineLevel="0" collapsed="false">
      <c r="A43" s="56" t="s">
        <v>2199</v>
      </c>
      <c r="B43" s="63"/>
      <c r="C43" s="61"/>
      <c r="D43" s="61"/>
      <c r="E43" s="60"/>
      <c r="F43" s="61"/>
      <c r="G43" s="61"/>
      <c r="H43" s="61"/>
      <c r="I43" s="61"/>
      <c r="J43" s="60"/>
      <c r="K43" s="61"/>
      <c r="L43" s="61"/>
      <c r="M43" s="61"/>
      <c r="N43" s="60"/>
      <c r="O43" s="60"/>
      <c r="P43" s="60"/>
      <c r="Q43" s="61"/>
      <c r="R43" s="61"/>
      <c r="S43" s="87" t="str">
        <f aca="false">IF(OR(B43="",L43=""),"",INDEX(Lists!$AD$4:$AD$8,MATCH(L43,Lists!$AC$4:$AC$8,0)))</f>
        <v/>
      </c>
      <c r="T43" s="95" t="str">
        <f aca="false">IF(OR(S43="",ISERROR(S43)),"",B43+S43)</f>
        <v/>
      </c>
      <c r="U43" s="61"/>
      <c r="V43" s="63"/>
      <c r="W43" s="63"/>
      <c r="X43" s="60"/>
      <c r="Y43" s="62" t="str">
        <f aca="false">IF(E43="","",IF(AND(B43&lt;&gt;"",B43&gt;='Weekly Report'!$F$4,B43&lt;='Weekly Report'!$F$5),"NEW",IF(AND(W43&lt;&gt;"",W43&gt;='Weekly Report'!$F$4,W43&lt;='Weekly Report'!$F$5),"CHANGED","")))</f>
        <v/>
      </c>
      <c r="Z43" s="87" t="str">
        <f aca="true">IF(B43="","",IF(V43&lt;&gt;"",V43-B43,TODAY()-B43))</f>
        <v/>
      </c>
      <c r="AA43" s="62" t="str">
        <f aca="true">IF(OR(B43="",T43="",U43="False Positive",U43="Risk Accepted"),"",IF(V43&lt;&gt;"",IF(V43&gt;T43,"Closed Late","Met"),IF(TODAY()&gt;T43,"SLA BREACH",IF(T43-TODAY()&lt;=7,"Due ≤7d","Within SLA"))))</f>
        <v/>
      </c>
      <c r="AB43" s="61"/>
      <c r="AC43" s="61"/>
      <c r="AD43" s="60"/>
      <c r="AE43" s="88" t="str">
        <f aca="false">IF(Y43&lt;&gt;"",ROW(),"")</f>
        <v/>
      </c>
      <c r="AF43" s="88" t="str">
        <f aca="false">IF(AND(AND(E43&lt;&gt;"",U43&lt;&gt;"Remediated",U43&lt;&gt;"False Positive",U43&lt;&gt;"Risk Accepted"),T43&lt;&gt;"",T43&lt;='Weekly Report'!$F$7),ROW(),"")</f>
        <v/>
      </c>
      <c r="AG43" s="88" t="str">
        <f aca="false">IF(AND(AND(E43&lt;&gt;"",U43&lt;&gt;"Remediated",U43&lt;&gt;"False Positive",U43&lt;&gt;"Risk Accepted"),LEFT(Q43,6)="Breach"),ROW(),"")</f>
        <v/>
      </c>
    </row>
    <row r="44" customFormat="false" ht="15" hidden="false" customHeight="false" outlineLevel="0" collapsed="false">
      <c r="A44" s="56" t="s">
        <v>2200</v>
      </c>
      <c r="B44" s="63"/>
      <c r="C44" s="61"/>
      <c r="D44" s="61"/>
      <c r="E44" s="60"/>
      <c r="F44" s="61"/>
      <c r="G44" s="61"/>
      <c r="H44" s="61"/>
      <c r="I44" s="61"/>
      <c r="J44" s="60"/>
      <c r="K44" s="61"/>
      <c r="L44" s="61"/>
      <c r="M44" s="61"/>
      <c r="N44" s="60"/>
      <c r="O44" s="60"/>
      <c r="P44" s="60"/>
      <c r="Q44" s="61"/>
      <c r="R44" s="61"/>
      <c r="S44" s="87" t="str">
        <f aca="false">IF(OR(B44="",L44=""),"",INDEX(Lists!$AD$4:$AD$8,MATCH(L44,Lists!$AC$4:$AC$8,0)))</f>
        <v/>
      </c>
      <c r="T44" s="95" t="str">
        <f aca="false">IF(OR(S44="",ISERROR(S44)),"",B44+S44)</f>
        <v/>
      </c>
      <c r="U44" s="61"/>
      <c r="V44" s="63"/>
      <c r="W44" s="63"/>
      <c r="X44" s="60"/>
      <c r="Y44" s="62" t="str">
        <f aca="false">IF(E44="","",IF(AND(B44&lt;&gt;"",B44&gt;='Weekly Report'!$F$4,B44&lt;='Weekly Report'!$F$5),"NEW",IF(AND(W44&lt;&gt;"",W44&gt;='Weekly Report'!$F$4,W44&lt;='Weekly Report'!$F$5),"CHANGED","")))</f>
        <v/>
      </c>
      <c r="Z44" s="87" t="str">
        <f aca="true">IF(B44="","",IF(V44&lt;&gt;"",V44-B44,TODAY()-B44))</f>
        <v/>
      </c>
      <c r="AA44" s="62" t="str">
        <f aca="true">IF(OR(B44="",T44="",U44="False Positive",U44="Risk Accepted"),"",IF(V44&lt;&gt;"",IF(V44&gt;T44,"Closed Late","Met"),IF(TODAY()&gt;T44,"SLA BREACH",IF(T44-TODAY()&lt;=7,"Due ≤7d","Within SLA"))))</f>
        <v/>
      </c>
      <c r="AB44" s="61"/>
      <c r="AC44" s="61"/>
      <c r="AD44" s="60"/>
      <c r="AE44" s="88" t="str">
        <f aca="false">IF(Y44&lt;&gt;"",ROW(),"")</f>
        <v/>
      </c>
      <c r="AF44" s="88" t="str">
        <f aca="false">IF(AND(AND(E44&lt;&gt;"",U44&lt;&gt;"Remediated",U44&lt;&gt;"False Positive",U44&lt;&gt;"Risk Accepted"),T44&lt;&gt;"",T44&lt;='Weekly Report'!$F$7),ROW(),"")</f>
        <v/>
      </c>
      <c r="AG44" s="88" t="str">
        <f aca="false">IF(AND(AND(E44&lt;&gt;"",U44&lt;&gt;"Remediated",U44&lt;&gt;"False Positive",U44&lt;&gt;"Risk Accepted"),LEFT(Q44,6)="Breach"),ROW(),"")</f>
        <v/>
      </c>
    </row>
    <row r="45" customFormat="false" ht="15" hidden="false" customHeight="false" outlineLevel="0" collapsed="false">
      <c r="A45" s="56" t="s">
        <v>2201</v>
      </c>
      <c r="B45" s="63"/>
      <c r="C45" s="61"/>
      <c r="D45" s="61"/>
      <c r="E45" s="60"/>
      <c r="F45" s="61"/>
      <c r="G45" s="61"/>
      <c r="H45" s="61"/>
      <c r="I45" s="61"/>
      <c r="J45" s="60"/>
      <c r="K45" s="61"/>
      <c r="L45" s="61"/>
      <c r="M45" s="61"/>
      <c r="N45" s="60"/>
      <c r="O45" s="60"/>
      <c r="P45" s="60"/>
      <c r="Q45" s="61"/>
      <c r="R45" s="61"/>
      <c r="S45" s="87" t="str">
        <f aca="false">IF(OR(B45="",L45=""),"",INDEX(Lists!$AD$4:$AD$8,MATCH(L45,Lists!$AC$4:$AC$8,0)))</f>
        <v/>
      </c>
      <c r="T45" s="95" t="str">
        <f aca="false">IF(OR(S45="",ISERROR(S45)),"",B45+S45)</f>
        <v/>
      </c>
      <c r="U45" s="61"/>
      <c r="V45" s="63"/>
      <c r="W45" s="63"/>
      <c r="X45" s="60"/>
      <c r="Y45" s="62" t="str">
        <f aca="false">IF(E45="","",IF(AND(B45&lt;&gt;"",B45&gt;='Weekly Report'!$F$4,B45&lt;='Weekly Report'!$F$5),"NEW",IF(AND(W45&lt;&gt;"",W45&gt;='Weekly Report'!$F$4,W45&lt;='Weekly Report'!$F$5),"CHANGED","")))</f>
        <v/>
      </c>
      <c r="Z45" s="87" t="str">
        <f aca="true">IF(B45="","",IF(V45&lt;&gt;"",V45-B45,TODAY()-B45))</f>
        <v/>
      </c>
      <c r="AA45" s="62" t="str">
        <f aca="true">IF(OR(B45="",T45="",U45="False Positive",U45="Risk Accepted"),"",IF(V45&lt;&gt;"",IF(V45&gt;T45,"Closed Late","Met"),IF(TODAY()&gt;T45,"SLA BREACH",IF(T45-TODAY()&lt;=7,"Due ≤7d","Within SLA"))))</f>
        <v/>
      </c>
      <c r="AB45" s="61"/>
      <c r="AC45" s="61"/>
      <c r="AD45" s="60"/>
      <c r="AE45" s="88" t="str">
        <f aca="false">IF(Y45&lt;&gt;"",ROW(),"")</f>
        <v/>
      </c>
      <c r="AF45" s="88" t="str">
        <f aca="false">IF(AND(AND(E45&lt;&gt;"",U45&lt;&gt;"Remediated",U45&lt;&gt;"False Positive",U45&lt;&gt;"Risk Accepted"),T45&lt;&gt;"",T45&lt;='Weekly Report'!$F$7),ROW(),"")</f>
        <v/>
      </c>
      <c r="AG45" s="88" t="str">
        <f aca="false">IF(AND(AND(E45&lt;&gt;"",U45&lt;&gt;"Remediated",U45&lt;&gt;"False Positive",U45&lt;&gt;"Risk Accepted"),LEFT(Q45,6)="Breach"),ROW(),"")</f>
        <v/>
      </c>
    </row>
    <row r="46" customFormat="false" ht="15" hidden="false" customHeight="false" outlineLevel="0" collapsed="false">
      <c r="A46" s="56" t="s">
        <v>2202</v>
      </c>
      <c r="B46" s="63"/>
      <c r="C46" s="61"/>
      <c r="D46" s="61"/>
      <c r="E46" s="60"/>
      <c r="F46" s="61"/>
      <c r="G46" s="61"/>
      <c r="H46" s="61"/>
      <c r="I46" s="61"/>
      <c r="J46" s="60"/>
      <c r="K46" s="61"/>
      <c r="L46" s="61"/>
      <c r="M46" s="61"/>
      <c r="N46" s="60"/>
      <c r="O46" s="60"/>
      <c r="P46" s="60"/>
      <c r="Q46" s="61"/>
      <c r="R46" s="61"/>
      <c r="S46" s="87" t="str">
        <f aca="false">IF(OR(B46="",L46=""),"",INDEX(Lists!$AD$4:$AD$8,MATCH(L46,Lists!$AC$4:$AC$8,0)))</f>
        <v/>
      </c>
      <c r="T46" s="95" t="str">
        <f aca="false">IF(OR(S46="",ISERROR(S46)),"",B46+S46)</f>
        <v/>
      </c>
      <c r="U46" s="61"/>
      <c r="V46" s="63"/>
      <c r="W46" s="63"/>
      <c r="X46" s="60"/>
      <c r="Y46" s="62" t="str">
        <f aca="false">IF(E46="","",IF(AND(B46&lt;&gt;"",B46&gt;='Weekly Report'!$F$4,B46&lt;='Weekly Report'!$F$5),"NEW",IF(AND(W46&lt;&gt;"",W46&gt;='Weekly Report'!$F$4,W46&lt;='Weekly Report'!$F$5),"CHANGED","")))</f>
        <v/>
      </c>
      <c r="Z46" s="87" t="str">
        <f aca="true">IF(B46="","",IF(V46&lt;&gt;"",V46-B46,TODAY()-B46))</f>
        <v/>
      </c>
      <c r="AA46" s="62" t="str">
        <f aca="true">IF(OR(B46="",T46="",U46="False Positive",U46="Risk Accepted"),"",IF(V46&lt;&gt;"",IF(V46&gt;T46,"Closed Late","Met"),IF(TODAY()&gt;T46,"SLA BREACH",IF(T46-TODAY()&lt;=7,"Due ≤7d","Within SLA"))))</f>
        <v/>
      </c>
      <c r="AB46" s="61"/>
      <c r="AC46" s="61"/>
      <c r="AD46" s="60"/>
      <c r="AE46" s="88" t="str">
        <f aca="false">IF(Y46&lt;&gt;"",ROW(),"")</f>
        <v/>
      </c>
      <c r="AF46" s="88" t="str">
        <f aca="false">IF(AND(AND(E46&lt;&gt;"",U46&lt;&gt;"Remediated",U46&lt;&gt;"False Positive",U46&lt;&gt;"Risk Accepted"),T46&lt;&gt;"",T46&lt;='Weekly Report'!$F$7),ROW(),"")</f>
        <v/>
      </c>
      <c r="AG46" s="88" t="str">
        <f aca="false">IF(AND(AND(E46&lt;&gt;"",U46&lt;&gt;"Remediated",U46&lt;&gt;"False Positive",U46&lt;&gt;"Risk Accepted"),LEFT(Q46,6)="Breach"),ROW(),"")</f>
        <v/>
      </c>
    </row>
    <row r="47" customFormat="false" ht="15" hidden="false" customHeight="false" outlineLevel="0" collapsed="false">
      <c r="A47" s="56" t="s">
        <v>2203</v>
      </c>
      <c r="B47" s="63"/>
      <c r="C47" s="61"/>
      <c r="D47" s="61"/>
      <c r="E47" s="60"/>
      <c r="F47" s="61"/>
      <c r="G47" s="61"/>
      <c r="H47" s="61"/>
      <c r="I47" s="61"/>
      <c r="J47" s="60"/>
      <c r="K47" s="61"/>
      <c r="L47" s="61"/>
      <c r="M47" s="61"/>
      <c r="N47" s="60"/>
      <c r="O47" s="60"/>
      <c r="P47" s="60"/>
      <c r="Q47" s="61"/>
      <c r="R47" s="61"/>
      <c r="S47" s="87" t="str">
        <f aca="false">IF(OR(B47="",L47=""),"",INDEX(Lists!$AD$4:$AD$8,MATCH(L47,Lists!$AC$4:$AC$8,0)))</f>
        <v/>
      </c>
      <c r="T47" s="95" t="str">
        <f aca="false">IF(OR(S47="",ISERROR(S47)),"",B47+S47)</f>
        <v/>
      </c>
      <c r="U47" s="61"/>
      <c r="V47" s="63"/>
      <c r="W47" s="63"/>
      <c r="X47" s="60"/>
      <c r="Y47" s="62" t="str">
        <f aca="false">IF(E47="","",IF(AND(B47&lt;&gt;"",B47&gt;='Weekly Report'!$F$4,B47&lt;='Weekly Report'!$F$5),"NEW",IF(AND(W47&lt;&gt;"",W47&gt;='Weekly Report'!$F$4,W47&lt;='Weekly Report'!$F$5),"CHANGED","")))</f>
        <v/>
      </c>
      <c r="Z47" s="87" t="str">
        <f aca="true">IF(B47="","",IF(V47&lt;&gt;"",V47-B47,TODAY()-B47))</f>
        <v/>
      </c>
      <c r="AA47" s="62" t="str">
        <f aca="true">IF(OR(B47="",T47="",U47="False Positive",U47="Risk Accepted"),"",IF(V47&lt;&gt;"",IF(V47&gt;T47,"Closed Late","Met"),IF(TODAY()&gt;T47,"SLA BREACH",IF(T47-TODAY()&lt;=7,"Due ≤7d","Within SLA"))))</f>
        <v/>
      </c>
      <c r="AB47" s="61"/>
      <c r="AC47" s="61"/>
      <c r="AD47" s="60"/>
      <c r="AE47" s="88" t="str">
        <f aca="false">IF(Y47&lt;&gt;"",ROW(),"")</f>
        <v/>
      </c>
      <c r="AF47" s="88" t="str">
        <f aca="false">IF(AND(AND(E47&lt;&gt;"",U47&lt;&gt;"Remediated",U47&lt;&gt;"False Positive",U47&lt;&gt;"Risk Accepted"),T47&lt;&gt;"",T47&lt;='Weekly Report'!$F$7),ROW(),"")</f>
        <v/>
      </c>
      <c r="AG47" s="88" t="str">
        <f aca="false">IF(AND(AND(E47&lt;&gt;"",U47&lt;&gt;"Remediated",U47&lt;&gt;"False Positive",U47&lt;&gt;"Risk Accepted"),LEFT(Q47,6)="Breach"),ROW(),"")</f>
        <v/>
      </c>
    </row>
    <row r="48" customFormat="false" ht="15" hidden="false" customHeight="false" outlineLevel="0" collapsed="false">
      <c r="A48" s="56" t="s">
        <v>2204</v>
      </c>
      <c r="B48" s="63"/>
      <c r="C48" s="61"/>
      <c r="D48" s="61"/>
      <c r="E48" s="60"/>
      <c r="F48" s="61"/>
      <c r="G48" s="61"/>
      <c r="H48" s="61"/>
      <c r="I48" s="61"/>
      <c r="J48" s="60"/>
      <c r="K48" s="61"/>
      <c r="L48" s="61"/>
      <c r="M48" s="61"/>
      <c r="N48" s="60"/>
      <c r="O48" s="60"/>
      <c r="P48" s="60"/>
      <c r="Q48" s="61"/>
      <c r="R48" s="61"/>
      <c r="S48" s="87" t="str">
        <f aca="false">IF(OR(B48="",L48=""),"",INDEX(Lists!$AD$4:$AD$8,MATCH(L48,Lists!$AC$4:$AC$8,0)))</f>
        <v/>
      </c>
      <c r="T48" s="95" t="str">
        <f aca="false">IF(OR(S48="",ISERROR(S48)),"",B48+S48)</f>
        <v/>
      </c>
      <c r="U48" s="61"/>
      <c r="V48" s="63"/>
      <c r="W48" s="63"/>
      <c r="X48" s="60"/>
      <c r="Y48" s="62" t="str">
        <f aca="false">IF(E48="","",IF(AND(B48&lt;&gt;"",B48&gt;='Weekly Report'!$F$4,B48&lt;='Weekly Report'!$F$5),"NEW",IF(AND(W48&lt;&gt;"",W48&gt;='Weekly Report'!$F$4,W48&lt;='Weekly Report'!$F$5),"CHANGED","")))</f>
        <v/>
      </c>
      <c r="Z48" s="87" t="str">
        <f aca="true">IF(B48="","",IF(V48&lt;&gt;"",V48-B48,TODAY()-B48))</f>
        <v/>
      </c>
      <c r="AA48" s="62" t="str">
        <f aca="true">IF(OR(B48="",T48="",U48="False Positive",U48="Risk Accepted"),"",IF(V48&lt;&gt;"",IF(V48&gt;T48,"Closed Late","Met"),IF(TODAY()&gt;T48,"SLA BREACH",IF(T48-TODAY()&lt;=7,"Due ≤7d","Within SLA"))))</f>
        <v/>
      </c>
      <c r="AB48" s="61"/>
      <c r="AC48" s="61"/>
      <c r="AD48" s="60"/>
      <c r="AE48" s="88" t="str">
        <f aca="false">IF(Y48&lt;&gt;"",ROW(),"")</f>
        <v/>
      </c>
      <c r="AF48" s="88" t="str">
        <f aca="false">IF(AND(AND(E48&lt;&gt;"",U48&lt;&gt;"Remediated",U48&lt;&gt;"False Positive",U48&lt;&gt;"Risk Accepted"),T48&lt;&gt;"",T48&lt;='Weekly Report'!$F$7),ROW(),"")</f>
        <v/>
      </c>
      <c r="AG48" s="88" t="str">
        <f aca="false">IF(AND(AND(E48&lt;&gt;"",U48&lt;&gt;"Remediated",U48&lt;&gt;"False Positive",U48&lt;&gt;"Risk Accepted"),LEFT(Q48,6)="Breach"),ROW(),"")</f>
        <v/>
      </c>
    </row>
    <row r="49" customFormat="false" ht="15" hidden="false" customHeight="false" outlineLevel="0" collapsed="false">
      <c r="A49" s="56" t="s">
        <v>2205</v>
      </c>
      <c r="B49" s="63"/>
      <c r="C49" s="61"/>
      <c r="D49" s="61"/>
      <c r="E49" s="60"/>
      <c r="F49" s="61"/>
      <c r="G49" s="61"/>
      <c r="H49" s="61"/>
      <c r="I49" s="61"/>
      <c r="J49" s="60"/>
      <c r="K49" s="61"/>
      <c r="L49" s="61"/>
      <c r="M49" s="61"/>
      <c r="N49" s="60"/>
      <c r="O49" s="60"/>
      <c r="P49" s="60"/>
      <c r="Q49" s="61"/>
      <c r="R49" s="61"/>
      <c r="S49" s="87" t="str">
        <f aca="false">IF(OR(B49="",L49=""),"",INDEX(Lists!$AD$4:$AD$8,MATCH(L49,Lists!$AC$4:$AC$8,0)))</f>
        <v/>
      </c>
      <c r="T49" s="95" t="str">
        <f aca="false">IF(OR(S49="",ISERROR(S49)),"",B49+S49)</f>
        <v/>
      </c>
      <c r="U49" s="61"/>
      <c r="V49" s="63"/>
      <c r="W49" s="63"/>
      <c r="X49" s="60"/>
      <c r="Y49" s="62" t="str">
        <f aca="false">IF(E49="","",IF(AND(B49&lt;&gt;"",B49&gt;='Weekly Report'!$F$4,B49&lt;='Weekly Report'!$F$5),"NEW",IF(AND(W49&lt;&gt;"",W49&gt;='Weekly Report'!$F$4,W49&lt;='Weekly Report'!$F$5),"CHANGED","")))</f>
        <v/>
      </c>
      <c r="Z49" s="87" t="str">
        <f aca="true">IF(B49="","",IF(V49&lt;&gt;"",V49-B49,TODAY()-B49))</f>
        <v/>
      </c>
      <c r="AA49" s="62" t="str">
        <f aca="true">IF(OR(B49="",T49="",U49="False Positive",U49="Risk Accepted"),"",IF(V49&lt;&gt;"",IF(V49&gt;T49,"Closed Late","Met"),IF(TODAY()&gt;T49,"SLA BREACH",IF(T49-TODAY()&lt;=7,"Due ≤7d","Within SLA"))))</f>
        <v/>
      </c>
      <c r="AB49" s="61"/>
      <c r="AC49" s="61"/>
      <c r="AD49" s="60"/>
      <c r="AE49" s="88" t="str">
        <f aca="false">IF(Y49&lt;&gt;"",ROW(),"")</f>
        <v/>
      </c>
      <c r="AF49" s="88" t="str">
        <f aca="false">IF(AND(AND(E49&lt;&gt;"",U49&lt;&gt;"Remediated",U49&lt;&gt;"False Positive",U49&lt;&gt;"Risk Accepted"),T49&lt;&gt;"",T49&lt;='Weekly Report'!$F$7),ROW(),"")</f>
        <v/>
      </c>
      <c r="AG49" s="88" t="str">
        <f aca="false">IF(AND(AND(E49&lt;&gt;"",U49&lt;&gt;"Remediated",U49&lt;&gt;"False Positive",U49&lt;&gt;"Risk Accepted"),LEFT(Q49,6)="Breach"),ROW(),"")</f>
        <v/>
      </c>
    </row>
    <row r="50" customFormat="false" ht="15" hidden="false" customHeight="false" outlineLevel="0" collapsed="false">
      <c r="A50" s="56" t="s">
        <v>2206</v>
      </c>
      <c r="B50" s="63"/>
      <c r="C50" s="61"/>
      <c r="D50" s="61"/>
      <c r="E50" s="60"/>
      <c r="F50" s="61"/>
      <c r="G50" s="61"/>
      <c r="H50" s="61"/>
      <c r="I50" s="61"/>
      <c r="J50" s="60"/>
      <c r="K50" s="61"/>
      <c r="L50" s="61"/>
      <c r="M50" s="61"/>
      <c r="N50" s="60"/>
      <c r="O50" s="60"/>
      <c r="P50" s="60"/>
      <c r="Q50" s="61"/>
      <c r="R50" s="61"/>
      <c r="S50" s="87" t="str">
        <f aca="false">IF(OR(B50="",L50=""),"",INDEX(Lists!$AD$4:$AD$8,MATCH(L50,Lists!$AC$4:$AC$8,0)))</f>
        <v/>
      </c>
      <c r="T50" s="95" t="str">
        <f aca="false">IF(OR(S50="",ISERROR(S50)),"",B50+S50)</f>
        <v/>
      </c>
      <c r="U50" s="61"/>
      <c r="V50" s="63"/>
      <c r="W50" s="63"/>
      <c r="X50" s="60"/>
      <c r="Y50" s="62" t="str">
        <f aca="false">IF(E50="","",IF(AND(B50&lt;&gt;"",B50&gt;='Weekly Report'!$F$4,B50&lt;='Weekly Report'!$F$5),"NEW",IF(AND(W50&lt;&gt;"",W50&gt;='Weekly Report'!$F$4,W50&lt;='Weekly Report'!$F$5),"CHANGED","")))</f>
        <v/>
      </c>
      <c r="Z50" s="87" t="str">
        <f aca="true">IF(B50="","",IF(V50&lt;&gt;"",V50-B50,TODAY()-B50))</f>
        <v/>
      </c>
      <c r="AA50" s="62" t="str">
        <f aca="true">IF(OR(B50="",T50="",U50="False Positive",U50="Risk Accepted"),"",IF(V50&lt;&gt;"",IF(V50&gt;T50,"Closed Late","Met"),IF(TODAY()&gt;T50,"SLA BREACH",IF(T50-TODAY()&lt;=7,"Due ≤7d","Within SLA"))))</f>
        <v/>
      </c>
      <c r="AB50" s="61"/>
      <c r="AC50" s="61"/>
      <c r="AD50" s="60"/>
      <c r="AE50" s="88" t="str">
        <f aca="false">IF(Y50&lt;&gt;"",ROW(),"")</f>
        <v/>
      </c>
      <c r="AF50" s="88" t="str">
        <f aca="false">IF(AND(AND(E50&lt;&gt;"",U50&lt;&gt;"Remediated",U50&lt;&gt;"False Positive",U50&lt;&gt;"Risk Accepted"),T50&lt;&gt;"",T50&lt;='Weekly Report'!$F$7),ROW(),"")</f>
        <v/>
      </c>
      <c r="AG50" s="88" t="str">
        <f aca="false">IF(AND(AND(E50&lt;&gt;"",U50&lt;&gt;"Remediated",U50&lt;&gt;"False Positive",U50&lt;&gt;"Risk Accepted"),LEFT(Q50,6)="Breach"),ROW(),"")</f>
        <v/>
      </c>
    </row>
    <row r="51" customFormat="false" ht="15" hidden="false" customHeight="false" outlineLevel="0" collapsed="false">
      <c r="A51" s="56" t="s">
        <v>2207</v>
      </c>
      <c r="B51" s="63"/>
      <c r="C51" s="61"/>
      <c r="D51" s="61"/>
      <c r="E51" s="60"/>
      <c r="F51" s="61"/>
      <c r="G51" s="61"/>
      <c r="H51" s="61"/>
      <c r="I51" s="61"/>
      <c r="J51" s="60"/>
      <c r="K51" s="61"/>
      <c r="L51" s="61"/>
      <c r="M51" s="61"/>
      <c r="N51" s="60"/>
      <c r="O51" s="60"/>
      <c r="P51" s="60"/>
      <c r="Q51" s="61"/>
      <c r="R51" s="61"/>
      <c r="S51" s="87" t="str">
        <f aca="false">IF(OR(B51="",L51=""),"",INDEX(Lists!$AD$4:$AD$8,MATCH(L51,Lists!$AC$4:$AC$8,0)))</f>
        <v/>
      </c>
      <c r="T51" s="95" t="str">
        <f aca="false">IF(OR(S51="",ISERROR(S51)),"",B51+S51)</f>
        <v/>
      </c>
      <c r="U51" s="61"/>
      <c r="V51" s="63"/>
      <c r="W51" s="63"/>
      <c r="X51" s="60"/>
      <c r="Y51" s="62" t="str">
        <f aca="false">IF(E51="","",IF(AND(B51&lt;&gt;"",B51&gt;='Weekly Report'!$F$4,B51&lt;='Weekly Report'!$F$5),"NEW",IF(AND(W51&lt;&gt;"",W51&gt;='Weekly Report'!$F$4,W51&lt;='Weekly Report'!$F$5),"CHANGED","")))</f>
        <v/>
      </c>
      <c r="Z51" s="87" t="str">
        <f aca="true">IF(B51="","",IF(V51&lt;&gt;"",V51-B51,TODAY()-B51))</f>
        <v/>
      </c>
      <c r="AA51" s="62" t="str">
        <f aca="true">IF(OR(B51="",T51="",U51="False Positive",U51="Risk Accepted"),"",IF(V51&lt;&gt;"",IF(V51&gt;T51,"Closed Late","Met"),IF(TODAY()&gt;T51,"SLA BREACH",IF(T51-TODAY()&lt;=7,"Due ≤7d","Within SLA"))))</f>
        <v/>
      </c>
      <c r="AB51" s="61"/>
      <c r="AC51" s="61"/>
      <c r="AD51" s="60"/>
      <c r="AE51" s="88" t="str">
        <f aca="false">IF(Y51&lt;&gt;"",ROW(),"")</f>
        <v/>
      </c>
      <c r="AF51" s="88" t="str">
        <f aca="false">IF(AND(AND(E51&lt;&gt;"",U51&lt;&gt;"Remediated",U51&lt;&gt;"False Positive",U51&lt;&gt;"Risk Accepted"),T51&lt;&gt;"",T51&lt;='Weekly Report'!$F$7),ROW(),"")</f>
        <v/>
      </c>
      <c r="AG51" s="88" t="str">
        <f aca="false">IF(AND(AND(E51&lt;&gt;"",U51&lt;&gt;"Remediated",U51&lt;&gt;"False Positive",U51&lt;&gt;"Risk Accepted"),LEFT(Q51,6)="Breach"),ROW(),"")</f>
        <v/>
      </c>
    </row>
    <row r="52" customFormat="false" ht="15" hidden="false" customHeight="false" outlineLevel="0" collapsed="false">
      <c r="A52" s="56" t="s">
        <v>2208</v>
      </c>
      <c r="B52" s="63"/>
      <c r="C52" s="61"/>
      <c r="D52" s="61"/>
      <c r="E52" s="60"/>
      <c r="F52" s="61"/>
      <c r="G52" s="61"/>
      <c r="H52" s="61"/>
      <c r="I52" s="61"/>
      <c r="J52" s="60"/>
      <c r="K52" s="61"/>
      <c r="L52" s="61"/>
      <c r="M52" s="61"/>
      <c r="N52" s="60"/>
      <c r="O52" s="60"/>
      <c r="P52" s="60"/>
      <c r="Q52" s="61"/>
      <c r="R52" s="61"/>
      <c r="S52" s="87" t="str">
        <f aca="false">IF(OR(B52="",L52=""),"",INDEX(Lists!$AD$4:$AD$8,MATCH(L52,Lists!$AC$4:$AC$8,0)))</f>
        <v/>
      </c>
      <c r="T52" s="95" t="str">
        <f aca="false">IF(OR(S52="",ISERROR(S52)),"",B52+S52)</f>
        <v/>
      </c>
      <c r="U52" s="61"/>
      <c r="V52" s="63"/>
      <c r="W52" s="63"/>
      <c r="X52" s="60"/>
      <c r="Y52" s="62" t="str">
        <f aca="false">IF(E52="","",IF(AND(B52&lt;&gt;"",B52&gt;='Weekly Report'!$F$4,B52&lt;='Weekly Report'!$F$5),"NEW",IF(AND(W52&lt;&gt;"",W52&gt;='Weekly Report'!$F$4,W52&lt;='Weekly Report'!$F$5),"CHANGED","")))</f>
        <v/>
      </c>
      <c r="Z52" s="87" t="str">
        <f aca="true">IF(B52="","",IF(V52&lt;&gt;"",V52-B52,TODAY()-B52))</f>
        <v/>
      </c>
      <c r="AA52" s="62" t="str">
        <f aca="true">IF(OR(B52="",T52="",U52="False Positive",U52="Risk Accepted"),"",IF(V52&lt;&gt;"",IF(V52&gt;T52,"Closed Late","Met"),IF(TODAY()&gt;T52,"SLA BREACH",IF(T52-TODAY()&lt;=7,"Due ≤7d","Within SLA"))))</f>
        <v/>
      </c>
      <c r="AB52" s="61"/>
      <c r="AC52" s="61"/>
      <c r="AD52" s="60"/>
      <c r="AE52" s="88" t="str">
        <f aca="false">IF(Y52&lt;&gt;"",ROW(),"")</f>
        <v/>
      </c>
      <c r="AF52" s="88" t="str">
        <f aca="false">IF(AND(AND(E52&lt;&gt;"",U52&lt;&gt;"Remediated",U52&lt;&gt;"False Positive",U52&lt;&gt;"Risk Accepted"),T52&lt;&gt;"",T52&lt;='Weekly Report'!$F$7),ROW(),"")</f>
        <v/>
      </c>
      <c r="AG52" s="88" t="str">
        <f aca="false">IF(AND(AND(E52&lt;&gt;"",U52&lt;&gt;"Remediated",U52&lt;&gt;"False Positive",U52&lt;&gt;"Risk Accepted"),LEFT(Q52,6)="Breach"),ROW(),"")</f>
        <v/>
      </c>
    </row>
    <row r="53" customFormat="false" ht="15" hidden="false" customHeight="false" outlineLevel="0" collapsed="false">
      <c r="A53" s="56" t="s">
        <v>2209</v>
      </c>
      <c r="B53" s="63"/>
      <c r="C53" s="61"/>
      <c r="D53" s="61"/>
      <c r="E53" s="60"/>
      <c r="F53" s="61"/>
      <c r="G53" s="61"/>
      <c r="H53" s="61"/>
      <c r="I53" s="61"/>
      <c r="J53" s="60"/>
      <c r="K53" s="61"/>
      <c r="L53" s="61"/>
      <c r="M53" s="61"/>
      <c r="N53" s="60"/>
      <c r="O53" s="60"/>
      <c r="P53" s="60"/>
      <c r="Q53" s="61"/>
      <c r="R53" s="61"/>
      <c r="S53" s="87" t="str">
        <f aca="false">IF(OR(B53="",L53=""),"",INDEX(Lists!$AD$4:$AD$8,MATCH(L53,Lists!$AC$4:$AC$8,0)))</f>
        <v/>
      </c>
      <c r="T53" s="95" t="str">
        <f aca="false">IF(OR(S53="",ISERROR(S53)),"",B53+S53)</f>
        <v/>
      </c>
      <c r="U53" s="61"/>
      <c r="V53" s="63"/>
      <c r="W53" s="63"/>
      <c r="X53" s="60"/>
      <c r="Y53" s="62" t="str">
        <f aca="false">IF(E53="","",IF(AND(B53&lt;&gt;"",B53&gt;='Weekly Report'!$F$4,B53&lt;='Weekly Report'!$F$5),"NEW",IF(AND(W53&lt;&gt;"",W53&gt;='Weekly Report'!$F$4,W53&lt;='Weekly Report'!$F$5),"CHANGED","")))</f>
        <v/>
      </c>
      <c r="Z53" s="87" t="str">
        <f aca="true">IF(B53="","",IF(V53&lt;&gt;"",V53-B53,TODAY()-B53))</f>
        <v/>
      </c>
      <c r="AA53" s="62" t="str">
        <f aca="true">IF(OR(B53="",T53="",U53="False Positive",U53="Risk Accepted"),"",IF(V53&lt;&gt;"",IF(V53&gt;T53,"Closed Late","Met"),IF(TODAY()&gt;T53,"SLA BREACH",IF(T53-TODAY()&lt;=7,"Due ≤7d","Within SLA"))))</f>
        <v/>
      </c>
      <c r="AB53" s="61"/>
      <c r="AC53" s="61"/>
      <c r="AD53" s="60"/>
      <c r="AE53" s="88" t="str">
        <f aca="false">IF(Y53&lt;&gt;"",ROW(),"")</f>
        <v/>
      </c>
      <c r="AF53" s="88" t="str">
        <f aca="false">IF(AND(AND(E53&lt;&gt;"",U53&lt;&gt;"Remediated",U53&lt;&gt;"False Positive",U53&lt;&gt;"Risk Accepted"),T53&lt;&gt;"",T53&lt;='Weekly Report'!$F$7),ROW(),"")</f>
        <v/>
      </c>
      <c r="AG53" s="88" t="str">
        <f aca="false">IF(AND(AND(E53&lt;&gt;"",U53&lt;&gt;"Remediated",U53&lt;&gt;"False Positive",U53&lt;&gt;"Risk Accepted"),LEFT(Q53,6)="Breach"),ROW(),"")</f>
        <v/>
      </c>
    </row>
    <row r="54" customFormat="false" ht="15" hidden="false" customHeight="false" outlineLevel="0" collapsed="false">
      <c r="A54" s="56" t="s">
        <v>2210</v>
      </c>
      <c r="B54" s="63"/>
      <c r="C54" s="61"/>
      <c r="D54" s="61"/>
      <c r="E54" s="60"/>
      <c r="F54" s="61"/>
      <c r="G54" s="61"/>
      <c r="H54" s="61"/>
      <c r="I54" s="61"/>
      <c r="J54" s="60"/>
      <c r="K54" s="61"/>
      <c r="L54" s="61"/>
      <c r="M54" s="61"/>
      <c r="N54" s="60"/>
      <c r="O54" s="60"/>
      <c r="P54" s="60"/>
      <c r="Q54" s="61"/>
      <c r="R54" s="61"/>
      <c r="S54" s="87" t="str">
        <f aca="false">IF(OR(B54="",L54=""),"",INDEX(Lists!$AD$4:$AD$8,MATCH(L54,Lists!$AC$4:$AC$8,0)))</f>
        <v/>
      </c>
      <c r="T54" s="95" t="str">
        <f aca="false">IF(OR(S54="",ISERROR(S54)),"",B54+S54)</f>
        <v/>
      </c>
      <c r="U54" s="61"/>
      <c r="V54" s="63"/>
      <c r="W54" s="63"/>
      <c r="X54" s="60"/>
      <c r="Y54" s="62" t="str">
        <f aca="false">IF(E54="","",IF(AND(B54&lt;&gt;"",B54&gt;='Weekly Report'!$F$4,B54&lt;='Weekly Report'!$F$5),"NEW",IF(AND(W54&lt;&gt;"",W54&gt;='Weekly Report'!$F$4,W54&lt;='Weekly Report'!$F$5),"CHANGED","")))</f>
        <v/>
      </c>
      <c r="Z54" s="87" t="str">
        <f aca="true">IF(B54="","",IF(V54&lt;&gt;"",V54-B54,TODAY()-B54))</f>
        <v/>
      </c>
      <c r="AA54" s="62" t="str">
        <f aca="true">IF(OR(B54="",T54="",U54="False Positive",U54="Risk Accepted"),"",IF(V54&lt;&gt;"",IF(V54&gt;T54,"Closed Late","Met"),IF(TODAY()&gt;T54,"SLA BREACH",IF(T54-TODAY()&lt;=7,"Due ≤7d","Within SLA"))))</f>
        <v/>
      </c>
      <c r="AB54" s="61"/>
      <c r="AC54" s="61"/>
      <c r="AD54" s="60"/>
      <c r="AE54" s="88" t="str">
        <f aca="false">IF(Y54&lt;&gt;"",ROW(),"")</f>
        <v/>
      </c>
      <c r="AF54" s="88" t="str">
        <f aca="false">IF(AND(AND(E54&lt;&gt;"",U54&lt;&gt;"Remediated",U54&lt;&gt;"False Positive",U54&lt;&gt;"Risk Accepted"),T54&lt;&gt;"",T54&lt;='Weekly Report'!$F$7),ROW(),"")</f>
        <v/>
      </c>
      <c r="AG54" s="88" t="str">
        <f aca="false">IF(AND(AND(E54&lt;&gt;"",U54&lt;&gt;"Remediated",U54&lt;&gt;"False Positive",U54&lt;&gt;"Risk Accepted"),LEFT(Q54,6)="Breach"),ROW(),"")</f>
        <v/>
      </c>
    </row>
    <row r="55" customFormat="false" ht="15" hidden="false" customHeight="false" outlineLevel="0" collapsed="false">
      <c r="A55" s="56" t="s">
        <v>2211</v>
      </c>
      <c r="B55" s="63"/>
      <c r="C55" s="61"/>
      <c r="D55" s="61"/>
      <c r="E55" s="60"/>
      <c r="F55" s="61"/>
      <c r="G55" s="61"/>
      <c r="H55" s="61"/>
      <c r="I55" s="61"/>
      <c r="J55" s="60"/>
      <c r="K55" s="61"/>
      <c r="L55" s="61"/>
      <c r="M55" s="61"/>
      <c r="N55" s="60"/>
      <c r="O55" s="60"/>
      <c r="P55" s="60"/>
      <c r="Q55" s="61"/>
      <c r="R55" s="61"/>
      <c r="S55" s="87" t="str">
        <f aca="false">IF(OR(B55="",L55=""),"",INDEX(Lists!$AD$4:$AD$8,MATCH(L55,Lists!$AC$4:$AC$8,0)))</f>
        <v/>
      </c>
      <c r="T55" s="95" t="str">
        <f aca="false">IF(OR(S55="",ISERROR(S55)),"",B55+S55)</f>
        <v/>
      </c>
      <c r="U55" s="61"/>
      <c r="V55" s="63"/>
      <c r="W55" s="63"/>
      <c r="X55" s="60"/>
      <c r="Y55" s="62" t="str">
        <f aca="false">IF(E55="","",IF(AND(B55&lt;&gt;"",B55&gt;='Weekly Report'!$F$4,B55&lt;='Weekly Report'!$F$5),"NEW",IF(AND(W55&lt;&gt;"",W55&gt;='Weekly Report'!$F$4,W55&lt;='Weekly Report'!$F$5),"CHANGED","")))</f>
        <v/>
      </c>
      <c r="Z55" s="87" t="str">
        <f aca="true">IF(B55="","",IF(V55&lt;&gt;"",V55-B55,TODAY()-B55))</f>
        <v/>
      </c>
      <c r="AA55" s="62" t="str">
        <f aca="true">IF(OR(B55="",T55="",U55="False Positive",U55="Risk Accepted"),"",IF(V55&lt;&gt;"",IF(V55&gt;T55,"Closed Late","Met"),IF(TODAY()&gt;T55,"SLA BREACH",IF(T55-TODAY()&lt;=7,"Due ≤7d","Within SLA"))))</f>
        <v/>
      </c>
      <c r="AB55" s="61"/>
      <c r="AC55" s="61"/>
      <c r="AD55" s="60"/>
      <c r="AE55" s="88" t="str">
        <f aca="false">IF(Y55&lt;&gt;"",ROW(),"")</f>
        <v/>
      </c>
      <c r="AF55" s="88" t="str">
        <f aca="false">IF(AND(AND(E55&lt;&gt;"",U55&lt;&gt;"Remediated",U55&lt;&gt;"False Positive",U55&lt;&gt;"Risk Accepted"),T55&lt;&gt;"",T55&lt;='Weekly Report'!$F$7),ROW(),"")</f>
        <v/>
      </c>
      <c r="AG55" s="88" t="str">
        <f aca="false">IF(AND(AND(E55&lt;&gt;"",U55&lt;&gt;"Remediated",U55&lt;&gt;"False Positive",U55&lt;&gt;"Risk Accepted"),LEFT(Q55,6)="Breach"),ROW(),"")</f>
        <v/>
      </c>
    </row>
    <row r="56" customFormat="false" ht="15" hidden="false" customHeight="false" outlineLevel="0" collapsed="false">
      <c r="A56" s="56" t="s">
        <v>2212</v>
      </c>
      <c r="B56" s="63"/>
      <c r="C56" s="61"/>
      <c r="D56" s="61"/>
      <c r="E56" s="60"/>
      <c r="F56" s="61"/>
      <c r="G56" s="61"/>
      <c r="H56" s="61"/>
      <c r="I56" s="61"/>
      <c r="J56" s="60"/>
      <c r="K56" s="61"/>
      <c r="L56" s="61"/>
      <c r="M56" s="61"/>
      <c r="N56" s="60"/>
      <c r="O56" s="60"/>
      <c r="P56" s="60"/>
      <c r="Q56" s="61"/>
      <c r="R56" s="61"/>
      <c r="S56" s="87" t="str">
        <f aca="false">IF(OR(B56="",L56=""),"",INDEX(Lists!$AD$4:$AD$8,MATCH(L56,Lists!$AC$4:$AC$8,0)))</f>
        <v/>
      </c>
      <c r="T56" s="95" t="str">
        <f aca="false">IF(OR(S56="",ISERROR(S56)),"",B56+S56)</f>
        <v/>
      </c>
      <c r="U56" s="61"/>
      <c r="V56" s="63"/>
      <c r="W56" s="63"/>
      <c r="X56" s="60"/>
      <c r="Y56" s="62" t="str">
        <f aca="false">IF(E56="","",IF(AND(B56&lt;&gt;"",B56&gt;='Weekly Report'!$F$4,B56&lt;='Weekly Report'!$F$5),"NEW",IF(AND(W56&lt;&gt;"",W56&gt;='Weekly Report'!$F$4,W56&lt;='Weekly Report'!$F$5),"CHANGED","")))</f>
        <v/>
      </c>
      <c r="Z56" s="87" t="str">
        <f aca="true">IF(B56="","",IF(V56&lt;&gt;"",V56-B56,TODAY()-B56))</f>
        <v/>
      </c>
      <c r="AA56" s="62" t="str">
        <f aca="true">IF(OR(B56="",T56="",U56="False Positive",U56="Risk Accepted"),"",IF(V56&lt;&gt;"",IF(V56&gt;T56,"Closed Late","Met"),IF(TODAY()&gt;T56,"SLA BREACH",IF(T56-TODAY()&lt;=7,"Due ≤7d","Within SLA"))))</f>
        <v/>
      </c>
      <c r="AB56" s="61"/>
      <c r="AC56" s="61"/>
      <c r="AD56" s="60"/>
      <c r="AE56" s="88" t="str">
        <f aca="false">IF(Y56&lt;&gt;"",ROW(),"")</f>
        <v/>
      </c>
      <c r="AF56" s="88" t="str">
        <f aca="false">IF(AND(AND(E56&lt;&gt;"",U56&lt;&gt;"Remediated",U56&lt;&gt;"False Positive",U56&lt;&gt;"Risk Accepted"),T56&lt;&gt;"",T56&lt;='Weekly Report'!$F$7),ROW(),"")</f>
        <v/>
      </c>
      <c r="AG56" s="88" t="str">
        <f aca="false">IF(AND(AND(E56&lt;&gt;"",U56&lt;&gt;"Remediated",U56&lt;&gt;"False Positive",U56&lt;&gt;"Risk Accepted"),LEFT(Q56,6)="Breach"),ROW(),"")</f>
        <v/>
      </c>
    </row>
    <row r="57" customFormat="false" ht="15" hidden="false" customHeight="false" outlineLevel="0" collapsed="false">
      <c r="A57" s="56" t="s">
        <v>2213</v>
      </c>
      <c r="B57" s="63"/>
      <c r="C57" s="61"/>
      <c r="D57" s="61"/>
      <c r="E57" s="60"/>
      <c r="F57" s="61"/>
      <c r="G57" s="61"/>
      <c r="H57" s="61"/>
      <c r="I57" s="61"/>
      <c r="J57" s="60"/>
      <c r="K57" s="61"/>
      <c r="L57" s="61"/>
      <c r="M57" s="61"/>
      <c r="N57" s="60"/>
      <c r="O57" s="60"/>
      <c r="P57" s="60"/>
      <c r="Q57" s="61"/>
      <c r="R57" s="61"/>
      <c r="S57" s="87" t="str">
        <f aca="false">IF(OR(B57="",L57=""),"",INDEX(Lists!$AD$4:$AD$8,MATCH(L57,Lists!$AC$4:$AC$8,0)))</f>
        <v/>
      </c>
      <c r="T57" s="95" t="str">
        <f aca="false">IF(OR(S57="",ISERROR(S57)),"",B57+S57)</f>
        <v/>
      </c>
      <c r="U57" s="61"/>
      <c r="V57" s="63"/>
      <c r="W57" s="63"/>
      <c r="X57" s="60"/>
      <c r="Y57" s="62" t="str">
        <f aca="false">IF(E57="","",IF(AND(B57&lt;&gt;"",B57&gt;='Weekly Report'!$F$4,B57&lt;='Weekly Report'!$F$5),"NEW",IF(AND(W57&lt;&gt;"",W57&gt;='Weekly Report'!$F$4,W57&lt;='Weekly Report'!$F$5),"CHANGED","")))</f>
        <v/>
      </c>
      <c r="Z57" s="87" t="str">
        <f aca="true">IF(B57="","",IF(V57&lt;&gt;"",V57-B57,TODAY()-B57))</f>
        <v/>
      </c>
      <c r="AA57" s="62" t="str">
        <f aca="true">IF(OR(B57="",T57="",U57="False Positive",U57="Risk Accepted"),"",IF(V57&lt;&gt;"",IF(V57&gt;T57,"Closed Late","Met"),IF(TODAY()&gt;T57,"SLA BREACH",IF(T57-TODAY()&lt;=7,"Due ≤7d","Within SLA"))))</f>
        <v/>
      </c>
      <c r="AB57" s="61"/>
      <c r="AC57" s="61"/>
      <c r="AD57" s="60"/>
      <c r="AE57" s="88" t="str">
        <f aca="false">IF(Y57&lt;&gt;"",ROW(),"")</f>
        <v/>
      </c>
      <c r="AF57" s="88" t="str">
        <f aca="false">IF(AND(AND(E57&lt;&gt;"",U57&lt;&gt;"Remediated",U57&lt;&gt;"False Positive",U57&lt;&gt;"Risk Accepted"),T57&lt;&gt;"",T57&lt;='Weekly Report'!$F$7),ROW(),"")</f>
        <v/>
      </c>
      <c r="AG57" s="88" t="str">
        <f aca="false">IF(AND(AND(E57&lt;&gt;"",U57&lt;&gt;"Remediated",U57&lt;&gt;"False Positive",U57&lt;&gt;"Risk Accepted"),LEFT(Q57,6)="Breach"),ROW(),"")</f>
        <v/>
      </c>
    </row>
    <row r="58" customFormat="false" ht="15" hidden="false" customHeight="false" outlineLevel="0" collapsed="false">
      <c r="A58" s="56" t="s">
        <v>2214</v>
      </c>
      <c r="B58" s="63"/>
      <c r="C58" s="61"/>
      <c r="D58" s="61"/>
      <c r="E58" s="60"/>
      <c r="F58" s="61"/>
      <c r="G58" s="61"/>
      <c r="H58" s="61"/>
      <c r="I58" s="61"/>
      <c r="J58" s="60"/>
      <c r="K58" s="61"/>
      <c r="L58" s="61"/>
      <c r="M58" s="61"/>
      <c r="N58" s="60"/>
      <c r="O58" s="60"/>
      <c r="P58" s="60"/>
      <c r="Q58" s="61"/>
      <c r="R58" s="61"/>
      <c r="S58" s="87" t="str">
        <f aca="false">IF(OR(B58="",L58=""),"",INDEX(Lists!$AD$4:$AD$8,MATCH(L58,Lists!$AC$4:$AC$8,0)))</f>
        <v/>
      </c>
      <c r="T58" s="95" t="str">
        <f aca="false">IF(OR(S58="",ISERROR(S58)),"",B58+S58)</f>
        <v/>
      </c>
      <c r="U58" s="61"/>
      <c r="V58" s="63"/>
      <c r="W58" s="63"/>
      <c r="X58" s="60"/>
      <c r="Y58" s="62" t="str">
        <f aca="false">IF(E58="","",IF(AND(B58&lt;&gt;"",B58&gt;='Weekly Report'!$F$4,B58&lt;='Weekly Report'!$F$5),"NEW",IF(AND(W58&lt;&gt;"",W58&gt;='Weekly Report'!$F$4,W58&lt;='Weekly Report'!$F$5),"CHANGED","")))</f>
        <v/>
      </c>
      <c r="Z58" s="87" t="str">
        <f aca="true">IF(B58="","",IF(V58&lt;&gt;"",V58-B58,TODAY()-B58))</f>
        <v/>
      </c>
      <c r="AA58" s="62" t="str">
        <f aca="true">IF(OR(B58="",T58="",U58="False Positive",U58="Risk Accepted"),"",IF(V58&lt;&gt;"",IF(V58&gt;T58,"Closed Late","Met"),IF(TODAY()&gt;T58,"SLA BREACH",IF(T58-TODAY()&lt;=7,"Due ≤7d","Within SLA"))))</f>
        <v/>
      </c>
      <c r="AB58" s="61"/>
      <c r="AC58" s="61"/>
      <c r="AD58" s="60"/>
      <c r="AE58" s="88" t="str">
        <f aca="false">IF(Y58&lt;&gt;"",ROW(),"")</f>
        <v/>
      </c>
      <c r="AF58" s="88" t="str">
        <f aca="false">IF(AND(AND(E58&lt;&gt;"",U58&lt;&gt;"Remediated",U58&lt;&gt;"False Positive",U58&lt;&gt;"Risk Accepted"),T58&lt;&gt;"",T58&lt;='Weekly Report'!$F$7),ROW(),"")</f>
        <v/>
      </c>
      <c r="AG58" s="88" t="str">
        <f aca="false">IF(AND(AND(E58&lt;&gt;"",U58&lt;&gt;"Remediated",U58&lt;&gt;"False Positive",U58&lt;&gt;"Risk Accepted"),LEFT(Q58,6)="Breach"),ROW(),"")</f>
        <v/>
      </c>
    </row>
    <row r="59" customFormat="false" ht="15" hidden="false" customHeight="false" outlineLevel="0" collapsed="false">
      <c r="A59" s="56" t="s">
        <v>2215</v>
      </c>
      <c r="B59" s="63"/>
      <c r="C59" s="61"/>
      <c r="D59" s="61"/>
      <c r="E59" s="60"/>
      <c r="F59" s="61"/>
      <c r="G59" s="61"/>
      <c r="H59" s="61"/>
      <c r="I59" s="61"/>
      <c r="J59" s="60"/>
      <c r="K59" s="61"/>
      <c r="L59" s="61"/>
      <c r="M59" s="61"/>
      <c r="N59" s="60"/>
      <c r="O59" s="60"/>
      <c r="P59" s="60"/>
      <c r="Q59" s="61"/>
      <c r="R59" s="61"/>
      <c r="S59" s="87" t="str">
        <f aca="false">IF(OR(B59="",L59=""),"",INDEX(Lists!$AD$4:$AD$8,MATCH(L59,Lists!$AC$4:$AC$8,0)))</f>
        <v/>
      </c>
      <c r="T59" s="95" t="str">
        <f aca="false">IF(OR(S59="",ISERROR(S59)),"",B59+S59)</f>
        <v/>
      </c>
      <c r="U59" s="61"/>
      <c r="V59" s="63"/>
      <c r="W59" s="63"/>
      <c r="X59" s="60"/>
      <c r="Y59" s="62" t="str">
        <f aca="false">IF(E59="","",IF(AND(B59&lt;&gt;"",B59&gt;='Weekly Report'!$F$4,B59&lt;='Weekly Report'!$F$5),"NEW",IF(AND(W59&lt;&gt;"",W59&gt;='Weekly Report'!$F$4,W59&lt;='Weekly Report'!$F$5),"CHANGED","")))</f>
        <v/>
      </c>
      <c r="Z59" s="87" t="str">
        <f aca="true">IF(B59="","",IF(V59&lt;&gt;"",V59-B59,TODAY()-B59))</f>
        <v/>
      </c>
      <c r="AA59" s="62" t="str">
        <f aca="true">IF(OR(B59="",T59="",U59="False Positive",U59="Risk Accepted"),"",IF(V59&lt;&gt;"",IF(V59&gt;T59,"Closed Late","Met"),IF(TODAY()&gt;T59,"SLA BREACH",IF(T59-TODAY()&lt;=7,"Due ≤7d","Within SLA"))))</f>
        <v/>
      </c>
      <c r="AB59" s="61"/>
      <c r="AC59" s="61"/>
      <c r="AD59" s="60"/>
      <c r="AE59" s="88" t="str">
        <f aca="false">IF(Y59&lt;&gt;"",ROW(),"")</f>
        <v/>
      </c>
      <c r="AF59" s="88" t="str">
        <f aca="false">IF(AND(AND(E59&lt;&gt;"",U59&lt;&gt;"Remediated",U59&lt;&gt;"False Positive",U59&lt;&gt;"Risk Accepted"),T59&lt;&gt;"",T59&lt;='Weekly Report'!$F$7),ROW(),"")</f>
        <v/>
      </c>
      <c r="AG59" s="88" t="str">
        <f aca="false">IF(AND(AND(E59&lt;&gt;"",U59&lt;&gt;"Remediated",U59&lt;&gt;"False Positive",U59&lt;&gt;"Risk Accepted"),LEFT(Q59,6)="Breach"),ROW(),"")</f>
        <v/>
      </c>
    </row>
    <row r="60" customFormat="false" ht="15" hidden="false" customHeight="false" outlineLevel="0" collapsed="false">
      <c r="A60" s="56" t="s">
        <v>2216</v>
      </c>
      <c r="B60" s="63"/>
      <c r="C60" s="61"/>
      <c r="D60" s="61"/>
      <c r="E60" s="60"/>
      <c r="F60" s="61"/>
      <c r="G60" s="61"/>
      <c r="H60" s="61"/>
      <c r="I60" s="61"/>
      <c r="J60" s="60"/>
      <c r="K60" s="61"/>
      <c r="L60" s="61"/>
      <c r="M60" s="61"/>
      <c r="N60" s="60"/>
      <c r="O60" s="60"/>
      <c r="P60" s="60"/>
      <c r="Q60" s="61"/>
      <c r="R60" s="61"/>
      <c r="S60" s="87" t="str">
        <f aca="false">IF(OR(B60="",L60=""),"",INDEX(Lists!$AD$4:$AD$8,MATCH(L60,Lists!$AC$4:$AC$8,0)))</f>
        <v/>
      </c>
      <c r="T60" s="95" t="str">
        <f aca="false">IF(OR(S60="",ISERROR(S60)),"",B60+S60)</f>
        <v/>
      </c>
      <c r="U60" s="61"/>
      <c r="V60" s="63"/>
      <c r="W60" s="63"/>
      <c r="X60" s="60"/>
      <c r="Y60" s="62" t="str">
        <f aca="false">IF(E60="","",IF(AND(B60&lt;&gt;"",B60&gt;='Weekly Report'!$F$4,B60&lt;='Weekly Report'!$F$5),"NEW",IF(AND(W60&lt;&gt;"",W60&gt;='Weekly Report'!$F$4,W60&lt;='Weekly Report'!$F$5),"CHANGED","")))</f>
        <v/>
      </c>
      <c r="Z60" s="87" t="str">
        <f aca="true">IF(B60="","",IF(V60&lt;&gt;"",V60-B60,TODAY()-B60))</f>
        <v/>
      </c>
      <c r="AA60" s="62" t="str">
        <f aca="true">IF(OR(B60="",T60="",U60="False Positive",U60="Risk Accepted"),"",IF(V60&lt;&gt;"",IF(V60&gt;T60,"Closed Late","Met"),IF(TODAY()&gt;T60,"SLA BREACH",IF(T60-TODAY()&lt;=7,"Due ≤7d","Within SLA"))))</f>
        <v/>
      </c>
      <c r="AB60" s="61"/>
      <c r="AC60" s="61"/>
      <c r="AD60" s="60"/>
      <c r="AE60" s="88" t="str">
        <f aca="false">IF(Y60&lt;&gt;"",ROW(),"")</f>
        <v/>
      </c>
      <c r="AF60" s="88" t="str">
        <f aca="false">IF(AND(AND(E60&lt;&gt;"",U60&lt;&gt;"Remediated",U60&lt;&gt;"False Positive",U60&lt;&gt;"Risk Accepted"),T60&lt;&gt;"",T60&lt;='Weekly Report'!$F$7),ROW(),"")</f>
        <v/>
      </c>
      <c r="AG60" s="88" t="str">
        <f aca="false">IF(AND(AND(E60&lt;&gt;"",U60&lt;&gt;"Remediated",U60&lt;&gt;"False Positive",U60&lt;&gt;"Risk Accepted"),LEFT(Q60,6)="Breach"),ROW(),"")</f>
        <v/>
      </c>
    </row>
    <row r="61" customFormat="false" ht="15" hidden="false" customHeight="false" outlineLevel="0" collapsed="false">
      <c r="A61" s="56" t="s">
        <v>2217</v>
      </c>
      <c r="B61" s="63"/>
      <c r="C61" s="61"/>
      <c r="D61" s="61"/>
      <c r="E61" s="60"/>
      <c r="F61" s="61"/>
      <c r="G61" s="61"/>
      <c r="H61" s="61"/>
      <c r="I61" s="61"/>
      <c r="J61" s="60"/>
      <c r="K61" s="61"/>
      <c r="L61" s="61"/>
      <c r="M61" s="61"/>
      <c r="N61" s="60"/>
      <c r="O61" s="60"/>
      <c r="P61" s="60"/>
      <c r="Q61" s="61"/>
      <c r="R61" s="61"/>
      <c r="S61" s="87" t="str">
        <f aca="false">IF(OR(B61="",L61=""),"",INDEX(Lists!$AD$4:$AD$8,MATCH(L61,Lists!$AC$4:$AC$8,0)))</f>
        <v/>
      </c>
      <c r="T61" s="95" t="str">
        <f aca="false">IF(OR(S61="",ISERROR(S61)),"",B61+S61)</f>
        <v/>
      </c>
      <c r="U61" s="61"/>
      <c r="V61" s="63"/>
      <c r="W61" s="63"/>
      <c r="X61" s="60"/>
      <c r="Y61" s="62" t="str">
        <f aca="false">IF(E61="","",IF(AND(B61&lt;&gt;"",B61&gt;='Weekly Report'!$F$4,B61&lt;='Weekly Report'!$F$5),"NEW",IF(AND(W61&lt;&gt;"",W61&gt;='Weekly Report'!$F$4,W61&lt;='Weekly Report'!$F$5),"CHANGED","")))</f>
        <v/>
      </c>
      <c r="Z61" s="87" t="str">
        <f aca="true">IF(B61="","",IF(V61&lt;&gt;"",V61-B61,TODAY()-B61))</f>
        <v/>
      </c>
      <c r="AA61" s="62" t="str">
        <f aca="true">IF(OR(B61="",T61="",U61="False Positive",U61="Risk Accepted"),"",IF(V61&lt;&gt;"",IF(V61&gt;T61,"Closed Late","Met"),IF(TODAY()&gt;T61,"SLA BREACH",IF(T61-TODAY()&lt;=7,"Due ≤7d","Within SLA"))))</f>
        <v/>
      </c>
      <c r="AB61" s="61"/>
      <c r="AC61" s="61"/>
      <c r="AD61" s="60"/>
      <c r="AE61" s="88" t="str">
        <f aca="false">IF(Y61&lt;&gt;"",ROW(),"")</f>
        <v/>
      </c>
      <c r="AF61" s="88" t="str">
        <f aca="false">IF(AND(AND(E61&lt;&gt;"",U61&lt;&gt;"Remediated",U61&lt;&gt;"False Positive",U61&lt;&gt;"Risk Accepted"),T61&lt;&gt;"",T61&lt;='Weekly Report'!$F$7),ROW(),"")</f>
        <v/>
      </c>
      <c r="AG61" s="88" t="str">
        <f aca="false">IF(AND(AND(E61&lt;&gt;"",U61&lt;&gt;"Remediated",U61&lt;&gt;"False Positive",U61&lt;&gt;"Risk Accepted"),LEFT(Q61,6)="Breach"),ROW(),"")</f>
        <v/>
      </c>
    </row>
    <row r="62" customFormat="false" ht="15" hidden="false" customHeight="false" outlineLevel="0" collapsed="false">
      <c r="A62" s="56" t="s">
        <v>2218</v>
      </c>
      <c r="B62" s="63"/>
      <c r="C62" s="61"/>
      <c r="D62" s="61"/>
      <c r="E62" s="60"/>
      <c r="F62" s="61"/>
      <c r="G62" s="61"/>
      <c r="H62" s="61"/>
      <c r="I62" s="61"/>
      <c r="J62" s="60"/>
      <c r="K62" s="61"/>
      <c r="L62" s="61"/>
      <c r="M62" s="61"/>
      <c r="N62" s="60"/>
      <c r="O62" s="60"/>
      <c r="P62" s="60"/>
      <c r="Q62" s="61"/>
      <c r="R62" s="61"/>
      <c r="S62" s="87" t="str">
        <f aca="false">IF(OR(B62="",L62=""),"",INDEX(Lists!$AD$4:$AD$8,MATCH(L62,Lists!$AC$4:$AC$8,0)))</f>
        <v/>
      </c>
      <c r="T62" s="95" t="str">
        <f aca="false">IF(OR(S62="",ISERROR(S62)),"",B62+S62)</f>
        <v/>
      </c>
      <c r="U62" s="61"/>
      <c r="V62" s="63"/>
      <c r="W62" s="63"/>
      <c r="X62" s="60"/>
      <c r="Y62" s="62" t="str">
        <f aca="false">IF(E62="","",IF(AND(B62&lt;&gt;"",B62&gt;='Weekly Report'!$F$4,B62&lt;='Weekly Report'!$F$5),"NEW",IF(AND(W62&lt;&gt;"",W62&gt;='Weekly Report'!$F$4,W62&lt;='Weekly Report'!$F$5),"CHANGED","")))</f>
        <v/>
      </c>
      <c r="Z62" s="87" t="str">
        <f aca="true">IF(B62="","",IF(V62&lt;&gt;"",V62-B62,TODAY()-B62))</f>
        <v/>
      </c>
      <c r="AA62" s="62" t="str">
        <f aca="true">IF(OR(B62="",T62="",U62="False Positive",U62="Risk Accepted"),"",IF(V62&lt;&gt;"",IF(V62&gt;T62,"Closed Late","Met"),IF(TODAY()&gt;T62,"SLA BREACH",IF(T62-TODAY()&lt;=7,"Due ≤7d","Within SLA"))))</f>
        <v/>
      </c>
      <c r="AB62" s="61"/>
      <c r="AC62" s="61"/>
      <c r="AD62" s="60"/>
      <c r="AE62" s="88" t="str">
        <f aca="false">IF(Y62&lt;&gt;"",ROW(),"")</f>
        <v/>
      </c>
      <c r="AF62" s="88" t="str">
        <f aca="false">IF(AND(AND(E62&lt;&gt;"",U62&lt;&gt;"Remediated",U62&lt;&gt;"False Positive",U62&lt;&gt;"Risk Accepted"),T62&lt;&gt;"",T62&lt;='Weekly Report'!$F$7),ROW(),"")</f>
        <v/>
      </c>
      <c r="AG62" s="88" t="str">
        <f aca="false">IF(AND(AND(E62&lt;&gt;"",U62&lt;&gt;"Remediated",U62&lt;&gt;"False Positive",U62&lt;&gt;"Risk Accepted"),LEFT(Q62,6)="Breach"),ROW(),"")</f>
        <v/>
      </c>
    </row>
    <row r="63" customFormat="false" ht="15" hidden="false" customHeight="false" outlineLevel="0" collapsed="false">
      <c r="A63" s="56" t="s">
        <v>2219</v>
      </c>
      <c r="B63" s="63"/>
      <c r="C63" s="61"/>
      <c r="D63" s="61"/>
      <c r="E63" s="60"/>
      <c r="F63" s="61"/>
      <c r="G63" s="61"/>
      <c r="H63" s="61"/>
      <c r="I63" s="61"/>
      <c r="J63" s="60"/>
      <c r="K63" s="61"/>
      <c r="L63" s="61"/>
      <c r="M63" s="61"/>
      <c r="N63" s="60"/>
      <c r="O63" s="60"/>
      <c r="P63" s="60"/>
      <c r="Q63" s="61"/>
      <c r="R63" s="61"/>
      <c r="S63" s="87" t="str">
        <f aca="false">IF(OR(B63="",L63=""),"",INDEX(Lists!$AD$4:$AD$8,MATCH(L63,Lists!$AC$4:$AC$8,0)))</f>
        <v/>
      </c>
      <c r="T63" s="95" t="str">
        <f aca="false">IF(OR(S63="",ISERROR(S63)),"",B63+S63)</f>
        <v/>
      </c>
      <c r="U63" s="61"/>
      <c r="V63" s="63"/>
      <c r="W63" s="63"/>
      <c r="X63" s="60"/>
      <c r="Y63" s="62" t="str">
        <f aca="false">IF(E63="","",IF(AND(B63&lt;&gt;"",B63&gt;='Weekly Report'!$F$4,B63&lt;='Weekly Report'!$F$5),"NEW",IF(AND(W63&lt;&gt;"",W63&gt;='Weekly Report'!$F$4,W63&lt;='Weekly Report'!$F$5),"CHANGED","")))</f>
        <v/>
      </c>
      <c r="Z63" s="87" t="str">
        <f aca="true">IF(B63="","",IF(V63&lt;&gt;"",V63-B63,TODAY()-B63))</f>
        <v/>
      </c>
      <c r="AA63" s="62" t="str">
        <f aca="true">IF(OR(B63="",T63="",U63="False Positive",U63="Risk Accepted"),"",IF(V63&lt;&gt;"",IF(V63&gt;T63,"Closed Late","Met"),IF(TODAY()&gt;T63,"SLA BREACH",IF(T63-TODAY()&lt;=7,"Due ≤7d","Within SLA"))))</f>
        <v/>
      </c>
      <c r="AB63" s="61"/>
      <c r="AC63" s="61"/>
      <c r="AD63" s="60"/>
      <c r="AE63" s="88" t="str">
        <f aca="false">IF(Y63&lt;&gt;"",ROW(),"")</f>
        <v/>
      </c>
      <c r="AF63" s="88" t="str">
        <f aca="false">IF(AND(AND(E63&lt;&gt;"",U63&lt;&gt;"Remediated",U63&lt;&gt;"False Positive",U63&lt;&gt;"Risk Accepted"),T63&lt;&gt;"",T63&lt;='Weekly Report'!$F$7),ROW(),"")</f>
        <v/>
      </c>
      <c r="AG63" s="88" t="str">
        <f aca="false">IF(AND(AND(E63&lt;&gt;"",U63&lt;&gt;"Remediated",U63&lt;&gt;"False Positive",U63&lt;&gt;"Risk Accepted"),LEFT(Q63,6)="Breach"),ROW(),"")</f>
        <v/>
      </c>
    </row>
    <row r="64" customFormat="false" ht="15" hidden="false" customHeight="false" outlineLevel="0" collapsed="false">
      <c r="A64" s="56" t="s">
        <v>2220</v>
      </c>
      <c r="B64" s="63"/>
      <c r="C64" s="61"/>
      <c r="D64" s="61"/>
      <c r="E64" s="60"/>
      <c r="F64" s="61"/>
      <c r="G64" s="61"/>
      <c r="H64" s="61"/>
      <c r="I64" s="61"/>
      <c r="J64" s="60"/>
      <c r="K64" s="61"/>
      <c r="L64" s="61"/>
      <c r="M64" s="61"/>
      <c r="N64" s="60"/>
      <c r="O64" s="60"/>
      <c r="P64" s="60"/>
      <c r="Q64" s="61"/>
      <c r="R64" s="61"/>
      <c r="S64" s="87" t="str">
        <f aca="false">IF(OR(B64="",L64=""),"",INDEX(Lists!$AD$4:$AD$8,MATCH(L64,Lists!$AC$4:$AC$8,0)))</f>
        <v/>
      </c>
      <c r="T64" s="95" t="str">
        <f aca="false">IF(OR(S64="",ISERROR(S64)),"",B64+S64)</f>
        <v/>
      </c>
      <c r="U64" s="61"/>
      <c r="V64" s="63"/>
      <c r="W64" s="63"/>
      <c r="X64" s="60"/>
      <c r="Y64" s="62" t="str">
        <f aca="false">IF(E64="","",IF(AND(B64&lt;&gt;"",B64&gt;='Weekly Report'!$F$4,B64&lt;='Weekly Report'!$F$5),"NEW",IF(AND(W64&lt;&gt;"",W64&gt;='Weekly Report'!$F$4,W64&lt;='Weekly Report'!$F$5),"CHANGED","")))</f>
        <v/>
      </c>
      <c r="Z64" s="87" t="str">
        <f aca="true">IF(B64="","",IF(V64&lt;&gt;"",V64-B64,TODAY()-B64))</f>
        <v/>
      </c>
      <c r="AA64" s="62" t="str">
        <f aca="true">IF(OR(B64="",T64="",U64="False Positive",U64="Risk Accepted"),"",IF(V64&lt;&gt;"",IF(V64&gt;T64,"Closed Late","Met"),IF(TODAY()&gt;T64,"SLA BREACH",IF(T64-TODAY()&lt;=7,"Due ≤7d","Within SLA"))))</f>
        <v/>
      </c>
      <c r="AB64" s="61"/>
      <c r="AC64" s="61"/>
      <c r="AD64" s="60"/>
      <c r="AE64" s="88" t="str">
        <f aca="false">IF(Y64&lt;&gt;"",ROW(),"")</f>
        <v/>
      </c>
      <c r="AF64" s="88" t="str">
        <f aca="false">IF(AND(AND(E64&lt;&gt;"",U64&lt;&gt;"Remediated",U64&lt;&gt;"False Positive",U64&lt;&gt;"Risk Accepted"),T64&lt;&gt;"",T64&lt;='Weekly Report'!$F$7),ROW(),"")</f>
        <v/>
      </c>
      <c r="AG64" s="88" t="str">
        <f aca="false">IF(AND(AND(E64&lt;&gt;"",U64&lt;&gt;"Remediated",U64&lt;&gt;"False Positive",U64&lt;&gt;"Risk Accepted"),LEFT(Q64,6)="Breach"),ROW(),"")</f>
        <v/>
      </c>
    </row>
    <row r="65" customFormat="false" ht="15" hidden="false" customHeight="false" outlineLevel="0" collapsed="false">
      <c r="A65" s="56" t="s">
        <v>2221</v>
      </c>
      <c r="B65" s="63"/>
      <c r="C65" s="61"/>
      <c r="D65" s="61"/>
      <c r="E65" s="60"/>
      <c r="F65" s="61"/>
      <c r="G65" s="61"/>
      <c r="H65" s="61"/>
      <c r="I65" s="61"/>
      <c r="J65" s="60"/>
      <c r="K65" s="61"/>
      <c r="L65" s="61"/>
      <c r="M65" s="61"/>
      <c r="N65" s="60"/>
      <c r="O65" s="60"/>
      <c r="P65" s="60"/>
      <c r="Q65" s="61"/>
      <c r="R65" s="61"/>
      <c r="S65" s="87" t="str">
        <f aca="false">IF(OR(B65="",L65=""),"",INDEX(Lists!$AD$4:$AD$8,MATCH(L65,Lists!$AC$4:$AC$8,0)))</f>
        <v/>
      </c>
      <c r="T65" s="95" t="str">
        <f aca="false">IF(OR(S65="",ISERROR(S65)),"",B65+S65)</f>
        <v/>
      </c>
      <c r="U65" s="61"/>
      <c r="V65" s="63"/>
      <c r="W65" s="63"/>
      <c r="X65" s="60"/>
      <c r="Y65" s="62" t="str">
        <f aca="false">IF(E65="","",IF(AND(B65&lt;&gt;"",B65&gt;='Weekly Report'!$F$4,B65&lt;='Weekly Report'!$F$5),"NEW",IF(AND(W65&lt;&gt;"",W65&gt;='Weekly Report'!$F$4,W65&lt;='Weekly Report'!$F$5),"CHANGED","")))</f>
        <v/>
      </c>
      <c r="Z65" s="87" t="str">
        <f aca="true">IF(B65="","",IF(V65&lt;&gt;"",V65-B65,TODAY()-B65))</f>
        <v/>
      </c>
      <c r="AA65" s="62" t="str">
        <f aca="true">IF(OR(B65="",T65="",U65="False Positive",U65="Risk Accepted"),"",IF(V65&lt;&gt;"",IF(V65&gt;T65,"Closed Late","Met"),IF(TODAY()&gt;T65,"SLA BREACH",IF(T65-TODAY()&lt;=7,"Due ≤7d","Within SLA"))))</f>
        <v/>
      </c>
      <c r="AB65" s="61"/>
      <c r="AC65" s="61"/>
      <c r="AD65" s="60"/>
      <c r="AE65" s="88" t="str">
        <f aca="false">IF(Y65&lt;&gt;"",ROW(),"")</f>
        <v/>
      </c>
      <c r="AF65" s="88" t="str">
        <f aca="false">IF(AND(AND(E65&lt;&gt;"",U65&lt;&gt;"Remediated",U65&lt;&gt;"False Positive",U65&lt;&gt;"Risk Accepted"),T65&lt;&gt;"",T65&lt;='Weekly Report'!$F$7),ROW(),"")</f>
        <v/>
      </c>
      <c r="AG65" s="88" t="str">
        <f aca="false">IF(AND(AND(E65&lt;&gt;"",U65&lt;&gt;"Remediated",U65&lt;&gt;"False Positive",U65&lt;&gt;"Risk Accepted"),LEFT(Q65,6)="Breach"),ROW(),"")</f>
        <v/>
      </c>
    </row>
    <row r="66" customFormat="false" ht="15" hidden="false" customHeight="false" outlineLevel="0" collapsed="false">
      <c r="A66" s="56" t="s">
        <v>2222</v>
      </c>
      <c r="B66" s="63"/>
      <c r="C66" s="61"/>
      <c r="D66" s="61"/>
      <c r="E66" s="60"/>
      <c r="F66" s="61"/>
      <c r="G66" s="61"/>
      <c r="H66" s="61"/>
      <c r="I66" s="61"/>
      <c r="J66" s="60"/>
      <c r="K66" s="61"/>
      <c r="L66" s="61"/>
      <c r="M66" s="61"/>
      <c r="N66" s="60"/>
      <c r="O66" s="60"/>
      <c r="P66" s="60"/>
      <c r="Q66" s="61"/>
      <c r="R66" s="61"/>
      <c r="S66" s="87" t="str">
        <f aca="false">IF(OR(B66="",L66=""),"",INDEX(Lists!$AD$4:$AD$8,MATCH(L66,Lists!$AC$4:$AC$8,0)))</f>
        <v/>
      </c>
      <c r="T66" s="95" t="str">
        <f aca="false">IF(OR(S66="",ISERROR(S66)),"",B66+S66)</f>
        <v/>
      </c>
      <c r="U66" s="61"/>
      <c r="V66" s="63"/>
      <c r="W66" s="63"/>
      <c r="X66" s="60"/>
      <c r="Y66" s="62" t="str">
        <f aca="false">IF(E66="","",IF(AND(B66&lt;&gt;"",B66&gt;='Weekly Report'!$F$4,B66&lt;='Weekly Report'!$F$5),"NEW",IF(AND(W66&lt;&gt;"",W66&gt;='Weekly Report'!$F$4,W66&lt;='Weekly Report'!$F$5),"CHANGED","")))</f>
        <v/>
      </c>
      <c r="Z66" s="87" t="str">
        <f aca="true">IF(B66="","",IF(V66&lt;&gt;"",V66-B66,TODAY()-B66))</f>
        <v/>
      </c>
      <c r="AA66" s="62" t="str">
        <f aca="true">IF(OR(B66="",T66="",U66="False Positive",U66="Risk Accepted"),"",IF(V66&lt;&gt;"",IF(V66&gt;T66,"Closed Late","Met"),IF(TODAY()&gt;T66,"SLA BREACH",IF(T66-TODAY()&lt;=7,"Due ≤7d","Within SLA"))))</f>
        <v/>
      </c>
      <c r="AB66" s="61"/>
      <c r="AC66" s="61"/>
      <c r="AD66" s="60"/>
      <c r="AE66" s="88" t="str">
        <f aca="false">IF(Y66&lt;&gt;"",ROW(),"")</f>
        <v/>
      </c>
      <c r="AF66" s="88" t="str">
        <f aca="false">IF(AND(AND(E66&lt;&gt;"",U66&lt;&gt;"Remediated",U66&lt;&gt;"False Positive",U66&lt;&gt;"Risk Accepted"),T66&lt;&gt;"",T66&lt;='Weekly Report'!$F$7),ROW(),"")</f>
        <v/>
      </c>
      <c r="AG66" s="88" t="str">
        <f aca="false">IF(AND(AND(E66&lt;&gt;"",U66&lt;&gt;"Remediated",U66&lt;&gt;"False Positive",U66&lt;&gt;"Risk Accepted"),LEFT(Q66,6)="Breach"),ROW(),"")</f>
        <v/>
      </c>
    </row>
    <row r="67" customFormat="false" ht="15" hidden="false" customHeight="false" outlineLevel="0" collapsed="false">
      <c r="A67" s="56" t="s">
        <v>2223</v>
      </c>
      <c r="B67" s="63"/>
      <c r="C67" s="61"/>
      <c r="D67" s="61"/>
      <c r="E67" s="60"/>
      <c r="F67" s="61"/>
      <c r="G67" s="61"/>
      <c r="H67" s="61"/>
      <c r="I67" s="61"/>
      <c r="J67" s="60"/>
      <c r="K67" s="61"/>
      <c r="L67" s="61"/>
      <c r="M67" s="61"/>
      <c r="N67" s="60"/>
      <c r="O67" s="60"/>
      <c r="P67" s="60"/>
      <c r="Q67" s="61"/>
      <c r="R67" s="61"/>
      <c r="S67" s="87" t="str">
        <f aca="false">IF(OR(B67="",L67=""),"",INDEX(Lists!$AD$4:$AD$8,MATCH(L67,Lists!$AC$4:$AC$8,0)))</f>
        <v/>
      </c>
      <c r="T67" s="95" t="str">
        <f aca="false">IF(OR(S67="",ISERROR(S67)),"",B67+S67)</f>
        <v/>
      </c>
      <c r="U67" s="61"/>
      <c r="V67" s="63"/>
      <c r="W67" s="63"/>
      <c r="X67" s="60"/>
      <c r="Y67" s="62" t="str">
        <f aca="false">IF(E67="","",IF(AND(B67&lt;&gt;"",B67&gt;='Weekly Report'!$F$4,B67&lt;='Weekly Report'!$F$5),"NEW",IF(AND(W67&lt;&gt;"",W67&gt;='Weekly Report'!$F$4,W67&lt;='Weekly Report'!$F$5),"CHANGED","")))</f>
        <v/>
      </c>
      <c r="Z67" s="87" t="str">
        <f aca="true">IF(B67="","",IF(V67&lt;&gt;"",V67-B67,TODAY()-B67))</f>
        <v/>
      </c>
      <c r="AA67" s="62" t="str">
        <f aca="true">IF(OR(B67="",T67="",U67="False Positive",U67="Risk Accepted"),"",IF(V67&lt;&gt;"",IF(V67&gt;T67,"Closed Late","Met"),IF(TODAY()&gt;T67,"SLA BREACH",IF(T67-TODAY()&lt;=7,"Due ≤7d","Within SLA"))))</f>
        <v/>
      </c>
      <c r="AB67" s="61"/>
      <c r="AC67" s="61"/>
      <c r="AD67" s="60"/>
      <c r="AE67" s="88" t="str">
        <f aca="false">IF(Y67&lt;&gt;"",ROW(),"")</f>
        <v/>
      </c>
      <c r="AF67" s="88" t="str">
        <f aca="false">IF(AND(AND(E67&lt;&gt;"",U67&lt;&gt;"Remediated",U67&lt;&gt;"False Positive",U67&lt;&gt;"Risk Accepted"),T67&lt;&gt;"",T67&lt;='Weekly Report'!$F$7),ROW(),"")</f>
        <v/>
      </c>
      <c r="AG67" s="88" t="str">
        <f aca="false">IF(AND(AND(E67&lt;&gt;"",U67&lt;&gt;"Remediated",U67&lt;&gt;"False Positive",U67&lt;&gt;"Risk Accepted"),LEFT(Q67,6)="Breach"),ROW(),"")</f>
        <v/>
      </c>
    </row>
    <row r="68" customFormat="false" ht="15" hidden="false" customHeight="false" outlineLevel="0" collapsed="false">
      <c r="A68" s="56" t="s">
        <v>2224</v>
      </c>
      <c r="B68" s="63"/>
      <c r="C68" s="61"/>
      <c r="D68" s="61"/>
      <c r="E68" s="60"/>
      <c r="F68" s="61"/>
      <c r="G68" s="61"/>
      <c r="H68" s="61"/>
      <c r="I68" s="61"/>
      <c r="J68" s="60"/>
      <c r="K68" s="61"/>
      <c r="L68" s="61"/>
      <c r="M68" s="61"/>
      <c r="N68" s="60"/>
      <c r="O68" s="60"/>
      <c r="P68" s="60"/>
      <c r="Q68" s="61"/>
      <c r="R68" s="61"/>
      <c r="S68" s="87" t="str">
        <f aca="false">IF(OR(B68="",L68=""),"",INDEX(Lists!$AD$4:$AD$8,MATCH(L68,Lists!$AC$4:$AC$8,0)))</f>
        <v/>
      </c>
      <c r="T68" s="95" t="str">
        <f aca="false">IF(OR(S68="",ISERROR(S68)),"",B68+S68)</f>
        <v/>
      </c>
      <c r="U68" s="61"/>
      <c r="V68" s="63"/>
      <c r="W68" s="63"/>
      <c r="X68" s="60"/>
      <c r="Y68" s="62" t="str">
        <f aca="false">IF(E68="","",IF(AND(B68&lt;&gt;"",B68&gt;='Weekly Report'!$F$4,B68&lt;='Weekly Report'!$F$5),"NEW",IF(AND(W68&lt;&gt;"",W68&gt;='Weekly Report'!$F$4,W68&lt;='Weekly Report'!$F$5),"CHANGED","")))</f>
        <v/>
      </c>
      <c r="Z68" s="87" t="str">
        <f aca="true">IF(B68="","",IF(V68&lt;&gt;"",V68-B68,TODAY()-B68))</f>
        <v/>
      </c>
      <c r="AA68" s="62" t="str">
        <f aca="true">IF(OR(B68="",T68="",U68="False Positive",U68="Risk Accepted"),"",IF(V68&lt;&gt;"",IF(V68&gt;T68,"Closed Late","Met"),IF(TODAY()&gt;T68,"SLA BREACH",IF(T68-TODAY()&lt;=7,"Due ≤7d","Within SLA"))))</f>
        <v/>
      </c>
      <c r="AB68" s="61"/>
      <c r="AC68" s="61"/>
      <c r="AD68" s="60"/>
      <c r="AE68" s="88" t="str">
        <f aca="false">IF(Y68&lt;&gt;"",ROW(),"")</f>
        <v/>
      </c>
      <c r="AF68" s="88" t="str">
        <f aca="false">IF(AND(AND(E68&lt;&gt;"",U68&lt;&gt;"Remediated",U68&lt;&gt;"False Positive",U68&lt;&gt;"Risk Accepted"),T68&lt;&gt;"",T68&lt;='Weekly Report'!$F$7),ROW(),"")</f>
        <v/>
      </c>
      <c r="AG68" s="88" t="str">
        <f aca="false">IF(AND(AND(E68&lt;&gt;"",U68&lt;&gt;"Remediated",U68&lt;&gt;"False Positive",U68&lt;&gt;"Risk Accepted"),LEFT(Q68,6)="Breach"),ROW(),"")</f>
        <v/>
      </c>
    </row>
    <row r="69" customFormat="false" ht="15" hidden="false" customHeight="false" outlineLevel="0" collapsed="false">
      <c r="A69" s="56" t="s">
        <v>2225</v>
      </c>
      <c r="B69" s="63"/>
      <c r="C69" s="61"/>
      <c r="D69" s="61"/>
      <c r="E69" s="60"/>
      <c r="F69" s="61"/>
      <c r="G69" s="61"/>
      <c r="H69" s="61"/>
      <c r="I69" s="61"/>
      <c r="J69" s="60"/>
      <c r="K69" s="61"/>
      <c r="L69" s="61"/>
      <c r="M69" s="61"/>
      <c r="N69" s="60"/>
      <c r="O69" s="60"/>
      <c r="P69" s="60"/>
      <c r="Q69" s="61"/>
      <c r="R69" s="61"/>
      <c r="S69" s="87" t="str">
        <f aca="false">IF(OR(B69="",L69=""),"",INDEX(Lists!$AD$4:$AD$8,MATCH(L69,Lists!$AC$4:$AC$8,0)))</f>
        <v/>
      </c>
      <c r="T69" s="95" t="str">
        <f aca="false">IF(OR(S69="",ISERROR(S69)),"",B69+S69)</f>
        <v/>
      </c>
      <c r="U69" s="61"/>
      <c r="V69" s="63"/>
      <c r="W69" s="63"/>
      <c r="X69" s="60"/>
      <c r="Y69" s="62" t="str">
        <f aca="false">IF(E69="","",IF(AND(B69&lt;&gt;"",B69&gt;='Weekly Report'!$F$4,B69&lt;='Weekly Report'!$F$5),"NEW",IF(AND(W69&lt;&gt;"",W69&gt;='Weekly Report'!$F$4,W69&lt;='Weekly Report'!$F$5),"CHANGED","")))</f>
        <v/>
      </c>
      <c r="Z69" s="87" t="str">
        <f aca="true">IF(B69="","",IF(V69&lt;&gt;"",V69-B69,TODAY()-B69))</f>
        <v/>
      </c>
      <c r="AA69" s="62" t="str">
        <f aca="true">IF(OR(B69="",T69="",U69="False Positive",U69="Risk Accepted"),"",IF(V69&lt;&gt;"",IF(V69&gt;T69,"Closed Late","Met"),IF(TODAY()&gt;T69,"SLA BREACH",IF(T69-TODAY()&lt;=7,"Due ≤7d","Within SLA"))))</f>
        <v/>
      </c>
      <c r="AB69" s="61"/>
      <c r="AC69" s="61"/>
      <c r="AD69" s="60"/>
      <c r="AE69" s="88" t="str">
        <f aca="false">IF(Y69&lt;&gt;"",ROW(),"")</f>
        <v/>
      </c>
      <c r="AF69" s="88" t="str">
        <f aca="false">IF(AND(AND(E69&lt;&gt;"",U69&lt;&gt;"Remediated",U69&lt;&gt;"False Positive",U69&lt;&gt;"Risk Accepted"),T69&lt;&gt;"",T69&lt;='Weekly Report'!$F$7),ROW(),"")</f>
        <v/>
      </c>
      <c r="AG69" s="88" t="str">
        <f aca="false">IF(AND(AND(E69&lt;&gt;"",U69&lt;&gt;"Remediated",U69&lt;&gt;"False Positive",U69&lt;&gt;"Risk Accepted"),LEFT(Q69,6)="Breach"),ROW(),"")</f>
        <v/>
      </c>
    </row>
    <row r="70" customFormat="false" ht="15" hidden="false" customHeight="false" outlineLevel="0" collapsed="false">
      <c r="A70" s="56" t="s">
        <v>2226</v>
      </c>
      <c r="B70" s="63"/>
      <c r="C70" s="61"/>
      <c r="D70" s="61"/>
      <c r="E70" s="60"/>
      <c r="F70" s="61"/>
      <c r="G70" s="61"/>
      <c r="H70" s="61"/>
      <c r="I70" s="61"/>
      <c r="J70" s="60"/>
      <c r="K70" s="61"/>
      <c r="L70" s="61"/>
      <c r="M70" s="61"/>
      <c r="N70" s="60"/>
      <c r="O70" s="60"/>
      <c r="P70" s="60"/>
      <c r="Q70" s="61"/>
      <c r="R70" s="61"/>
      <c r="S70" s="87" t="str">
        <f aca="false">IF(OR(B70="",L70=""),"",INDEX(Lists!$AD$4:$AD$8,MATCH(L70,Lists!$AC$4:$AC$8,0)))</f>
        <v/>
      </c>
      <c r="T70" s="95" t="str">
        <f aca="false">IF(OR(S70="",ISERROR(S70)),"",B70+S70)</f>
        <v/>
      </c>
      <c r="U70" s="61"/>
      <c r="V70" s="63"/>
      <c r="W70" s="63"/>
      <c r="X70" s="60"/>
      <c r="Y70" s="62" t="str">
        <f aca="false">IF(E70="","",IF(AND(B70&lt;&gt;"",B70&gt;='Weekly Report'!$F$4,B70&lt;='Weekly Report'!$F$5),"NEW",IF(AND(W70&lt;&gt;"",W70&gt;='Weekly Report'!$F$4,W70&lt;='Weekly Report'!$F$5),"CHANGED","")))</f>
        <v/>
      </c>
      <c r="Z70" s="87" t="str">
        <f aca="true">IF(B70="","",IF(V70&lt;&gt;"",V70-B70,TODAY()-B70))</f>
        <v/>
      </c>
      <c r="AA70" s="62" t="str">
        <f aca="true">IF(OR(B70="",T70="",U70="False Positive",U70="Risk Accepted"),"",IF(V70&lt;&gt;"",IF(V70&gt;T70,"Closed Late","Met"),IF(TODAY()&gt;T70,"SLA BREACH",IF(T70-TODAY()&lt;=7,"Due ≤7d","Within SLA"))))</f>
        <v/>
      </c>
      <c r="AB70" s="61"/>
      <c r="AC70" s="61"/>
      <c r="AD70" s="60"/>
      <c r="AE70" s="88" t="str">
        <f aca="false">IF(Y70&lt;&gt;"",ROW(),"")</f>
        <v/>
      </c>
      <c r="AF70" s="88" t="str">
        <f aca="false">IF(AND(AND(E70&lt;&gt;"",U70&lt;&gt;"Remediated",U70&lt;&gt;"False Positive",U70&lt;&gt;"Risk Accepted"),T70&lt;&gt;"",T70&lt;='Weekly Report'!$F$7),ROW(),"")</f>
        <v/>
      </c>
      <c r="AG70" s="88" t="str">
        <f aca="false">IF(AND(AND(E70&lt;&gt;"",U70&lt;&gt;"Remediated",U70&lt;&gt;"False Positive",U70&lt;&gt;"Risk Accepted"),LEFT(Q70,6)="Breach"),ROW(),"")</f>
        <v/>
      </c>
    </row>
    <row r="71" customFormat="false" ht="15" hidden="false" customHeight="false" outlineLevel="0" collapsed="false">
      <c r="A71" s="56" t="s">
        <v>2227</v>
      </c>
      <c r="B71" s="63"/>
      <c r="C71" s="61"/>
      <c r="D71" s="61"/>
      <c r="E71" s="60"/>
      <c r="F71" s="61"/>
      <c r="G71" s="61"/>
      <c r="H71" s="61"/>
      <c r="I71" s="61"/>
      <c r="J71" s="60"/>
      <c r="K71" s="61"/>
      <c r="L71" s="61"/>
      <c r="M71" s="61"/>
      <c r="N71" s="60"/>
      <c r="O71" s="60"/>
      <c r="P71" s="60"/>
      <c r="Q71" s="61"/>
      <c r="R71" s="61"/>
      <c r="S71" s="87" t="str">
        <f aca="false">IF(OR(B71="",L71=""),"",INDEX(Lists!$AD$4:$AD$8,MATCH(L71,Lists!$AC$4:$AC$8,0)))</f>
        <v/>
      </c>
      <c r="T71" s="95" t="str">
        <f aca="false">IF(OR(S71="",ISERROR(S71)),"",B71+S71)</f>
        <v/>
      </c>
      <c r="U71" s="61"/>
      <c r="V71" s="63"/>
      <c r="W71" s="63"/>
      <c r="X71" s="60"/>
      <c r="Y71" s="62" t="str">
        <f aca="false">IF(E71="","",IF(AND(B71&lt;&gt;"",B71&gt;='Weekly Report'!$F$4,B71&lt;='Weekly Report'!$F$5),"NEW",IF(AND(W71&lt;&gt;"",W71&gt;='Weekly Report'!$F$4,W71&lt;='Weekly Report'!$F$5),"CHANGED","")))</f>
        <v/>
      </c>
      <c r="Z71" s="87" t="str">
        <f aca="true">IF(B71="","",IF(V71&lt;&gt;"",V71-B71,TODAY()-B71))</f>
        <v/>
      </c>
      <c r="AA71" s="62" t="str">
        <f aca="true">IF(OR(B71="",T71="",U71="False Positive",U71="Risk Accepted"),"",IF(V71&lt;&gt;"",IF(V71&gt;T71,"Closed Late","Met"),IF(TODAY()&gt;T71,"SLA BREACH",IF(T71-TODAY()&lt;=7,"Due ≤7d","Within SLA"))))</f>
        <v/>
      </c>
      <c r="AB71" s="61"/>
      <c r="AC71" s="61"/>
      <c r="AD71" s="60"/>
      <c r="AE71" s="88" t="str">
        <f aca="false">IF(Y71&lt;&gt;"",ROW(),"")</f>
        <v/>
      </c>
      <c r="AF71" s="88" t="str">
        <f aca="false">IF(AND(AND(E71&lt;&gt;"",U71&lt;&gt;"Remediated",U71&lt;&gt;"False Positive",U71&lt;&gt;"Risk Accepted"),T71&lt;&gt;"",T71&lt;='Weekly Report'!$F$7),ROW(),"")</f>
        <v/>
      </c>
      <c r="AG71" s="88" t="str">
        <f aca="false">IF(AND(AND(E71&lt;&gt;"",U71&lt;&gt;"Remediated",U71&lt;&gt;"False Positive",U71&lt;&gt;"Risk Accepted"),LEFT(Q71,6)="Breach"),ROW(),"")</f>
        <v/>
      </c>
    </row>
    <row r="72" customFormat="false" ht="15" hidden="false" customHeight="false" outlineLevel="0" collapsed="false">
      <c r="A72" s="56" t="s">
        <v>2228</v>
      </c>
      <c r="B72" s="63"/>
      <c r="C72" s="61"/>
      <c r="D72" s="61"/>
      <c r="E72" s="60"/>
      <c r="F72" s="61"/>
      <c r="G72" s="61"/>
      <c r="H72" s="61"/>
      <c r="I72" s="61"/>
      <c r="J72" s="60"/>
      <c r="K72" s="61"/>
      <c r="L72" s="61"/>
      <c r="M72" s="61"/>
      <c r="N72" s="60"/>
      <c r="O72" s="60"/>
      <c r="P72" s="60"/>
      <c r="Q72" s="61"/>
      <c r="R72" s="61"/>
      <c r="S72" s="87" t="str">
        <f aca="false">IF(OR(B72="",L72=""),"",INDEX(Lists!$AD$4:$AD$8,MATCH(L72,Lists!$AC$4:$AC$8,0)))</f>
        <v/>
      </c>
      <c r="T72" s="95" t="str">
        <f aca="false">IF(OR(S72="",ISERROR(S72)),"",B72+S72)</f>
        <v/>
      </c>
      <c r="U72" s="61"/>
      <c r="V72" s="63"/>
      <c r="W72" s="63"/>
      <c r="X72" s="60"/>
      <c r="Y72" s="62" t="str">
        <f aca="false">IF(E72="","",IF(AND(B72&lt;&gt;"",B72&gt;='Weekly Report'!$F$4,B72&lt;='Weekly Report'!$F$5),"NEW",IF(AND(W72&lt;&gt;"",W72&gt;='Weekly Report'!$F$4,W72&lt;='Weekly Report'!$F$5),"CHANGED","")))</f>
        <v/>
      </c>
      <c r="Z72" s="87" t="str">
        <f aca="true">IF(B72="","",IF(V72&lt;&gt;"",V72-B72,TODAY()-B72))</f>
        <v/>
      </c>
      <c r="AA72" s="62" t="str">
        <f aca="true">IF(OR(B72="",T72="",U72="False Positive",U72="Risk Accepted"),"",IF(V72&lt;&gt;"",IF(V72&gt;T72,"Closed Late","Met"),IF(TODAY()&gt;T72,"SLA BREACH",IF(T72-TODAY()&lt;=7,"Due ≤7d","Within SLA"))))</f>
        <v/>
      </c>
      <c r="AB72" s="61"/>
      <c r="AC72" s="61"/>
      <c r="AD72" s="60"/>
      <c r="AE72" s="88" t="str">
        <f aca="false">IF(Y72&lt;&gt;"",ROW(),"")</f>
        <v/>
      </c>
      <c r="AF72" s="88" t="str">
        <f aca="false">IF(AND(AND(E72&lt;&gt;"",U72&lt;&gt;"Remediated",U72&lt;&gt;"False Positive",U72&lt;&gt;"Risk Accepted"),T72&lt;&gt;"",T72&lt;='Weekly Report'!$F$7),ROW(),"")</f>
        <v/>
      </c>
      <c r="AG72" s="88" t="str">
        <f aca="false">IF(AND(AND(E72&lt;&gt;"",U72&lt;&gt;"Remediated",U72&lt;&gt;"False Positive",U72&lt;&gt;"Risk Accepted"),LEFT(Q72,6)="Breach"),ROW(),"")</f>
        <v/>
      </c>
    </row>
    <row r="73" customFormat="false" ht="15" hidden="false" customHeight="false" outlineLevel="0" collapsed="false">
      <c r="A73" s="56" t="s">
        <v>2229</v>
      </c>
      <c r="B73" s="63"/>
      <c r="C73" s="61"/>
      <c r="D73" s="61"/>
      <c r="E73" s="60"/>
      <c r="F73" s="61"/>
      <c r="G73" s="61"/>
      <c r="H73" s="61"/>
      <c r="I73" s="61"/>
      <c r="J73" s="60"/>
      <c r="K73" s="61"/>
      <c r="L73" s="61"/>
      <c r="M73" s="61"/>
      <c r="N73" s="60"/>
      <c r="O73" s="60"/>
      <c r="P73" s="60"/>
      <c r="Q73" s="61"/>
      <c r="R73" s="61"/>
      <c r="S73" s="87" t="str">
        <f aca="false">IF(OR(B73="",L73=""),"",INDEX(Lists!$AD$4:$AD$8,MATCH(L73,Lists!$AC$4:$AC$8,0)))</f>
        <v/>
      </c>
      <c r="T73" s="95" t="str">
        <f aca="false">IF(OR(S73="",ISERROR(S73)),"",B73+S73)</f>
        <v/>
      </c>
      <c r="U73" s="61"/>
      <c r="V73" s="63"/>
      <c r="W73" s="63"/>
      <c r="X73" s="60"/>
      <c r="Y73" s="62" t="str">
        <f aca="false">IF(E73="","",IF(AND(B73&lt;&gt;"",B73&gt;='Weekly Report'!$F$4,B73&lt;='Weekly Report'!$F$5),"NEW",IF(AND(W73&lt;&gt;"",W73&gt;='Weekly Report'!$F$4,W73&lt;='Weekly Report'!$F$5),"CHANGED","")))</f>
        <v/>
      </c>
      <c r="Z73" s="87" t="str">
        <f aca="true">IF(B73="","",IF(V73&lt;&gt;"",V73-B73,TODAY()-B73))</f>
        <v/>
      </c>
      <c r="AA73" s="62" t="str">
        <f aca="true">IF(OR(B73="",T73="",U73="False Positive",U73="Risk Accepted"),"",IF(V73&lt;&gt;"",IF(V73&gt;T73,"Closed Late","Met"),IF(TODAY()&gt;T73,"SLA BREACH",IF(T73-TODAY()&lt;=7,"Due ≤7d","Within SLA"))))</f>
        <v/>
      </c>
      <c r="AB73" s="61"/>
      <c r="AC73" s="61"/>
      <c r="AD73" s="60"/>
      <c r="AE73" s="88" t="str">
        <f aca="false">IF(Y73&lt;&gt;"",ROW(),"")</f>
        <v/>
      </c>
      <c r="AF73" s="88" t="str">
        <f aca="false">IF(AND(AND(E73&lt;&gt;"",U73&lt;&gt;"Remediated",U73&lt;&gt;"False Positive",U73&lt;&gt;"Risk Accepted"),T73&lt;&gt;"",T73&lt;='Weekly Report'!$F$7),ROW(),"")</f>
        <v/>
      </c>
      <c r="AG73" s="88" t="str">
        <f aca="false">IF(AND(AND(E73&lt;&gt;"",U73&lt;&gt;"Remediated",U73&lt;&gt;"False Positive",U73&lt;&gt;"Risk Accepted"),LEFT(Q73,6)="Breach"),ROW(),"")</f>
        <v/>
      </c>
    </row>
    <row r="74" customFormat="false" ht="15" hidden="false" customHeight="false" outlineLevel="0" collapsed="false">
      <c r="A74" s="56" t="s">
        <v>2230</v>
      </c>
      <c r="B74" s="63"/>
      <c r="C74" s="61"/>
      <c r="D74" s="61"/>
      <c r="E74" s="60"/>
      <c r="F74" s="61"/>
      <c r="G74" s="61"/>
      <c r="H74" s="61"/>
      <c r="I74" s="61"/>
      <c r="J74" s="60"/>
      <c r="K74" s="61"/>
      <c r="L74" s="61"/>
      <c r="M74" s="61"/>
      <c r="N74" s="60"/>
      <c r="O74" s="60"/>
      <c r="P74" s="60"/>
      <c r="Q74" s="61"/>
      <c r="R74" s="61"/>
      <c r="S74" s="87" t="str">
        <f aca="false">IF(OR(B74="",L74=""),"",INDEX(Lists!$AD$4:$AD$8,MATCH(L74,Lists!$AC$4:$AC$8,0)))</f>
        <v/>
      </c>
      <c r="T74" s="95" t="str">
        <f aca="false">IF(OR(S74="",ISERROR(S74)),"",B74+S74)</f>
        <v/>
      </c>
      <c r="U74" s="61"/>
      <c r="V74" s="63"/>
      <c r="W74" s="63"/>
      <c r="X74" s="60"/>
      <c r="Y74" s="62" t="str">
        <f aca="false">IF(E74="","",IF(AND(B74&lt;&gt;"",B74&gt;='Weekly Report'!$F$4,B74&lt;='Weekly Report'!$F$5),"NEW",IF(AND(W74&lt;&gt;"",W74&gt;='Weekly Report'!$F$4,W74&lt;='Weekly Report'!$F$5),"CHANGED","")))</f>
        <v/>
      </c>
      <c r="Z74" s="87" t="str">
        <f aca="true">IF(B74="","",IF(V74&lt;&gt;"",V74-B74,TODAY()-B74))</f>
        <v/>
      </c>
      <c r="AA74" s="62" t="str">
        <f aca="true">IF(OR(B74="",T74="",U74="False Positive",U74="Risk Accepted"),"",IF(V74&lt;&gt;"",IF(V74&gt;T74,"Closed Late","Met"),IF(TODAY()&gt;T74,"SLA BREACH",IF(T74-TODAY()&lt;=7,"Due ≤7d","Within SLA"))))</f>
        <v/>
      </c>
      <c r="AB74" s="61"/>
      <c r="AC74" s="61"/>
      <c r="AD74" s="60"/>
      <c r="AE74" s="88" t="str">
        <f aca="false">IF(Y74&lt;&gt;"",ROW(),"")</f>
        <v/>
      </c>
      <c r="AF74" s="88" t="str">
        <f aca="false">IF(AND(AND(E74&lt;&gt;"",U74&lt;&gt;"Remediated",U74&lt;&gt;"False Positive",U74&lt;&gt;"Risk Accepted"),T74&lt;&gt;"",T74&lt;='Weekly Report'!$F$7),ROW(),"")</f>
        <v/>
      </c>
      <c r="AG74" s="88" t="str">
        <f aca="false">IF(AND(AND(E74&lt;&gt;"",U74&lt;&gt;"Remediated",U74&lt;&gt;"False Positive",U74&lt;&gt;"Risk Accepted"),LEFT(Q74,6)="Breach"),ROW(),"")</f>
        <v/>
      </c>
    </row>
    <row r="75" customFormat="false" ht="15" hidden="false" customHeight="false" outlineLevel="0" collapsed="false">
      <c r="A75" s="56" t="s">
        <v>2231</v>
      </c>
      <c r="B75" s="63"/>
      <c r="C75" s="61"/>
      <c r="D75" s="61"/>
      <c r="E75" s="60"/>
      <c r="F75" s="61"/>
      <c r="G75" s="61"/>
      <c r="H75" s="61"/>
      <c r="I75" s="61"/>
      <c r="J75" s="60"/>
      <c r="K75" s="61"/>
      <c r="L75" s="61"/>
      <c r="M75" s="61"/>
      <c r="N75" s="60"/>
      <c r="O75" s="60"/>
      <c r="P75" s="60"/>
      <c r="Q75" s="61"/>
      <c r="R75" s="61"/>
      <c r="S75" s="87" t="str">
        <f aca="false">IF(OR(B75="",L75=""),"",INDEX(Lists!$AD$4:$AD$8,MATCH(L75,Lists!$AC$4:$AC$8,0)))</f>
        <v/>
      </c>
      <c r="T75" s="95" t="str">
        <f aca="false">IF(OR(S75="",ISERROR(S75)),"",B75+S75)</f>
        <v/>
      </c>
      <c r="U75" s="61"/>
      <c r="V75" s="63"/>
      <c r="W75" s="63"/>
      <c r="X75" s="60"/>
      <c r="Y75" s="62" t="str">
        <f aca="false">IF(E75="","",IF(AND(B75&lt;&gt;"",B75&gt;='Weekly Report'!$F$4,B75&lt;='Weekly Report'!$F$5),"NEW",IF(AND(W75&lt;&gt;"",W75&gt;='Weekly Report'!$F$4,W75&lt;='Weekly Report'!$F$5),"CHANGED","")))</f>
        <v/>
      </c>
      <c r="Z75" s="87" t="str">
        <f aca="true">IF(B75="","",IF(V75&lt;&gt;"",V75-B75,TODAY()-B75))</f>
        <v/>
      </c>
      <c r="AA75" s="62" t="str">
        <f aca="true">IF(OR(B75="",T75="",U75="False Positive",U75="Risk Accepted"),"",IF(V75&lt;&gt;"",IF(V75&gt;T75,"Closed Late","Met"),IF(TODAY()&gt;T75,"SLA BREACH",IF(T75-TODAY()&lt;=7,"Due ≤7d","Within SLA"))))</f>
        <v/>
      </c>
      <c r="AB75" s="61"/>
      <c r="AC75" s="61"/>
      <c r="AD75" s="60"/>
      <c r="AE75" s="88" t="str">
        <f aca="false">IF(Y75&lt;&gt;"",ROW(),"")</f>
        <v/>
      </c>
      <c r="AF75" s="88" t="str">
        <f aca="false">IF(AND(AND(E75&lt;&gt;"",U75&lt;&gt;"Remediated",U75&lt;&gt;"False Positive",U75&lt;&gt;"Risk Accepted"),T75&lt;&gt;"",T75&lt;='Weekly Report'!$F$7),ROW(),"")</f>
        <v/>
      </c>
      <c r="AG75" s="88" t="str">
        <f aca="false">IF(AND(AND(E75&lt;&gt;"",U75&lt;&gt;"Remediated",U75&lt;&gt;"False Positive",U75&lt;&gt;"Risk Accepted"),LEFT(Q75,6)="Breach"),ROW(),"")</f>
        <v/>
      </c>
    </row>
    <row r="76" customFormat="false" ht="15" hidden="false" customHeight="false" outlineLevel="0" collapsed="false">
      <c r="A76" s="56" t="s">
        <v>2232</v>
      </c>
      <c r="B76" s="63"/>
      <c r="C76" s="61"/>
      <c r="D76" s="61"/>
      <c r="E76" s="60"/>
      <c r="F76" s="61"/>
      <c r="G76" s="61"/>
      <c r="H76" s="61"/>
      <c r="I76" s="61"/>
      <c r="J76" s="60"/>
      <c r="K76" s="61"/>
      <c r="L76" s="61"/>
      <c r="M76" s="61"/>
      <c r="N76" s="60"/>
      <c r="O76" s="60"/>
      <c r="P76" s="60"/>
      <c r="Q76" s="61"/>
      <c r="R76" s="61"/>
      <c r="S76" s="87" t="str">
        <f aca="false">IF(OR(B76="",L76=""),"",INDEX(Lists!$AD$4:$AD$8,MATCH(L76,Lists!$AC$4:$AC$8,0)))</f>
        <v/>
      </c>
      <c r="T76" s="95" t="str">
        <f aca="false">IF(OR(S76="",ISERROR(S76)),"",B76+S76)</f>
        <v/>
      </c>
      <c r="U76" s="61"/>
      <c r="V76" s="63"/>
      <c r="W76" s="63"/>
      <c r="X76" s="60"/>
      <c r="Y76" s="62" t="str">
        <f aca="false">IF(E76="","",IF(AND(B76&lt;&gt;"",B76&gt;='Weekly Report'!$F$4,B76&lt;='Weekly Report'!$F$5),"NEW",IF(AND(W76&lt;&gt;"",W76&gt;='Weekly Report'!$F$4,W76&lt;='Weekly Report'!$F$5),"CHANGED","")))</f>
        <v/>
      </c>
      <c r="Z76" s="87" t="str">
        <f aca="true">IF(B76="","",IF(V76&lt;&gt;"",V76-B76,TODAY()-B76))</f>
        <v/>
      </c>
      <c r="AA76" s="62" t="str">
        <f aca="true">IF(OR(B76="",T76="",U76="False Positive",U76="Risk Accepted"),"",IF(V76&lt;&gt;"",IF(V76&gt;T76,"Closed Late","Met"),IF(TODAY()&gt;T76,"SLA BREACH",IF(T76-TODAY()&lt;=7,"Due ≤7d","Within SLA"))))</f>
        <v/>
      </c>
      <c r="AB76" s="61"/>
      <c r="AC76" s="61"/>
      <c r="AD76" s="60"/>
      <c r="AE76" s="88" t="str">
        <f aca="false">IF(Y76&lt;&gt;"",ROW(),"")</f>
        <v/>
      </c>
      <c r="AF76" s="88" t="str">
        <f aca="false">IF(AND(AND(E76&lt;&gt;"",U76&lt;&gt;"Remediated",U76&lt;&gt;"False Positive",U76&lt;&gt;"Risk Accepted"),T76&lt;&gt;"",T76&lt;='Weekly Report'!$F$7),ROW(),"")</f>
        <v/>
      </c>
      <c r="AG76" s="88" t="str">
        <f aca="false">IF(AND(AND(E76&lt;&gt;"",U76&lt;&gt;"Remediated",U76&lt;&gt;"False Positive",U76&lt;&gt;"Risk Accepted"),LEFT(Q76,6)="Breach"),ROW(),"")</f>
        <v/>
      </c>
    </row>
    <row r="77" customFormat="false" ht="15" hidden="false" customHeight="false" outlineLevel="0" collapsed="false">
      <c r="A77" s="56" t="s">
        <v>2233</v>
      </c>
      <c r="B77" s="63"/>
      <c r="C77" s="61"/>
      <c r="D77" s="61"/>
      <c r="E77" s="60"/>
      <c r="F77" s="61"/>
      <c r="G77" s="61"/>
      <c r="H77" s="61"/>
      <c r="I77" s="61"/>
      <c r="J77" s="60"/>
      <c r="K77" s="61"/>
      <c r="L77" s="61"/>
      <c r="M77" s="61"/>
      <c r="N77" s="60"/>
      <c r="O77" s="60"/>
      <c r="P77" s="60"/>
      <c r="Q77" s="61"/>
      <c r="R77" s="61"/>
      <c r="S77" s="87" t="str">
        <f aca="false">IF(OR(B77="",L77=""),"",INDEX(Lists!$AD$4:$AD$8,MATCH(L77,Lists!$AC$4:$AC$8,0)))</f>
        <v/>
      </c>
      <c r="T77" s="95" t="str">
        <f aca="false">IF(OR(S77="",ISERROR(S77)),"",B77+S77)</f>
        <v/>
      </c>
      <c r="U77" s="61"/>
      <c r="V77" s="63"/>
      <c r="W77" s="63"/>
      <c r="X77" s="60"/>
      <c r="Y77" s="62" t="str">
        <f aca="false">IF(E77="","",IF(AND(B77&lt;&gt;"",B77&gt;='Weekly Report'!$F$4,B77&lt;='Weekly Report'!$F$5),"NEW",IF(AND(W77&lt;&gt;"",W77&gt;='Weekly Report'!$F$4,W77&lt;='Weekly Report'!$F$5),"CHANGED","")))</f>
        <v/>
      </c>
      <c r="Z77" s="87" t="str">
        <f aca="true">IF(B77="","",IF(V77&lt;&gt;"",V77-B77,TODAY()-B77))</f>
        <v/>
      </c>
      <c r="AA77" s="62" t="str">
        <f aca="true">IF(OR(B77="",T77="",U77="False Positive",U77="Risk Accepted"),"",IF(V77&lt;&gt;"",IF(V77&gt;T77,"Closed Late","Met"),IF(TODAY()&gt;T77,"SLA BREACH",IF(T77-TODAY()&lt;=7,"Due ≤7d","Within SLA"))))</f>
        <v/>
      </c>
      <c r="AB77" s="61"/>
      <c r="AC77" s="61"/>
      <c r="AD77" s="60"/>
      <c r="AE77" s="88" t="str">
        <f aca="false">IF(Y77&lt;&gt;"",ROW(),"")</f>
        <v/>
      </c>
      <c r="AF77" s="88" t="str">
        <f aca="false">IF(AND(AND(E77&lt;&gt;"",U77&lt;&gt;"Remediated",U77&lt;&gt;"False Positive",U77&lt;&gt;"Risk Accepted"),T77&lt;&gt;"",T77&lt;='Weekly Report'!$F$7),ROW(),"")</f>
        <v/>
      </c>
      <c r="AG77" s="88" t="str">
        <f aca="false">IF(AND(AND(E77&lt;&gt;"",U77&lt;&gt;"Remediated",U77&lt;&gt;"False Positive",U77&lt;&gt;"Risk Accepted"),LEFT(Q77,6)="Breach"),ROW(),"")</f>
        <v/>
      </c>
    </row>
    <row r="78" customFormat="false" ht="15" hidden="false" customHeight="false" outlineLevel="0" collapsed="false">
      <c r="A78" s="56" t="s">
        <v>2234</v>
      </c>
      <c r="B78" s="63"/>
      <c r="C78" s="61"/>
      <c r="D78" s="61"/>
      <c r="E78" s="60"/>
      <c r="F78" s="61"/>
      <c r="G78" s="61"/>
      <c r="H78" s="61"/>
      <c r="I78" s="61"/>
      <c r="J78" s="60"/>
      <c r="K78" s="61"/>
      <c r="L78" s="61"/>
      <c r="M78" s="61"/>
      <c r="N78" s="60"/>
      <c r="O78" s="60"/>
      <c r="P78" s="60"/>
      <c r="Q78" s="61"/>
      <c r="R78" s="61"/>
      <c r="S78" s="87" t="str">
        <f aca="false">IF(OR(B78="",L78=""),"",INDEX(Lists!$AD$4:$AD$8,MATCH(L78,Lists!$AC$4:$AC$8,0)))</f>
        <v/>
      </c>
      <c r="T78" s="95" t="str">
        <f aca="false">IF(OR(S78="",ISERROR(S78)),"",B78+S78)</f>
        <v/>
      </c>
      <c r="U78" s="61"/>
      <c r="V78" s="63"/>
      <c r="W78" s="63"/>
      <c r="X78" s="60"/>
      <c r="Y78" s="62" t="str">
        <f aca="false">IF(E78="","",IF(AND(B78&lt;&gt;"",B78&gt;='Weekly Report'!$F$4,B78&lt;='Weekly Report'!$F$5),"NEW",IF(AND(W78&lt;&gt;"",W78&gt;='Weekly Report'!$F$4,W78&lt;='Weekly Report'!$F$5),"CHANGED","")))</f>
        <v/>
      </c>
      <c r="Z78" s="87" t="str">
        <f aca="true">IF(B78="","",IF(V78&lt;&gt;"",V78-B78,TODAY()-B78))</f>
        <v/>
      </c>
      <c r="AA78" s="62" t="str">
        <f aca="true">IF(OR(B78="",T78="",U78="False Positive",U78="Risk Accepted"),"",IF(V78&lt;&gt;"",IF(V78&gt;T78,"Closed Late","Met"),IF(TODAY()&gt;T78,"SLA BREACH",IF(T78-TODAY()&lt;=7,"Due ≤7d","Within SLA"))))</f>
        <v/>
      </c>
      <c r="AB78" s="61"/>
      <c r="AC78" s="61"/>
      <c r="AD78" s="60"/>
      <c r="AE78" s="88" t="str">
        <f aca="false">IF(Y78&lt;&gt;"",ROW(),"")</f>
        <v/>
      </c>
      <c r="AF78" s="88" t="str">
        <f aca="false">IF(AND(AND(E78&lt;&gt;"",U78&lt;&gt;"Remediated",U78&lt;&gt;"False Positive",U78&lt;&gt;"Risk Accepted"),T78&lt;&gt;"",T78&lt;='Weekly Report'!$F$7),ROW(),"")</f>
        <v/>
      </c>
      <c r="AG78" s="88" t="str">
        <f aca="false">IF(AND(AND(E78&lt;&gt;"",U78&lt;&gt;"Remediated",U78&lt;&gt;"False Positive",U78&lt;&gt;"Risk Accepted"),LEFT(Q78,6)="Breach"),ROW(),"")</f>
        <v/>
      </c>
    </row>
    <row r="79" customFormat="false" ht="15" hidden="false" customHeight="false" outlineLevel="0" collapsed="false">
      <c r="A79" s="56" t="s">
        <v>2235</v>
      </c>
      <c r="B79" s="63"/>
      <c r="C79" s="61"/>
      <c r="D79" s="61"/>
      <c r="E79" s="60"/>
      <c r="F79" s="61"/>
      <c r="G79" s="61"/>
      <c r="H79" s="61"/>
      <c r="I79" s="61"/>
      <c r="J79" s="60"/>
      <c r="K79" s="61"/>
      <c r="L79" s="61"/>
      <c r="M79" s="61"/>
      <c r="N79" s="60"/>
      <c r="O79" s="60"/>
      <c r="P79" s="60"/>
      <c r="Q79" s="61"/>
      <c r="R79" s="61"/>
      <c r="S79" s="87" t="str">
        <f aca="false">IF(OR(B79="",L79=""),"",INDEX(Lists!$AD$4:$AD$8,MATCH(L79,Lists!$AC$4:$AC$8,0)))</f>
        <v/>
      </c>
      <c r="T79" s="95" t="str">
        <f aca="false">IF(OR(S79="",ISERROR(S79)),"",B79+S79)</f>
        <v/>
      </c>
      <c r="U79" s="61"/>
      <c r="V79" s="63"/>
      <c r="W79" s="63"/>
      <c r="X79" s="60"/>
      <c r="Y79" s="62" t="str">
        <f aca="false">IF(E79="","",IF(AND(B79&lt;&gt;"",B79&gt;='Weekly Report'!$F$4,B79&lt;='Weekly Report'!$F$5),"NEW",IF(AND(W79&lt;&gt;"",W79&gt;='Weekly Report'!$F$4,W79&lt;='Weekly Report'!$F$5),"CHANGED","")))</f>
        <v/>
      </c>
      <c r="Z79" s="87" t="str">
        <f aca="true">IF(B79="","",IF(V79&lt;&gt;"",V79-B79,TODAY()-B79))</f>
        <v/>
      </c>
      <c r="AA79" s="62" t="str">
        <f aca="true">IF(OR(B79="",T79="",U79="False Positive",U79="Risk Accepted"),"",IF(V79&lt;&gt;"",IF(V79&gt;T79,"Closed Late","Met"),IF(TODAY()&gt;T79,"SLA BREACH",IF(T79-TODAY()&lt;=7,"Due ≤7d","Within SLA"))))</f>
        <v/>
      </c>
      <c r="AB79" s="61"/>
      <c r="AC79" s="61"/>
      <c r="AD79" s="60"/>
      <c r="AE79" s="88" t="str">
        <f aca="false">IF(Y79&lt;&gt;"",ROW(),"")</f>
        <v/>
      </c>
      <c r="AF79" s="88" t="str">
        <f aca="false">IF(AND(AND(E79&lt;&gt;"",U79&lt;&gt;"Remediated",U79&lt;&gt;"False Positive",U79&lt;&gt;"Risk Accepted"),T79&lt;&gt;"",T79&lt;='Weekly Report'!$F$7),ROW(),"")</f>
        <v/>
      </c>
      <c r="AG79" s="88" t="str">
        <f aca="false">IF(AND(AND(E79&lt;&gt;"",U79&lt;&gt;"Remediated",U79&lt;&gt;"False Positive",U79&lt;&gt;"Risk Accepted"),LEFT(Q79,6)="Breach"),ROW(),"")</f>
        <v/>
      </c>
    </row>
    <row r="80" customFormat="false" ht="15" hidden="false" customHeight="false" outlineLevel="0" collapsed="false">
      <c r="A80" s="56" t="s">
        <v>2236</v>
      </c>
      <c r="B80" s="63"/>
      <c r="C80" s="61"/>
      <c r="D80" s="61"/>
      <c r="E80" s="60"/>
      <c r="F80" s="61"/>
      <c r="G80" s="61"/>
      <c r="H80" s="61"/>
      <c r="I80" s="61"/>
      <c r="J80" s="60"/>
      <c r="K80" s="61"/>
      <c r="L80" s="61"/>
      <c r="M80" s="61"/>
      <c r="N80" s="60"/>
      <c r="O80" s="60"/>
      <c r="P80" s="60"/>
      <c r="Q80" s="61"/>
      <c r="R80" s="61"/>
      <c r="S80" s="87" t="str">
        <f aca="false">IF(OR(B80="",L80=""),"",INDEX(Lists!$AD$4:$AD$8,MATCH(L80,Lists!$AC$4:$AC$8,0)))</f>
        <v/>
      </c>
      <c r="T80" s="95" t="str">
        <f aca="false">IF(OR(S80="",ISERROR(S80)),"",B80+S80)</f>
        <v/>
      </c>
      <c r="U80" s="61"/>
      <c r="V80" s="63"/>
      <c r="W80" s="63"/>
      <c r="X80" s="60"/>
      <c r="Y80" s="62" t="str">
        <f aca="false">IF(E80="","",IF(AND(B80&lt;&gt;"",B80&gt;='Weekly Report'!$F$4,B80&lt;='Weekly Report'!$F$5),"NEW",IF(AND(W80&lt;&gt;"",W80&gt;='Weekly Report'!$F$4,W80&lt;='Weekly Report'!$F$5),"CHANGED","")))</f>
        <v/>
      </c>
      <c r="Z80" s="87" t="str">
        <f aca="true">IF(B80="","",IF(V80&lt;&gt;"",V80-B80,TODAY()-B80))</f>
        <v/>
      </c>
      <c r="AA80" s="62" t="str">
        <f aca="true">IF(OR(B80="",T80="",U80="False Positive",U80="Risk Accepted"),"",IF(V80&lt;&gt;"",IF(V80&gt;T80,"Closed Late","Met"),IF(TODAY()&gt;T80,"SLA BREACH",IF(T80-TODAY()&lt;=7,"Due ≤7d","Within SLA"))))</f>
        <v/>
      </c>
      <c r="AB80" s="61"/>
      <c r="AC80" s="61"/>
      <c r="AD80" s="60"/>
      <c r="AE80" s="88" t="str">
        <f aca="false">IF(Y80&lt;&gt;"",ROW(),"")</f>
        <v/>
      </c>
      <c r="AF80" s="88" t="str">
        <f aca="false">IF(AND(AND(E80&lt;&gt;"",U80&lt;&gt;"Remediated",U80&lt;&gt;"False Positive",U80&lt;&gt;"Risk Accepted"),T80&lt;&gt;"",T80&lt;='Weekly Report'!$F$7),ROW(),"")</f>
        <v/>
      </c>
      <c r="AG80" s="88" t="str">
        <f aca="false">IF(AND(AND(E80&lt;&gt;"",U80&lt;&gt;"Remediated",U80&lt;&gt;"False Positive",U80&lt;&gt;"Risk Accepted"),LEFT(Q80,6)="Breach"),ROW(),"")</f>
        <v/>
      </c>
    </row>
    <row r="81" customFormat="false" ht="15" hidden="false" customHeight="false" outlineLevel="0" collapsed="false">
      <c r="A81" s="56" t="s">
        <v>2237</v>
      </c>
      <c r="B81" s="63"/>
      <c r="C81" s="61"/>
      <c r="D81" s="61"/>
      <c r="E81" s="60"/>
      <c r="F81" s="61"/>
      <c r="G81" s="61"/>
      <c r="H81" s="61"/>
      <c r="I81" s="61"/>
      <c r="J81" s="60"/>
      <c r="K81" s="61"/>
      <c r="L81" s="61"/>
      <c r="M81" s="61"/>
      <c r="N81" s="60"/>
      <c r="O81" s="60"/>
      <c r="P81" s="60"/>
      <c r="Q81" s="61"/>
      <c r="R81" s="61"/>
      <c r="S81" s="87" t="str">
        <f aca="false">IF(OR(B81="",L81=""),"",INDEX(Lists!$AD$4:$AD$8,MATCH(L81,Lists!$AC$4:$AC$8,0)))</f>
        <v/>
      </c>
      <c r="T81" s="95" t="str">
        <f aca="false">IF(OR(S81="",ISERROR(S81)),"",B81+S81)</f>
        <v/>
      </c>
      <c r="U81" s="61"/>
      <c r="V81" s="63"/>
      <c r="W81" s="63"/>
      <c r="X81" s="60"/>
      <c r="Y81" s="62" t="str">
        <f aca="false">IF(E81="","",IF(AND(B81&lt;&gt;"",B81&gt;='Weekly Report'!$F$4,B81&lt;='Weekly Report'!$F$5),"NEW",IF(AND(W81&lt;&gt;"",W81&gt;='Weekly Report'!$F$4,W81&lt;='Weekly Report'!$F$5),"CHANGED","")))</f>
        <v/>
      </c>
      <c r="Z81" s="87" t="str">
        <f aca="true">IF(B81="","",IF(V81&lt;&gt;"",V81-B81,TODAY()-B81))</f>
        <v/>
      </c>
      <c r="AA81" s="62" t="str">
        <f aca="true">IF(OR(B81="",T81="",U81="False Positive",U81="Risk Accepted"),"",IF(V81&lt;&gt;"",IF(V81&gt;T81,"Closed Late","Met"),IF(TODAY()&gt;T81,"SLA BREACH",IF(T81-TODAY()&lt;=7,"Due ≤7d","Within SLA"))))</f>
        <v/>
      </c>
      <c r="AB81" s="61"/>
      <c r="AC81" s="61"/>
      <c r="AD81" s="60"/>
      <c r="AE81" s="88" t="str">
        <f aca="false">IF(Y81&lt;&gt;"",ROW(),"")</f>
        <v/>
      </c>
      <c r="AF81" s="88" t="str">
        <f aca="false">IF(AND(AND(E81&lt;&gt;"",U81&lt;&gt;"Remediated",U81&lt;&gt;"False Positive",U81&lt;&gt;"Risk Accepted"),T81&lt;&gt;"",T81&lt;='Weekly Report'!$F$7),ROW(),"")</f>
        <v/>
      </c>
      <c r="AG81" s="88" t="str">
        <f aca="false">IF(AND(AND(E81&lt;&gt;"",U81&lt;&gt;"Remediated",U81&lt;&gt;"False Positive",U81&lt;&gt;"Risk Accepted"),LEFT(Q81,6)="Breach"),ROW(),"")</f>
        <v/>
      </c>
    </row>
    <row r="82" customFormat="false" ht="15" hidden="false" customHeight="false" outlineLevel="0" collapsed="false">
      <c r="A82" s="56" t="s">
        <v>2238</v>
      </c>
      <c r="B82" s="63"/>
      <c r="C82" s="61"/>
      <c r="D82" s="61"/>
      <c r="E82" s="60"/>
      <c r="F82" s="61"/>
      <c r="G82" s="61"/>
      <c r="H82" s="61"/>
      <c r="I82" s="61"/>
      <c r="J82" s="60"/>
      <c r="K82" s="61"/>
      <c r="L82" s="61"/>
      <c r="M82" s="61"/>
      <c r="N82" s="60"/>
      <c r="O82" s="60"/>
      <c r="P82" s="60"/>
      <c r="Q82" s="61"/>
      <c r="R82" s="61"/>
      <c r="S82" s="87" t="str">
        <f aca="false">IF(OR(B82="",L82=""),"",INDEX(Lists!$AD$4:$AD$8,MATCH(L82,Lists!$AC$4:$AC$8,0)))</f>
        <v/>
      </c>
      <c r="T82" s="95" t="str">
        <f aca="false">IF(OR(S82="",ISERROR(S82)),"",B82+S82)</f>
        <v/>
      </c>
      <c r="U82" s="61"/>
      <c r="V82" s="63"/>
      <c r="W82" s="63"/>
      <c r="X82" s="60"/>
      <c r="Y82" s="62" t="str">
        <f aca="false">IF(E82="","",IF(AND(B82&lt;&gt;"",B82&gt;='Weekly Report'!$F$4,B82&lt;='Weekly Report'!$F$5),"NEW",IF(AND(W82&lt;&gt;"",W82&gt;='Weekly Report'!$F$4,W82&lt;='Weekly Report'!$F$5),"CHANGED","")))</f>
        <v/>
      </c>
      <c r="Z82" s="87" t="str">
        <f aca="true">IF(B82="","",IF(V82&lt;&gt;"",V82-B82,TODAY()-B82))</f>
        <v/>
      </c>
      <c r="AA82" s="62" t="str">
        <f aca="true">IF(OR(B82="",T82="",U82="False Positive",U82="Risk Accepted"),"",IF(V82&lt;&gt;"",IF(V82&gt;T82,"Closed Late","Met"),IF(TODAY()&gt;T82,"SLA BREACH",IF(T82-TODAY()&lt;=7,"Due ≤7d","Within SLA"))))</f>
        <v/>
      </c>
      <c r="AB82" s="61"/>
      <c r="AC82" s="61"/>
      <c r="AD82" s="60"/>
      <c r="AE82" s="88" t="str">
        <f aca="false">IF(Y82&lt;&gt;"",ROW(),"")</f>
        <v/>
      </c>
      <c r="AF82" s="88" t="str">
        <f aca="false">IF(AND(AND(E82&lt;&gt;"",U82&lt;&gt;"Remediated",U82&lt;&gt;"False Positive",U82&lt;&gt;"Risk Accepted"),T82&lt;&gt;"",T82&lt;='Weekly Report'!$F$7),ROW(),"")</f>
        <v/>
      </c>
      <c r="AG82" s="88" t="str">
        <f aca="false">IF(AND(AND(E82&lt;&gt;"",U82&lt;&gt;"Remediated",U82&lt;&gt;"False Positive",U82&lt;&gt;"Risk Accepted"),LEFT(Q82,6)="Breach"),ROW(),"")</f>
        <v/>
      </c>
    </row>
    <row r="83" customFormat="false" ht="15" hidden="false" customHeight="false" outlineLevel="0" collapsed="false">
      <c r="A83" s="56" t="s">
        <v>2239</v>
      </c>
      <c r="B83" s="63"/>
      <c r="C83" s="61"/>
      <c r="D83" s="61"/>
      <c r="E83" s="60"/>
      <c r="F83" s="61"/>
      <c r="G83" s="61"/>
      <c r="H83" s="61"/>
      <c r="I83" s="61"/>
      <c r="J83" s="60"/>
      <c r="K83" s="61"/>
      <c r="L83" s="61"/>
      <c r="M83" s="61"/>
      <c r="N83" s="60"/>
      <c r="O83" s="60"/>
      <c r="P83" s="60"/>
      <c r="Q83" s="61"/>
      <c r="R83" s="61"/>
      <c r="S83" s="87" t="str">
        <f aca="false">IF(OR(B83="",L83=""),"",INDEX(Lists!$AD$4:$AD$8,MATCH(L83,Lists!$AC$4:$AC$8,0)))</f>
        <v/>
      </c>
      <c r="T83" s="95" t="str">
        <f aca="false">IF(OR(S83="",ISERROR(S83)),"",B83+S83)</f>
        <v/>
      </c>
      <c r="U83" s="61"/>
      <c r="V83" s="63"/>
      <c r="W83" s="63"/>
      <c r="X83" s="60"/>
      <c r="Y83" s="62" t="str">
        <f aca="false">IF(E83="","",IF(AND(B83&lt;&gt;"",B83&gt;='Weekly Report'!$F$4,B83&lt;='Weekly Report'!$F$5),"NEW",IF(AND(W83&lt;&gt;"",W83&gt;='Weekly Report'!$F$4,W83&lt;='Weekly Report'!$F$5),"CHANGED","")))</f>
        <v/>
      </c>
      <c r="Z83" s="87" t="str">
        <f aca="true">IF(B83="","",IF(V83&lt;&gt;"",V83-B83,TODAY()-B83))</f>
        <v/>
      </c>
      <c r="AA83" s="62" t="str">
        <f aca="true">IF(OR(B83="",T83="",U83="False Positive",U83="Risk Accepted"),"",IF(V83&lt;&gt;"",IF(V83&gt;T83,"Closed Late","Met"),IF(TODAY()&gt;T83,"SLA BREACH",IF(T83-TODAY()&lt;=7,"Due ≤7d","Within SLA"))))</f>
        <v/>
      </c>
      <c r="AB83" s="61"/>
      <c r="AC83" s="61"/>
      <c r="AD83" s="60"/>
      <c r="AE83" s="88" t="str">
        <f aca="false">IF(Y83&lt;&gt;"",ROW(),"")</f>
        <v/>
      </c>
      <c r="AF83" s="88" t="str">
        <f aca="false">IF(AND(AND(E83&lt;&gt;"",U83&lt;&gt;"Remediated",U83&lt;&gt;"False Positive",U83&lt;&gt;"Risk Accepted"),T83&lt;&gt;"",T83&lt;='Weekly Report'!$F$7),ROW(),"")</f>
        <v/>
      </c>
      <c r="AG83" s="88" t="str">
        <f aca="false">IF(AND(AND(E83&lt;&gt;"",U83&lt;&gt;"Remediated",U83&lt;&gt;"False Positive",U83&lt;&gt;"Risk Accepted"),LEFT(Q83,6)="Breach"),ROW(),"")</f>
        <v/>
      </c>
    </row>
    <row r="84" customFormat="false" ht="15" hidden="false" customHeight="false" outlineLevel="0" collapsed="false">
      <c r="A84" s="56" t="s">
        <v>2240</v>
      </c>
      <c r="B84" s="63"/>
      <c r="C84" s="61"/>
      <c r="D84" s="61"/>
      <c r="E84" s="60"/>
      <c r="F84" s="61"/>
      <c r="G84" s="61"/>
      <c r="H84" s="61"/>
      <c r="I84" s="61"/>
      <c r="J84" s="60"/>
      <c r="K84" s="61"/>
      <c r="L84" s="61"/>
      <c r="M84" s="61"/>
      <c r="N84" s="60"/>
      <c r="O84" s="60"/>
      <c r="P84" s="60"/>
      <c r="Q84" s="61"/>
      <c r="R84" s="61"/>
      <c r="S84" s="87" t="str">
        <f aca="false">IF(OR(B84="",L84=""),"",INDEX(Lists!$AD$4:$AD$8,MATCH(L84,Lists!$AC$4:$AC$8,0)))</f>
        <v/>
      </c>
      <c r="T84" s="95" t="str">
        <f aca="false">IF(OR(S84="",ISERROR(S84)),"",B84+S84)</f>
        <v/>
      </c>
      <c r="U84" s="61"/>
      <c r="V84" s="63"/>
      <c r="W84" s="63"/>
      <c r="X84" s="60"/>
      <c r="Y84" s="62" t="str">
        <f aca="false">IF(E84="","",IF(AND(B84&lt;&gt;"",B84&gt;='Weekly Report'!$F$4,B84&lt;='Weekly Report'!$F$5),"NEW",IF(AND(W84&lt;&gt;"",W84&gt;='Weekly Report'!$F$4,W84&lt;='Weekly Report'!$F$5),"CHANGED","")))</f>
        <v/>
      </c>
      <c r="Z84" s="87" t="str">
        <f aca="true">IF(B84="","",IF(V84&lt;&gt;"",V84-B84,TODAY()-B84))</f>
        <v/>
      </c>
      <c r="AA84" s="62" t="str">
        <f aca="true">IF(OR(B84="",T84="",U84="False Positive",U84="Risk Accepted"),"",IF(V84&lt;&gt;"",IF(V84&gt;T84,"Closed Late","Met"),IF(TODAY()&gt;T84,"SLA BREACH",IF(T84-TODAY()&lt;=7,"Due ≤7d","Within SLA"))))</f>
        <v/>
      </c>
      <c r="AB84" s="61"/>
      <c r="AC84" s="61"/>
      <c r="AD84" s="60"/>
      <c r="AE84" s="88" t="str">
        <f aca="false">IF(Y84&lt;&gt;"",ROW(),"")</f>
        <v/>
      </c>
      <c r="AF84" s="88" t="str">
        <f aca="false">IF(AND(AND(E84&lt;&gt;"",U84&lt;&gt;"Remediated",U84&lt;&gt;"False Positive",U84&lt;&gt;"Risk Accepted"),T84&lt;&gt;"",T84&lt;='Weekly Report'!$F$7),ROW(),"")</f>
        <v/>
      </c>
      <c r="AG84" s="88" t="str">
        <f aca="false">IF(AND(AND(E84&lt;&gt;"",U84&lt;&gt;"Remediated",U84&lt;&gt;"False Positive",U84&lt;&gt;"Risk Accepted"),LEFT(Q84,6)="Breach"),ROW(),"")</f>
        <v/>
      </c>
    </row>
    <row r="85" customFormat="false" ht="15" hidden="false" customHeight="false" outlineLevel="0" collapsed="false">
      <c r="A85" s="56" t="s">
        <v>2241</v>
      </c>
      <c r="B85" s="63"/>
      <c r="C85" s="61"/>
      <c r="D85" s="61"/>
      <c r="E85" s="60"/>
      <c r="F85" s="61"/>
      <c r="G85" s="61"/>
      <c r="H85" s="61"/>
      <c r="I85" s="61"/>
      <c r="J85" s="60"/>
      <c r="K85" s="61"/>
      <c r="L85" s="61"/>
      <c r="M85" s="61"/>
      <c r="N85" s="60"/>
      <c r="O85" s="60"/>
      <c r="P85" s="60"/>
      <c r="Q85" s="61"/>
      <c r="R85" s="61"/>
      <c r="S85" s="87" t="str">
        <f aca="false">IF(OR(B85="",L85=""),"",INDEX(Lists!$AD$4:$AD$8,MATCH(L85,Lists!$AC$4:$AC$8,0)))</f>
        <v/>
      </c>
      <c r="T85" s="95" t="str">
        <f aca="false">IF(OR(S85="",ISERROR(S85)),"",B85+S85)</f>
        <v/>
      </c>
      <c r="U85" s="61"/>
      <c r="V85" s="63"/>
      <c r="W85" s="63"/>
      <c r="X85" s="60"/>
      <c r="Y85" s="62" t="str">
        <f aca="false">IF(E85="","",IF(AND(B85&lt;&gt;"",B85&gt;='Weekly Report'!$F$4,B85&lt;='Weekly Report'!$F$5),"NEW",IF(AND(W85&lt;&gt;"",W85&gt;='Weekly Report'!$F$4,W85&lt;='Weekly Report'!$F$5),"CHANGED","")))</f>
        <v/>
      </c>
      <c r="Z85" s="87" t="str">
        <f aca="true">IF(B85="","",IF(V85&lt;&gt;"",V85-B85,TODAY()-B85))</f>
        <v/>
      </c>
      <c r="AA85" s="62" t="str">
        <f aca="true">IF(OR(B85="",T85="",U85="False Positive",U85="Risk Accepted"),"",IF(V85&lt;&gt;"",IF(V85&gt;T85,"Closed Late","Met"),IF(TODAY()&gt;T85,"SLA BREACH",IF(T85-TODAY()&lt;=7,"Due ≤7d","Within SLA"))))</f>
        <v/>
      </c>
      <c r="AB85" s="61"/>
      <c r="AC85" s="61"/>
      <c r="AD85" s="60"/>
      <c r="AE85" s="88" t="str">
        <f aca="false">IF(Y85&lt;&gt;"",ROW(),"")</f>
        <v/>
      </c>
      <c r="AF85" s="88" t="str">
        <f aca="false">IF(AND(AND(E85&lt;&gt;"",U85&lt;&gt;"Remediated",U85&lt;&gt;"False Positive",U85&lt;&gt;"Risk Accepted"),T85&lt;&gt;"",T85&lt;='Weekly Report'!$F$7),ROW(),"")</f>
        <v/>
      </c>
      <c r="AG85" s="88" t="str">
        <f aca="false">IF(AND(AND(E85&lt;&gt;"",U85&lt;&gt;"Remediated",U85&lt;&gt;"False Positive",U85&lt;&gt;"Risk Accepted"),LEFT(Q85,6)="Breach"),ROW(),"")</f>
        <v/>
      </c>
    </row>
    <row r="86" customFormat="false" ht="15" hidden="false" customHeight="false" outlineLevel="0" collapsed="false">
      <c r="A86" s="56" t="s">
        <v>2242</v>
      </c>
      <c r="B86" s="63"/>
      <c r="C86" s="61"/>
      <c r="D86" s="61"/>
      <c r="E86" s="60"/>
      <c r="F86" s="61"/>
      <c r="G86" s="61"/>
      <c r="H86" s="61"/>
      <c r="I86" s="61"/>
      <c r="J86" s="60"/>
      <c r="K86" s="61"/>
      <c r="L86" s="61"/>
      <c r="M86" s="61"/>
      <c r="N86" s="60"/>
      <c r="O86" s="60"/>
      <c r="P86" s="60"/>
      <c r="Q86" s="61"/>
      <c r="R86" s="61"/>
      <c r="S86" s="87" t="str">
        <f aca="false">IF(OR(B86="",L86=""),"",INDEX(Lists!$AD$4:$AD$8,MATCH(L86,Lists!$AC$4:$AC$8,0)))</f>
        <v/>
      </c>
      <c r="T86" s="95" t="str">
        <f aca="false">IF(OR(S86="",ISERROR(S86)),"",B86+S86)</f>
        <v/>
      </c>
      <c r="U86" s="61"/>
      <c r="V86" s="63"/>
      <c r="W86" s="63"/>
      <c r="X86" s="60"/>
      <c r="Y86" s="62" t="str">
        <f aca="false">IF(E86="","",IF(AND(B86&lt;&gt;"",B86&gt;='Weekly Report'!$F$4,B86&lt;='Weekly Report'!$F$5),"NEW",IF(AND(W86&lt;&gt;"",W86&gt;='Weekly Report'!$F$4,W86&lt;='Weekly Report'!$F$5),"CHANGED","")))</f>
        <v/>
      </c>
      <c r="Z86" s="87" t="str">
        <f aca="true">IF(B86="","",IF(V86&lt;&gt;"",V86-B86,TODAY()-B86))</f>
        <v/>
      </c>
      <c r="AA86" s="62" t="str">
        <f aca="true">IF(OR(B86="",T86="",U86="False Positive",U86="Risk Accepted"),"",IF(V86&lt;&gt;"",IF(V86&gt;T86,"Closed Late","Met"),IF(TODAY()&gt;T86,"SLA BREACH",IF(T86-TODAY()&lt;=7,"Due ≤7d","Within SLA"))))</f>
        <v/>
      </c>
      <c r="AB86" s="61"/>
      <c r="AC86" s="61"/>
      <c r="AD86" s="60"/>
      <c r="AE86" s="88" t="str">
        <f aca="false">IF(Y86&lt;&gt;"",ROW(),"")</f>
        <v/>
      </c>
      <c r="AF86" s="88" t="str">
        <f aca="false">IF(AND(AND(E86&lt;&gt;"",U86&lt;&gt;"Remediated",U86&lt;&gt;"False Positive",U86&lt;&gt;"Risk Accepted"),T86&lt;&gt;"",T86&lt;='Weekly Report'!$F$7),ROW(),"")</f>
        <v/>
      </c>
      <c r="AG86" s="88" t="str">
        <f aca="false">IF(AND(AND(E86&lt;&gt;"",U86&lt;&gt;"Remediated",U86&lt;&gt;"False Positive",U86&lt;&gt;"Risk Accepted"),LEFT(Q86,6)="Breach"),ROW(),"")</f>
        <v/>
      </c>
    </row>
    <row r="87" customFormat="false" ht="15" hidden="false" customHeight="false" outlineLevel="0" collapsed="false">
      <c r="A87" s="56" t="s">
        <v>2243</v>
      </c>
      <c r="B87" s="63"/>
      <c r="C87" s="61"/>
      <c r="D87" s="61"/>
      <c r="E87" s="60"/>
      <c r="F87" s="61"/>
      <c r="G87" s="61"/>
      <c r="H87" s="61"/>
      <c r="I87" s="61"/>
      <c r="J87" s="60"/>
      <c r="K87" s="61"/>
      <c r="L87" s="61"/>
      <c r="M87" s="61"/>
      <c r="N87" s="60"/>
      <c r="O87" s="60"/>
      <c r="P87" s="60"/>
      <c r="Q87" s="61"/>
      <c r="R87" s="61"/>
      <c r="S87" s="87" t="str">
        <f aca="false">IF(OR(B87="",L87=""),"",INDEX(Lists!$AD$4:$AD$8,MATCH(L87,Lists!$AC$4:$AC$8,0)))</f>
        <v/>
      </c>
      <c r="T87" s="95" t="str">
        <f aca="false">IF(OR(S87="",ISERROR(S87)),"",B87+S87)</f>
        <v/>
      </c>
      <c r="U87" s="61"/>
      <c r="V87" s="63"/>
      <c r="W87" s="63"/>
      <c r="X87" s="60"/>
      <c r="Y87" s="62" t="str">
        <f aca="false">IF(E87="","",IF(AND(B87&lt;&gt;"",B87&gt;='Weekly Report'!$F$4,B87&lt;='Weekly Report'!$F$5),"NEW",IF(AND(W87&lt;&gt;"",W87&gt;='Weekly Report'!$F$4,W87&lt;='Weekly Report'!$F$5),"CHANGED","")))</f>
        <v/>
      </c>
      <c r="Z87" s="87" t="str">
        <f aca="true">IF(B87="","",IF(V87&lt;&gt;"",V87-B87,TODAY()-B87))</f>
        <v/>
      </c>
      <c r="AA87" s="62" t="str">
        <f aca="true">IF(OR(B87="",T87="",U87="False Positive",U87="Risk Accepted"),"",IF(V87&lt;&gt;"",IF(V87&gt;T87,"Closed Late","Met"),IF(TODAY()&gt;T87,"SLA BREACH",IF(T87-TODAY()&lt;=7,"Due ≤7d","Within SLA"))))</f>
        <v/>
      </c>
      <c r="AB87" s="61"/>
      <c r="AC87" s="61"/>
      <c r="AD87" s="60"/>
      <c r="AE87" s="88" t="str">
        <f aca="false">IF(Y87&lt;&gt;"",ROW(),"")</f>
        <v/>
      </c>
      <c r="AF87" s="88" t="str">
        <f aca="false">IF(AND(AND(E87&lt;&gt;"",U87&lt;&gt;"Remediated",U87&lt;&gt;"False Positive",U87&lt;&gt;"Risk Accepted"),T87&lt;&gt;"",T87&lt;='Weekly Report'!$F$7),ROW(),"")</f>
        <v/>
      </c>
      <c r="AG87" s="88" t="str">
        <f aca="false">IF(AND(AND(E87&lt;&gt;"",U87&lt;&gt;"Remediated",U87&lt;&gt;"False Positive",U87&lt;&gt;"Risk Accepted"),LEFT(Q87,6)="Breach"),ROW(),"")</f>
        <v/>
      </c>
    </row>
    <row r="88" customFormat="false" ht="15" hidden="false" customHeight="false" outlineLevel="0" collapsed="false">
      <c r="A88" s="56" t="s">
        <v>2244</v>
      </c>
      <c r="B88" s="63"/>
      <c r="C88" s="61"/>
      <c r="D88" s="61"/>
      <c r="E88" s="60"/>
      <c r="F88" s="61"/>
      <c r="G88" s="61"/>
      <c r="H88" s="61"/>
      <c r="I88" s="61"/>
      <c r="J88" s="60"/>
      <c r="K88" s="61"/>
      <c r="L88" s="61"/>
      <c r="M88" s="61"/>
      <c r="N88" s="60"/>
      <c r="O88" s="60"/>
      <c r="P88" s="60"/>
      <c r="Q88" s="61"/>
      <c r="R88" s="61"/>
      <c r="S88" s="87" t="str">
        <f aca="false">IF(OR(B88="",L88=""),"",INDEX(Lists!$AD$4:$AD$8,MATCH(L88,Lists!$AC$4:$AC$8,0)))</f>
        <v/>
      </c>
      <c r="T88" s="95" t="str">
        <f aca="false">IF(OR(S88="",ISERROR(S88)),"",B88+S88)</f>
        <v/>
      </c>
      <c r="U88" s="61"/>
      <c r="V88" s="63"/>
      <c r="W88" s="63"/>
      <c r="X88" s="60"/>
      <c r="Y88" s="62" t="str">
        <f aca="false">IF(E88="","",IF(AND(B88&lt;&gt;"",B88&gt;='Weekly Report'!$F$4,B88&lt;='Weekly Report'!$F$5),"NEW",IF(AND(W88&lt;&gt;"",W88&gt;='Weekly Report'!$F$4,W88&lt;='Weekly Report'!$F$5),"CHANGED","")))</f>
        <v/>
      </c>
      <c r="Z88" s="87" t="str">
        <f aca="true">IF(B88="","",IF(V88&lt;&gt;"",V88-B88,TODAY()-B88))</f>
        <v/>
      </c>
      <c r="AA88" s="62" t="str">
        <f aca="true">IF(OR(B88="",T88="",U88="False Positive",U88="Risk Accepted"),"",IF(V88&lt;&gt;"",IF(V88&gt;T88,"Closed Late","Met"),IF(TODAY()&gt;T88,"SLA BREACH",IF(T88-TODAY()&lt;=7,"Due ≤7d","Within SLA"))))</f>
        <v/>
      </c>
      <c r="AB88" s="61"/>
      <c r="AC88" s="61"/>
      <c r="AD88" s="60"/>
      <c r="AE88" s="88" t="str">
        <f aca="false">IF(Y88&lt;&gt;"",ROW(),"")</f>
        <v/>
      </c>
      <c r="AF88" s="88" t="str">
        <f aca="false">IF(AND(AND(E88&lt;&gt;"",U88&lt;&gt;"Remediated",U88&lt;&gt;"False Positive",U88&lt;&gt;"Risk Accepted"),T88&lt;&gt;"",T88&lt;='Weekly Report'!$F$7),ROW(),"")</f>
        <v/>
      </c>
      <c r="AG88" s="88" t="str">
        <f aca="false">IF(AND(AND(E88&lt;&gt;"",U88&lt;&gt;"Remediated",U88&lt;&gt;"False Positive",U88&lt;&gt;"Risk Accepted"),LEFT(Q88,6)="Breach"),ROW(),"")</f>
        <v/>
      </c>
    </row>
    <row r="89" customFormat="false" ht="15" hidden="false" customHeight="false" outlineLevel="0" collapsed="false">
      <c r="A89" s="56" t="s">
        <v>2245</v>
      </c>
      <c r="B89" s="63"/>
      <c r="C89" s="61"/>
      <c r="D89" s="61"/>
      <c r="E89" s="60"/>
      <c r="F89" s="61"/>
      <c r="G89" s="61"/>
      <c r="H89" s="61"/>
      <c r="I89" s="61"/>
      <c r="J89" s="60"/>
      <c r="K89" s="61"/>
      <c r="L89" s="61"/>
      <c r="M89" s="61"/>
      <c r="N89" s="60"/>
      <c r="O89" s="60"/>
      <c r="P89" s="60"/>
      <c r="Q89" s="61"/>
      <c r="R89" s="61"/>
      <c r="S89" s="87" t="str">
        <f aca="false">IF(OR(B89="",L89=""),"",INDEX(Lists!$AD$4:$AD$8,MATCH(L89,Lists!$AC$4:$AC$8,0)))</f>
        <v/>
      </c>
      <c r="T89" s="95" t="str">
        <f aca="false">IF(OR(S89="",ISERROR(S89)),"",B89+S89)</f>
        <v/>
      </c>
      <c r="U89" s="61"/>
      <c r="V89" s="63"/>
      <c r="W89" s="63"/>
      <c r="X89" s="60"/>
      <c r="Y89" s="62" t="str">
        <f aca="false">IF(E89="","",IF(AND(B89&lt;&gt;"",B89&gt;='Weekly Report'!$F$4,B89&lt;='Weekly Report'!$F$5),"NEW",IF(AND(W89&lt;&gt;"",W89&gt;='Weekly Report'!$F$4,W89&lt;='Weekly Report'!$F$5),"CHANGED","")))</f>
        <v/>
      </c>
      <c r="Z89" s="87" t="str">
        <f aca="true">IF(B89="","",IF(V89&lt;&gt;"",V89-B89,TODAY()-B89))</f>
        <v/>
      </c>
      <c r="AA89" s="62" t="str">
        <f aca="true">IF(OR(B89="",T89="",U89="False Positive",U89="Risk Accepted"),"",IF(V89&lt;&gt;"",IF(V89&gt;T89,"Closed Late","Met"),IF(TODAY()&gt;T89,"SLA BREACH",IF(T89-TODAY()&lt;=7,"Due ≤7d","Within SLA"))))</f>
        <v/>
      </c>
      <c r="AB89" s="61"/>
      <c r="AC89" s="61"/>
      <c r="AD89" s="60"/>
      <c r="AE89" s="88" t="str">
        <f aca="false">IF(Y89&lt;&gt;"",ROW(),"")</f>
        <v/>
      </c>
      <c r="AF89" s="88" t="str">
        <f aca="false">IF(AND(AND(E89&lt;&gt;"",U89&lt;&gt;"Remediated",U89&lt;&gt;"False Positive",U89&lt;&gt;"Risk Accepted"),T89&lt;&gt;"",T89&lt;='Weekly Report'!$F$7),ROW(),"")</f>
        <v/>
      </c>
      <c r="AG89" s="88" t="str">
        <f aca="false">IF(AND(AND(E89&lt;&gt;"",U89&lt;&gt;"Remediated",U89&lt;&gt;"False Positive",U89&lt;&gt;"Risk Accepted"),LEFT(Q89,6)="Breach"),ROW(),"")</f>
        <v/>
      </c>
    </row>
    <row r="90" customFormat="false" ht="15" hidden="false" customHeight="false" outlineLevel="0" collapsed="false">
      <c r="A90" s="56" t="s">
        <v>2246</v>
      </c>
      <c r="B90" s="63"/>
      <c r="C90" s="61"/>
      <c r="D90" s="61"/>
      <c r="E90" s="60"/>
      <c r="F90" s="61"/>
      <c r="G90" s="61"/>
      <c r="H90" s="61"/>
      <c r="I90" s="61"/>
      <c r="J90" s="60"/>
      <c r="K90" s="61"/>
      <c r="L90" s="61"/>
      <c r="M90" s="61"/>
      <c r="N90" s="60"/>
      <c r="O90" s="60"/>
      <c r="P90" s="60"/>
      <c r="Q90" s="61"/>
      <c r="R90" s="61"/>
      <c r="S90" s="87" t="str">
        <f aca="false">IF(OR(B90="",L90=""),"",INDEX(Lists!$AD$4:$AD$8,MATCH(L90,Lists!$AC$4:$AC$8,0)))</f>
        <v/>
      </c>
      <c r="T90" s="95" t="str">
        <f aca="false">IF(OR(S90="",ISERROR(S90)),"",B90+S90)</f>
        <v/>
      </c>
      <c r="U90" s="61"/>
      <c r="V90" s="63"/>
      <c r="W90" s="63"/>
      <c r="X90" s="60"/>
      <c r="Y90" s="62" t="str">
        <f aca="false">IF(E90="","",IF(AND(B90&lt;&gt;"",B90&gt;='Weekly Report'!$F$4,B90&lt;='Weekly Report'!$F$5),"NEW",IF(AND(W90&lt;&gt;"",W90&gt;='Weekly Report'!$F$4,W90&lt;='Weekly Report'!$F$5),"CHANGED","")))</f>
        <v/>
      </c>
      <c r="Z90" s="87" t="str">
        <f aca="true">IF(B90="","",IF(V90&lt;&gt;"",V90-B90,TODAY()-B90))</f>
        <v/>
      </c>
      <c r="AA90" s="62" t="str">
        <f aca="true">IF(OR(B90="",T90="",U90="False Positive",U90="Risk Accepted"),"",IF(V90&lt;&gt;"",IF(V90&gt;T90,"Closed Late","Met"),IF(TODAY()&gt;T90,"SLA BREACH",IF(T90-TODAY()&lt;=7,"Due ≤7d","Within SLA"))))</f>
        <v/>
      </c>
      <c r="AB90" s="61"/>
      <c r="AC90" s="61"/>
      <c r="AD90" s="60"/>
      <c r="AE90" s="88" t="str">
        <f aca="false">IF(Y90&lt;&gt;"",ROW(),"")</f>
        <v/>
      </c>
      <c r="AF90" s="88" t="str">
        <f aca="false">IF(AND(AND(E90&lt;&gt;"",U90&lt;&gt;"Remediated",U90&lt;&gt;"False Positive",U90&lt;&gt;"Risk Accepted"),T90&lt;&gt;"",T90&lt;='Weekly Report'!$F$7),ROW(),"")</f>
        <v/>
      </c>
      <c r="AG90" s="88" t="str">
        <f aca="false">IF(AND(AND(E90&lt;&gt;"",U90&lt;&gt;"Remediated",U90&lt;&gt;"False Positive",U90&lt;&gt;"Risk Accepted"),LEFT(Q90,6)="Breach"),ROW(),"")</f>
        <v/>
      </c>
    </row>
    <row r="91" customFormat="false" ht="15" hidden="false" customHeight="false" outlineLevel="0" collapsed="false">
      <c r="A91" s="56" t="s">
        <v>2247</v>
      </c>
      <c r="B91" s="63"/>
      <c r="C91" s="61"/>
      <c r="D91" s="61"/>
      <c r="E91" s="60"/>
      <c r="F91" s="61"/>
      <c r="G91" s="61"/>
      <c r="H91" s="61"/>
      <c r="I91" s="61"/>
      <c r="J91" s="60"/>
      <c r="K91" s="61"/>
      <c r="L91" s="61"/>
      <c r="M91" s="61"/>
      <c r="N91" s="60"/>
      <c r="O91" s="60"/>
      <c r="P91" s="60"/>
      <c r="Q91" s="61"/>
      <c r="R91" s="61"/>
      <c r="S91" s="87" t="str">
        <f aca="false">IF(OR(B91="",L91=""),"",INDEX(Lists!$AD$4:$AD$8,MATCH(L91,Lists!$AC$4:$AC$8,0)))</f>
        <v/>
      </c>
      <c r="T91" s="95" t="str">
        <f aca="false">IF(OR(S91="",ISERROR(S91)),"",B91+S91)</f>
        <v/>
      </c>
      <c r="U91" s="61"/>
      <c r="V91" s="63"/>
      <c r="W91" s="63"/>
      <c r="X91" s="60"/>
      <c r="Y91" s="62" t="str">
        <f aca="false">IF(E91="","",IF(AND(B91&lt;&gt;"",B91&gt;='Weekly Report'!$F$4,B91&lt;='Weekly Report'!$F$5),"NEW",IF(AND(W91&lt;&gt;"",W91&gt;='Weekly Report'!$F$4,W91&lt;='Weekly Report'!$F$5),"CHANGED","")))</f>
        <v/>
      </c>
      <c r="Z91" s="87" t="str">
        <f aca="true">IF(B91="","",IF(V91&lt;&gt;"",V91-B91,TODAY()-B91))</f>
        <v/>
      </c>
      <c r="AA91" s="62" t="str">
        <f aca="true">IF(OR(B91="",T91="",U91="False Positive",U91="Risk Accepted"),"",IF(V91&lt;&gt;"",IF(V91&gt;T91,"Closed Late","Met"),IF(TODAY()&gt;T91,"SLA BREACH",IF(T91-TODAY()&lt;=7,"Due ≤7d","Within SLA"))))</f>
        <v/>
      </c>
      <c r="AB91" s="61"/>
      <c r="AC91" s="61"/>
      <c r="AD91" s="60"/>
      <c r="AE91" s="88" t="str">
        <f aca="false">IF(Y91&lt;&gt;"",ROW(),"")</f>
        <v/>
      </c>
      <c r="AF91" s="88" t="str">
        <f aca="false">IF(AND(AND(E91&lt;&gt;"",U91&lt;&gt;"Remediated",U91&lt;&gt;"False Positive",U91&lt;&gt;"Risk Accepted"),T91&lt;&gt;"",T91&lt;='Weekly Report'!$F$7),ROW(),"")</f>
        <v/>
      </c>
      <c r="AG91" s="88" t="str">
        <f aca="false">IF(AND(AND(E91&lt;&gt;"",U91&lt;&gt;"Remediated",U91&lt;&gt;"False Positive",U91&lt;&gt;"Risk Accepted"),LEFT(Q91,6)="Breach"),ROW(),"")</f>
        <v/>
      </c>
    </row>
    <row r="92" customFormat="false" ht="15" hidden="false" customHeight="false" outlineLevel="0" collapsed="false">
      <c r="A92" s="56" t="s">
        <v>2248</v>
      </c>
      <c r="B92" s="63"/>
      <c r="C92" s="61"/>
      <c r="D92" s="61"/>
      <c r="E92" s="60"/>
      <c r="F92" s="61"/>
      <c r="G92" s="61"/>
      <c r="H92" s="61"/>
      <c r="I92" s="61"/>
      <c r="J92" s="60"/>
      <c r="K92" s="61"/>
      <c r="L92" s="61"/>
      <c r="M92" s="61"/>
      <c r="N92" s="60"/>
      <c r="O92" s="60"/>
      <c r="P92" s="60"/>
      <c r="Q92" s="61"/>
      <c r="R92" s="61"/>
      <c r="S92" s="87" t="str">
        <f aca="false">IF(OR(B92="",L92=""),"",INDEX(Lists!$AD$4:$AD$8,MATCH(L92,Lists!$AC$4:$AC$8,0)))</f>
        <v/>
      </c>
      <c r="T92" s="95" t="str">
        <f aca="false">IF(OR(S92="",ISERROR(S92)),"",B92+S92)</f>
        <v/>
      </c>
      <c r="U92" s="61"/>
      <c r="V92" s="63"/>
      <c r="W92" s="63"/>
      <c r="X92" s="60"/>
      <c r="Y92" s="62" t="str">
        <f aca="false">IF(E92="","",IF(AND(B92&lt;&gt;"",B92&gt;='Weekly Report'!$F$4,B92&lt;='Weekly Report'!$F$5),"NEW",IF(AND(W92&lt;&gt;"",W92&gt;='Weekly Report'!$F$4,W92&lt;='Weekly Report'!$F$5),"CHANGED","")))</f>
        <v/>
      </c>
      <c r="Z92" s="87" t="str">
        <f aca="true">IF(B92="","",IF(V92&lt;&gt;"",V92-B92,TODAY()-B92))</f>
        <v/>
      </c>
      <c r="AA92" s="62" t="str">
        <f aca="true">IF(OR(B92="",T92="",U92="False Positive",U92="Risk Accepted"),"",IF(V92&lt;&gt;"",IF(V92&gt;T92,"Closed Late","Met"),IF(TODAY()&gt;T92,"SLA BREACH",IF(T92-TODAY()&lt;=7,"Due ≤7d","Within SLA"))))</f>
        <v/>
      </c>
      <c r="AB92" s="61"/>
      <c r="AC92" s="61"/>
      <c r="AD92" s="60"/>
      <c r="AE92" s="88" t="str">
        <f aca="false">IF(Y92&lt;&gt;"",ROW(),"")</f>
        <v/>
      </c>
      <c r="AF92" s="88" t="str">
        <f aca="false">IF(AND(AND(E92&lt;&gt;"",U92&lt;&gt;"Remediated",U92&lt;&gt;"False Positive",U92&lt;&gt;"Risk Accepted"),T92&lt;&gt;"",T92&lt;='Weekly Report'!$F$7),ROW(),"")</f>
        <v/>
      </c>
      <c r="AG92" s="88" t="str">
        <f aca="false">IF(AND(AND(E92&lt;&gt;"",U92&lt;&gt;"Remediated",U92&lt;&gt;"False Positive",U92&lt;&gt;"Risk Accepted"),LEFT(Q92,6)="Breach"),ROW(),"")</f>
        <v/>
      </c>
    </row>
    <row r="93" customFormat="false" ht="15" hidden="false" customHeight="false" outlineLevel="0" collapsed="false">
      <c r="A93" s="56" t="s">
        <v>2249</v>
      </c>
      <c r="B93" s="63"/>
      <c r="C93" s="61"/>
      <c r="D93" s="61"/>
      <c r="E93" s="60"/>
      <c r="F93" s="61"/>
      <c r="G93" s="61"/>
      <c r="H93" s="61"/>
      <c r="I93" s="61"/>
      <c r="J93" s="60"/>
      <c r="K93" s="61"/>
      <c r="L93" s="61"/>
      <c r="M93" s="61"/>
      <c r="N93" s="60"/>
      <c r="O93" s="60"/>
      <c r="P93" s="60"/>
      <c r="Q93" s="61"/>
      <c r="R93" s="61"/>
      <c r="S93" s="87" t="str">
        <f aca="false">IF(OR(B93="",L93=""),"",INDEX(Lists!$AD$4:$AD$8,MATCH(L93,Lists!$AC$4:$AC$8,0)))</f>
        <v/>
      </c>
      <c r="T93" s="95" t="str">
        <f aca="false">IF(OR(S93="",ISERROR(S93)),"",B93+S93)</f>
        <v/>
      </c>
      <c r="U93" s="61"/>
      <c r="V93" s="63"/>
      <c r="W93" s="63"/>
      <c r="X93" s="60"/>
      <c r="Y93" s="62" t="str">
        <f aca="false">IF(E93="","",IF(AND(B93&lt;&gt;"",B93&gt;='Weekly Report'!$F$4,B93&lt;='Weekly Report'!$F$5),"NEW",IF(AND(W93&lt;&gt;"",W93&gt;='Weekly Report'!$F$4,W93&lt;='Weekly Report'!$F$5),"CHANGED","")))</f>
        <v/>
      </c>
      <c r="Z93" s="87" t="str">
        <f aca="true">IF(B93="","",IF(V93&lt;&gt;"",V93-B93,TODAY()-B93))</f>
        <v/>
      </c>
      <c r="AA93" s="62" t="str">
        <f aca="true">IF(OR(B93="",T93="",U93="False Positive",U93="Risk Accepted"),"",IF(V93&lt;&gt;"",IF(V93&gt;T93,"Closed Late","Met"),IF(TODAY()&gt;T93,"SLA BREACH",IF(T93-TODAY()&lt;=7,"Due ≤7d","Within SLA"))))</f>
        <v/>
      </c>
      <c r="AB93" s="61"/>
      <c r="AC93" s="61"/>
      <c r="AD93" s="60"/>
      <c r="AE93" s="88" t="str">
        <f aca="false">IF(Y93&lt;&gt;"",ROW(),"")</f>
        <v/>
      </c>
      <c r="AF93" s="88" t="str">
        <f aca="false">IF(AND(AND(E93&lt;&gt;"",U93&lt;&gt;"Remediated",U93&lt;&gt;"False Positive",U93&lt;&gt;"Risk Accepted"),T93&lt;&gt;"",T93&lt;='Weekly Report'!$F$7),ROW(),"")</f>
        <v/>
      </c>
      <c r="AG93" s="88" t="str">
        <f aca="false">IF(AND(AND(E93&lt;&gt;"",U93&lt;&gt;"Remediated",U93&lt;&gt;"False Positive",U93&lt;&gt;"Risk Accepted"),LEFT(Q93,6)="Breach"),ROW(),"")</f>
        <v/>
      </c>
    </row>
    <row r="94" customFormat="false" ht="15" hidden="false" customHeight="false" outlineLevel="0" collapsed="false">
      <c r="A94" s="56" t="s">
        <v>2250</v>
      </c>
      <c r="B94" s="63"/>
      <c r="C94" s="61"/>
      <c r="D94" s="61"/>
      <c r="E94" s="60"/>
      <c r="F94" s="61"/>
      <c r="G94" s="61"/>
      <c r="H94" s="61"/>
      <c r="I94" s="61"/>
      <c r="J94" s="60"/>
      <c r="K94" s="61"/>
      <c r="L94" s="61"/>
      <c r="M94" s="61"/>
      <c r="N94" s="60"/>
      <c r="O94" s="60"/>
      <c r="P94" s="60"/>
      <c r="Q94" s="61"/>
      <c r="R94" s="61"/>
      <c r="S94" s="87" t="str">
        <f aca="false">IF(OR(B94="",L94=""),"",INDEX(Lists!$AD$4:$AD$8,MATCH(L94,Lists!$AC$4:$AC$8,0)))</f>
        <v/>
      </c>
      <c r="T94" s="95" t="str">
        <f aca="false">IF(OR(S94="",ISERROR(S94)),"",B94+S94)</f>
        <v/>
      </c>
      <c r="U94" s="61"/>
      <c r="V94" s="63"/>
      <c r="W94" s="63"/>
      <c r="X94" s="60"/>
      <c r="Y94" s="62" t="str">
        <f aca="false">IF(E94="","",IF(AND(B94&lt;&gt;"",B94&gt;='Weekly Report'!$F$4,B94&lt;='Weekly Report'!$F$5),"NEW",IF(AND(W94&lt;&gt;"",W94&gt;='Weekly Report'!$F$4,W94&lt;='Weekly Report'!$F$5),"CHANGED","")))</f>
        <v/>
      </c>
      <c r="Z94" s="87" t="str">
        <f aca="true">IF(B94="","",IF(V94&lt;&gt;"",V94-B94,TODAY()-B94))</f>
        <v/>
      </c>
      <c r="AA94" s="62" t="str">
        <f aca="true">IF(OR(B94="",T94="",U94="False Positive",U94="Risk Accepted"),"",IF(V94&lt;&gt;"",IF(V94&gt;T94,"Closed Late","Met"),IF(TODAY()&gt;T94,"SLA BREACH",IF(T94-TODAY()&lt;=7,"Due ≤7d","Within SLA"))))</f>
        <v/>
      </c>
      <c r="AB94" s="61"/>
      <c r="AC94" s="61"/>
      <c r="AD94" s="60"/>
      <c r="AE94" s="88" t="str">
        <f aca="false">IF(Y94&lt;&gt;"",ROW(),"")</f>
        <v/>
      </c>
      <c r="AF94" s="88" t="str">
        <f aca="false">IF(AND(AND(E94&lt;&gt;"",U94&lt;&gt;"Remediated",U94&lt;&gt;"False Positive",U94&lt;&gt;"Risk Accepted"),T94&lt;&gt;"",T94&lt;='Weekly Report'!$F$7),ROW(),"")</f>
        <v/>
      </c>
      <c r="AG94" s="88" t="str">
        <f aca="false">IF(AND(AND(E94&lt;&gt;"",U94&lt;&gt;"Remediated",U94&lt;&gt;"False Positive",U94&lt;&gt;"Risk Accepted"),LEFT(Q94,6)="Breach"),ROW(),"")</f>
        <v/>
      </c>
    </row>
    <row r="95" customFormat="false" ht="15" hidden="false" customHeight="false" outlineLevel="0" collapsed="false">
      <c r="A95" s="56" t="s">
        <v>2251</v>
      </c>
      <c r="B95" s="63"/>
      <c r="C95" s="61"/>
      <c r="D95" s="61"/>
      <c r="E95" s="60"/>
      <c r="F95" s="61"/>
      <c r="G95" s="61"/>
      <c r="H95" s="61"/>
      <c r="I95" s="61"/>
      <c r="J95" s="60"/>
      <c r="K95" s="61"/>
      <c r="L95" s="61"/>
      <c r="M95" s="61"/>
      <c r="N95" s="60"/>
      <c r="O95" s="60"/>
      <c r="P95" s="60"/>
      <c r="Q95" s="61"/>
      <c r="R95" s="61"/>
      <c r="S95" s="87" t="str">
        <f aca="false">IF(OR(B95="",L95=""),"",INDEX(Lists!$AD$4:$AD$8,MATCH(L95,Lists!$AC$4:$AC$8,0)))</f>
        <v/>
      </c>
      <c r="T95" s="95" t="str">
        <f aca="false">IF(OR(S95="",ISERROR(S95)),"",B95+S95)</f>
        <v/>
      </c>
      <c r="U95" s="61"/>
      <c r="V95" s="63"/>
      <c r="W95" s="63"/>
      <c r="X95" s="60"/>
      <c r="Y95" s="62" t="str">
        <f aca="false">IF(E95="","",IF(AND(B95&lt;&gt;"",B95&gt;='Weekly Report'!$F$4,B95&lt;='Weekly Report'!$F$5),"NEW",IF(AND(W95&lt;&gt;"",W95&gt;='Weekly Report'!$F$4,W95&lt;='Weekly Report'!$F$5),"CHANGED","")))</f>
        <v/>
      </c>
      <c r="Z95" s="87" t="str">
        <f aca="true">IF(B95="","",IF(V95&lt;&gt;"",V95-B95,TODAY()-B95))</f>
        <v/>
      </c>
      <c r="AA95" s="62" t="str">
        <f aca="true">IF(OR(B95="",T95="",U95="False Positive",U95="Risk Accepted"),"",IF(V95&lt;&gt;"",IF(V95&gt;T95,"Closed Late","Met"),IF(TODAY()&gt;T95,"SLA BREACH",IF(T95-TODAY()&lt;=7,"Due ≤7d","Within SLA"))))</f>
        <v/>
      </c>
      <c r="AB95" s="61"/>
      <c r="AC95" s="61"/>
      <c r="AD95" s="60"/>
      <c r="AE95" s="88" t="str">
        <f aca="false">IF(Y95&lt;&gt;"",ROW(),"")</f>
        <v/>
      </c>
      <c r="AF95" s="88" t="str">
        <f aca="false">IF(AND(AND(E95&lt;&gt;"",U95&lt;&gt;"Remediated",U95&lt;&gt;"False Positive",U95&lt;&gt;"Risk Accepted"),T95&lt;&gt;"",T95&lt;='Weekly Report'!$F$7),ROW(),"")</f>
        <v/>
      </c>
      <c r="AG95" s="88" t="str">
        <f aca="false">IF(AND(AND(E95&lt;&gt;"",U95&lt;&gt;"Remediated",U95&lt;&gt;"False Positive",U95&lt;&gt;"Risk Accepted"),LEFT(Q95,6)="Breach"),ROW(),"")</f>
        <v/>
      </c>
    </row>
    <row r="96" customFormat="false" ht="15" hidden="false" customHeight="false" outlineLevel="0" collapsed="false">
      <c r="A96" s="56" t="s">
        <v>2252</v>
      </c>
      <c r="B96" s="63"/>
      <c r="C96" s="61"/>
      <c r="D96" s="61"/>
      <c r="E96" s="60"/>
      <c r="F96" s="61"/>
      <c r="G96" s="61"/>
      <c r="H96" s="61"/>
      <c r="I96" s="61"/>
      <c r="J96" s="60"/>
      <c r="K96" s="61"/>
      <c r="L96" s="61"/>
      <c r="M96" s="61"/>
      <c r="N96" s="60"/>
      <c r="O96" s="60"/>
      <c r="P96" s="60"/>
      <c r="Q96" s="61"/>
      <c r="R96" s="61"/>
      <c r="S96" s="87" t="str">
        <f aca="false">IF(OR(B96="",L96=""),"",INDEX(Lists!$AD$4:$AD$8,MATCH(L96,Lists!$AC$4:$AC$8,0)))</f>
        <v/>
      </c>
      <c r="T96" s="95" t="str">
        <f aca="false">IF(OR(S96="",ISERROR(S96)),"",B96+S96)</f>
        <v/>
      </c>
      <c r="U96" s="61"/>
      <c r="V96" s="63"/>
      <c r="W96" s="63"/>
      <c r="X96" s="60"/>
      <c r="Y96" s="62" t="str">
        <f aca="false">IF(E96="","",IF(AND(B96&lt;&gt;"",B96&gt;='Weekly Report'!$F$4,B96&lt;='Weekly Report'!$F$5),"NEW",IF(AND(W96&lt;&gt;"",W96&gt;='Weekly Report'!$F$4,W96&lt;='Weekly Report'!$F$5),"CHANGED","")))</f>
        <v/>
      </c>
      <c r="Z96" s="87" t="str">
        <f aca="true">IF(B96="","",IF(V96&lt;&gt;"",V96-B96,TODAY()-B96))</f>
        <v/>
      </c>
      <c r="AA96" s="62" t="str">
        <f aca="true">IF(OR(B96="",T96="",U96="False Positive",U96="Risk Accepted"),"",IF(V96&lt;&gt;"",IF(V96&gt;T96,"Closed Late","Met"),IF(TODAY()&gt;T96,"SLA BREACH",IF(T96-TODAY()&lt;=7,"Due ≤7d","Within SLA"))))</f>
        <v/>
      </c>
      <c r="AB96" s="61"/>
      <c r="AC96" s="61"/>
      <c r="AD96" s="60"/>
      <c r="AE96" s="88" t="str">
        <f aca="false">IF(Y96&lt;&gt;"",ROW(),"")</f>
        <v/>
      </c>
      <c r="AF96" s="88" t="str">
        <f aca="false">IF(AND(AND(E96&lt;&gt;"",U96&lt;&gt;"Remediated",U96&lt;&gt;"False Positive",U96&lt;&gt;"Risk Accepted"),T96&lt;&gt;"",T96&lt;='Weekly Report'!$F$7),ROW(),"")</f>
        <v/>
      </c>
      <c r="AG96" s="88" t="str">
        <f aca="false">IF(AND(AND(E96&lt;&gt;"",U96&lt;&gt;"Remediated",U96&lt;&gt;"False Positive",U96&lt;&gt;"Risk Accepted"),LEFT(Q96,6)="Breach"),ROW(),"")</f>
        <v/>
      </c>
    </row>
    <row r="97" customFormat="false" ht="15" hidden="false" customHeight="false" outlineLevel="0" collapsed="false">
      <c r="A97" s="56" t="s">
        <v>2253</v>
      </c>
      <c r="B97" s="63"/>
      <c r="C97" s="61"/>
      <c r="D97" s="61"/>
      <c r="E97" s="60"/>
      <c r="F97" s="61"/>
      <c r="G97" s="61"/>
      <c r="H97" s="61"/>
      <c r="I97" s="61"/>
      <c r="J97" s="60"/>
      <c r="K97" s="61"/>
      <c r="L97" s="61"/>
      <c r="M97" s="61"/>
      <c r="N97" s="60"/>
      <c r="O97" s="60"/>
      <c r="P97" s="60"/>
      <c r="Q97" s="61"/>
      <c r="R97" s="61"/>
      <c r="S97" s="87" t="str">
        <f aca="false">IF(OR(B97="",L97=""),"",INDEX(Lists!$AD$4:$AD$8,MATCH(L97,Lists!$AC$4:$AC$8,0)))</f>
        <v/>
      </c>
      <c r="T97" s="95" t="str">
        <f aca="false">IF(OR(S97="",ISERROR(S97)),"",B97+S97)</f>
        <v/>
      </c>
      <c r="U97" s="61"/>
      <c r="V97" s="63"/>
      <c r="W97" s="63"/>
      <c r="X97" s="60"/>
      <c r="Y97" s="62" t="str">
        <f aca="false">IF(E97="","",IF(AND(B97&lt;&gt;"",B97&gt;='Weekly Report'!$F$4,B97&lt;='Weekly Report'!$F$5),"NEW",IF(AND(W97&lt;&gt;"",W97&gt;='Weekly Report'!$F$4,W97&lt;='Weekly Report'!$F$5),"CHANGED","")))</f>
        <v/>
      </c>
      <c r="Z97" s="87" t="str">
        <f aca="true">IF(B97="","",IF(V97&lt;&gt;"",V97-B97,TODAY()-B97))</f>
        <v/>
      </c>
      <c r="AA97" s="62" t="str">
        <f aca="true">IF(OR(B97="",T97="",U97="False Positive",U97="Risk Accepted"),"",IF(V97&lt;&gt;"",IF(V97&gt;T97,"Closed Late","Met"),IF(TODAY()&gt;T97,"SLA BREACH",IF(T97-TODAY()&lt;=7,"Due ≤7d","Within SLA"))))</f>
        <v/>
      </c>
      <c r="AB97" s="61"/>
      <c r="AC97" s="61"/>
      <c r="AD97" s="60"/>
      <c r="AE97" s="88" t="str">
        <f aca="false">IF(Y97&lt;&gt;"",ROW(),"")</f>
        <v/>
      </c>
      <c r="AF97" s="88" t="str">
        <f aca="false">IF(AND(AND(E97&lt;&gt;"",U97&lt;&gt;"Remediated",U97&lt;&gt;"False Positive",U97&lt;&gt;"Risk Accepted"),T97&lt;&gt;"",T97&lt;='Weekly Report'!$F$7),ROW(),"")</f>
        <v/>
      </c>
      <c r="AG97" s="88" t="str">
        <f aca="false">IF(AND(AND(E97&lt;&gt;"",U97&lt;&gt;"Remediated",U97&lt;&gt;"False Positive",U97&lt;&gt;"Risk Accepted"),LEFT(Q97,6)="Breach"),ROW(),"")</f>
        <v/>
      </c>
    </row>
    <row r="98" customFormat="false" ht="15" hidden="false" customHeight="false" outlineLevel="0" collapsed="false">
      <c r="A98" s="56" t="s">
        <v>2254</v>
      </c>
      <c r="B98" s="63"/>
      <c r="C98" s="61"/>
      <c r="D98" s="61"/>
      <c r="E98" s="60"/>
      <c r="F98" s="61"/>
      <c r="G98" s="61"/>
      <c r="H98" s="61"/>
      <c r="I98" s="61"/>
      <c r="J98" s="60"/>
      <c r="K98" s="61"/>
      <c r="L98" s="61"/>
      <c r="M98" s="61"/>
      <c r="N98" s="60"/>
      <c r="O98" s="60"/>
      <c r="P98" s="60"/>
      <c r="Q98" s="61"/>
      <c r="R98" s="61"/>
      <c r="S98" s="87" t="str">
        <f aca="false">IF(OR(B98="",L98=""),"",INDEX(Lists!$AD$4:$AD$8,MATCH(L98,Lists!$AC$4:$AC$8,0)))</f>
        <v/>
      </c>
      <c r="T98" s="95" t="str">
        <f aca="false">IF(OR(S98="",ISERROR(S98)),"",B98+S98)</f>
        <v/>
      </c>
      <c r="U98" s="61"/>
      <c r="V98" s="63"/>
      <c r="W98" s="63"/>
      <c r="X98" s="60"/>
      <c r="Y98" s="62" t="str">
        <f aca="false">IF(E98="","",IF(AND(B98&lt;&gt;"",B98&gt;='Weekly Report'!$F$4,B98&lt;='Weekly Report'!$F$5),"NEW",IF(AND(W98&lt;&gt;"",W98&gt;='Weekly Report'!$F$4,W98&lt;='Weekly Report'!$F$5),"CHANGED","")))</f>
        <v/>
      </c>
      <c r="Z98" s="87" t="str">
        <f aca="true">IF(B98="","",IF(V98&lt;&gt;"",V98-B98,TODAY()-B98))</f>
        <v/>
      </c>
      <c r="AA98" s="62" t="str">
        <f aca="true">IF(OR(B98="",T98="",U98="False Positive",U98="Risk Accepted"),"",IF(V98&lt;&gt;"",IF(V98&gt;T98,"Closed Late","Met"),IF(TODAY()&gt;T98,"SLA BREACH",IF(T98-TODAY()&lt;=7,"Due ≤7d","Within SLA"))))</f>
        <v/>
      </c>
      <c r="AB98" s="61"/>
      <c r="AC98" s="61"/>
      <c r="AD98" s="60"/>
      <c r="AE98" s="88" t="str">
        <f aca="false">IF(Y98&lt;&gt;"",ROW(),"")</f>
        <v/>
      </c>
      <c r="AF98" s="88" t="str">
        <f aca="false">IF(AND(AND(E98&lt;&gt;"",U98&lt;&gt;"Remediated",U98&lt;&gt;"False Positive",U98&lt;&gt;"Risk Accepted"),T98&lt;&gt;"",T98&lt;='Weekly Report'!$F$7),ROW(),"")</f>
        <v/>
      </c>
      <c r="AG98" s="88" t="str">
        <f aca="false">IF(AND(AND(E98&lt;&gt;"",U98&lt;&gt;"Remediated",U98&lt;&gt;"False Positive",U98&lt;&gt;"Risk Accepted"),LEFT(Q98,6)="Breach"),ROW(),"")</f>
        <v/>
      </c>
    </row>
    <row r="99" customFormat="false" ht="15" hidden="false" customHeight="false" outlineLevel="0" collapsed="false">
      <c r="A99" s="56" t="s">
        <v>2255</v>
      </c>
      <c r="B99" s="63"/>
      <c r="C99" s="61"/>
      <c r="D99" s="61"/>
      <c r="E99" s="60"/>
      <c r="F99" s="61"/>
      <c r="G99" s="61"/>
      <c r="H99" s="61"/>
      <c r="I99" s="61"/>
      <c r="J99" s="60"/>
      <c r="K99" s="61"/>
      <c r="L99" s="61"/>
      <c r="M99" s="61"/>
      <c r="N99" s="60"/>
      <c r="O99" s="60"/>
      <c r="P99" s="60"/>
      <c r="Q99" s="61"/>
      <c r="R99" s="61"/>
      <c r="S99" s="87" t="str">
        <f aca="false">IF(OR(B99="",L99=""),"",INDEX(Lists!$AD$4:$AD$8,MATCH(L99,Lists!$AC$4:$AC$8,0)))</f>
        <v/>
      </c>
      <c r="T99" s="95" t="str">
        <f aca="false">IF(OR(S99="",ISERROR(S99)),"",B99+S99)</f>
        <v/>
      </c>
      <c r="U99" s="61"/>
      <c r="V99" s="63"/>
      <c r="W99" s="63"/>
      <c r="X99" s="60"/>
      <c r="Y99" s="62" t="str">
        <f aca="false">IF(E99="","",IF(AND(B99&lt;&gt;"",B99&gt;='Weekly Report'!$F$4,B99&lt;='Weekly Report'!$F$5),"NEW",IF(AND(W99&lt;&gt;"",W99&gt;='Weekly Report'!$F$4,W99&lt;='Weekly Report'!$F$5),"CHANGED","")))</f>
        <v/>
      </c>
      <c r="Z99" s="87" t="str">
        <f aca="true">IF(B99="","",IF(V99&lt;&gt;"",V99-B99,TODAY()-B99))</f>
        <v/>
      </c>
      <c r="AA99" s="62" t="str">
        <f aca="true">IF(OR(B99="",T99="",U99="False Positive",U99="Risk Accepted"),"",IF(V99&lt;&gt;"",IF(V99&gt;T99,"Closed Late","Met"),IF(TODAY()&gt;T99,"SLA BREACH",IF(T99-TODAY()&lt;=7,"Due ≤7d","Within SLA"))))</f>
        <v/>
      </c>
      <c r="AB99" s="61"/>
      <c r="AC99" s="61"/>
      <c r="AD99" s="60"/>
      <c r="AE99" s="88" t="str">
        <f aca="false">IF(Y99&lt;&gt;"",ROW(),"")</f>
        <v/>
      </c>
      <c r="AF99" s="88" t="str">
        <f aca="false">IF(AND(AND(E99&lt;&gt;"",U99&lt;&gt;"Remediated",U99&lt;&gt;"False Positive",U99&lt;&gt;"Risk Accepted"),T99&lt;&gt;"",T99&lt;='Weekly Report'!$F$7),ROW(),"")</f>
        <v/>
      </c>
      <c r="AG99" s="88" t="str">
        <f aca="false">IF(AND(AND(E99&lt;&gt;"",U99&lt;&gt;"Remediated",U99&lt;&gt;"False Positive",U99&lt;&gt;"Risk Accepted"),LEFT(Q99,6)="Breach"),ROW(),"")</f>
        <v/>
      </c>
    </row>
    <row r="100" customFormat="false" ht="15" hidden="false" customHeight="false" outlineLevel="0" collapsed="false">
      <c r="A100" s="56" t="s">
        <v>2256</v>
      </c>
      <c r="B100" s="63"/>
      <c r="C100" s="61"/>
      <c r="D100" s="61"/>
      <c r="E100" s="60"/>
      <c r="F100" s="61"/>
      <c r="G100" s="61"/>
      <c r="H100" s="61"/>
      <c r="I100" s="61"/>
      <c r="J100" s="60"/>
      <c r="K100" s="61"/>
      <c r="L100" s="61"/>
      <c r="M100" s="61"/>
      <c r="N100" s="60"/>
      <c r="O100" s="60"/>
      <c r="P100" s="60"/>
      <c r="Q100" s="61"/>
      <c r="R100" s="61"/>
      <c r="S100" s="87" t="str">
        <f aca="false">IF(OR(B100="",L100=""),"",INDEX(Lists!$AD$4:$AD$8,MATCH(L100,Lists!$AC$4:$AC$8,0)))</f>
        <v/>
      </c>
      <c r="T100" s="95" t="str">
        <f aca="false">IF(OR(S100="",ISERROR(S100)),"",B100+S100)</f>
        <v/>
      </c>
      <c r="U100" s="61"/>
      <c r="V100" s="63"/>
      <c r="W100" s="63"/>
      <c r="X100" s="60"/>
      <c r="Y100" s="62" t="str">
        <f aca="false">IF(E100="","",IF(AND(B100&lt;&gt;"",B100&gt;='Weekly Report'!$F$4,B100&lt;='Weekly Report'!$F$5),"NEW",IF(AND(W100&lt;&gt;"",W100&gt;='Weekly Report'!$F$4,W100&lt;='Weekly Report'!$F$5),"CHANGED","")))</f>
        <v/>
      </c>
      <c r="Z100" s="87" t="str">
        <f aca="true">IF(B100="","",IF(V100&lt;&gt;"",V100-B100,TODAY()-B100))</f>
        <v/>
      </c>
      <c r="AA100" s="62" t="str">
        <f aca="true">IF(OR(B100="",T100="",U100="False Positive",U100="Risk Accepted"),"",IF(V100&lt;&gt;"",IF(V100&gt;T100,"Closed Late","Met"),IF(TODAY()&gt;T100,"SLA BREACH",IF(T100-TODAY()&lt;=7,"Due ≤7d","Within SLA"))))</f>
        <v/>
      </c>
      <c r="AB100" s="61"/>
      <c r="AC100" s="61"/>
      <c r="AD100" s="60"/>
      <c r="AE100" s="88" t="str">
        <f aca="false">IF(Y100&lt;&gt;"",ROW(),"")</f>
        <v/>
      </c>
      <c r="AF100" s="88" t="str">
        <f aca="false">IF(AND(AND(E100&lt;&gt;"",U100&lt;&gt;"Remediated",U100&lt;&gt;"False Positive",U100&lt;&gt;"Risk Accepted"),T100&lt;&gt;"",T100&lt;='Weekly Report'!$F$7),ROW(),"")</f>
        <v/>
      </c>
      <c r="AG100" s="88" t="str">
        <f aca="false">IF(AND(AND(E100&lt;&gt;"",U100&lt;&gt;"Remediated",U100&lt;&gt;"False Positive",U100&lt;&gt;"Risk Accepted"),LEFT(Q100,6)="Breach"),ROW(),"")</f>
        <v/>
      </c>
    </row>
    <row r="101" customFormat="false" ht="15" hidden="false" customHeight="false" outlineLevel="0" collapsed="false">
      <c r="A101" s="56" t="s">
        <v>2257</v>
      </c>
      <c r="B101" s="63"/>
      <c r="C101" s="61"/>
      <c r="D101" s="61"/>
      <c r="E101" s="60"/>
      <c r="F101" s="61"/>
      <c r="G101" s="61"/>
      <c r="H101" s="61"/>
      <c r="I101" s="61"/>
      <c r="J101" s="60"/>
      <c r="K101" s="61"/>
      <c r="L101" s="61"/>
      <c r="M101" s="61"/>
      <c r="N101" s="60"/>
      <c r="O101" s="60"/>
      <c r="P101" s="60"/>
      <c r="Q101" s="61"/>
      <c r="R101" s="61"/>
      <c r="S101" s="87" t="str">
        <f aca="false">IF(OR(B101="",L101=""),"",INDEX(Lists!$AD$4:$AD$8,MATCH(L101,Lists!$AC$4:$AC$8,0)))</f>
        <v/>
      </c>
      <c r="T101" s="95" t="str">
        <f aca="false">IF(OR(S101="",ISERROR(S101)),"",B101+S101)</f>
        <v/>
      </c>
      <c r="U101" s="61"/>
      <c r="V101" s="63"/>
      <c r="W101" s="63"/>
      <c r="X101" s="60"/>
      <c r="Y101" s="62" t="str">
        <f aca="false">IF(E101="","",IF(AND(B101&lt;&gt;"",B101&gt;='Weekly Report'!$F$4,B101&lt;='Weekly Report'!$F$5),"NEW",IF(AND(W101&lt;&gt;"",W101&gt;='Weekly Report'!$F$4,W101&lt;='Weekly Report'!$F$5),"CHANGED","")))</f>
        <v/>
      </c>
      <c r="Z101" s="87" t="str">
        <f aca="true">IF(B101="","",IF(V101&lt;&gt;"",V101-B101,TODAY()-B101))</f>
        <v/>
      </c>
      <c r="AA101" s="62" t="str">
        <f aca="true">IF(OR(B101="",T101="",U101="False Positive",U101="Risk Accepted"),"",IF(V101&lt;&gt;"",IF(V101&gt;T101,"Closed Late","Met"),IF(TODAY()&gt;T101,"SLA BREACH",IF(T101-TODAY()&lt;=7,"Due ≤7d","Within SLA"))))</f>
        <v/>
      </c>
      <c r="AB101" s="61"/>
      <c r="AC101" s="61"/>
      <c r="AD101" s="60"/>
      <c r="AE101" s="88" t="str">
        <f aca="false">IF(Y101&lt;&gt;"",ROW(),"")</f>
        <v/>
      </c>
      <c r="AF101" s="88" t="str">
        <f aca="false">IF(AND(AND(E101&lt;&gt;"",U101&lt;&gt;"Remediated",U101&lt;&gt;"False Positive",U101&lt;&gt;"Risk Accepted"),T101&lt;&gt;"",T101&lt;='Weekly Report'!$F$7),ROW(),"")</f>
        <v/>
      </c>
      <c r="AG101" s="88" t="str">
        <f aca="false">IF(AND(AND(E101&lt;&gt;"",U101&lt;&gt;"Remediated",U101&lt;&gt;"False Positive",U101&lt;&gt;"Risk Accepted"),LEFT(Q101,6)="Breach"),ROW(),"")</f>
        <v/>
      </c>
    </row>
    <row r="102" customFormat="false" ht="15" hidden="false" customHeight="false" outlineLevel="0" collapsed="false">
      <c r="A102" s="56" t="s">
        <v>2258</v>
      </c>
      <c r="B102" s="63"/>
      <c r="C102" s="61"/>
      <c r="D102" s="61"/>
      <c r="E102" s="60"/>
      <c r="F102" s="61"/>
      <c r="G102" s="61"/>
      <c r="H102" s="61"/>
      <c r="I102" s="61"/>
      <c r="J102" s="60"/>
      <c r="K102" s="61"/>
      <c r="L102" s="61"/>
      <c r="M102" s="61"/>
      <c r="N102" s="60"/>
      <c r="O102" s="60"/>
      <c r="P102" s="60"/>
      <c r="Q102" s="61"/>
      <c r="R102" s="61"/>
      <c r="S102" s="87" t="str">
        <f aca="false">IF(OR(B102="",L102=""),"",INDEX(Lists!$AD$4:$AD$8,MATCH(L102,Lists!$AC$4:$AC$8,0)))</f>
        <v/>
      </c>
      <c r="T102" s="95" t="str">
        <f aca="false">IF(OR(S102="",ISERROR(S102)),"",B102+S102)</f>
        <v/>
      </c>
      <c r="U102" s="61"/>
      <c r="V102" s="63"/>
      <c r="W102" s="63"/>
      <c r="X102" s="60"/>
      <c r="Y102" s="62" t="str">
        <f aca="false">IF(E102="","",IF(AND(B102&lt;&gt;"",B102&gt;='Weekly Report'!$F$4,B102&lt;='Weekly Report'!$F$5),"NEW",IF(AND(W102&lt;&gt;"",W102&gt;='Weekly Report'!$F$4,W102&lt;='Weekly Report'!$F$5),"CHANGED","")))</f>
        <v/>
      </c>
      <c r="Z102" s="87" t="str">
        <f aca="true">IF(B102="","",IF(V102&lt;&gt;"",V102-B102,TODAY()-B102))</f>
        <v/>
      </c>
      <c r="AA102" s="62" t="str">
        <f aca="true">IF(OR(B102="",T102="",U102="False Positive",U102="Risk Accepted"),"",IF(V102&lt;&gt;"",IF(V102&gt;T102,"Closed Late","Met"),IF(TODAY()&gt;T102,"SLA BREACH",IF(T102-TODAY()&lt;=7,"Due ≤7d","Within SLA"))))</f>
        <v/>
      </c>
      <c r="AB102" s="61"/>
      <c r="AC102" s="61"/>
      <c r="AD102" s="60"/>
      <c r="AE102" s="88" t="str">
        <f aca="false">IF(Y102&lt;&gt;"",ROW(),"")</f>
        <v/>
      </c>
      <c r="AF102" s="88" t="str">
        <f aca="false">IF(AND(AND(E102&lt;&gt;"",U102&lt;&gt;"Remediated",U102&lt;&gt;"False Positive",U102&lt;&gt;"Risk Accepted"),T102&lt;&gt;"",T102&lt;='Weekly Report'!$F$7),ROW(),"")</f>
        <v/>
      </c>
      <c r="AG102" s="88" t="str">
        <f aca="false">IF(AND(AND(E102&lt;&gt;"",U102&lt;&gt;"Remediated",U102&lt;&gt;"False Positive",U102&lt;&gt;"Risk Accepted"),LEFT(Q102,6)="Breach"),ROW(),"")</f>
        <v/>
      </c>
    </row>
    <row r="103" customFormat="false" ht="15" hidden="false" customHeight="false" outlineLevel="0" collapsed="false">
      <c r="A103" s="56" t="s">
        <v>2259</v>
      </c>
      <c r="B103" s="63"/>
      <c r="C103" s="61"/>
      <c r="D103" s="61"/>
      <c r="E103" s="60"/>
      <c r="F103" s="61"/>
      <c r="G103" s="61"/>
      <c r="H103" s="61"/>
      <c r="I103" s="61"/>
      <c r="J103" s="60"/>
      <c r="K103" s="61"/>
      <c r="L103" s="61"/>
      <c r="M103" s="61"/>
      <c r="N103" s="60"/>
      <c r="O103" s="60"/>
      <c r="P103" s="60"/>
      <c r="Q103" s="61"/>
      <c r="R103" s="61"/>
      <c r="S103" s="87" t="str">
        <f aca="false">IF(OR(B103="",L103=""),"",INDEX(Lists!$AD$4:$AD$8,MATCH(L103,Lists!$AC$4:$AC$8,0)))</f>
        <v/>
      </c>
      <c r="T103" s="95" t="str">
        <f aca="false">IF(OR(S103="",ISERROR(S103)),"",B103+S103)</f>
        <v/>
      </c>
      <c r="U103" s="61"/>
      <c r="V103" s="63"/>
      <c r="W103" s="63"/>
      <c r="X103" s="60"/>
      <c r="Y103" s="62" t="str">
        <f aca="false">IF(E103="","",IF(AND(B103&lt;&gt;"",B103&gt;='Weekly Report'!$F$4,B103&lt;='Weekly Report'!$F$5),"NEW",IF(AND(W103&lt;&gt;"",W103&gt;='Weekly Report'!$F$4,W103&lt;='Weekly Report'!$F$5),"CHANGED","")))</f>
        <v/>
      </c>
      <c r="Z103" s="87" t="str">
        <f aca="true">IF(B103="","",IF(V103&lt;&gt;"",V103-B103,TODAY()-B103))</f>
        <v/>
      </c>
      <c r="AA103" s="62" t="str">
        <f aca="true">IF(OR(B103="",T103="",U103="False Positive",U103="Risk Accepted"),"",IF(V103&lt;&gt;"",IF(V103&gt;T103,"Closed Late","Met"),IF(TODAY()&gt;T103,"SLA BREACH",IF(T103-TODAY()&lt;=7,"Due ≤7d","Within SLA"))))</f>
        <v/>
      </c>
      <c r="AB103" s="61"/>
      <c r="AC103" s="61"/>
      <c r="AD103" s="60"/>
      <c r="AE103" s="88" t="str">
        <f aca="false">IF(Y103&lt;&gt;"",ROW(),"")</f>
        <v/>
      </c>
      <c r="AF103" s="88" t="str">
        <f aca="false">IF(AND(AND(E103&lt;&gt;"",U103&lt;&gt;"Remediated",U103&lt;&gt;"False Positive",U103&lt;&gt;"Risk Accepted"),T103&lt;&gt;"",T103&lt;='Weekly Report'!$F$7),ROW(),"")</f>
        <v/>
      </c>
      <c r="AG103" s="88" t="str">
        <f aca="false">IF(AND(AND(E103&lt;&gt;"",U103&lt;&gt;"Remediated",U103&lt;&gt;"False Positive",U103&lt;&gt;"Risk Accepted"),LEFT(Q103,6)="Breach"),ROW(),"")</f>
        <v/>
      </c>
    </row>
    <row r="104" customFormat="false" ht="15" hidden="false" customHeight="false" outlineLevel="0" collapsed="false">
      <c r="A104" s="56" t="s">
        <v>2260</v>
      </c>
      <c r="B104" s="63"/>
      <c r="C104" s="61"/>
      <c r="D104" s="61"/>
      <c r="E104" s="60"/>
      <c r="F104" s="61"/>
      <c r="G104" s="61"/>
      <c r="H104" s="61"/>
      <c r="I104" s="61"/>
      <c r="J104" s="60"/>
      <c r="K104" s="61"/>
      <c r="L104" s="61"/>
      <c r="M104" s="61"/>
      <c r="N104" s="60"/>
      <c r="O104" s="60"/>
      <c r="P104" s="60"/>
      <c r="Q104" s="61"/>
      <c r="R104" s="61"/>
      <c r="S104" s="87" t="str">
        <f aca="false">IF(OR(B104="",L104=""),"",INDEX(Lists!$AD$4:$AD$8,MATCH(L104,Lists!$AC$4:$AC$8,0)))</f>
        <v/>
      </c>
      <c r="T104" s="95" t="str">
        <f aca="false">IF(OR(S104="",ISERROR(S104)),"",B104+S104)</f>
        <v/>
      </c>
      <c r="U104" s="61"/>
      <c r="V104" s="63"/>
      <c r="W104" s="63"/>
      <c r="X104" s="60"/>
      <c r="Y104" s="62" t="str">
        <f aca="false">IF(E104="","",IF(AND(B104&lt;&gt;"",B104&gt;='Weekly Report'!$F$4,B104&lt;='Weekly Report'!$F$5),"NEW",IF(AND(W104&lt;&gt;"",W104&gt;='Weekly Report'!$F$4,W104&lt;='Weekly Report'!$F$5),"CHANGED","")))</f>
        <v/>
      </c>
      <c r="Z104" s="87" t="str">
        <f aca="true">IF(B104="","",IF(V104&lt;&gt;"",V104-B104,TODAY()-B104))</f>
        <v/>
      </c>
      <c r="AA104" s="62" t="str">
        <f aca="true">IF(OR(B104="",T104="",U104="False Positive",U104="Risk Accepted"),"",IF(V104&lt;&gt;"",IF(V104&gt;T104,"Closed Late","Met"),IF(TODAY()&gt;T104,"SLA BREACH",IF(T104-TODAY()&lt;=7,"Due ≤7d","Within SLA"))))</f>
        <v/>
      </c>
      <c r="AB104" s="61"/>
      <c r="AC104" s="61"/>
      <c r="AD104" s="60"/>
      <c r="AE104" s="88" t="str">
        <f aca="false">IF(Y104&lt;&gt;"",ROW(),"")</f>
        <v/>
      </c>
      <c r="AF104" s="88" t="str">
        <f aca="false">IF(AND(AND(E104&lt;&gt;"",U104&lt;&gt;"Remediated",U104&lt;&gt;"False Positive",U104&lt;&gt;"Risk Accepted"),T104&lt;&gt;"",T104&lt;='Weekly Report'!$F$7),ROW(),"")</f>
        <v/>
      </c>
      <c r="AG104" s="88" t="str">
        <f aca="false">IF(AND(AND(E104&lt;&gt;"",U104&lt;&gt;"Remediated",U104&lt;&gt;"False Positive",U104&lt;&gt;"Risk Accepted"),LEFT(Q104,6)="Breach"),ROW(),"")</f>
        <v/>
      </c>
    </row>
    <row r="105" customFormat="false" ht="15" hidden="false" customHeight="false" outlineLevel="0" collapsed="false">
      <c r="A105" s="56" t="s">
        <v>2261</v>
      </c>
      <c r="B105" s="63"/>
      <c r="C105" s="61"/>
      <c r="D105" s="61"/>
      <c r="E105" s="60"/>
      <c r="F105" s="61"/>
      <c r="G105" s="61"/>
      <c r="H105" s="61"/>
      <c r="I105" s="61"/>
      <c r="J105" s="60"/>
      <c r="K105" s="61"/>
      <c r="L105" s="61"/>
      <c r="M105" s="61"/>
      <c r="N105" s="60"/>
      <c r="O105" s="60"/>
      <c r="P105" s="60"/>
      <c r="Q105" s="61"/>
      <c r="R105" s="61"/>
      <c r="S105" s="87" t="str">
        <f aca="false">IF(OR(B105="",L105=""),"",INDEX(Lists!$AD$4:$AD$8,MATCH(L105,Lists!$AC$4:$AC$8,0)))</f>
        <v/>
      </c>
      <c r="T105" s="95" t="str">
        <f aca="false">IF(OR(S105="",ISERROR(S105)),"",B105+S105)</f>
        <v/>
      </c>
      <c r="U105" s="61"/>
      <c r="V105" s="63"/>
      <c r="W105" s="63"/>
      <c r="X105" s="60"/>
      <c r="Y105" s="62" t="str">
        <f aca="false">IF(E105="","",IF(AND(B105&lt;&gt;"",B105&gt;='Weekly Report'!$F$4,B105&lt;='Weekly Report'!$F$5),"NEW",IF(AND(W105&lt;&gt;"",W105&gt;='Weekly Report'!$F$4,W105&lt;='Weekly Report'!$F$5),"CHANGED","")))</f>
        <v/>
      </c>
      <c r="Z105" s="87" t="str">
        <f aca="true">IF(B105="","",IF(V105&lt;&gt;"",V105-B105,TODAY()-B105))</f>
        <v/>
      </c>
      <c r="AA105" s="62" t="str">
        <f aca="true">IF(OR(B105="",T105="",U105="False Positive",U105="Risk Accepted"),"",IF(V105&lt;&gt;"",IF(V105&gt;T105,"Closed Late","Met"),IF(TODAY()&gt;T105,"SLA BREACH",IF(T105-TODAY()&lt;=7,"Due ≤7d","Within SLA"))))</f>
        <v/>
      </c>
      <c r="AB105" s="61"/>
      <c r="AC105" s="61"/>
      <c r="AD105" s="60"/>
      <c r="AE105" s="88" t="str">
        <f aca="false">IF(Y105&lt;&gt;"",ROW(),"")</f>
        <v/>
      </c>
      <c r="AF105" s="88" t="str">
        <f aca="false">IF(AND(AND(E105&lt;&gt;"",U105&lt;&gt;"Remediated",U105&lt;&gt;"False Positive",U105&lt;&gt;"Risk Accepted"),T105&lt;&gt;"",T105&lt;='Weekly Report'!$F$7),ROW(),"")</f>
        <v/>
      </c>
      <c r="AG105" s="88" t="str">
        <f aca="false">IF(AND(AND(E105&lt;&gt;"",U105&lt;&gt;"Remediated",U105&lt;&gt;"False Positive",U105&lt;&gt;"Risk Accepted"),LEFT(Q105,6)="Breach"),ROW(),"")</f>
        <v/>
      </c>
    </row>
    <row r="106" customFormat="false" ht="15" hidden="false" customHeight="false" outlineLevel="0" collapsed="false">
      <c r="A106" s="56" t="s">
        <v>2262</v>
      </c>
      <c r="B106" s="63"/>
      <c r="C106" s="61"/>
      <c r="D106" s="61"/>
      <c r="E106" s="60"/>
      <c r="F106" s="61"/>
      <c r="G106" s="61"/>
      <c r="H106" s="61"/>
      <c r="I106" s="61"/>
      <c r="J106" s="60"/>
      <c r="K106" s="61"/>
      <c r="L106" s="61"/>
      <c r="M106" s="61"/>
      <c r="N106" s="60"/>
      <c r="O106" s="60"/>
      <c r="P106" s="60"/>
      <c r="Q106" s="61"/>
      <c r="R106" s="61"/>
      <c r="S106" s="87" t="str">
        <f aca="false">IF(OR(B106="",L106=""),"",INDEX(Lists!$AD$4:$AD$8,MATCH(L106,Lists!$AC$4:$AC$8,0)))</f>
        <v/>
      </c>
      <c r="T106" s="95" t="str">
        <f aca="false">IF(OR(S106="",ISERROR(S106)),"",B106+S106)</f>
        <v/>
      </c>
      <c r="U106" s="61"/>
      <c r="V106" s="63"/>
      <c r="W106" s="63"/>
      <c r="X106" s="60"/>
      <c r="Y106" s="62" t="str">
        <f aca="false">IF(E106="","",IF(AND(B106&lt;&gt;"",B106&gt;='Weekly Report'!$F$4,B106&lt;='Weekly Report'!$F$5),"NEW",IF(AND(W106&lt;&gt;"",W106&gt;='Weekly Report'!$F$4,W106&lt;='Weekly Report'!$F$5),"CHANGED","")))</f>
        <v/>
      </c>
      <c r="Z106" s="87" t="str">
        <f aca="true">IF(B106="","",IF(V106&lt;&gt;"",V106-B106,TODAY()-B106))</f>
        <v/>
      </c>
      <c r="AA106" s="62" t="str">
        <f aca="true">IF(OR(B106="",T106="",U106="False Positive",U106="Risk Accepted"),"",IF(V106&lt;&gt;"",IF(V106&gt;T106,"Closed Late","Met"),IF(TODAY()&gt;T106,"SLA BREACH",IF(T106-TODAY()&lt;=7,"Due ≤7d","Within SLA"))))</f>
        <v/>
      </c>
      <c r="AB106" s="61"/>
      <c r="AC106" s="61"/>
      <c r="AD106" s="60"/>
      <c r="AE106" s="88" t="str">
        <f aca="false">IF(Y106&lt;&gt;"",ROW(),"")</f>
        <v/>
      </c>
      <c r="AF106" s="88" t="str">
        <f aca="false">IF(AND(AND(E106&lt;&gt;"",U106&lt;&gt;"Remediated",U106&lt;&gt;"False Positive",U106&lt;&gt;"Risk Accepted"),T106&lt;&gt;"",T106&lt;='Weekly Report'!$F$7),ROW(),"")</f>
        <v/>
      </c>
      <c r="AG106" s="88" t="str">
        <f aca="false">IF(AND(AND(E106&lt;&gt;"",U106&lt;&gt;"Remediated",U106&lt;&gt;"False Positive",U106&lt;&gt;"Risk Accepted"),LEFT(Q106,6)="Breach"),ROW(),"")</f>
        <v/>
      </c>
    </row>
    <row r="107" customFormat="false" ht="15" hidden="false" customHeight="false" outlineLevel="0" collapsed="false">
      <c r="A107" s="56" t="s">
        <v>2263</v>
      </c>
      <c r="B107" s="63"/>
      <c r="C107" s="61"/>
      <c r="D107" s="61"/>
      <c r="E107" s="60"/>
      <c r="F107" s="61"/>
      <c r="G107" s="61"/>
      <c r="H107" s="61"/>
      <c r="I107" s="61"/>
      <c r="J107" s="60"/>
      <c r="K107" s="61"/>
      <c r="L107" s="61"/>
      <c r="M107" s="61"/>
      <c r="N107" s="60"/>
      <c r="O107" s="60"/>
      <c r="P107" s="60"/>
      <c r="Q107" s="61"/>
      <c r="R107" s="61"/>
      <c r="S107" s="87" t="str">
        <f aca="false">IF(OR(B107="",L107=""),"",INDEX(Lists!$AD$4:$AD$8,MATCH(L107,Lists!$AC$4:$AC$8,0)))</f>
        <v/>
      </c>
      <c r="T107" s="95" t="str">
        <f aca="false">IF(OR(S107="",ISERROR(S107)),"",B107+S107)</f>
        <v/>
      </c>
      <c r="U107" s="61"/>
      <c r="V107" s="63"/>
      <c r="W107" s="63"/>
      <c r="X107" s="60"/>
      <c r="Y107" s="62" t="str">
        <f aca="false">IF(E107="","",IF(AND(B107&lt;&gt;"",B107&gt;='Weekly Report'!$F$4,B107&lt;='Weekly Report'!$F$5),"NEW",IF(AND(W107&lt;&gt;"",W107&gt;='Weekly Report'!$F$4,W107&lt;='Weekly Report'!$F$5),"CHANGED","")))</f>
        <v/>
      </c>
      <c r="Z107" s="87" t="str">
        <f aca="true">IF(B107="","",IF(V107&lt;&gt;"",V107-B107,TODAY()-B107))</f>
        <v/>
      </c>
      <c r="AA107" s="62" t="str">
        <f aca="true">IF(OR(B107="",T107="",U107="False Positive",U107="Risk Accepted"),"",IF(V107&lt;&gt;"",IF(V107&gt;T107,"Closed Late","Met"),IF(TODAY()&gt;T107,"SLA BREACH",IF(T107-TODAY()&lt;=7,"Due ≤7d","Within SLA"))))</f>
        <v/>
      </c>
      <c r="AB107" s="61"/>
      <c r="AC107" s="61"/>
      <c r="AD107" s="60"/>
      <c r="AE107" s="88" t="str">
        <f aca="false">IF(Y107&lt;&gt;"",ROW(),"")</f>
        <v/>
      </c>
      <c r="AF107" s="88" t="str">
        <f aca="false">IF(AND(AND(E107&lt;&gt;"",U107&lt;&gt;"Remediated",U107&lt;&gt;"False Positive",U107&lt;&gt;"Risk Accepted"),T107&lt;&gt;"",T107&lt;='Weekly Report'!$F$7),ROW(),"")</f>
        <v/>
      </c>
      <c r="AG107" s="88" t="str">
        <f aca="false">IF(AND(AND(E107&lt;&gt;"",U107&lt;&gt;"Remediated",U107&lt;&gt;"False Positive",U107&lt;&gt;"Risk Accepted"),LEFT(Q107,6)="Breach"),ROW(),"")</f>
        <v/>
      </c>
    </row>
    <row r="108" customFormat="false" ht="15" hidden="false" customHeight="false" outlineLevel="0" collapsed="false">
      <c r="A108" s="56" t="s">
        <v>2264</v>
      </c>
      <c r="B108" s="63"/>
      <c r="C108" s="61"/>
      <c r="D108" s="61"/>
      <c r="E108" s="60"/>
      <c r="F108" s="61"/>
      <c r="G108" s="61"/>
      <c r="H108" s="61"/>
      <c r="I108" s="61"/>
      <c r="J108" s="60"/>
      <c r="K108" s="61"/>
      <c r="L108" s="61"/>
      <c r="M108" s="61"/>
      <c r="N108" s="60"/>
      <c r="O108" s="60"/>
      <c r="P108" s="60"/>
      <c r="Q108" s="61"/>
      <c r="R108" s="61"/>
      <c r="S108" s="87" t="str">
        <f aca="false">IF(OR(B108="",L108=""),"",INDEX(Lists!$AD$4:$AD$8,MATCH(L108,Lists!$AC$4:$AC$8,0)))</f>
        <v/>
      </c>
      <c r="T108" s="95" t="str">
        <f aca="false">IF(OR(S108="",ISERROR(S108)),"",B108+S108)</f>
        <v/>
      </c>
      <c r="U108" s="61"/>
      <c r="V108" s="63"/>
      <c r="W108" s="63"/>
      <c r="X108" s="60"/>
      <c r="Y108" s="62" t="str">
        <f aca="false">IF(E108="","",IF(AND(B108&lt;&gt;"",B108&gt;='Weekly Report'!$F$4,B108&lt;='Weekly Report'!$F$5),"NEW",IF(AND(W108&lt;&gt;"",W108&gt;='Weekly Report'!$F$4,W108&lt;='Weekly Report'!$F$5),"CHANGED","")))</f>
        <v/>
      </c>
      <c r="Z108" s="87" t="str">
        <f aca="true">IF(B108="","",IF(V108&lt;&gt;"",V108-B108,TODAY()-B108))</f>
        <v/>
      </c>
      <c r="AA108" s="62" t="str">
        <f aca="true">IF(OR(B108="",T108="",U108="False Positive",U108="Risk Accepted"),"",IF(V108&lt;&gt;"",IF(V108&gt;T108,"Closed Late","Met"),IF(TODAY()&gt;T108,"SLA BREACH",IF(T108-TODAY()&lt;=7,"Due ≤7d","Within SLA"))))</f>
        <v/>
      </c>
      <c r="AB108" s="61"/>
      <c r="AC108" s="61"/>
      <c r="AD108" s="60"/>
      <c r="AE108" s="88" t="str">
        <f aca="false">IF(Y108&lt;&gt;"",ROW(),"")</f>
        <v/>
      </c>
      <c r="AF108" s="88" t="str">
        <f aca="false">IF(AND(AND(E108&lt;&gt;"",U108&lt;&gt;"Remediated",U108&lt;&gt;"False Positive",U108&lt;&gt;"Risk Accepted"),T108&lt;&gt;"",T108&lt;='Weekly Report'!$F$7),ROW(),"")</f>
        <v/>
      </c>
      <c r="AG108" s="88" t="str">
        <f aca="false">IF(AND(AND(E108&lt;&gt;"",U108&lt;&gt;"Remediated",U108&lt;&gt;"False Positive",U108&lt;&gt;"Risk Accepted"),LEFT(Q108,6)="Breach"),ROW(),"")</f>
        <v/>
      </c>
    </row>
    <row r="109" customFormat="false" ht="15" hidden="false" customHeight="false" outlineLevel="0" collapsed="false">
      <c r="A109" s="56" t="s">
        <v>2265</v>
      </c>
      <c r="B109" s="63"/>
      <c r="C109" s="61"/>
      <c r="D109" s="61"/>
      <c r="E109" s="60"/>
      <c r="F109" s="61"/>
      <c r="G109" s="61"/>
      <c r="H109" s="61"/>
      <c r="I109" s="61"/>
      <c r="J109" s="60"/>
      <c r="K109" s="61"/>
      <c r="L109" s="61"/>
      <c r="M109" s="61"/>
      <c r="N109" s="60"/>
      <c r="O109" s="60"/>
      <c r="P109" s="60"/>
      <c r="Q109" s="61"/>
      <c r="R109" s="61"/>
      <c r="S109" s="87" t="str">
        <f aca="false">IF(OR(B109="",L109=""),"",INDEX(Lists!$AD$4:$AD$8,MATCH(L109,Lists!$AC$4:$AC$8,0)))</f>
        <v/>
      </c>
      <c r="T109" s="95" t="str">
        <f aca="false">IF(OR(S109="",ISERROR(S109)),"",B109+S109)</f>
        <v/>
      </c>
      <c r="U109" s="61"/>
      <c r="V109" s="63"/>
      <c r="W109" s="63"/>
      <c r="X109" s="60"/>
      <c r="Y109" s="62" t="str">
        <f aca="false">IF(E109="","",IF(AND(B109&lt;&gt;"",B109&gt;='Weekly Report'!$F$4,B109&lt;='Weekly Report'!$F$5),"NEW",IF(AND(W109&lt;&gt;"",W109&gt;='Weekly Report'!$F$4,W109&lt;='Weekly Report'!$F$5),"CHANGED","")))</f>
        <v/>
      </c>
      <c r="Z109" s="87" t="str">
        <f aca="true">IF(B109="","",IF(V109&lt;&gt;"",V109-B109,TODAY()-B109))</f>
        <v/>
      </c>
      <c r="AA109" s="62" t="str">
        <f aca="true">IF(OR(B109="",T109="",U109="False Positive",U109="Risk Accepted"),"",IF(V109&lt;&gt;"",IF(V109&gt;T109,"Closed Late","Met"),IF(TODAY()&gt;T109,"SLA BREACH",IF(T109-TODAY()&lt;=7,"Due ≤7d","Within SLA"))))</f>
        <v/>
      </c>
      <c r="AB109" s="61"/>
      <c r="AC109" s="61"/>
      <c r="AD109" s="60"/>
      <c r="AE109" s="88" t="str">
        <f aca="false">IF(Y109&lt;&gt;"",ROW(),"")</f>
        <v/>
      </c>
      <c r="AF109" s="88" t="str">
        <f aca="false">IF(AND(AND(E109&lt;&gt;"",U109&lt;&gt;"Remediated",U109&lt;&gt;"False Positive",U109&lt;&gt;"Risk Accepted"),T109&lt;&gt;"",T109&lt;='Weekly Report'!$F$7),ROW(),"")</f>
        <v/>
      </c>
      <c r="AG109" s="88" t="str">
        <f aca="false">IF(AND(AND(E109&lt;&gt;"",U109&lt;&gt;"Remediated",U109&lt;&gt;"False Positive",U109&lt;&gt;"Risk Accepted"),LEFT(Q109,6)="Breach"),ROW(),"")</f>
        <v/>
      </c>
    </row>
    <row r="110" customFormat="false" ht="15" hidden="false" customHeight="false" outlineLevel="0" collapsed="false">
      <c r="A110" s="56" t="s">
        <v>2266</v>
      </c>
      <c r="B110" s="63"/>
      <c r="C110" s="61"/>
      <c r="D110" s="61"/>
      <c r="E110" s="60"/>
      <c r="F110" s="61"/>
      <c r="G110" s="61"/>
      <c r="H110" s="61"/>
      <c r="I110" s="61"/>
      <c r="J110" s="60"/>
      <c r="K110" s="61"/>
      <c r="L110" s="61"/>
      <c r="M110" s="61"/>
      <c r="N110" s="60"/>
      <c r="O110" s="60"/>
      <c r="P110" s="60"/>
      <c r="Q110" s="61"/>
      <c r="R110" s="61"/>
      <c r="S110" s="87" t="str">
        <f aca="false">IF(OR(B110="",L110=""),"",INDEX(Lists!$AD$4:$AD$8,MATCH(L110,Lists!$AC$4:$AC$8,0)))</f>
        <v/>
      </c>
      <c r="T110" s="95" t="str">
        <f aca="false">IF(OR(S110="",ISERROR(S110)),"",B110+S110)</f>
        <v/>
      </c>
      <c r="U110" s="61"/>
      <c r="V110" s="63"/>
      <c r="W110" s="63"/>
      <c r="X110" s="60"/>
      <c r="Y110" s="62" t="str">
        <f aca="false">IF(E110="","",IF(AND(B110&lt;&gt;"",B110&gt;='Weekly Report'!$F$4,B110&lt;='Weekly Report'!$F$5),"NEW",IF(AND(W110&lt;&gt;"",W110&gt;='Weekly Report'!$F$4,W110&lt;='Weekly Report'!$F$5),"CHANGED","")))</f>
        <v/>
      </c>
      <c r="Z110" s="87" t="str">
        <f aca="true">IF(B110="","",IF(V110&lt;&gt;"",V110-B110,TODAY()-B110))</f>
        <v/>
      </c>
      <c r="AA110" s="62" t="str">
        <f aca="true">IF(OR(B110="",T110="",U110="False Positive",U110="Risk Accepted"),"",IF(V110&lt;&gt;"",IF(V110&gt;T110,"Closed Late","Met"),IF(TODAY()&gt;T110,"SLA BREACH",IF(T110-TODAY()&lt;=7,"Due ≤7d","Within SLA"))))</f>
        <v/>
      </c>
      <c r="AB110" s="61"/>
      <c r="AC110" s="61"/>
      <c r="AD110" s="60"/>
      <c r="AE110" s="88" t="str">
        <f aca="false">IF(Y110&lt;&gt;"",ROW(),"")</f>
        <v/>
      </c>
      <c r="AF110" s="88" t="str">
        <f aca="false">IF(AND(AND(E110&lt;&gt;"",U110&lt;&gt;"Remediated",U110&lt;&gt;"False Positive",U110&lt;&gt;"Risk Accepted"),T110&lt;&gt;"",T110&lt;='Weekly Report'!$F$7),ROW(),"")</f>
        <v/>
      </c>
      <c r="AG110" s="88" t="str">
        <f aca="false">IF(AND(AND(E110&lt;&gt;"",U110&lt;&gt;"Remediated",U110&lt;&gt;"False Positive",U110&lt;&gt;"Risk Accepted"),LEFT(Q110,6)="Breach"),ROW(),"")</f>
        <v/>
      </c>
    </row>
    <row r="111" customFormat="false" ht="15" hidden="false" customHeight="false" outlineLevel="0" collapsed="false">
      <c r="A111" s="56" t="s">
        <v>2267</v>
      </c>
      <c r="B111" s="63"/>
      <c r="C111" s="61"/>
      <c r="D111" s="61"/>
      <c r="E111" s="60"/>
      <c r="F111" s="61"/>
      <c r="G111" s="61"/>
      <c r="H111" s="61"/>
      <c r="I111" s="61"/>
      <c r="J111" s="60"/>
      <c r="K111" s="61"/>
      <c r="L111" s="61"/>
      <c r="M111" s="61"/>
      <c r="N111" s="60"/>
      <c r="O111" s="60"/>
      <c r="P111" s="60"/>
      <c r="Q111" s="61"/>
      <c r="R111" s="61"/>
      <c r="S111" s="87" t="str">
        <f aca="false">IF(OR(B111="",L111=""),"",INDEX(Lists!$AD$4:$AD$8,MATCH(L111,Lists!$AC$4:$AC$8,0)))</f>
        <v/>
      </c>
      <c r="T111" s="95" t="str">
        <f aca="false">IF(OR(S111="",ISERROR(S111)),"",B111+S111)</f>
        <v/>
      </c>
      <c r="U111" s="61"/>
      <c r="V111" s="63"/>
      <c r="W111" s="63"/>
      <c r="X111" s="60"/>
      <c r="Y111" s="62" t="str">
        <f aca="false">IF(E111="","",IF(AND(B111&lt;&gt;"",B111&gt;='Weekly Report'!$F$4,B111&lt;='Weekly Report'!$F$5),"NEW",IF(AND(W111&lt;&gt;"",W111&gt;='Weekly Report'!$F$4,W111&lt;='Weekly Report'!$F$5),"CHANGED","")))</f>
        <v/>
      </c>
      <c r="Z111" s="87" t="str">
        <f aca="true">IF(B111="","",IF(V111&lt;&gt;"",V111-B111,TODAY()-B111))</f>
        <v/>
      </c>
      <c r="AA111" s="62" t="str">
        <f aca="true">IF(OR(B111="",T111="",U111="False Positive",U111="Risk Accepted"),"",IF(V111&lt;&gt;"",IF(V111&gt;T111,"Closed Late","Met"),IF(TODAY()&gt;T111,"SLA BREACH",IF(T111-TODAY()&lt;=7,"Due ≤7d","Within SLA"))))</f>
        <v/>
      </c>
      <c r="AB111" s="61"/>
      <c r="AC111" s="61"/>
      <c r="AD111" s="60"/>
      <c r="AE111" s="88" t="str">
        <f aca="false">IF(Y111&lt;&gt;"",ROW(),"")</f>
        <v/>
      </c>
      <c r="AF111" s="88" t="str">
        <f aca="false">IF(AND(AND(E111&lt;&gt;"",U111&lt;&gt;"Remediated",U111&lt;&gt;"False Positive",U111&lt;&gt;"Risk Accepted"),T111&lt;&gt;"",T111&lt;='Weekly Report'!$F$7),ROW(),"")</f>
        <v/>
      </c>
      <c r="AG111" s="88" t="str">
        <f aca="false">IF(AND(AND(E111&lt;&gt;"",U111&lt;&gt;"Remediated",U111&lt;&gt;"False Positive",U111&lt;&gt;"Risk Accepted"),LEFT(Q111,6)="Breach"),ROW(),"")</f>
        <v/>
      </c>
    </row>
    <row r="112" customFormat="false" ht="15" hidden="false" customHeight="false" outlineLevel="0" collapsed="false">
      <c r="A112" s="56" t="s">
        <v>2268</v>
      </c>
      <c r="B112" s="63"/>
      <c r="C112" s="61"/>
      <c r="D112" s="61"/>
      <c r="E112" s="60"/>
      <c r="F112" s="61"/>
      <c r="G112" s="61"/>
      <c r="H112" s="61"/>
      <c r="I112" s="61"/>
      <c r="J112" s="60"/>
      <c r="K112" s="61"/>
      <c r="L112" s="61"/>
      <c r="M112" s="61"/>
      <c r="N112" s="60"/>
      <c r="O112" s="60"/>
      <c r="P112" s="60"/>
      <c r="Q112" s="61"/>
      <c r="R112" s="61"/>
      <c r="S112" s="87" t="str">
        <f aca="false">IF(OR(B112="",L112=""),"",INDEX(Lists!$AD$4:$AD$8,MATCH(L112,Lists!$AC$4:$AC$8,0)))</f>
        <v/>
      </c>
      <c r="T112" s="95" t="str">
        <f aca="false">IF(OR(S112="",ISERROR(S112)),"",B112+S112)</f>
        <v/>
      </c>
      <c r="U112" s="61"/>
      <c r="V112" s="63"/>
      <c r="W112" s="63"/>
      <c r="X112" s="60"/>
      <c r="Y112" s="62" t="str">
        <f aca="false">IF(E112="","",IF(AND(B112&lt;&gt;"",B112&gt;='Weekly Report'!$F$4,B112&lt;='Weekly Report'!$F$5),"NEW",IF(AND(W112&lt;&gt;"",W112&gt;='Weekly Report'!$F$4,W112&lt;='Weekly Report'!$F$5),"CHANGED","")))</f>
        <v/>
      </c>
      <c r="Z112" s="87" t="str">
        <f aca="true">IF(B112="","",IF(V112&lt;&gt;"",V112-B112,TODAY()-B112))</f>
        <v/>
      </c>
      <c r="AA112" s="62" t="str">
        <f aca="true">IF(OR(B112="",T112="",U112="False Positive",U112="Risk Accepted"),"",IF(V112&lt;&gt;"",IF(V112&gt;T112,"Closed Late","Met"),IF(TODAY()&gt;T112,"SLA BREACH",IF(T112-TODAY()&lt;=7,"Due ≤7d","Within SLA"))))</f>
        <v/>
      </c>
      <c r="AB112" s="61"/>
      <c r="AC112" s="61"/>
      <c r="AD112" s="60"/>
      <c r="AE112" s="88" t="str">
        <f aca="false">IF(Y112&lt;&gt;"",ROW(),"")</f>
        <v/>
      </c>
      <c r="AF112" s="88" t="str">
        <f aca="false">IF(AND(AND(E112&lt;&gt;"",U112&lt;&gt;"Remediated",U112&lt;&gt;"False Positive",U112&lt;&gt;"Risk Accepted"),T112&lt;&gt;"",T112&lt;='Weekly Report'!$F$7),ROW(),"")</f>
        <v/>
      </c>
      <c r="AG112" s="88" t="str">
        <f aca="false">IF(AND(AND(E112&lt;&gt;"",U112&lt;&gt;"Remediated",U112&lt;&gt;"False Positive",U112&lt;&gt;"Risk Accepted"),LEFT(Q112,6)="Breach"),ROW(),"")</f>
        <v/>
      </c>
    </row>
    <row r="113" customFormat="false" ht="15" hidden="false" customHeight="false" outlineLevel="0" collapsed="false">
      <c r="A113" s="56" t="s">
        <v>2269</v>
      </c>
      <c r="B113" s="63"/>
      <c r="C113" s="61"/>
      <c r="D113" s="61"/>
      <c r="E113" s="60"/>
      <c r="F113" s="61"/>
      <c r="G113" s="61"/>
      <c r="H113" s="61"/>
      <c r="I113" s="61"/>
      <c r="J113" s="60"/>
      <c r="K113" s="61"/>
      <c r="L113" s="61"/>
      <c r="M113" s="61"/>
      <c r="N113" s="60"/>
      <c r="O113" s="60"/>
      <c r="P113" s="60"/>
      <c r="Q113" s="61"/>
      <c r="R113" s="61"/>
      <c r="S113" s="87" t="str">
        <f aca="false">IF(OR(B113="",L113=""),"",INDEX(Lists!$AD$4:$AD$8,MATCH(L113,Lists!$AC$4:$AC$8,0)))</f>
        <v/>
      </c>
      <c r="T113" s="95" t="str">
        <f aca="false">IF(OR(S113="",ISERROR(S113)),"",B113+S113)</f>
        <v/>
      </c>
      <c r="U113" s="61"/>
      <c r="V113" s="63"/>
      <c r="W113" s="63"/>
      <c r="X113" s="60"/>
      <c r="Y113" s="62" t="str">
        <f aca="false">IF(E113="","",IF(AND(B113&lt;&gt;"",B113&gt;='Weekly Report'!$F$4,B113&lt;='Weekly Report'!$F$5),"NEW",IF(AND(W113&lt;&gt;"",W113&gt;='Weekly Report'!$F$4,W113&lt;='Weekly Report'!$F$5),"CHANGED","")))</f>
        <v/>
      </c>
      <c r="Z113" s="87" t="str">
        <f aca="true">IF(B113="","",IF(V113&lt;&gt;"",V113-B113,TODAY()-B113))</f>
        <v/>
      </c>
      <c r="AA113" s="62" t="str">
        <f aca="true">IF(OR(B113="",T113="",U113="False Positive",U113="Risk Accepted"),"",IF(V113&lt;&gt;"",IF(V113&gt;T113,"Closed Late","Met"),IF(TODAY()&gt;T113,"SLA BREACH",IF(T113-TODAY()&lt;=7,"Due ≤7d","Within SLA"))))</f>
        <v/>
      </c>
      <c r="AB113" s="61"/>
      <c r="AC113" s="61"/>
      <c r="AD113" s="60"/>
      <c r="AE113" s="88" t="str">
        <f aca="false">IF(Y113&lt;&gt;"",ROW(),"")</f>
        <v/>
      </c>
      <c r="AF113" s="88" t="str">
        <f aca="false">IF(AND(AND(E113&lt;&gt;"",U113&lt;&gt;"Remediated",U113&lt;&gt;"False Positive",U113&lt;&gt;"Risk Accepted"),T113&lt;&gt;"",T113&lt;='Weekly Report'!$F$7),ROW(),"")</f>
        <v/>
      </c>
      <c r="AG113" s="88" t="str">
        <f aca="false">IF(AND(AND(E113&lt;&gt;"",U113&lt;&gt;"Remediated",U113&lt;&gt;"False Positive",U113&lt;&gt;"Risk Accepted"),LEFT(Q113,6)="Breach"),ROW(),"")</f>
        <v/>
      </c>
    </row>
    <row r="114" customFormat="false" ht="15" hidden="false" customHeight="false" outlineLevel="0" collapsed="false">
      <c r="A114" s="56" t="s">
        <v>2270</v>
      </c>
      <c r="B114" s="63"/>
      <c r="C114" s="61"/>
      <c r="D114" s="61"/>
      <c r="E114" s="60"/>
      <c r="F114" s="61"/>
      <c r="G114" s="61"/>
      <c r="H114" s="61"/>
      <c r="I114" s="61"/>
      <c r="J114" s="60"/>
      <c r="K114" s="61"/>
      <c r="L114" s="61"/>
      <c r="M114" s="61"/>
      <c r="N114" s="60"/>
      <c r="O114" s="60"/>
      <c r="P114" s="60"/>
      <c r="Q114" s="61"/>
      <c r="R114" s="61"/>
      <c r="S114" s="87" t="str">
        <f aca="false">IF(OR(B114="",L114=""),"",INDEX(Lists!$AD$4:$AD$8,MATCH(L114,Lists!$AC$4:$AC$8,0)))</f>
        <v/>
      </c>
      <c r="T114" s="95" t="str">
        <f aca="false">IF(OR(S114="",ISERROR(S114)),"",B114+S114)</f>
        <v/>
      </c>
      <c r="U114" s="61"/>
      <c r="V114" s="63"/>
      <c r="W114" s="63"/>
      <c r="X114" s="60"/>
      <c r="Y114" s="62" t="str">
        <f aca="false">IF(E114="","",IF(AND(B114&lt;&gt;"",B114&gt;='Weekly Report'!$F$4,B114&lt;='Weekly Report'!$F$5),"NEW",IF(AND(W114&lt;&gt;"",W114&gt;='Weekly Report'!$F$4,W114&lt;='Weekly Report'!$F$5),"CHANGED","")))</f>
        <v/>
      </c>
      <c r="Z114" s="87" t="str">
        <f aca="true">IF(B114="","",IF(V114&lt;&gt;"",V114-B114,TODAY()-B114))</f>
        <v/>
      </c>
      <c r="AA114" s="62" t="str">
        <f aca="true">IF(OR(B114="",T114="",U114="False Positive",U114="Risk Accepted"),"",IF(V114&lt;&gt;"",IF(V114&gt;T114,"Closed Late","Met"),IF(TODAY()&gt;T114,"SLA BREACH",IF(T114-TODAY()&lt;=7,"Due ≤7d","Within SLA"))))</f>
        <v/>
      </c>
      <c r="AB114" s="61"/>
      <c r="AC114" s="61"/>
      <c r="AD114" s="60"/>
      <c r="AE114" s="88" t="str">
        <f aca="false">IF(Y114&lt;&gt;"",ROW(),"")</f>
        <v/>
      </c>
      <c r="AF114" s="88" t="str">
        <f aca="false">IF(AND(AND(E114&lt;&gt;"",U114&lt;&gt;"Remediated",U114&lt;&gt;"False Positive",U114&lt;&gt;"Risk Accepted"),T114&lt;&gt;"",T114&lt;='Weekly Report'!$F$7),ROW(),"")</f>
        <v/>
      </c>
      <c r="AG114" s="88" t="str">
        <f aca="false">IF(AND(AND(E114&lt;&gt;"",U114&lt;&gt;"Remediated",U114&lt;&gt;"False Positive",U114&lt;&gt;"Risk Accepted"),LEFT(Q114,6)="Breach"),ROW(),"")</f>
        <v/>
      </c>
    </row>
    <row r="115" customFormat="false" ht="15" hidden="false" customHeight="false" outlineLevel="0" collapsed="false">
      <c r="A115" s="56" t="s">
        <v>2271</v>
      </c>
      <c r="B115" s="63"/>
      <c r="C115" s="61"/>
      <c r="D115" s="61"/>
      <c r="E115" s="60"/>
      <c r="F115" s="61"/>
      <c r="G115" s="61"/>
      <c r="H115" s="61"/>
      <c r="I115" s="61"/>
      <c r="J115" s="60"/>
      <c r="K115" s="61"/>
      <c r="L115" s="61"/>
      <c r="M115" s="61"/>
      <c r="N115" s="60"/>
      <c r="O115" s="60"/>
      <c r="P115" s="60"/>
      <c r="Q115" s="61"/>
      <c r="R115" s="61"/>
      <c r="S115" s="87" t="str">
        <f aca="false">IF(OR(B115="",L115=""),"",INDEX(Lists!$AD$4:$AD$8,MATCH(L115,Lists!$AC$4:$AC$8,0)))</f>
        <v/>
      </c>
      <c r="T115" s="95" t="str">
        <f aca="false">IF(OR(S115="",ISERROR(S115)),"",B115+S115)</f>
        <v/>
      </c>
      <c r="U115" s="61"/>
      <c r="V115" s="63"/>
      <c r="W115" s="63"/>
      <c r="X115" s="60"/>
      <c r="Y115" s="62" t="str">
        <f aca="false">IF(E115="","",IF(AND(B115&lt;&gt;"",B115&gt;='Weekly Report'!$F$4,B115&lt;='Weekly Report'!$F$5),"NEW",IF(AND(W115&lt;&gt;"",W115&gt;='Weekly Report'!$F$4,W115&lt;='Weekly Report'!$F$5),"CHANGED","")))</f>
        <v/>
      </c>
      <c r="Z115" s="87" t="str">
        <f aca="true">IF(B115="","",IF(V115&lt;&gt;"",V115-B115,TODAY()-B115))</f>
        <v/>
      </c>
      <c r="AA115" s="62" t="str">
        <f aca="true">IF(OR(B115="",T115="",U115="False Positive",U115="Risk Accepted"),"",IF(V115&lt;&gt;"",IF(V115&gt;T115,"Closed Late","Met"),IF(TODAY()&gt;T115,"SLA BREACH",IF(T115-TODAY()&lt;=7,"Due ≤7d","Within SLA"))))</f>
        <v/>
      </c>
      <c r="AB115" s="61"/>
      <c r="AC115" s="61"/>
      <c r="AD115" s="60"/>
      <c r="AE115" s="88" t="str">
        <f aca="false">IF(Y115&lt;&gt;"",ROW(),"")</f>
        <v/>
      </c>
      <c r="AF115" s="88" t="str">
        <f aca="false">IF(AND(AND(E115&lt;&gt;"",U115&lt;&gt;"Remediated",U115&lt;&gt;"False Positive",U115&lt;&gt;"Risk Accepted"),T115&lt;&gt;"",T115&lt;='Weekly Report'!$F$7),ROW(),"")</f>
        <v/>
      </c>
      <c r="AG115" s="88" t="str">
        <f aca="false">IF(AND(AND(E115&lt;&gt;"",U115&lt;&gt;"Remediated",U115&lt;&gt;"False Positive",U115&lt;&gt;"Risk Accepted"),LEFT(Q115,6)="Breach"),ROW(),"")</f>
        <v/>
      </c>
    </row>
    <row r="116" customFormat="false" ht="15" hidden="false" customHeight="false" outlineLevel="0" collapsed="false">
      <c r="A116" s="56" t="s">
        <v>2272</v>
      </c>
      <c r="B116" s="63"/>
      <c r="C116" s="61"/>
      <c r="D116" s="61"/>
      <c r="E116" s="60"/>
      <c r="F116" s="61"/>
      <c r="G116" s="61"/>
      <c r="H116" s="61"/>
      <c r="I116" s="61"/>
      <c r="J116" s="60"/>
      <c r="K116" s="61"/>
      <c r="L116" s="61"/>
      <c r="M116" s="61"/>
      <c r="N116" s="60"/>
      <c r="O116" s="60"/>
      <c r="P116" s="60"/>
      <c r="Q116" s="61"/>
      <c r="R116" s="61"/>
      <c r="S116" s="87" t="str">
        <f aca="false">IF(OR(B116="",L116=""),"",INDEX(Lists!$AD$4:$AD$8,MATCH(L116,Lists!$AC$4:$AC$8,0)))</f>
        <v/>
      </c>
      <c r="T116" s="95" t="str">
        <f aca="false">IF(OR(S116="",ISERROR(S116)),"",B116+S116)</f>
        <v/>
      </c>
      <c r="U116" s="61"/>
      <c r="V116" s="63"/>
      <c r="W116" s="63"/>
      <c r="X116" s="60"/>
      <c r="Y116" s="62" t="str">
        <f aca="false">IF(E116="","",IF(AND(B116&lt;&gt;"",B116&gt;='Weekly Report'!$F$4,B116&lt;='Weekly Report'!$F$5),"NEW",IF(AND(W116&lt;&gt;"",W116&gt;='Weekly Report'!$F$4,W116&lt;='Weekly Report'!$F$5),"CHANGED","")))</f>
        <v/>
      </c>
      <c r="Z116" s="87" t="str">
        <f aca="true">IF(B116="","",IF(V116&lt;&gt;"",V116-B116,TODAY()-B116))</f>
        <v/>
      </c>
      <c r="AA116" s="62" t="str">
        <f aca="true">IF(OR(B116="",T116="",U116="False Positive",U116="Risk Accepted"),"",IF(V116&lt;&gt;"",IF(V116&gt;T116,"Closed Late","Met"),IF(TODAY()&gt;T116,"SLA BREACH",IF(T116-TODAY()&lt;=7,"Due ≤7d","Within SLA"))))</f>
        <v/>
      </c>
      <c r="AB116" s="61"/>
      <c r="AC116" s="61"/>
      <c r="AD116" s="60"/>
      <c r="AE116" s="88" t="str">
        <f aca="false">IF(Y116&lt;&gt;"",ROW(),"")</f>
        <v/>
      </c>
      <c r="AF116" s="88" t="str">
        <f aca="false">IF(AND(AND(E116&lt;&gt;"",U116&lt;&gt;"Remediated",U116&lt;&gt;"False Positive",U116&lt;&gt;"Risk Accepted"),T116&lt;&gt;"",T116&lt;='Weekly Report'!$F$7),ROW(),"")</f>
        <v/>
      </c>
      <c r="AG116" s="88" t="str">
        <f aca="false">IF(AND(AND(E116&lt;&gt;"",U116&lt;&gt;"Remediated",U116&lt;&gt;"False Positive",U116&lt;&gt;"Risk Accepted"),LEFT(Q116,6)="Breach"),ROW(),"")</f>
        <v/>
      </c>
    </row>
    <row r="117" customFormat="false" ht="15" hidden="false" customHeight="false" outlineLevel="0" collapsed="false">
      <c r="A117" s="56" t="s">
        <v>2273</v>
      </c>
      <c r="B117" s="63"/>
      <c r="C117" s="61"/>
      <c r="D117" s="61"/>
      <c r="E117" s="60"/>
      <c r="F117" s="61"/>
      <c r="G117" s="61"/>
      <c r="H117" s="61"/>
      <c r="I117" s="61"/>
      <c r="J117" s="60"/>
      <c r="K117" s="61"/>
      <c r="L117" s="61"/>
      <c r="M117" s="61"/>
      <c r="N117" s="60"/>
      <c r="O117" s="60"/>
      <c r="P117" s="60"/>
      <c r="Q117" s="61"/>
      <c r="R117" s="61"/>
      <c r="S117" s="87" t="str">
        <f aca="false">IF(OR(B117="",L117=""),"",INDEX(Lists!$AD$4:$AD$8,MATCH(L117,Lists!$AC$4:$AC$8,0)))</f>
        <v/>
      </c>
      <c r="T117" s="95" t="str">
        <f aca="false">IF(OR(S117="",ISERROR(S117)),"",B117+S117)</f>
        <v/>
      </c>
      <c r="U117" s="61"/>
      <c r="V117" s="63"/>
      <c r="W117" s="63"/>
      <c r="X117" s="60"/>
      <c r="Y117" s="62" t="str">
        <f aca="false">IF(E117="","",IF(AND(B117&lt;&gt;"",B117&gt;='Weekly Report'!$F$4,B117&lt;='Weekly Report'!$F$5),"NEW",IF(AND(W117&lt;&gt;"",W117&gt;='Weekly Report'!$F$4,W117&lt;='Weekly Report'!$F$5),"CHANGED","")))</f>
        <v/>
      </c>
      <c r="Z117" s="87" t="str">
        <f aca="true">IF(B117="","",IF(V117&lt;&gt;"",V117-B117,TODAY()-B117))</f>
        <v/>
      </c>
      <c r="AA117" s="62" t="str">
        <f aca="true">IF(OR(B117="",T117="",U117="False Positive",U117="Risk Accepted"),"",IF(V117&lt;&gt;"",IF(V117&gt;T117,"Closed Late","Met"),IF(TODAY()&gt;T117,"SLA BREACH",IF(T117-TODAY()&lt;=7,"Due ≤7d","Within SLA"))))</f>
        <v/>
      </c>
      <c r="AB117" s="61"/>
      <c r="AC117" s="61"/>
      <c r="AD117" s="60"/>
      <c r="AE117" s="88" t="str">
        <f aca="false">IF(Y117&lt;&gt;"",ROW(),"")</f>
        <v/>
      </c>
      <c r="AF117" s="88" t="str">
        <f aca="false">IF(AND(AND(E117&lt;&gt;"",U117&lt;&gt;"Remediated",U117&lt;&gt;"False Positive",U117&lt;&gt;"Risk Accepted"),T117&lt;&gt;"",T117&lt;='Weekly Report'!$F$7),ROW(),"")</f>
        <v/>
      </c>
      <c r="AG117" s="88" t="str">
        <f aca="false">IF(AND(AND(E117&lt;&gt;"",U117&lt;&gt;"Remediated",U117&lt;&gt;"False Positive",U117&lt;&gt;"Risk Accepted"),LEFT(Q117,6)="Breach"),ROW(),"")</f>
        <v/>
      </c>
    </row>
    <row r="118" customFormat="false" ht="15" hidden="false" customHeight="false" outlineLevel="0" collapsed="false">
      <c r="A118" s="56" t="s">
        <v>2274</v>
      </c>
      <c r="B118" s="63"/>
      <c r="C118" s="61"/>
      <c r="D118" s="61"/>
      <c r="E118" s="60"/>
      <c r="F118" s="61"/>
      <c r="G118" s="61"/>
      <c r="H118" s="61"/>
      <c r="I118" s="61"/>
      <c r="J118" s="60"/>
      <c r="K118" s="61"/>
      <c r="L118" s="61"/>
      <c r="M118" s="61"/>
      <c r="N118" s="60"/>
      <c r="O118" s="60"/>
      <c r="P118" s="60"/>
      <c r="Q118" s="61"/>
      <c r="R118" s="61"/>
      <c r="S118" s="87" t="str">
        <f aca="false">IF(OR(B118="",L118=""),"",INDEX(Lists!$AD$4:$AD$8,MATCH(L118,Lists!$AC$4:$AC$8,0)))</f>
        <v/>
      </c>
      <c r="T118" s="95" t="str">
        <f aca="false">IF(OR(S118="",ISERROR(S118)),"",B118+S118)</f>
        <v/>
      </c>
      <c r="U118" s="61"/>
      <c r="V118" s="63"/>
      <c r="W118" s="63"/>
      <c r="X118" s="60"/>
      <c r="Y118" s="62" t="str">
        <f aca="false">IF(E118="","",IF(AND(B118&lt;&gt;"",B118&gt;='Weekly Report'!$F$4,B118&lt;='Weekly Report'!$F$5),"NEW",IF(AND(W118&lt;&gt;"",W118&gt;='Weekly Report'!$F$4,W118&lt;='Weekly Report'!$F$5),"CHANGED","")))</f>
        <v/>
      </c>
      <c r="Z118" s="87" t="str">
        <f aca="true">IF(B118="","",IF(V118&lt;&gt;"",V118-B118,TODAY()-B118))</f>
        <v/>
      </c>
      <c r="AA118" s="62" t="str">
        <f aca="true">IF(OR(B118="",T118="",U118="False Positive",U118="Risk Accepted"),"",IF(V118&lt;&gt;"",IF(V118&gt;T118,"Closed Late","Met"),IF(TODAY()&gt;T118,"SLA BREACH",IF(T118-TODAY()&lt;=7,"Due ≤7d","Within SLA"))))</f>
        <v/>
      </c>
      <c r="AB118" s="61"/>
      <c r="AC118" s="61"/>
      <c r="AD118" s="60"/>
      <c r="AE118" s="88" t="str">
        <f aca="false">IF(Y118&lt;&gt;"",ROW(),"")</f>
        <v/>
      </c>
      <c r="AF118" s="88" t="str">
        <f aca="false">IF(AND(AND(E118&lt;&gt;"",U118&lt;&gt;"Remediated",U118&lt;&gt;"False Positive",U118&lt;&gt;"Risk Accepted"),T118&lt;&gt;"",T118&lt;='Weekly Report'!$F$7),ROW(),"")</f>
        <v/>
      </c>
      <c r="AG118" s="88" t="str">
        <f aca="false">IF(AND(AND(E118&lt;&gt;"",U118&lt;&gt;"Remediated",U118&lt;&gt;"False Positive",U118&lt;&gt;"Risk Accepted"),LEFT(Q118,6)="Breach"),ROW(),"")</f>
        <v/>
      </c>
    </row>
    <row r="119" customFormat="false" ht="15" hidden="false" customHeight="false" outlineLevel="0" collapsed="false">
      <c r="A119" s="56" t="s">
        <v>2275</v>
      </c>
      <c r="B119" s="63"/>
      <c r="C119" s="61"/>
      <c r="D119" s="61"/>
      <c r="E119" s="60"/>
      <c r="F119" s="61"/>
      <c r="G119" s="61"/>
      <c r="H119" s="61"/>
      <c r="I119" s="61"/>
      <c r="J119" s="60"/>
      <c r="K119" s="61"/>
      <c r="L119" s="61"/>
      <c r="M119" s="61"/>
      <c r="N119" s="60"/>
      <c r="O119" s="60"/>
      <c r="P119" s="60"/>
      <c r="Q119" s="61"/>
      <c r="R119" s="61"/>
      <c r="S119" s="87" t="str">
        <f aca="false">IF(OR(B119="",L119=""),"",INDEX(Lists!$AD$4:$AD$8,MATCH(L119,Lists!$AC$4:$AC$8,0)))</f>
        <v/>
      </c>
      <c r="T119" s="95" t="str">
        <f aca="false">IF(OR(S119="",ISERROR(S119)),"",B119+S119)</f>
        <v/>
      </c>
      <c r="U119" s="61"/>
      <c r="V119" s="63"/>
      <c r="W119" s="63"/>
      <c r="X119" s="60"/>
      <c r="Y119" s="62" t="str">
        <f aca="false">IF(E119="","",IF(AND(B119&lt;&gt;"",B119&gt;='Weekly Report'!$F$4,B119&lt;='Weekly Report'!$F$5),"NEW",IF(AND(W119&lt;&gt;"",W119&gt;='Weekly Report'!$F$4,W119&lt;='Weekly Report'!$F$5),"CHANGED","")))</f>
        <v/>
      </c>
      <c r="Z119" s="87" t="str">
        <f aca="true">IF(B119="","",IF(V119&lt;&gt;"",V119-B119,TODAY()-B119))</f>
        <v/>
      </c>
      <c r="AA119" s="62" t="str">
        <f aca="true">IF(OR(B119="",T119="",U119="False Positive",U119="Risk Accepted"),"",IF(V119&lt;&gt;"",IF(V119&gt;T119,"Closed Late","Met"),IF(TODAY()&gt;T119,"SLA BREACH",IF(T119-TODAY()&lt;=7,"Due ≤7d","Within SLA"))))</f>
        <v/>
      </c>
      <c r="AB119" s="61"/>
      <c r="AC119" s="61"/>
      <c r="AD119" s="60"/>
      <c r="AE119" s="88" t="str">
        <f aca="false">IF(Y119&lt;&gt;"",ROW(),"")</f>
        <v/>
      </c>
      <c r="AF119" s="88" t="str">
        <f aca="false">IF(AND(AND(E119&lt;&gt;"",U119&lt;&gt;"Remediated",U119&lt;&gt;"False Positive",U119&lt;&gt;"Risk Accepted"),T119&lt;&gt;"",T119&lt;='Weekly Report'!$F$7),ROW(),"")</f>
        <v/>
      </c>
      <c r="AG119" s="88" t="str">
        <f aca="false">IF(AND(AND(E119&lt;&gt;"",U119&lt;&gt;"Remediated",U119&lt;&gt;"False Positive",U119&lt;&gt;"Risk Accepted"),LEFT(Q119,6)="Breach"),ROW(),"")</f>
        <v/>
      </c>
    </row>
    <row r="120" customFormat="false" ht="15" hidden="false" customHeight="false" outlineLevel="0" collapsed="false">
      <c r="A120" s="56" t="s">
        <v>2276</v>
      </c>
      <c r="B120" s="63"/>
      <c r="C120" s="61"/>
      <c r="D120" s="61"/>
      <c r="E120" s="60"/>
      <c r="F120" s="61"/>
      <c r="G120" s="61"/>
      <c r="H120" s="61"/>
      <c r="I120" s="61"/>
      <c r="J120" s="60"/>
      <c r="K120" s="61"/>
      <c r="L120" s="61"/>
      <c r="M120" s="61"/>
      <c r="N120" s="60"/>
      <c r="O120" s="60"/>
      <c r="P120" s="60"/>
      <c r="Q120" s="61"/>
      <c r="R120" s="61"/>
      <c r="S120" s="87" t="str">
        <f aca="false">IF(OR(B120="",L120=""),"",INDEX(Lists!$AD$4:$AD$8,MATCH(L120,Lists!$AC$4:$AC$8,0)))</f>
        <v/>
      </c>
      <c r="T120" s="95" t="str">
        <f aca="false">IF(OR(S120="",ISERROR(S120)),"",B120+S120)</f>
        <v/>
      </c>
      <c r="U120" s="61"/>
      <c r="V120" s="63"/>
      <c r="W120" s="63"/>
      <c r="X120" s="60"/>
      <c r="Y120" s="62" t="str">
        <f aca="false">IF(E120="","",IF(AND(B120&lt;&gt;"",B120&gt;='Weekly Report'!$F$4,B120&lt;='Weekly Report'!$F$5),"NEW",IF(AND(W120&lt;&gt;"",W120&gt;='Weekly Report'!$F$4,W120&lt;='Weekly Report'!$F$5),"CHANGED","")))</f>
        <v/>
      </c>
      <c r="Z120" s="87" t="str">
        <f aca="true">IF(B120="","",IF(V120&lt;&gt;"",V120-B120,TODAY()-B120))</f>
        <v/>
      </c>
      <c r="AA120" s="62" t="str">
        <f aca="true">IF(OR(B120="",T120="",U120="False Positive",U120="Risk Accepted"),"",IF(V120&lt;&gt;"",IF(V120&gt;T120,"Closed Late","Met"),IF(TODAY()&gt;T120,"SLA BREACH",IF(T120-TODAY()&lt;=7,"Due ≤7d","Within SLA"))))</f>
        <v/>
      </c>
      <c r="AB120" s="61"/>
      <c r="AC120" s="61"/>
      <c r="AD120" s="60"/>
      <c r="AE120" s="88" t="str">
        <f aca="false">IF(Y120&lt;&gt;"",ROW(),"")</f>
        <v/>
      </c>
      <c r="AF120" s="88" t="str">
        <f aca="false">IF(AND(AND(E120&lt;&gt;"",U120&lt;&gt;"Remediated",U120&lt;&gt;"False Positive",U120&lt;&gt;"Risk Accepted"),T120&lt;&gt;"",T120&lt;='Weekly Report'!$F$7),ROW(),"")</f>
        <v/>
      </c>
      <c r="AG120" s="88" t="str">
        <f aca="false">IF(AND(AND(E120&lt;&gt;"",U120&lt;&gt;"Remediated",U120&lt;&gt;"False Positive",U120&lt;&gt;"Risk Accepted"),LEFT(Q120,6)="Breach"),ROW(),"")</f>
        <v/>
      </c>
    </row>
    <row r="121" customFormat="false" ht="15" hidden="false" customHeight="false" outlineLevel="0" collapsed="false">
      <c r="A121" s="56" t="s">
        <v>2277</v>
      </c>
      <c r="B121" s="63"/>
      <c r="C121" s="61"/>
      <c r="D121" s="61"/>
      <c r="E121" s="60"/>
      <c r="F121" s="61"/>
      <c r="G121" s="61"/>
      <c r="H121" s="61"/>
      <c r="I121" s="61"/>
      <c r="J121" s="60"/>
      <c r="K121" s="61"/>
      <c r="L121" s="61"/>
      <c r="M121" s="61"/>
      <c r="N121" s="60"/>
      <c r="O121" s="60"/>
      <c r="P121" s="60"/>
      <c r="Q121" s="61"/>
      <c r="R121" s="61"/>
      <c r="S121" s="87" t="str">
        <f aca="false">IF(OR(B121="",L121=""),"",INDEX(Lists!$AD$4:$AD$8,MATCH(L121,Lists!$AC$4:$AC$8,0)))</f>
        <v/>
      </c>
      <c r="T121" s="95" t="str">
        <f aca="false">IF(OR(S121="",ISERROR(S121)),"",B121+S121)</f>
        <v/>
      </c>
      <c r="U121" s="61"/>
      <c r="V121" s="63"/>
      <c r="W121" s="63"/>
      <c r="X121" s="60"/>
      <c r="Y121" s="62" t="str">
        <f aca="false">IF(E121="","",IF(AND(B121&lt;&gt;"",B121&gt;='Weekly Report'!$F$4,B121&lt;='Weekly Report'!$F$5),"NEW",IF(AND(W121&lt;&gt;"",W121&gt;='Weekly Report'!$F$4,W121&lt;='Weekly Report'!$F$5),"CHANGED","")))</f>
        <v/>
      </c>
      <c r="Z121" s="87" t="str">
        <f aca="true">IF(B121="","",IF(V121&lt;&gt;"",V121-B121,TODAY()-B121))</f>
        <v/>
      </c>
      <c r="AA121" s="62" t="str">
        <f aca="true">IF(OR(B121="",T121="",U121="False Positive",U121="Risk Accepted"),"",IF(V121&lt;&gt;"",IF(V121&gt;T121,"Closed Late","Met"),IF(TODAY()&gt;T121,"SLA BREACH",IF(T121-TODAY()&lt;=7,"Due ≤7d","Within SLA"))))</f>
        <v/>
      </c>
      <c r="AB121" s="61"/>
      <c r="AC121" s="61"/>
      <c r="AD121" s="60"/>
      <c r="AE121" s="88" t="str">
        <f aca="false">IF(Y121&lt;&gt;"",ROW(),"")</f>
        <v/>
      </c>
      <c r="AF121" s="88" t="str">
        <f aca="false">IF(AND(AND(E121&lt;&gt;"",U121&lt;&gt;"Remediated",U121&lt;&gt;"False Positive",U121&lt;&gt;"Risk Accepted"),T121&lt;&gt;"",T121&lt;='Weekly Report'!$F$7),ROW(),"")</f>
        <v/>
      </c>
      <c r="AG121" s="88" t="str">
        <f aca="false">IF(AND(AND(E121&lt;&gt;"",U121&lt;&gt;"Remediated",U121&lt;&gt;"False Positive",U121&lt;&gt;"Risk Accepted"),LEFT(Q121,6)="Breach"),ROW(),"")</f>
        <v/>
      </c>
    </row>
    <row r="122" customFormat="false" ht="15" hidden="false" customHeight="false" outlineLevel="0" collapsed="false">
      <c r="A122" s="56" t="s">
        <v>2278</v>
      </c>
      <c r="B122" s="63"/>
      <c r="C122" s="61"/>
      <c r="D122" s="61"/>
      <c r="E122" s="60"/>
      <c r="F122" s="61"/>
      <c r="G122" s="61"/>
      <c r="H122" s="61"/>
      <c r="I122" s="61"/>
      <c r="J122" s="60"/>
      <c r="K122" s="61"/>
      <c r="L122" s="61"/>
      <c r="M122" s="61"/>
      <c r="N122" s="60"/>
      <c r="O122" s="60"/>
      <c r="P122" s="60"/>
      <c r="Q122" s="61"/>
      <c r="R122" s="61"/>
      <c r="S122" s="87" t="str">
        <f aca="false">IF(OR(B122="",L122=""),"",INDEX(Lists!$AD$4:$AD$8,MATCH(L122,Lists!$AC$4:$AC$8,0)))</f>
        <v/>
      </c>
      <c r="T122" s="95" t="str">
        <f aca="false">IF(OR(S122="",ISERROR(S122)),"",B122+S122)</f>
        <v/>
      </c>
      <c r="U122" s="61"/>
      <c r="V122" s="63"/>
      <c r="W122" s="63"/>
      <c r="X122" s="60"/>
      <c r="Y122" s="62" t="str">
        <f aca="false">IF(E122="","",IF(AND(B122&lt;&gt;"",B122&gt;='Weekly Report'!$F$4,B122&lt;='Weekly Report'!$F$5),"NEW",IF(AND(W122&lt;&gt;"",W122&gt;='Weekly Report'!$F$4,W122&lt;='Weekly Report'!$F$5),"CHANGED","")))</f>
        <v/>
      </c>
      <c r="Z122" s="87" t="str">
        <f aca="true">IF(B122="","",IF(V122&lt;&gt;"",V122-B122,TODAY()-B122))</f>
        <v/>
      </c>
      <c r="AA122" s="62" t="str">
        <f aca="true">IF(OR(B122="",T122="",U122="False Positive",U122="Risk Accepted"),"",IF(V122&lt;&gt;"",IF(V122&gt;T122,"Closed Late","Met"),IF(TODAY()&gt;T122,"SLA BREACH",IF(T122-TODAY()&lt;=7,"Due ≤7d","Within SLA"))))</f>
        <v/>
      </c>
      <c r="AB122" s="61"/>
      <c r="AC122" s="61"/>
      <c r="AD122" s="60"/>
      <c r="AE122" s="88" t="str">
        <f aca="false">IF(Y122&lt;&gt;"",ROW(),"")</f>
        <v/>
      </c>
      <c r="AF122" s="88" t="str">
        <f aca="false">IF(AND(AND(E122&lt;&gt;"",U122&lt;&gt;"Remediated",U122&lt;&gt;"False Positive",U122&lt;&gt;"Risk Accepted"),T122&lt;&gt;"",T122&lt;='Weekly Report'!$F$7),ROW(),"")</f>
        <v/>
      </c>
      <c r="AG122" s="88" t="str">
        <f aca="false">IF(AND(AND(E122&lt;&gt;"",U122&lt;&gt;"Remediated",U122&lt;&gt;"False Positive",U122&lt;&gt;"Risk Accepted"),LEFT(Q122,6)="Breach"),ROW(),"")</f>
        <v/>
      </c>
    </row>
    <row r="123" customFormat="false" ht="15" hidden="false" customHeight="false" outlineLevel="0" collapsed="false">
      <c r="A123" s="56" t="s">
        <v>2279</v>
      </c>
      <c r="B123" s="63"/>
      <c r="C123" s="61"/>
      <c r="D123" s="61"/>
      <c r="E123" s="60"/>
      <c r="F123" s="61"/>
      <c r="G123" s="61"/>
      <c r="H123" s="61"/>
      <c r="I123" s="61"/>
      <c r="J123" s="60"/>
      <c r="K123" s="61"/>
      <c r="L123" s="61"/>
      <c r="M123" s="61"/>
      <c r="N123" s="60"/>
      <c r="O123" s="60"/>
      <c r="P123" s="60"/>
      <c r="Q123" s="61"/>
      <c r="R123" s="61"/>
      <c r="S123" s="87" t="str">
        <f aca="false">IF(OR(B123="",L123=""),"",INDEX(Lists!$AD$4:$AD$8,MATCH(L123,Lists!$AC$4:$AC$8,0)))</f>
        <v/>
      </c>
      <c r="T123" s="95" t="str">
        <f aca="false">IF(OR(S123="",ISERROR(S123)),"",B123+S123)</f>
        <v/>
      </c>
      <c r="U123" s="61"/>
      <c r="V123" s="63"/>
      <c r="W123" s="63"/>
      <c r="X123" s="60"/>
      <c r="Y123" s="62" t="str">
        <f aca="false">IF(E123="","",IF(AND(B123&lt;&gt;"",B123&gt;='Weekly Report'!$F$4,B123&lt;='Weekly Report'!$F$5),"NEW",IF(AND(W123&lt;&gt;"",W123&gt;='Weekly Report'!$F$4,W123&lt;='Weekly Report'!$F$5),"CHANGED","")))</f>
        <v/>
      </c>
      <c r="Z123" s="87" t="str">
        <f aca="true">IF(B123="","",IF(V123&lt;&gt;"",V123-B123,TODAY()-B123))</f>
        <v/>
      </c>
      <c r="AA123" s="62" t="str">
        <f aca="true">IF(OR(B123="",T123="",U123="False Positive",U123="Risk Accepted"),"",IF(V123&lt;&gt;"",IF(V123&gt;T123,"Closed Late","Met"),IF(TODAY()&gt;T123,"SLA BREACH",IF(T123-TODAY()&lt;=7,"Due ≤7d","Within SLA"))))</f>
        <v/>
      </c>
      <c r="AB123" s="61"/>
      <c r="AC123" s="61"/>
      <c r="AD123" s="60"/>
      <c r="AE123" s="88" t="str">
        <f aca="false">IF(Y123&lt;&gt;"",ROW(),"")</f>
        <v/>
      </c>
      <c r="AF123" s="88" t="str">
        <f aca="false">IF(AND(AND(E123&lt;&gt;"",U123&lt;&gt;"Remediated",U123&lt;&gt;"False Positive",U123&lt;&gt;"Risk Accepted"),T123&lt;&gt;"",T123&lt;='Weekly Report'!$F$7),ROW(),"")</f>
        <v/>
      </c>
      <c r="AG123" s="88" t="str">
        <f aca="false">IF(AND(AND(E123&lt;&gt;"",U123&lt;&gt;"Remediated",U123&lt;&gt;"False Positive",U123&lt;&gt;"Risk Accepted"),LEFT(Q123,6)="Breach"),ROW(),"")</f>
        <v/>
      </c>
    </row>
    <row r="124" customFormat="false" ht="15" hidden="false" customHeight="false" outlineLevel="0" collapsed="false">
      <c r="A124" s="56" t="s">
        <v>2280</v>
      </c>
      <c r="B124" s="63"/>
      <c r="C124" s="61"/>
      <c r="D124" s="61"/>
      <c r="E124" s="60"/>
      <c r="F124" s="61"/>
      <c r="G124" s="61"/>
      <c r="H124" s="61"/>
      <c r="I124" s="61"/>
      <c r="J124" s="60"/>
      <c r="K124" s="61"/>
      <c r="L124" s="61"/>
      <c r="M124" s="61"/>
      <c r="N124" s="60"/>
      <c r="O124" s="60"/>
      <c r="P124" s="60"/>
      <c r="Q124" s="61"/>
      <c r="R124" s="61"/>
      <c r="S124" s="87" t="str">
        <f aca="false">IF(OR(B124="",L124=""),"",INDEX(Lists!$AD$4:$AD$8,MATCH(L124,Lists!$AC$4:$AC$8,0)))</f>
        <v/>
      </c>
      <c r="T124" s="95" t="str">
        <f aca="false">IF(OR(S124="",ISERROR(S124)),"",B124+S124)</f>
        <v/>
      </c>
      <c r="U124" s="61"/>
      <c r="V124" s="63"/>
      <c r="W124" s="63"/>
      <c r="X124" s="60"/>
      <c r="Y124" s="62" t="str">
        <f aca="false">IF(E124="","",IF(AND(B124&lt;&gt;"",B124&gt;='Weekly Report'!$F$4,B124&lt;='Weekly Report'!$F$5),"NEW",IF(AND(W124&lt;&gt;"",W124&gt;='Weekly Report'!$F$4,W124&lt;='Weekly Report'!$F$5),"CHANGED","")))</f>
        <v/>
      </c>
      <c r="Z124" s="87" t="str">
        <f aca="true">IF(B124="","",IF(V124&lt;&gt;"",V124-B124,TODAY()-B124))</f>
        <v/>
      </c>
      <c r="AA124" s="62" t="str">
        <f aca="true">IF(OR(B124="",T124="",U124="False Positive",U124="Risk Accepted"),"",IF(V124&lt;&gt;"",IF(V124&gt;T124,"Closed Late","Met"),IF(TODAY()&gt;T124,"SLA BREACH",IF(T124-TODAY()&lt;=7,"Due ≤7d","Within SLA"))))</f>
        <v/>
      </c>
      <c r="AB124" s="61"/>
      <c r="AC124" s="61"/>
      <c r="AD124" s="60"/>
      <c r="AE124" s="88" t="str">
        <f aca="false">IF(Y124&lt;&gt;"",ROW(),"")</f>
        <v/>
      </c>
      <c r="AF124" s="88" t="str">
        <f aca="false">IF(AND(AND(E124&lt;&gt;"",U124&lt;&gt;"Remediated",U124&lt;&gt;"False Positive",U124&lt;&gt;"Risk Accepted"),T124&lt;&gt;"",T124&lt;='Weekly Report'!$F$7),ROW(),"")</f>
        <v/>
      </c>
      <c r="AG124" s="88" t="str">
        <f aca="false">IF(AND(AND(E124&lt;&gt;"",U124&lt;&gt;"Remediated",U124&lt;&gt;"False Positive",U124&lt;&gt;"Risk Accepted"),LEFT(Q124,6)="Breach"),ROW(),"")</f>
        <v/>
      </c>
    </row>
    <row r="125" customFormat="false" ht="15" hidden="false" customHeight="false" outlineLevel="0" collapsed="false">
      <c r="A125" s="56" t="s">
        <v>2281</v>
      </c>
      <c r="B125" s="63"/>
      <c r="C125" s="61"/>
      <c r="D125" s="61"/>
      <c r="E125" s="60"/>
      <c r="F125" s="61"/>
      <c r="G125" s="61"/>
      <c r="H125" s="61"/>
      <c r="I125" s="61"/>
      <c r="J125" s="60"/>
      <c r="K125" s="61"/>
      <c r="L125" s="61"/>
      <c r="M125" s="61"/>
      <c r="N125" s="60"/>
      <c r="O125" s="60"/>
      <c r="P125" s="60"/>
      <c r="Q125" s="61"/>
      <c r="R125" s="61"/>
      <c r="S125" s="87" t="str">
        <f aca="false">IF(OR(B125="",L125=""),"",INDEX(Lists!$AD$4:$AD$8,MATCH(L125,Lists!$AC$4:$AC$8,0)))</f>
        <v/>
      </c>
      <c r="T125" s="95" t="str">
        <f aca="false">IF(OR(S125="",ISERROR(S125)),"",B125+S125)</f>
        <v/>
      </c>
      <c r="U125" s="61"/>
      <c r="V125" s="63"/>
      <c r="W125" s="63"/>
      <c r="X125" s="60"/>
      <c r="Y125" s="62" t="str">
        <f aca="false">IF(E125="","",IF(AND(B125&lt;&gt;"",B125&gt;='Weekly Report'!$F$4,B125&lt;='Weekly Report'!$F$5),"NEW",IF(AND(W125&lt;&gt;"",W125&gt;='Weekly Report'!$F$4,W125&lt;='Weekly Report'!$F$5),"CHANGED","")))</f>
        <v/>
      </c>
      <c r="Z125" s="87" t="str">
        <f aca="true">IF(B125="","",IF(V125&lt;&gt;"",V125-B125,TODAY()-B125))</f>
        <v/>
      </c>
      <c r="AA125" s="62" t="str">
        <f aca="true">IF(OR(B125="",T125="",U125="False Positive",U125="Risk Accepted"),"",IF(V125&lt;&gt;"",IF(V125&gt;T125,"Closed Late","Met"),IF(TODAY()&gt;T125,"SLA BREACH",IF(T125-TODAY()&lt;=7,"Due ≤7d","Within SLA"))))</f>
        <v/>
      </c>
      <c r="AB125" s="61"/>
      <c r="AC125" s="61"/>
      <c r="AD125" s="60"/>
      <c r="AE125" s="88" t="str">
        <f aca="false">IF(Y125&lt;&gt;"",ROW(),"")</f>
        <v/>
      </c>
      <c r="AF125" s="88" t="str">
        <f aca="false">IF(AND(AND(E125&lt;&gt;"",U125&lt;&gt;"Remediated",U125&lt;&gt;"False Positive",U125&lt;&gt;"Risk Accepted"),T125&lt;&gt;"",T125&lt;='Weekly Report'!$F$7),ROW(),"")</f>
        <v/>
      </c>
      <c r="AG125" s="88" t="str">
        <f aca="false">IF(AND(AND(E125&lt;&gt;"",U125&lt;&gt;"Remediated",U125&lt;&gt;"False Positive",U125&lt;&gt;"Risk Accepted"),LEFT(Q125,6)="Breach"),ROW(),"")</f>
        <v/>
      </c>
    </row>
    <row r="126" customFormat="false" ht="15" hidden="false" customHeight="false" outlineLevel="0" collapsed="false">
      <c r="A126" s="56" t="s">
        <v>2282</v>
      </c>
      <c r="B126" s="63"/>
      <c r="C126" s="61"/>
      <c r="D126" s="61"/>
      <c r="E126" s="60"/>
      <c r="F126" s="61"/>
      <c r="G126" s="61"/>
      <c r="H126" s="61"/>
      <c r="I126" s="61"/>
      <c r="J126" s="60"/>
      <c r="K126" s="61"/>
      <c r="L126" s="61"/>
      <c r="M126" s="61"/>
      <c r="N126" s="60"/>
      <c r="O126" s="60"/>
      <c r="P126" s="60"/>
      <c r="Q126" s="61"/>
      <c r="R126" s="61"/>
      <c r="S126" s="87" t="str">
        <f aca="false">IF(OR(B126="",L126=""),"",INDEX(Lists!$AD$4:$AD$8,MATCH(L126,Lists!$AC$4:$AC$8,0)))</f>
        <v/>
      </c>
      <c r="T126" s="95" t="str">
        <f aca="false">IF(OR(S126="",ISERROR(S126)),"",B126+S126)</f>
        <v/>
      </c>
      <c r="U126" s="61"/>
      <c r="V126" s="63"/>
      <c r="W126" s="63"/>
      <c r="X126" s="60"/>
      <c r="Y126" s="62" t="str">
        <f aca="false">IF(E126="","",IF(AND(B126&lt;&gt;"",B126&gt;='Weekly Report'!$F$4,B126&lt;='Weekly Report'!$F$5),"NEW",IF(AND(W126&lt;&gt;"",W126&gt;='Weekly Report'!$F$4,W126&lt;='Weekly Report'!$F$5),"CHANGED","")))</f>
        <v/>
      </c>
      <c r="Z126" s="87" t="str">
        <f aca="true">IF(B126="","",IF(V126&lt;&gt;"",V126-B126,TODAY()-B126))</f>
        <v/>
      </c>
      <c r="AA126" s="62" t="str">
        <f aca="true">IF(OR(B126="",T126="",U126="False Positive",U126="Risk Accepted"),"",IF(V126&lt;&gt;"",IF(V126&gt;T126,"Closed Late","Met"),IF(TODAY()&gt;T126,"SLA BREACH",IF(T126-TODAY()&lt;=7,"Due ≤7d","Within SLA"))))</f>
        <v/>
      </c>
      <c r="AB126" s="61"/>
      <c r="AC126" s="61"/>
      <c r="AD126" s="60"/>
      <c r="AE126" s="88" t="str">
        <f aca="false">IF(Y126&lt;&gt;"",ROW(),"")</f>
        <v/>
      </c>
      <c r="AF126" s="88" t="str">
        <f aca="false">IF(AND(AND(E126&lt;&gt;"",U126&lt;&gt;"Remediated",U126&lt;&gt;"False Positive",U126&lt;&gt;"Risk Accepted"),T126&lt;&gt;"",T126&lt;='Weekly Report'!$F$7),ROW(),"")</f>
        <v/>
      </c>
      <c r="AG126" s="88" t="str">
        <f aca="false">IF(AND(AND(E126&lt;&gt;"",U126&lt;&gt;"Remediated",U126&lt;&gt;"False Positive",U126&lt;&gt;"Risk Accepted"),LEFT(Q126,6)="Breach"),ROW(),"")</f>
        <v/>
      </c>
    </row>
    <row r="127" customFormat="false" ht="15" hidden="false" customHeight="false" outlineLevel="0" collapsed="false">
      <c r="A127" s="56" t="s">
        <v>2283</v>
      </c>
      <c r="B127" s="63"/>
      <c r="C127" s="61"/>
      <c r="D127" s="61"/>
      <c r="E127" s="60"/>
      <c r="F127" s="61"/>
      <c r="G127" s="61"/>
      <c r="H127" s="61"/>
      <c r="I127" s="61"/>
      <c r="J127" s="60"/>
      <c r="K127" s="61"/>
      <c r="L127" s="61"/>
      <c r="M127" s="61"/>
      <c r="N127" s="60"/>
      <c r="O127" s="60"/>
      <c r="P127" s="60"/>
      <c r="Q127" s="61"/>
      <c r="R127" s="61"/>
      <c r="S127" s="87" t="str">
        <f aca="false">IF(OR(B127="",L127=""),"",INDEX(Lists!$AD$4:$AD$8,MATCH(L127,Lists!$AC$4:$AC$8,0)))</f>
        <v/>
      </c>
      <c r="T127" s="95" t="str">
        <f aca="false">IF(OR(S127="",ISERROR(S127)),"",B127+S127)</f>
        <v/>
      </c>
      <c r="U127" s="61"/>
      <c r="V127" s="63"/>
      <c r="W127" s="63"/>
      <c r="X127" s="60"/>
      <c r="Y127" s="62" t="str">
        <f aca="false">IF(E127="","",IF(AND(B127&lt;&gt;"",B127&gt;='Weekly Report'!$F$4,B127&lt;='Weekly Report'!$F$5),"NEW",IF(AND(W127&lt;&gt;"",W127&gt;='Weekly Report'!$F$4,W127&lt;='Weekly Report'!$F$5),"CHANGED","")))</f>
        <v/>
      </c>
      <c r="Z127" s="87" t="str">
        <f aca="true">IF(B127="","",IF(V127&lt;&gt;"",V127-B127,TODAY()-B127))</f>
        <v/>
      </c>
      <c r="AA127" s="62" t="str">
        <f aca="true">IF(OR(B127="",T127="",U127="False Positive",U127="Risk Accepted"),"",IF(V127&lt;&gt;"",IF(V127&gt;T127,"Closed Late","Met"),IF(TODAY()&gt;T127,"SLA BREACH",IF(T127-TODAY()&lt;=7,"Due ≤7d","Within SLA"))))</f>
        <v/>
      </c>
      <c r="AB127" s="61"/>
      <c r="AC127" s="61"/>
      <c r="AD127" s="60"/>
      <c r="AE127" s="88" t="str">
        <f aca="false">IF(Y127&lt;&gt;"",ROW(),"")</f>
        <v/>
      </c>
      <c r="AF127" s="88" t="str">
        <f aca="false">IF(AND(AND(E127&lt;&gt;"",U127&lt;&gt;"Remediated",U127&lt;&gt;"False Positive",U127&lt;&gt;"Risk Accepted"),T127&lt;&gt;"",T127&lt;='Weekly Report'!$F$7),ROW(),"")</f>
        <v/>
      </c>
      <c r="AG127" s="88" t="str">
        <f aca="false">IF(AND(AND(E127&lt;&gt;"",U127&lt;&gt;"Remediated",U127&lt;&gt;"False Positive",U127&lt;&gt;"Risk Accepted"),LEFT(Q127,6)="Breach"),ROW(),"")</f>
        <v/>
      </c>
    </row>
    <row r="128" customFormat="false" ht="15" hidden="false" customHeight="false" outlineLevel="0" collapsed="false">
      <c r="A128" s="56" t="s">
        <v>2284</v>
      </c>
      <c r="B128" s="63"/>
      <c r="C128" s="61"/>
      <c r="D128" s="61"/>
      <c r="E128" s="60"/>
      <c r="F128" s="61"/>
      <c r="G128" s="61"/>
      <c r="H128" s="61"/>
      <c r="I128" s="61"/>
      <c r="J128" s="60"/>
      <c r="K128" s="61"/>
      <c r="L128" s="61"/>
      <c r="M128" s="61"/>
      <c r="N128" s="60"/>
      <c r="O128" s="60"/>
      <c r="P128" s="60"/>
      <c r="Q128" s="61"/>
      <c r="R128" s="61"/>
      <c r="S128" s="87" t="str">
        <f aca="false">IF(OR(B128="",L128=""),"",INDEX(Lists!$AD$4:$AD$8,MATCH(L128,Lists!$AC$4:$AC$8,0)))</f>
        <v/>
      </c>
      <c r="T128" s="95" t="str">
        <f aca="false">IF(OR(S128="",ISERROR(S128)),"",B128+S128)</f>
        <v/>
      </c>
      <c r="U128" s="61"/>
      <c r="V128" s="63"/>
      <c r="W128" s="63"/>
      <c r="X128" s="60"/>
      <c r="Y128" s="62" t="str">
        <f aca="false">IF(E128="","",IF(AND(B128&lt;&gt;"",B128&gt;='Weekly Report'!$F$4,B128&lt;='Weekly Report'!$F$5),"NEW",IF(AND(W128&lt;&gt;"",W128&gt;='Weekly Report'!$F$4,W128&lt;='Weekly Report'!$F$5),"CHANGED","")))</f>
        <v/>
      </c>
      <c r="Z128" s="87" t="str">
        <f aca="true">IF(B128="","",IF(V128&lt;&gt;"",V128-B128,TODAY()-B128))</f>
        <v/>
      </c>
      <c r="AA128" s="62" t="str">
        <f aca="true">IF(OR(B128="",T128="",U128="False Positive",U128="Risk Accepted"),"",IF(V128&lt;&gt;"",IF(V128&gt;T128,"Closed Late","Met"),IF(TODAY()&gt;T128,"SLA BREACH",IF(T128-TODAY()&lt;=7,"Due ≤7d","Within SLA"))))</f>
        <v/>
      </c>
      <c r="AB128" s="61"/>
      <c r="AC128" s="61"/>
      <c r="AD128" s="60"/>
      <c r="AE128" s="88" t="str">
        <f aca="false">IF(Y128&lt;&gt;"",ROW(),"")</f>
        <v/>
      </c>
      <c r="AF128" s="88" t="str">
        <f aca="false">IF(AND(AND(E128&lt;&gt;"",U128&lt;&gt;"Remediated",U128&lt;&gt;"False Positive",U128&lt;&gt;"Risk Accepted"),T128&lt;&gt;"",T128&lt;='Weekly Report'!$F$7),ROW(),"")</f>
        <v/>
      </c>
      <c r="AG128" s="88" t="str">
        <f aca="false">IF(AND(AND(E128&lt;&gt;"",U128&lt;&gt;"Remediated",U128&lt;&gt;"False Positive",U128&lt;&gt;"Risk Accepted"),LEFT(Q128,6)="Breach"),ROW(),"")</f>
        <v/>
      </c>
    </row>
    <row r="129" customFormat="false" ht="15" hidden="false" customHeight="false" outlineLevel="0" collapsed="false">
      <c r="A129" s="56" t="s">
        <v>2285</v>
      </c>
      <c r="B129" s="63"/>
      <c r="C129" s="61"/>
      <c r="D129" s="61"/>
      <c r="E129" s="60"/>
      <c r="F129" s="61"/>
      <c r="G129" s="61"/>
      <c r="H129" s="61"/>
      <c r="I129" s="61"/>
      <c r="J129" s="60"/>
      <c r="K129" s="61"/>
      <c r="L129" s="61"/>
      <c r="M129" s="61"/>
      <c r="N129" s="60"/>
      <c r="O129" s="60"/>
      <c r="P129" s="60"/>
      <c r="Q129" s="61"/>
      <c r="R129" s="61"/>
      <c r="S129" s="87" t="str">
        <f aca="false">IF(OR(B129="",L129=""),"",INDEX(Lists!$AD$4:$AD$8,MATCH(L129,Lists!$AC$4:$AC$8,0)))</f>
        <v/>
      </c>
      <c r="T129" s="95" t="str">
        <f aca="false">IF(OR(S129="",ISERROR(S129)),"",B129+S129)</f>
        <v/>
      </c>
      <c r="U129" s="61"/>
      <c r="V129" s="63"/>
      <c r="W129" s="63"/>
      <c r="X129" s="60"/>
      <c r="Y129" s="62" t="str">
        <f aca="false">IF(E129="","",IF(AND(B129&lt;&gt;"",B129&gt;='Weekly Report'!$F$4,B129&lt;='Weekly Report'!$F$5),"NEW",IF(AND(W129&lt;&gt;"",W129&gt;='Weekly Report'!$F$4,W129&lt;='Weekly Report'!$F$5),"CHANGED","")))</f>
        <v/>
      </c>
      <c r="Z129" s="87" t="str">
        <f aca="true">IF(B129="","",IF(V129&lt;&gt;"",V129-B129,TODAY()-B129))</f>
        <v/>
      </c>
      <c r="AA129" s="62" t="str">
        <f aca="true">IF(OR(B129="",T129="",U129="False Positive",U129="Risk Accepted"),"",IF(V129&lt;&gt;"",IF(V129&gt;T129,"Closed Late","Met"),IF(TODAY()&gt;T129,"SLA BREACH",IF(T129-TODAY()&lt;=7,"Due ≤7d","Within SLA"))))</f>
        <v/>
      </c>
      <c r="AB129" s="61"/>
      <c r="AC129" s="61"/>
      <c r="AD129" s="60"/>
      <c r="AE129" s="88" t="str">
        <f aca="false">IF(Y129&lt;&gt;"",ROW(),"")</f>
        <v/>
      </c>
      <c r="AF129" s="88" t="str">
        <f aca="false">IF(AND(AND(E129&lt;&gt;"",U129&lt;&gt;"Remediated",U129&lt;&gt;"False Positive",U129&lt;&gt;"Risk Accepted"),T129&lt;&gt;"",T129&lt;='Weekly Report'!$F$7),ROW(),"")</f>
        <v/>
      </c>
      <c r="AG129" s="88" t="str">
        <f aca="false">IF(AND(AND(E129&lt;&gt;"",U129&lt;&gt;"Remediated",U129&lt;&gt;"False Positive",U129&lt;&gt;"Risk Accepted"),LEFT(Q129,6)="Breach"),ROW(),"")</f>
        <v/>
      </c>
    </row>
    <row r="130" customFormat="false" ht="15" hidden="false" customHeight="false" outlineLevel="0" collapsed="false">
      <c r="A130" s="56" t="s">
        <v>2286</v>
      </c>
      <c r="B130" s="63"/>
      <c r="C130" s="61"/>
      <c r="D130" s="61"/>
      <c r="E130" s="60"/>
      <c r="F130" s="61"/>
      <c r="G130" s="61"/>
      <c r="H130" s="61"/>
      <c r="I130" s="61"/>
      <c r="J130" s="60"/>
      <c r="K130" s="61"/>
      <c r="L130" s="61"/>
      <c r="M130" s="61"/>
      <c r="N130" s="60"/>
      <c r="O130" s="60"/>
      <c r="P130" s="60"/>
      <c r="Q130" s="61"/>
      <c r="R130" s="61"/>
      <c r="S130" s="87" t="str">
        <f aca="false">IF(OR(B130="",L130=""),"",INDEX(Lists!$AD$4:$AD$8,MATCH(L130,Lists!$AC$4:$AC$8,0)))</f>
        <v/>
      </c>
      <c r="T130" s="95" t="str">
        <f aca="false">IF(OR(S130="",ISERROR(S130)),"",B130+S130)</f>
        <v/>
      </c>
      <c r="U130" s="61"/>
      <c r="V130" s="63"/>
      <c r="W130" s="63"/>
      <c r="X130" s="60"/>
      <c r="Y130" s="62" t="str">
        <f aca="false">IF(E130="","",IF(AND(B130&lt;&gt;"",B130&gt;='Weekly Report'!$F$4,B130&lt;='Weekly Report'!$F$5),"NEW",IF(AND(W130&lt;&gt;"",W130&gt;='Weekly Report'!$F$4,W130&lt;='Weekly Report'!$F$5),"CHANGED","")))</f>
        <v/>
      </c>
      <c r="Z130" s="87" t="str">
        <f aca="true">IF(B130="","",IF(V130&lt;&gt;"",V130-B130,TODAY()-B130))</f>
        <v/>
      </c>
      <c r="AA130" s="62" t="str">
        <f aca="true">IF(OR(B130="",T130="",U130="False Positive",U130="Risk Accepted"),"",IF(V130&lt;&gt;"",IF(V130&gt;T130,"Closed Late","Met"),IF(TODAY()&gt;T130,"SLA BREACH",IF(T130-TODAY()&lt;=7,"Due ≤7d","Within SLA"))))</f>
        <v/>
      </c>
      <c r="AB130" s="61"/>
      <c r="AC130" s="61"/>
      <c r="AD130" s="60"/>
      <c r="AE130" s="88" t="str">
        <f aca="false">IF(Y130&lt;&gt;"",ROW(),"")</f>
        <v/>
      </c>
      <c r="AF130" s="88" t="str">
        <f aca="false">IF(AND(AND(E130&lt;&gt;"",U130&lt;&gt;"Remediated",U130&lt;&gt;"False Positive",U130&lt;&gt;"Risk Accepted"),T130&lt;&gt;"",T130&lt;='Weekly Report'!$F$7),ROW(),"")</f>
        <v/>
      </c>
      <c r="AG130" s="88" t="str">
        <f aca="false">IF(AND(AND(E130&lt;&gt;"",U130&lt;&gt;"Remediated",U130&lt;&gt;"False Positive",U130&lt;&gt;"Risk Accepted"),LEFT(Q130,6)="Breach"),ROW(),"")</f>
        <v/>
      </c>
    </row>
    <row r="131" customFormat="false" ht="15" hidden="false" customHeight="false" outlineLevel="0" collapsed="false">
      <c r="A131" s="56" t="s">
        <v>2287</v>
      </c>
      <c r="B131" s="63"/>
      <c r="C131" s="61"/>
      <c r="D131" s="61"/>
      <c r="E131" s="60"/>
      <c r="F131" s="61"/>
      <c r="G131" s="61"/>
      <c r="H131" s="61"/>
      <c r="I131" s="61"/>
      <c r="J131" s="60"/>
      <c r="K131" s="61"/>
      <c r="L131" s="61"/>
      <c r="M131" s="61"/>
      <c r="N131" s="60"/>
      <c r="O131" s="60"/>
      <c r="P131" s="60"/>
      <c r="Q131" s="61"/>
      <c r="R131" s="61"/>
      <c r="S131" s="87" t="str">
        <f aca="false">IF(OR(B131="",L131=""),"",INDEX(Lists!$AD$4:$AD$8,MATCH(L131,Lists!$AC$4:$AC$8,0)))</f>
        <v/>
      </c>
      <c r="T131" s="95" t="str">
        <f aca="false">IF(OR(S131="",ISERROR(S131)),"",B131+S131)</f>
        <v/>
      </c>
      <c r="U131" s="61"/>
      <c r="V131" s="63"/>
      <c r="W131" s="63"/>
      <c r="X131" s="60"/>
      <c r="Y131" s="62" t="str">
        <f aca="false">IF(E131="","",IF(AND(B131&lt;&gt;"",B131&gt;='Weekly Report'!$F$4,B131&lt;='Weekly Report'!$F$5),"NEW",IF(AND(W131&lt;&gt;"",W131&gt;='Weekly Report'!$F$4,W131&lt;='Weekly Report'!$F$5),"CHANGED","")))</f>
        <v/>
      </c>
      <c r="Z131" s="87" t="str">
        <f aca="true">IF(B131="","",IF(V131&lt;&gt;"",V131-B131,TODAY()-B131))</f>
        <v/>
      </c>
      <c r="AA131" s="62" t="str">
        <f aca="true">IF(OR(B131="",T131="",U131="False Positive",U131="Risk Accepted"),"",IF(V131&lt;&gt;"",IF(V131&gt;T131,"Closed Late","Met"),IF(TODAY()&gt;T131,"SLA BREACH",IF(T131-TODAY()&lt;=7,"Due ≤7d","Within SLA"))))</f>
        <v/>
      </c>
      <c r="AB131" s="61"/>
      <c r="AC131" s="61"/>
      <c r="AD131" s="60"/>
      <c r="AE131" s="88" t="str">
        <f aca="false">IF(Y131&lt;&gt;"",ROW(),"")</f>
        <v/>
      </c>
      <c r="AF131" s="88" t="str">
        <f aca="false">IF(AND(AND(E131&lt;&gt;"",U131&lt;&gt;"Remediated",U131&lt;&gt;"False Positive",U131&lt;&gt;"Risk Accepted"),T131&lt;&gt;"",T131&lt;='Weekly Report'!$F$7),ROW(),"")</f>
        <v/>
      </c>
      <c r="AG131" s="88" t="str">
        <f aca="false">IF(AND(AND(E131&lt;&gt;"",U131&lt;&gt;"Remediated",U131&lt;&gt;"False Positive",U131&lt;&gt;"Risk Accepted"),LEFT(Q131,6)="Breach"),ROW(),"")</f>
        <v/>
      </c>
    </row>
    <row r="132" customFormat="false" ht="15" hidden="false" customHeight="false" outlineLevel="0" collapsed="false">
      <c r="A132" s="56" t="s">
        <v>2288</v>
      </c>
      <c r="B132" s="63"/>
      <c r="C132" s="61"/>
      <c r="D132" s="61"/>
      <c r="E132" s="60"/>
      <c r="F132" s="61"/>
      <c r="G132" s="61"/>
      <c r="H132" s="61"/>
      <c r="I132" s="61"/>
      <c r="J132" s="60"/>
      <c r="K132" s="61"/>
      <c r="L132" s="61"/>
      <c r="M132" s="61"/>
      <c r="N132" s="60"/>
      <c r="O132" s="60"/>
      <c r="P132" s="60"/>
      <c r="Q132" s="61"/>
      <c r="R132" s="61"/>
      <c r="S132" s="87" t="str">
        <f aca="false">IF(OR(B132="",L132=""),"",INDEX(Lists!$AD$4:$AD$8,MATCH(L132,Lists!$AC$4:$AC$8,0)))</f>
        <v/>
      </c>
      <c r="T132" s="95" t="str">
        <f aca="false">IF(OR(S132="",ISERROR(S132)),"",B132+S132)</f>
        <v/>
      </c>
      <c r="U132" s="61"/>
      <c r="V132" s="63"/>
      <c r="W132" s="63"/>
      <c r="X132" s="60"/>
      <c r="Y132" s="62" t="str">
        <f aca="false">IF(E132="","",IF(AND(B132&lt;&gt;"",B132&gt;='Weekly Report'!$F$4,B132&lt;='Weekly Report'!$F$5),"NEW",IF(AND(W132&lt;&gt;"",W132&gt;='Weekly Report'!$F$4,W132&lt;='Weekly Report'!$F$5),"CHANGED","")))</f>
        <v/>
      </c>
      <c r="Z132" s="87" t="str">
        <f aca="true">IF(B132="","",IF(V132&lt;&gt;"",V132-B132,TODAY()-B132))</f>
        <v/>
      </c>
      <c r="AA132" s="62" t="str">
        <f aca="true">IF(OR(B132="",T132="",U132="False Positive",U132="Risk Accepted"),"",IF(V132&lt;&gt;"",IF(V132&gt;T132,"Closed Late","Met"),IF(TODAY()&gt;T132,"SLA BREACH",IF(T132-TODAY()&lt;=7,"Due ≤7d","Within SLA"))))</f>
        <v/>
      </c>
      <c r="AB132" s="61"/>
      <c r="AC132" s="61"/>
      <c r="AD132" s="60"/>
      <c r="AE132" s="88" t="str">
        <f aca="false">IF(Y132&lt;&gt;"",ROW(),"")</f>
        <v/>
      </c>
      <c r="AF132" s="88" t="str">
        <f aca="false">IF(AND(AND(E132&lt;&gt;"",U132&lt;&gt;"Remediated",U132&lt;&gt;"False Positive",U132&lt;&gt;"Risk Accepted"),T132&lt;&gt;"",T132&lt;='Weekly Report'!$F$7),ROW(),"")</f>
        <v/>
      </c>
      <c r="AG132" s="88" t="str">
        <f aca="false">IF(AND(AND(E132&lt;&gt;"",U132&lt;&gt;"Remediated",U132&lt;&gt;"False Positive",U132&lt;&gt;"Risk Accepted"),LEFT(Q132,6)="Breach"),ROW(),"")</f>
        <v/>
      </c>
    </row>
    <row r="133" customFormat="false" ht="15" hidden="false" customHeight="false" outlineLevel="0" collapsed="false">
      <c r="A133" s="56" t="s">
        <v>2289</v>
      </c>
      <c r="B133" s="63"/>
      <c r="C133" s="61"/>
      <c r="D133" s="61"/>
      <c r="E133" s="60"/>
      <c r="F133" s="61"/>
      <c r="G133" s="61"/>
      <c r="H133" s="61"/>
      <c r="I133" s="61"/>
      <c r="J133" s="60"/>
      <c r="K133" s="61"/>
      <c r="L133" s="61"/>
      <c r="M133" s="61"/>
      <c r="N133" s="60"/>
      <c r="O133" s="60"/>
      <c r="P133" s="60"/>
      <c r="Q133" s="61"/>
      <c r="R133" s="61"/>
      <c r="S133" s="87" t="str">
        <f aca="false">IF(OR(B133="",L133=""),"",INDEX(Lists!$AD$4:$AD$8,MATCH(L133,Lists!$AC$4:$AC$8,0)))</f>
        <v/>
      </c>
      <c r="T133" s="95" t="str">
        <f aca="false">IF(OR(S133="",ISERROR(S133)),"",B133+S133)</f>
        <v/>
      </c>
      <c r="U133" s="61"/>
      <c r="V133" s="63"/>
      <c r="W133" s="63"/>
      <c r="X133" s="60"/>
      <c r="Y133" s="62" t="str">
        <f aca="false">IF(E133="","",IF(AND(B133&lt;&gt;"",B133&gt;='Weekly Report'!$F$4,B133&lt;='Weekly Report'!$F$5),"NEW",IF(AND(W133&lt;&gt;"",W133&gt;='Weekly Report'!$F$4,W133&lt;='Weekly Report'!$F$5),"CHANGED","")))</f>
        <v/>
      </c>
      <c r="Z133" s="87" t="str">
        <f aca="true">IF(B133="","",IF(V133&lt;&gt;"",V133-B133,TODAY()-B133))</f>
        <v/>
      </c>
      <c r="AA133" s="62" t="str">
        <f aca="true">IF(OR(B133="",T133="",U133="False Positive",U133="Risk Accepted"),"",IF(V133&lt;&gt;"",IF(V133&gt;T133,"Closed Late","Met"),IF(TODAY()&gt;T133,"SLA BREACH",IF(T133-TODAY()&lt;=7,"Due ≤7d","Within SLA"))))</f>
        <v/>
      </c>
      <c r="AB133" s="61"/>
      <c r="AC133" s="61"/>
      <c r="AD133" s="60"/>
      <c r="AE133" s="88" t="str">
        <f aca="false">IF(Y133&lt;&gt;"",ROW(),"")</f>
        <v/>
      </c>
      <c r="AF133" s="88" t="str">
        <f aca="false">IF(AND(AND(E133&lt;&gt;"",U133&lt;&gt;"Remediated",U133&lt;&gt;"False Positive",U133&lt;&gt;"Risk Accepted"),T133&lt;&gt;"",T133&lt;='Weekly Report'!$F$7),ROW(),"")</f>
        <v/>
      </c>
      <c r="AG133" s="88" t="str">
        <f aca="false">IF(AND(AND(E133&lt;&gt;"",U133&lt;&gt;"Remediated",U133&lt;&gt;"False Positive",U133&lt;&gt;"Risk Accepted"),LEFT(Q133,6)="Breach"),ROW(),"")</f>
        <v/>
      </c>
    </row>
    <row r="134" customFormat="false" ht="15" hidden="false" customHeight="false" outlineLevel="0" collapsed="false">
      <c r="A134" s="56" t="s">
        <v>2290</v>
      </c>
      <c r="B134" s="63"/>
      <c r="C134" s="61"/>
      <c r="D134" s="61"/>
      <c r="E134" s="60"/>
      <c r="F134" s="61"/>
      <c r="G134" s="61"/>
      <c r="H134" s="61"/>
      <c r="I134" s="61"/>
      <c r="J134" s="60"/>
      <c r="K134" s="61"/>
      <c r="L134" s="61"/>
      <c r="M134" s="61"/>
      <c r="N134" s="60"/>
      <c r="O134" s="60"/>
      <c r="P134" s="60"/>
      <c r="Q134" s="61"/>
      <c r="R134" s="61"/>
      <c r="S134" s="87" t="str">
        <f aca="false">IF(OR(B134="",L134=""),"",INDEX(Lists!$AD$4:$AD$8,MATCH(L134,Lists!$AC$4:$AC$8,0)))</f>
        <v/>
      </c>
      <c r="T134" s="95" t="str">
        <f aca="false">IF(OR(S134="",ISERROR(S134)),"",B134+S134)</f>
        <v/>
      </c>
      <c r="U134" s="61"/>
      <c r="V134" s="63"/>
      <c r="W134" s="63"/>
      <c r="X134" s="60"/>
      <c r="Y134" s="62" t="str">
        <f aca="false">IF(E134="","",IF(AND(B134&lt;&gt;"",B134&gt;='Weekly Report'!$F$4,B134&lt;='Weekly Report'!$F$5),"NEW",IF(AND(W134&lt;&gt;"",W134&gt;='Weekly Report'!$F$4,W134&lt;='Weekly Report'!$F$5),"CHANGED","")))</f>
        <v/>
      </c>
      <c r="Z134" s="87" t="str">
        <f aca="true">IF(B134="","",IF(V134&lt;&gt;"",V134-B134,TODAY()-B134))</f>
        <v/>
      </c>
      <c r="AA134" s="62" t="str">
        <f aca="true">IF(OR(B134="",T134="",U134="False Positive",U134="Risk Accepted"),"",IF(V134&lt;&gt;"",IF(V134&gt;T134,"Closed Late","Met"),IF(TODAY()&gt;T134,"SLA BREACH",IF(T134-TODAY()&lt;=7,"Due ≤7d","Within SLA"))))</f>
        <v/>
      </c>
      <c r="AB134" s="61"/>
      <c r="AC134" s="61"/>
      <c r="AD134" s="60"/>
      <c r="AE134" s="88" t="str">
        <f aca="false">IF(Y134&lt;&gt;"",ROW(),"")</f>
        <v/>
      </c>
      <c r="AF134" s="88" t="str">
        <f aca="false">IF(AND(AND(E134&lt;&gt;"",U134&lt;&gt;"Remediated",U134&lt;&gt;"False Positive",U134&lt;&gt;"Risk Accepted"),T134&lt;&gt;"",T134&lt;='Weekly Report'!$F$7),ROW(),"")</f>
        <v/>
      </c>
      <c r="AG134" s="88" t="str">
        <f aca="false">IF(AND(AND(E134&lt;&gt;"",U134&lt;&gt;"Remediated",U134&lt;&gt;"False Positive",U134&lt;&gt;"Risk Accepted"),LEFT(Q134,6)="Breach"),ROW(),"")</f>
        <v/>
      </c>
    </row>
    <row r="135" customFormat="false" ht="15" hidden="false" customHeight="false" outlineLevel="0" collapsed="false">
      <c r="A135" s="56" t="s">
        <v>2291</v>
      </c>
      <c r="B135" s="63"/>
      <c r="C135" s="61"/>
      <c r="D135" s="61"/>
      <c r="E135" s="60"/>
      <c r="F135" s="61"/>
      <c r="G135" s="61"/>
      <c r="H135" s="61"/>
      <c r="I135" s="61"/>
      <c r="J135" s="60"/>
      <c r="K135" s="61"/>
      <c r="L135" s="61"/>
      <c r="M135" s="61"/>
      <c r="N135" s="60"/>
      <c r="O135" s="60"/>
      <c r="P135" s="60"/>
      <c r="Q135" s="61"/>
      <c r="R135" s="61"/>
      <c r="S135" s="87" t="str">
        <f aca="false">IF(OR(B135="",L135=""),"",INDEX(Lists!$AD$4:$AD$8,MATCH(L135,Lists!$AC$4:$AC$8,0)))</f>
        <v/>
      </c>
      <c r="T135" s="95" t="str">
        <f aca="false">IF(OR(S135="",ISERROR(S135)),"",B135+S135)</f>
        <v/>
      </c>
      <c r="U135" s="61"/>
      <c r="V135" s="63"/>
      <c r="W135" s="63"/>
      <c r="X135" s="60"/>
      <c r="Y135" s="62" t="str">
        <f aca="false">IF(E135="","",IF(AND(B135&lt;&gt;"",B135&gt;='Weekly Report'!$F$4,B135&lt;='Weekly Report'!$F$5),"NEW",IF(AND(W135&lt;&gt;"",W135&gt;='Weekly Report'!$F$4,W135&lt;='Weekly Report'!$F$5),"CHANGED","")))</f>
        <v/>
      </c>
      <c r="Z135" s="87" t="str">
        <f aca="true">IF(B135="","",IF(V135&lt;&gt;"",V135-B135,TODAY()-B135))</f>
        <v/>
      </c>
      <c r="AA135" s="62" t="str">
        <f aca="true">IF(OR(B135="",T135="",U135="False Positive",U135="Risk Accepted"),"",IF(V135&lt;&gt;"",IF(V135&gt;T135,"Closed Late","Met"),IF(TODAY()&gt;T135,"SLA BREACH",IF(T135-TODAY()&lt;=7,"Due ≤7d","Within SLA"))))</f>
        <v/>
      </c>
      <c r="AB135" s="61"/>
      <c r="AC135" s="61"/>
      <c r="AD135" s="60"/>
      <c r="AE135" s="88" t="str">
        <f aca="false">IF(Y135&lt;&gt;"",ROW(),"")</f>
        <v/>
      </c>
      <c r="AF135" s="88" t="str">
        <f aca="false">IF(AND(AND(E135&lt;&gt;"",U135&lt;&gt;"Remediated",U135&lt;&gt;"False Positive",U135&lt;&gt;"Risk Accepted"),T135&lt;&gt;"",T135&lt;='Weekly Report'!$F$7),ROW(),"")</f>
        <v/>
      </c>
      <c r="AG135" s="88" t="str">
        <f aca="false">IF(AND(AND(E135&lt;&gt;"",U135&lt;&gt;"Remediated",U135&lt;&gt;"False Positive",U135&lt;&gt;"Risk Accepted"),LEFT(Q135,6)="Breach"),ROW(),"")</f>
        <v/>
      </c>
    </row>
    <row r="136" customFormat="false" ht="15" hidden="false" customHeight="false" outlineLevel="0" collapsed="false">
      <c r="A136" s="56" t="s">
        <v>2292</v>
      </c>
      <c r="B136" s="63"/>
      <c r="C136" s="61"/>
      <c r="D136" s="61"/>
      <c r="E136" s="60"/>
      <c r="F136" s="61"/>
      <c r="G136" s="61"/>
      <c r="H136" s="61"/>
      <c r="I136" s="61"/>
      <c r="J136" s="60"/>
      <c r="K136" s="61"/>
      <c r="L136" s="61"/>
      <c r="M136" s="61"/>
      <c r="N136" s="60"/>
      <c r="O136" s="60"/>
      <c r="P136" s="60"/>
      <c r="Q136" s="61"/>
      <c r="R136" s="61"/>
      <c r="S136" s="87" t="str">
        <f aca="false">IF(OR(B136="",L136=""),"",INDEX(Lists!$AD$4:$AD$8,MATCH(L136,Lists!$AC$4:$AC$8,0)))</f>
        <v/>
      </c>
      <c r="T136" s="95" t="str">
        <f aca="false">IF(OR(S136="",ISERROR(S136)),"",B136+S136)</f>
        <v/>
      </c>
      <c r="U136" s="61"/>
      <c r="V136" s="63"/>
      <c r="W136" s="63"/>
      <c r="X136" s="60"/>
      <c r="Y136" s="62" t="str">
        <f aca="false">IF(E136="","",IF(AND(B136&lt;&gt;"",B136&gt;='Weekly Report'!$F$4,B136&lt;='Weekly Report'!$F$5),"NEW",IF(AND(W136&lt;&gt;"",W136&gt;='Weekly Report'!$F$4,W136&lt;='Weekly Report'!$F$5),"CHANGED","")))</f>
        <v/>
      </c>
      <c r="Z136" s="87" t="str">
        <f aca="true">IF(B136="","",IF(V136&lt;&gt;"",V136-B136,TODAY()-B136))</f>
        <v/>
      </c>
      <c r="AA136" s="62" t="str">
        <f aca="true">IF(OR(B136="",T136="",U136="False Positive",U136="Risk Accepted"),"",IF(V136&lt;&gt;"",IF(V136&gt;T136,"Closed Late","Met"),IF(TODAY()&gt;T136,"SLA BREACH",IF(T136-TODAY()&lt;=7,"Due ≤7d","Within SLA"))))</f>
        <v/>
      </c>
      <c r="AB136" s="61"/>
      <c r="AC136" s="61"/>
      <c r="AD136" s="60"/>
      <c r="AE136" s="88" t="str">
        <f aca="false">IF(Y136&lt;&gt;"",ROW(),"")</f>
        <v/>
      </c>
      <c r="AF136" s="88" t="str">
        <f aca="false">IF(AND(AND(E136&lt;&gt;"",U136&lt;&gt;"Remediated",U136&lt;&gt;"False Positive",U136&lt;&gt;"Risk Accepted"),T136&lt;&gt;"",T136&lt;='Weekly Report'!$F$7),ROW(),"")</f>
        <v/>
      </c>
      <c r="AG136" s="88" t="str">
        <f aca="false">IF(AND(AND(E136&lt;&gt;"",U136&lt;&gt;"Remediated",U136&lt;&gt;"False Positive",U136&lt;&gt;"Risk Accepted"),LEFT(Q136,6)="Breach"),ROW(),"")</f>
        <v/>
      </c>
    </row>
    <row r="137" customFormat="false" ht="15" hidden="false" customHeight="false" outlineLevel="0" collapsed="false">
      <c r="A137" s="56" t="s">
        <v>2293</v>
      </c>
      <c r="B137" s="63"/>
      <c r="C137" s="61"/>
      <c r="D137" s="61"/>
      <c r="E137" s="60"/>
      <c r="F137" s="61"/>
      <c r="G137" s="61"/>
      <c r="H137" s="61"/>
      <c r="I137" s="61"/>
      <c r="J137" s="60"/>
      <c r="K137" s="61"/>
      <c r="L137" s="61"/>
      <c r="M137" s="61"/>
      <c r="N137" s="60"/>
      <c r="O137" s="60"/>
      <c r="P137" s="60"/>
      <c r="Q137" s="61"/>
      <c r="R137" s="61"/>
      <c r="S137" s="87" t="str">
        <f aca="false">IF(OR(B137="",L137=""),"",INDEX(Lists!$AD$4:$AD$8,MATCH(L137,Lists!$AC$4:$AC$8,0)))</f>
        <v/>
      </c>
      <c r="T137" s="95" t="str">
        <f aca="false">IF(OR(S137="",ISERROR(S137)),"",B137+S137)</f>
        <v/>
      </c>
      <c r="U137" s="61"/>
      <c r="V137" s="63"/>
      <c r="W137" s="63"/>
      <c r="X137" s="60"/>
      <c r="Y137" s="62" t="str">
        <f aca="false">IF(E137="","",IF(AND(B137&lt;&gt;"",B137&gt;='Weekly Report'!$F$4,B137&lt;='Weekly Report'!$F$5),"NEW",IF(AND(W137&lt;&gt;"",W137&gt;='Weekly Report'!$F$4,W137&lt;='Weekly Report'!$F$5),"CHANGED","")))</f>
        <v/>
      </c>
      <c r="Z137" s="87" t="str">
        <f aca="true">IF(B137="","",IF(V137&lt;&gt;"",V137-B137,TODAY()-B137))</f>
        <v/>
      </c>
      <c r="AA137" s="62" t="str">
        <f aca="true">IF(OR(B137="",T137="",U137="False Positive",U137="Risk Accepted"),"",IF(V137&lt;&gt;"",IF(V137&gt;T137,"Closed Late","Met"),IF(TODAY()&gt;T137,"SLA BREACH",IF(T137-TODAY()&lt;=7,"Due ≤7d","Within SLA"))))</f>
        <v/>
      </c>
      <c r="AB137" s="61"/>
      <c r="AC137" s="61"/>
      <c r="AD137" s="60"/>
      <c r="AE137" s="88" t="str">
        <f aca="false">IF(Y137&lt;&gt;"",ROW(),"")</f>
        <v/>
      </c>
      <c r="AF137" s="88" t="str">
        <f aca="false">IF(AND(AND(E137&lt;&gt;"",U137&lt;&gt;"Remediated",U137&lt;&gt;"False Positive",U137&lt;&gt;"Risk Accepted"),T137&lt;&gt;"",T137&lt;='Weekly Report'!$F$7),ROW(),"")</f>
        <v/>
      </c>
      <c r="AG137" s="88" t="str">
        <f aca="false">IF(AND(AND(E137&lt;&gt;"",U137&lt;&gt;"Remediated",U137&lt;&gt;"False Positive",U137&lt;&gt;"Risk Accepted"),LEFT(Q137,6)="Breach"),ROW(),"")</f>
        <v/>
      </c>
    </row>
    <row r="138" customFormat="false" ht="15" hidden="false" customHeight="false" outlineLevel="0" collapsed="false">
      <c r="A138" s="56" t="s">
        <v>2294</v>
      </c>
      <c r="B138" s="63"/>
      <c r="C138" s="61"/>
      <c r="D138" s="61"/>
      <c r="E138" s="60"/>
      <c r="F138" s="61"/>
      <c r="G138" s="61"/>
      <c r="H138" s="61"/>
      <c r="I138" s="61"/>
      <c r="J138" s="60"/>
      <c r="K138" s="61"/>
      <c r="L138" s="61"/>
      <c r="M138" s="61"/>
      <c r="N138" s="60"/>
      <c r="O138" s="60"/>
      <c r="P138" s="60"/>
      <c r="Q138" s="61"/>
      <c r="R138" s="61"/>
      <c r="S138" s="87" t="str">
        <f aca="false">IF(OR(B138="",L138=""),"",INDEX(Lists!$AD$4:$AD$8,MATCH(L138,Lists!$AC$4:$AC$8,0)))</f>
        <v/>
      </c>
      <c r="T138" s="95" t="str">
        <f aca="false">IF(OR(S138="",ISERROR(S138)),"",B138+S138)</f>
        <v/>
      </c>
      <c r="U138" s="61"/>
      <c r="V138" s="63"/>
      <c r="W138" s="63"/>
      <c r="X138" s="60"/>
      <c r="Y138" s="62" t="str">
        <f aca="false">IF(E138="","",IF(AND(B138&lt;&gt;"",B138&gt;='Weekly Report'!$F$4,B138&lt;='Weekly Report'!$F$5),"NEW",IF(AND(W138&lt;&gt;"",W138&gt;='Weekly Report'!$F$4,W138&lt;='Weekly Report'!$F$5),"CHANGED","")))</f>
        <v/>
      </c>
      <c r="Z138" s="87" t="str">
        <f aca="true">IF(B138="","",IF(V138&lt;&gt;"",V138-B138,TODAY()-B138))</f>
        <v/>
      </c>
      <c r="AA138" s="62" t="str">
        <f aca="true">IF(OR(B138="",T138="",U138="False Positive",U138="Risk Accepted"),"",IF(V138&lt;&gt;"",IF(V138&gt;T138,"Closed Late","Met"),IF(TODAY()&gt;T138,"SLA BREACH",IF(T138-TODAY()&lt;=7,"Due ≤7d","Within SLA"))))</f>
        <v/>
      </c>
      <c r="AB138" s="61"/>
      <c r="AC138" s="61"/>
      <c r="AD138" s="60"/>
      <c r="AE138" s="88" t="str">
        <f aca="false">IF(Y138&lt;&gt;"",ROW(),"")</f>
        <v/>
      </c>
      <c r="AF138" s="88" t="str">
        <f aca="false">IF(AND(AND(E138&lt;&gt;"",U138&lt;&gt;"Remediated",U138&lt;&gt;"False Positive",U138&lt;&gt;"Risk Accepted"),T138&lt;&gt;"",T138&lt;='Weekly Report'!$F$7),ROW(),"")</f>
        <v/>
      </c>
      <c r="AG138" s="88" t="str">
        <f aca="false">IF(AND(AND(E138&lt;&gt;"",U138&lt;&gt;"Remediated",U138&lt;&gt;"False Positive",U138&lt;&gt;"Risk Accepted"),LEFT(Q138,6)="Breach"),ROW(),"")</f>
        <v/>
      </c>
    </row>
    <row r="139" customFormat="false" ht="15" hidden="false" customHeight="false" outlineLevel="0" collapsed="false">
      <c r="A139" s="56" t="s">
        <v>2295</v>
      </c>
      <c r="B139" s="63"/>
      <c r="C139" s="61"/>
      <c r="D139" s="61"/>
      <c r="E139" s="60"/>
      <c r="F139" s="61"/>
      <c r="G139" s="61"/>
      <c r="H139" s="61"/>
      <c r="I139" s="61"/>
      <c r="J139" s="60"/>
      <c r="K139" s="61"/>
      <c r="L139" s="61"/>
      <c r="M139" s="61"/>
      <c r="N139" s="60"/>
      <c r="O139" s="60"/>
      <c r="P139" s="60"/>
      <c r="Q139" s="61"/>
      <c r="R139" s="61"/>
      <c r="S139" s="87" t="str">
        <f aca="false">IF(OR(B139="",L139=""),"",INDEX(Lists!$AD$4:$AD$8,MATCH(L139,Lists!$AC$4:$AC$8,0)))</f>
        <v/>
      </c>
      <c r="T139" s="95" t="str">
        <f aca="false">IF(OR(S139="",ISERROR(S139)),"",B139+S139)</f>
        <v/>
      </c>
      <c r="U139" s="61"/>
      <c r="V139" s="63"/>
      <c r="W139" s="63"/>
      <c r="X139" s="60"/>
      <c r="Y139" s="62" t="str">
        <f aca="false">IF(E139="","",IF(AND(B139&lt;&gt;"",B139&gt;='Weekly Report'!$F$4,B139&lt;='Weekly Report'!$F$5),"NEW",IF(AND(W139&lt;&gt;"",W139&gt;='Weekly Report'!$F$4,W139&lt;='Weekly Report'!$F$5),"CHANGED","")))</f>
        <v/>
      </c>
      <c r="Z139" s="87" t="str">
        <f aca="true">IF(B139="","",IF(V139&lt;&gt;"",V139-B139,TODAY()-B139))</f>
        <v/>
      </c>
      <c r="AA139" s="62" t="str">
        <f aca="true">IF(OR(B139="",T139="",U139="False Positive",U139="Risk Accepted"),"",IF(V139&lt;&gt;"",IF(V139&gt;T139,"Closed Late","Met"),IF(TODAY()&gt;T139,"SLA BREACH",IF(T139-TODAY()&lt;=7,"Due ≤7d","Within SLA"))))</f>
        <v/>
      </c>
      <c r="AB139" s="61"/>
      <c r="AC139" s="61"/>
      <c r="AD139" s="60"/>
      <c r="AE139" s="88" t="str">
        <f aca="false">IF(Y139&lt;&gt;"",ROW(),"")</f>
        <v/>
      </c>
      <c r="AF139" s="88" t="str">
        <f aca="false">IF(AND(AND(E139&lt;&gt;"",U139&lt;&gt;"Remediated",U139&lt;&gt;"False Positive",U139&lt;&gt;"Risk Accepted"),T139&lt;&gt;"",T139&lt;='Weekly Report'!$F$7),ROW(),"")</f>
        <v/>
      </c>
      <c r="AG139" s="88" t="str">
        <f aca="false">IF(AND(AND(E139&lt;&gt;"",U139&lt;&gt;"Remediated",U139&lt;&gt;"False Positive",U139&lt;&gt;"Risk Accepted"),LEFT(Q139,6)="Breach"),ROW(),"")</f>
        <v/>
      </c>
    </row>
    <row r="140" customFormat="false" ht="15" hidden="false" customHeight="false" outlineLevel="0" collapsed="false">
      <c r="A140" s="56" t="s">
        <v>2296</v>
      </c>
      <c r="B140" s="63"/>
      <c r="C140" s="61"/>
      <c r="D140" s="61"/>
      <c r="E140" s="60"/>
      <c r="F140" s="61"/>
      <c r="G140" s="61"/>
      <c r="H140" s="61"/>
      <c r="I140" s="61"/>
      <c r="J140" s="60"/>
      <c r="K140" s="61"/>
      <c r="L140" s="61"/>
      <c r="M140" s="61"/>
      <c r="N140" s="60"/>
      <c r="O140" s="60"/>
      <c r="P140" s="60"/>
      <c r="Q140" s="61"/>
      <c r="R140" s="61"/>
      <c r="S140" s="87" t="str">
        <f aca="false">IF(OR(B140="",L140=""),"",INDEX(Lists!$AD$4:$AD$8,MATCH(L140,Lists!$AC$4:$AC$8,0)))</f>
        <v/>
      </c>
      <c r="T140" s="95" t="str">
        <f aca="false">IF(OR(S140="",ISERROR(S140)),"",B140+S140)</f>
        <v/>
      </c>
      <c r="U140" s="61"/>
      <c r="V140" s="63"/>
      <c r="W140" s="63"/>
      <c r="X140" s="60"/>
      <c r="Y140" s="62" t="str">
        <f aca="false">IF(E140="","",IF(AND(B140&lt;&gt;"",B140&gt;='Weekly Report'!$F$4,B140&lt;='Weekly Report'!$F$5),"NEW",IF(AND(W140&lt;&gt;"",W140&gt;='Weekly Report'!$F$4,W140&lt;='Weekly Report'!$F$5),"CHANGED","")))</f>
        <v/>
      </c>
      <c r="Z140" s="87" t="str">
        <f aca="true">IF(B140="","",IF(V140&lt;&gt;"",V140-B140,TODAY()-B140))</f>
        <v/>
      </c>
      <c r="AA140" s="62" t="str">
        <f aca="true">IF(OR(B140="",T140="",U140="False Positive",U140="Risk Accepted"),"",IF(V140&lt;&gt;"",IF(V140&gt;T140,"Closed Late","Met"),IF(TODAY()&gt;T140,"SLA BREACH",IF(T140-TODAY()&lt;=7,"Due ≤7d","Within SLA"))))</f>
        <v/>
      </c>
      <c r="AB140" s="61"/>
      <c r="AC140" s="61"/>
      <c r="AD140" s="60"/>
      <c r="AE140" s="88" t="str">
        <f aca="false">IF(Y140&lt;&gt;"",ROW(),"")</f>
        <v/>
      </c>
      <c r="AF140" s="88" t="str">
        <f aca="false">IF(AND(AND(E140&lt;&gt;"",U140&lt;&gt;"Remediated",U140&lt;&gt;"False Positive",U140&lt;&gt;"Risk Accepted"),T140&lt;&gt;"",T140&lt;='Weekly Report'!$F$7),ROW(),"")</f>
        <v/>
      </c>
      <c r="AG140" s="88" t="str">
        <f aca="false">IF(AND(AND(E140&lt;&gt;"",U140&lt;&gt;"Remediated",U140&lt;&gt;"False Positive",U140&lt;&gt;"Risk Accepted"),LEFT(Q140,6)="Breach"),ROW(),"")</f>
        <v/>
      </c>
    </row>
    <row r="141" customFormat="false" ht="15" hidden="false" customHeight="false" outlineLevel="0" collapsed="false">
      <c r="A141" s="56" t="s">
        <v>2297</v>
      </c>
      <c r="B141" s="63"/>
      <c r="C141" s="61"/>
      <c r="D141" s="61"/>
      <c r="E141" s="60"/>
      <c r="F141" s="61"/>
      <c r="G141" s="61"/>
      <c r="H141" s="61"/>
      <c r="I141" s="61"/>
      <c r="J141" s="60"/>
      <c r="K141" s="61"/>
      <c r="L141" s="61"/>
      <c r="M141" s="61"/>
      <c r="N141" s="60"/>
      <c r="O141" s="60"/>
      <c r="P141" s="60"/>
      <c r="Q141" s="61"/>
      <c r="R141" s="61"/>
      <c r="S141" s="87" t="str">
        <f aca="false">IF(OR(B141="",L141=""),"",INDEX(Lists!$AD$4:$AD$8,MATCH(L141,Lists!$AC$4:$AC$8,0)))</f>
        <v/>
      </c>
      <c r="T141" s="95" t="str">
        <f aca="false">IF(OR(S141="",ISERROR(S141)),"",B141+S141)</f>
        <v/>
      </c>
      <c r="U141" s="61"/>
      <c r="V141" s="63"/>
      <c r="W141" s="63"/>
      <c r="X141" s="60"/>
      <c r="Y141" s="62" t="str">
        <f aca="false">IF(E141="","",IF(AND(B141&lt;&gt;"",B141&gt;='Weekly Report'!$F$4,B141&lt;='Weekly Report'!$F$5),"NEW",IF(AND(W141&lt;&gt;"",W141&gt;='Weekly Report'!$F$4,W141&lt;='Weekly Report'!$F$5),"CHANGED","")))</f>
        <v/>
      </c>
      <c r="Z141" s="87" t="str">
        <f aca="true">IF(B141="","",IF(V141&lt;&gt;"",V141-B141,TODAY()-B141))</f>
        <v/>
      </c>
      <c r="AA141" s="62" t="str">
        <f aca="true">IF(OR(B141="",T141="",U141="False Positive",U141="Risk Accepted"),"",IF(V141&lt;&gt;"",IF(V141&gt;T141,"Closed Late","Met"),IF(TODAY()&gt;T141,"SLA BREACH",IF(T141-TODAY()&lt;=7,"Due ≤7d","Within SLA"))))</f>
        <v/>
      </c>
      <c r="AB141" s="61"/>
      <c r="AC141" s="61"/>
      <c r="AD141" s="60"/>
      <c r="AE141" s="88" t="str">
        <f aca="false">IF(Y141&lt;&gt;"",ROW(),"")</f>
        <v/>
      </c>
      <c r="AF141" s="88" t="str">
        <f aca="false">IF(AND(AND(E141&lt;&gt;"",U141&lt;&gt;"Remediated",U141&lt;&gt;"False Positive",U141&lt;&gt;"Risk Accepted"),T141&lt;&gt;"",T141&lt;='Weekly Report'!$F$7),ROW(),"")</f>
        <v/>
      </c>
      <c r="AG141" s="88" t="str">
        <f aca="false">IF(AND(AND(E141&lt;&gt;"",U141&lt;&gt;"Remediated",U141&lt;&gt;"False Positive",U141&lt;&gt;"Risk Accepted"),LEFT(Q141,6)="Breach"),ROW(),"")</f>
        <v/>
      </c>
    </row>
    <row r="142" customFormat="false" ht="15" hidden="false" customHeight="false" outlineLevel="0" collapsed="false">
      <c r="A142" s="56" t="s">
        <v>2298</v>
      </c>
      <c r="B142" s="63"/>
      <c r="C142" s="61"/>
      <c r="D142" s="61"/>
      <c r="E142" s="60"/>
      <c r="F142" s="61"/>
      <c r="G142" s="61"/>
      <c r="H142" s="61"/>
      <c r="I142" s="61"/>
      <c r="J142" s="60"/>
      <c r="K142" s="61"/>
      <c r="L142" s="61"/>
      <c r="M142" s="61"/>
      <c r="N142" s="60"/>
      <c r="O142" s="60"/>
      <c r="P142" s="60"/>
      <c r="Q142" s="61"/>
      <c r="R142" s="61"/>
      <c r="S142" s="87" t="str">
        <f aca="false">IF(OR(B142="",L142=""),"",INDEX(Lists!$AD$4:$AD$8,MATCH(L142,Lists!$AC$4:$AC$8,0)))</f>
        <v/>
      </c>
      <c r="T142" s="95" t="str">
        <f aca="false">IF(OR(S142="",ISERROR(S142)),"",B142+S142)</f>
        <v/>
      </c>
      <c r="U142" s="61"/>
      <c r="V142" s="63"/>
      <c r="W142" s="63"/>
      <c r="X142" s="60"/>
      <c r="Y142" s="62" t="str">
        <f aca="false">IF(E142="","",IF(AND(B142&lt;&gt;"",B142&gt;='Weekly Report'!$F$4,B142&lt;='Weekly Report'!$F$5),"NEW",IF(AND(W142&lt;&gt;"",W142&gt;='Weekly Report'!$F$4,W142&lt;='Weekly Report'!$F$5),"CHANGED","")))</f>
        <v/>
      </c>
      <c r="Z142" s="87" t="str">
        <f aca="true">IF(B142="","",IF(V142&lt;&gt;"",V142-B142,TODAY()-B142))</f>
        <v/>
      </c>
      <c r="AA142" s="62" t="str">
        <f aca="true">IF(OR(B142="",T142="",U142="False Positive",U142="Risk Accepted"),"",IF(V142&lt;&gt;"",IF(V142&gt;T142,"Closed Late","Met"),IF(TODAY()&gt;T142,"SLA BREACH",IF(T142-TODAY()&lt;=7,"Due ≤7d","Within SLA"))))</f>
        <v/>
      </c>
      <c r="AB142" s="61"/>
      <c r="AC142" s="61"/>
      <c r="AD142" s="60"/>
      <c r="AE142" s="88" t="str">
        <f aca="false">IF(Y142&lt;&gt;"",ROW(),"")</f>
        <v/>
      </c>
      <c r="AF142" s="88" t="str">
        <f aca="false">IF(AND(AND(E142&lt;&gt;"",U142&lt;&gt;"Remediated",U142&lt;&gt;"False Positive",U142&lt;&gt;"Risk Accepted"),T142&lt;&gt;"",T142&lt;='Weekly Report'!$F$7),ROW(),"")</f>
        <v/>
      </c>
      <c r="AG142" s="88" t="str">
        <f aca="false">IF(AND(AND(E142&lt;&gt;"",U142&lt;&gt;"Remediated",U142&lt;&gt;"False Positive",U142&lt;&gt;"Risk Accepted"),LEFT(Q142,6)="Breach"),ROW(),"")</f>
        <v/>
      </c>
    </row>
    <row r="143" customFormat="false" ht="15" hidden="false" customHeight="false" outlineLevel="0" collapsed="false">
      <c r="A143" s="56" t="s">
        <v>2299</v>
      </c>
      <c r="B143" s="63"/>
      <c r="C143" s="61"/>
      <c r="D143" s="61"/>
      <c r="E143" s="60"/>
      <c r="F143" s="61"/>
      <c r="G143" s="61"/>
      <c r="H143" s="61"/>
      <c r="I143" s="61"/>
      <c r="J143" s="60"/>
      <c r="K143" s="61"/>
      <c r="L143" s="61"/>
      <c r="M143" s="61"/>
      <c r="N143" s="60"/>
      <c r="O143" s="60"/>
      <c r="P143" s="60"/>
      <c r="Q143" s="61"/>
      <c r="R143" s="61"/>
      <c r="S143" s="87" t="str">
        <f aca="false">IF(OR(B143="",L143=""),"",INDEX(Lists!$AD$4:$AD$8,MATCH(L143,Lists!$AC$4:$AC$8,0)))</f>
        <v/>
      </c>
      <c r="T143" s="95" t="str">
        <f aca="false">IF(OR(S143="",ISERROR(S143)),"",B143+S143)</f>
        <v/>
      </c>
      <c r="U143" s="61"/>
      <c r="V143" s="63"/>
      <c r="W143" s="63"/>
      <c r="X143" s="60"/>
      <c r="Y143" s="62" t="str">
        <f aca="false">IF(E143="","",IF(AND(B143&lt;&gt;"",B143&gt;='Weekly Report'!$F$4,B143&lt;='Weekly Report'!$F$5),"NEW",IF(AND(W143&lt;&gt;"",W143&gt;='Weekly Report'!$F$4,W143&lt;='Weekly Report'!$F$5),"CHANGED","")))</f>
        <v/>
      </c>
      <c r="Z143" s="87" t="str">
        <f aca="true">IF(B143="","",IF(V143&lt;&gt;"",V143-B143,TODAY()-B143))</f>
        <v/>
      </c>
      <c r="AA143" s="62" t="str">
        <f aca="true">IF(OR(B143="",T143="",U143="False Positive",U143="Risk Accepted"),"",IF(V143&lt;&gt;"",IF(V143&gt;T143,"Closed Late","Met"),IF(TODAY()&gt;T143,"SLA BREACH",IF(T143-TODAY()&lt;=7,"Due ≤7d","Within SLA"))))</f>
        <v/>
      </c>
      <c r="AB143" s="61"/>
      <c r="AC143" s="61"/>
      <c r="AD143" s="60"/>
      <c r="AE143" s="88" t="str">
        <f aca="false">IF(Y143&lt;&gt;"",ROW(),"")</f>
        <v/>
      </c>
      <c r="AF143" s="88" t="str">
        <f aca="false">IF(AND(AND(E143&lt;&gt;"",U143&lt;&gt;"Remediated",U143&lt;&gt;"False Positive",U143&lt;&gt;"Risk Accepted"),T143&lt;&gt;"",T143&lt;='Weekly Report'!$F$7),ROW(),"")</f>
        <v/>
      </c>
      <c r="AG143" s="88" t="str">
        <f aca="false">IF(AND(AND(E143&lt;&gt;"",U143&lt;&gt;"Remediated",U143&lt;&gt;"False Positive",U143&lt;&gt;"Risk Accepted"),LEFT(Q143,6)="Breach"),ROW(),"")</f>
        <v/>
      </c>
    </row>
    <row r="144" customFormat="false" ht="15" hidden="false" customHeight="false" outlineLevel="0" collapsed="false">
      <c r="A144" s="56" t="s">
        <v>2300</v>
      </c>
      <c r="B144" s="63"/>
      <c r="C144" s="61"/>
      <c r="D144" s="61"/>
      <c r="E144" s="60"/>
      <c r="F144" s="61"/>
      <c r="G144" s="61"/>
      <c r="H144" s="61"/>
      <c r="I144" s="61"/>
      <c r="J144" s="60"/>
      <c r="K144" s="61"/>
      <c r="L144" s="61"/>
      <c r="M144" s="61"/>
      <c r="N144" s="60"/>
      <c r="O144" s="60"/>
      <c r="P144" s="60"/>
      <c r="Q144" s="61"/>
      <c r="R144" s="61"/>
      <c r="S144" s="87" t="str">
        <f aca="false">IF(OR(B144="",L144=""),"",INDEX(Lists!$AD$4:$AD$8,MATCH(L144,Lists!$AC$4:$AC$8,0)))</f>
        <v/>
      </c>
      <c r="T144" s="95" t="str">
        <f aca="false">IF(OR(S144="",ISERROR(S144)),"",B144+S144)</f>
        <v/>
      </c>
      <c r="U144" s="61"/>
      <c r="V144" s="63"/>
      <c r="W144" s="63"/>
      <c r="X144" s="60"/>
      <c r="Y144" s="62" t="str">
        <f aca="false">IF(E144="","",IF(AND(B144&lt;&gt;"",B144&gt;='Weekly Report'!$F$4,B144&lt;='Weekly Report'!$F$5),"NEW",IF(AND(W144&lt;&gt;"",W144&gt;='Weekly Report'!$F$4,W144&lt;='Weekly Report'!$F$5),"CHANGED","")))</f>
        <v/>
      </c>
      <c r="Z144" s="87" t="str">
        <f aca="true">IF(B144="","",IF(V144&lt;&gt;"",V144-B144,TODAY()-B144))</f>
        <v/>
      </c>
      <c r="AA144" s="62" t="str">
        <f aca="true">IF(OR(B144="",T144="",U144="False Positive",U144="Risk Accepted"),"",IF(V144&lt;&gt;"",IF(V144&gt;T144,"Closed Late","Met"),IF(TODAY()&gt;T144,"SLA BREACH",IF(T144-TODAY()&lt;=7,"Due ≤7d","Within SLA"))))</f>
        <v/>
      </c>
      <c r="AB144" s="61"/>
      <c r="AC144" s="61"/>
      <c r="AD144" s="60"/>
      <c r="AE144" s="88" t="str">
        <f aca="false">IF(Y144&lt;&gt;"",ROW(),"")</f>
        <v/>
      </c>
      <c r="AF144" s="88" t="str">
        <f aca="false">IF(AND(AND(E144&lt;&gt;"",U144&lt;&gt;"Remediated",U144&lt;&gt;"False Positive",U144&lt;&gt;"Risk Accepted"),T144&lt;&gt;"",T144&lt;='Weekly Report'!$F$7),ROW(),"")</f>
        <v/>
      </c>
      <c r="AG144" s="88" t="str">
        <f aca="false">IF(AND(AND(E144&lt;&gt;"",U144&lt;&gt;"Remediated",U144&lt;&gt;"False Positive",U144&lt;&gt;"Risk Accepted"),LEFT(Q144,6)="Breach"),ROW(),"")</f>
        <v/>
      </c>
    </row>
    <row r="145" customFormat="false" ht="15" hidden="false" customHeight="false" outlineLevel="0" collapsed="false">
      <c r="A145" s="56" t="s">
        <v>2301</v>
      </c>
      <c r="B145" s="63"/>
      <c r="C145" s="61"/>
      <c r="D145" s="61"/>
      <c r="E145" s="60"/>
      <c r="F145" s="61"/>
      <c r="G145" s="61"/>
      <c r="H145" s="61"/>
      <c r="I145" s="61"/>
      <c r="J145" s="60"/>
      <c r="K145" s="61"/>
      <c r="L145" s="61"/>
      <c r="M145" s="61"/>
      <c r="N145" s="60"/>
      <c r="O145" s="60"/>
      <c r="P145" s="60"/>
      <c r="Q145" s="61"/>
      <c r="R145" s="61"/>
      <c r="S145" s="87" t="str">
        <f aca="false">IF(OR(B145="",L145=""),"",INDEX(Lists!$AD$4:$AD$8,MATCH(L145,Lists!$AC$4:$AC$8,0)))</f>
        <v/>
      </c>
      <c r="T145" s="95" t="str">
        <f aca="false">IF(OR(S145="",ISERROR(S145)),"",B145+S145)</f>
        <v/>
      </c>
      <c r="U145" s="61"/>
      <c r="V145" s="63"/>
      <c r="W145" s="63"/>
      <c r="X145" s="60"/>
      <c r="Y145" s="62" t="str">
        <f aca="false">IF(E145="","",IF(AND(B145&lt;&gt;"",B145&gt;='Weekly Report'!$F$4,B145&lt;='Weekly Report'!$F$5),"NEW",IF(AND(W145&lt;&gt;"",W145&gt;='Weekly Report'!$F$4,W145&lt;='Weekly Report'!$F$5),"CHANGED","")))</f>
        <v/>
      </c>
      <c r="Z145" s="87" t="str">
        <f aca="true">IF(B145="","",IF(V145&lt;&gt;"",V145-B145,TODAY()-B145))</f>
        <v/>
      </c>
      <c r="AA145" s="62" t="str">
        <f aca="true">IF(OR(B145="",T145="",U145="False Positive",U145="Risk Accepted"),"",IF(V145&lt;&gt;"",IF(V145&gt;T145,"Closed Late","Met"),IF(TODAY()&gt;T145,"SLA BREACH",IF(T145-TODAY()&lt;=7,"Due ≤7d","Within SLA"))))</f>
        <v/>
      </c>
      <c r="AB145" s="61"/>
      <c r="AC145" s="61"/>
      <c r="AD145" s="60"/>
      <c r="AE145" s="88" t="str">
        <f aca="false">IF(Y145&lt;&gt;"",ROW(),"")</f>
        <v/>
      </c>
      <c r="AF145" s="88" t="str">
        <f aca="false">IF(AND(AND(E145&lt;&gt;"",U145&lt;&gt;"Remediated",U145&lt;&gt;"False Positive",U145&lt;&gt;"Risk Accepted"),T145&lt;&gt;"",T145&lt;='Weekly Report'!$F$7),ROW(),"")</f>
        <v/>
      </c>
      <c r="AG145" s="88" t="str">
        <f aca="false">IF(AND(AND(E145&lt;&gt;"",U145&lt;&gt;"Remediated",U145&lt;&gt;"False Positive",U145&lt;&gt;"Risk Accepted"),LEFT(Q145,6)="Breach"),ROW(),"")</f>
        <v/>
      </c>
    </row>
    <row r="146" customFormat="false" ht="15" hidden="false" customHeight="false" outlineLevel="0" collapsed="false">
      <c r="A146" s="56" t="s">
        <v>2302</v>
      </c>
      <c r="B146" s="63"/>
      <c r="C146" s="61"/>
      <c r="D146" s="61"/>
      <c r="E146" s="60"/>
      <c r="F146" s="61"/>
      <c r="G146" s="61"/>
      <c r="H146" s="61"/>
      <c r="I146" s="61"/>
      <c r="J146" s="60"/>
      <c r="K146" s="61"/>
      <c r="L146" s="61"/>
      <c r="M146" s="61"/>
      <c r="N146" s="60"/>
      <c r="O146" s="60"/>
      <c r="P146" s="60"/>
      <c r="Q146" s="61"/>
      <c r="R146" s="61"/>
      <c r="S146" s="87" t="str">
        <f aca="false">IF(OR(B146="",L146=""),"",INDEX(Lists!$AD$4:$AD$8,MATCH(L146,Lists!$AC$4:$AC$8,0)))</f>
        <v/>
      </c>
      <c r="T146" s="95" t="str">
        <f aca="false">IF(OR(S146="",ISERROR(S146)),"",B146+S146)</f>
        <v/>
      </c>
      <c r="U146" s="61"/>
      <c r="V146" s="63"/>
      <c r="W146" s="63"/>
      <c r="X146" s="60"/>
      <c r="Y146" s="62" t="str">
        <f aca="false">IF(E146="","",IF(AND(B146&lt;&gt;"",B146&gt;='Weekly Report'!$F$4,B146&lt;='Weekly Report'!$F$5),"NEW",IF(AND(W146&lt;&gt;"",W146&gt;='Weekly Report'!$F$4,W146&lt;='Weekly Report'!$F$5),"CHANGED","")))</f>
        <v/>
      </c>
      <c r="Z146" s="87" t="str">
        <f aca="true">IF(B146="","",IF(V146&lt;&gt;"",V146-B146,TODAY()-B146))</f>
        <v/>
      </c>
      <c r="AA146" s="62" t="str">
        <f aca="true">IF(OR(B146="",T146="",U146="False Positive",U146="Risk Accepted"),"",IF(V146&lt;&gt;"",IF(V146&gt;T146,"Closed Late","Met"),IF(TODAY()&gt;T146,"SLA BREACH",IF(T146-TODAY()&lt;=7,"Due ≤7d","Within SLA"))))</f>
        <v/>
      </c>
      <c r="AB146" s="61"/>
      <c r="AC146" s="61"/>
      <c r="AD146" s="60"/>
      <c r="AE146" s="88" t="str">
        <f aca="false">IF(Y146&lt;&gt;"",ROW(),"")</f>
        <v/>
      </c>
      <c r="AF146" s="88" t="str">
        <f aca="false">IF(AND(AND(E146&lt;&gt;"",U146&lt;&gt;"Remediated",U146&lt;&gt;"False Positive",U146&lt;&gt;"Risk Accepted"),T146&lt;&gt;"",T146&lt;='Weekly Report'!$F$7),ROW(),"")</f>
        <v/>
      </c>
      <c r="AG146" s="88" t="str">
        <f aca="false">IF(AND(AND(E146&lt;&gt;"",U146&lt;&gt;"Remediated",U146&lt;&gt;"False Positive",U146&lt;&gt;"Risk Accepted"),LEFT(Q146,6)="Breach"),ROW(),"")</f>
        <v/>
      </c>
    </row>
    <row r="147" customFormat="false" ht="15" hidden="false" customHeight="false" outlineLevel="0" collapsed="false">
      <c r="A147" s="56" t="s">
        <v>2303</v>
      </c>
      <c r="B147" s="63"/>
      <c r="C147" s="61"/>
      <c r="D147" s="61"/>
      <c r="E147" s="60"/>
      <c r="F147" s="61"/>
      <c r="G147" s="61"/>
      <c r="H147" s="61"/>
      <c r="I147" s="61"/>
      <c r="J147" s="60"/>
      <c r="K147" s="61"/>
      <c r="L147" s="61"/>
      <c r="M147" s="61"/>
      <c r="N147" s="60"/>
      <c r="O147" s="60"/>
      <c r="P147" s="60"/>
      <c r="Q147" s="61"/>
      <c r="R147" s="61"/>
      <c r="S147" s="87" t="str">
        <f aca="false">IF(OR(B147="",L147=""),"",INDEX(Lists!$AD$4:$AD$8,MATCH(L147,Lists!$AC$4:$AC$8,0)))</f>
        <v/>
      </c>
      <c r="T147" s="95" t="str">
        <f aca="false">IF(OR(S147="",ISERROR(S147)),"",B147+S147)</f>
        <v/>
      </c>
      <c r="U147" s="61"/>
      <c r="V147" s="63"/>
      <c r="W147" s="63"/>
      <c r="X147" s="60"/>
      <c r="Y147" s="62" t="str">
        <f aca="false">IF(E147="","",IF(AND(B147&lt;&gt;"",B147&gt;='Weekly Report'!$F$4,B147&lt;='Weekly Report'!$F$5),"NEW",IF(AND(W147&lt;&gt;"",W147&gt;='Weekly Report'!$F$4,W147&lt;='Weekly Report'!$F$5),"CHANGED","")))</f>
        <v/>
      </c>
      <c r="Z147" s="87" t="str">
        <f aca="true">IF(B147="","",IF(V147&lt;&gt;"",V147-B147,TODAY()-B147))</f>
        <v/>
      </c>
      <c r="AA147" s="62" t="str">
        <f aca="true">IF(OR(B147="",T147="",U147="False Positive",U147="Risk Accepted"),"",IF(V147&lt;&gt;"",IF(V147&gt;T147,"Closed Late","Met"),IF(TODAY()&gt;T147,"SLA BREACH",IF(T147-TODAY()&lt;=7,"Due ≤7d","Within SLA"))))</f>
        <v/>
      </c>
      <c r="AB147" s="61"/>
      <c r="AC147" s="61"/>
      <c r="AD147" s="60"/>
      <c r="AE147" s="88" t="str">
        <f aca="false">IF(Y147&lt;&gt;"",ROW(),"")</f>
        <v/>
      </c>
      <c r="AF147" s="88" t="str">
        <f aca="false">IF(AND(AND(E147&lt;&gt;"",U147&lt;&gt;"Remediated",U147&lt;&gt;"False Positive",U147&lt;&gt;"Risk Accepted"),T147&lt;&gt;"",T147&lt;='Weekly Report'!$F$7),ROW(),"")</f>
        <v/>
      </c>
      <c r="AG147" s="88" t="str">
        <f aca="false">IF(AND(AND(E147&lt;&gt;"",U147&lt;&gt;"Remediated",U147&lt;&gt;"False Positive",U147&lt;&gt;"Risk Accepted"),LEFT(Q147,6)="Breach"),ROW(),"")</f>
        <v/>
      </c>
    </row>
    <row r="148" customFormat="false" ht="15" hidden="false" customHeight="false" outlineLevel="0" collapsed="false">
      <c r="A148" s="56" t="s">
        <v>2304</v>
      </c>
      <c r="B148" s="63"/>
      <c r="C148" s="61"/>
      <c r="D148" s="61"/>
      <c r="E148" s="60"/>
      <c r="F148" s="61"/>
      <c r="G148" s="61"/>
      <c r="H148" s="61"/>
      <c r="I148" s="61"/>
      <c r="J148" s="60"/>
      <c r="K148" s="61"/>
      <c r="L148" s="61"/>
      <c r="M148" s="61"/>
      <c r="N148" s="60"/>
      <c r="O148" s="60"/>
      <c r="P148" s="60"/>
      <c r="Q148" s="61"/>
      <c r="R148" s="61"/>
      <c r="S148" s="87" t="str">
        <f aca="false">IF(OR(B148="",L148=""),"",INDEX(Lists!$AD$4:$AD$8,MATCH(L148,Lists!$AC$4:$AC$8,0)))</f>
        <v/>
      </c>
      <c r="T148" s="95" t="str">
        <f aca="false">IF(OR(S148="",ISERROR(S148)),"",B148+S148)</f>
        <v/>
      </c>
      <c r="U148" s="61"/>
      <c r="V148" s="63"/>
      <c r="W148" s="63"/>
      <c r="X148" s="60"/>
      <c r="Y148" s="62" t="str">
        <f aca="false">IF(E148="","",IF(AND(B148&lt;&gt;"",B148&gt;='Weekly Report'!$F$4,B148&lt;='Weekly Report'!$F$5),"NEW",IF(AND(W148&lt;&gt;"",W148&gt;='Weekly Report'!$F$4,W148&lt;='Weekly Report'!$F$5),"CHANGED","")))</f>
        <v/>
      </c>
      <c r="Z148" s="87" t="str">
        <f aca="true">IF(B148="","",IF(V148&lt;&gt;"",V148-B148,TODAY()-B148))</f>
        <v/>
      </c>
      <c r="AA148" s="62" t="str">
        <f aca="true">IF(OR(B148="",T148="",U148="False Positive",U148="Risk Accepted"),"",IF(V148&lt;&gt;"",IF(V148&gt;T148,"Closed Late","Met"),IF(TODAY()&gt;T148,"SLA BREACH",IF(T148-TODAY()&lt;=7,"Due ≤7d","Within SLA"))))</f>
        <v/>
      </c>
      <c r="AB148" s="61"/>
      <c r="AC148" s="61"/>
      <c r="AD148" s="60"/>
      <c r="AE148" s="88" t="str">
        <f aca="false">IF(Y148&lt;&gt;"",ROW(),"")</f>
        <v/>
      </c>
      <c r="AF148" s="88" t="str">
        <f aca="false">IF(AND(AND(E148&lt;&gt;"",U148&lt;&gt;"Remediated",U148&lt;&gt;"False Positive",U148&lt;&gt;"Risk Accepted"),T148&lt;&gt;"",T148&lt;='Weekly Report'!$F$7),ROW(),"")</f>
        <v/>
      </c>
      <c r="AG148" s="88" t="str">
        <f aca="false">IF(AND(AND(E148&lt;&gt;"",U148&lt;&gt;"Remediated",U148&lt;&gt;"False Positive",U148&lt;&gt;"Risk Accepted"),LEFT(Q148,6)="Breach"),ROW(),"")</f>
        <v/>
      </c>
    </row>
    <row r="149" customFormat="false" ht="15" hidden="false" customHeight="false" outlineLevel="0" collapsed="false">
      <c r="A149" s="56" t="s">
        <v>2305</v>
      </c>
      <c r="B149" s="63"/>
      <c r="C149" s="61"/>
      <c r="D149" s="61"/>
      <c r="E149" s="60"/>
      <c r="F149" s="61"/>
      <c r="G149" s="61"/>
      <c r="H149" s="61"/>
      <c r="I149" s="61"/>
      <c r="J149" s="60"/>
      <c r="K149" s="61"/>
      <c r="L149" s="61"/>
      <c r="M149" s="61"/>
      <c r="N149" s="60"/>
      <c r="O149" s="60"/>
      <c r="P149" s="60"/>
      <c r="Q149" s="61"/>
      <c r="R149" s="61"/>
      <c r="S149" s="87" t="str">
        <f aca="false">IF(OR(B149="",L149=""),"",INDEX(Lists!$AD$4:$AD$8,MATCH(L149,Lists!$AC$4:$AC$8,0)))</f>
        <v/>
      </c>
      <c r="T149" s="95" t="str">
        <f aca="false">IF(OR(S149="",ISERROR(S149)),"",B149+S149)</f>
        <v/>
      </c>
      <c r="U149" s="61"/>
      <c r="V149" s="63"/>
      <c r="W149" s="63"/>
      <c r="X149" s="60"/>
      <c r="Y149" s="62" t="str">
        <f aca="false">IF(E149="","",IF(AND(B149&lt;&gt;"",B149&gt;='Weekly Report'!$F$4,B149&lt;='Weekly Report'!$F$5),"NEW",IF(AND(W149&lt;&gt;"",W149&gt;='Weekly Report'!$F$4,W149&lt;='Weekly Report'!$F$5),"CHANGED","")))</f>
        <v/>
      </c>
      <c r="Z149" s="87" t="str">
        <f aca="true">IF(B149="","",IF(V149&lt;&gt;"",V149-B149,TODAY()-B149))</f>
        <v/>
      </c>
      <c r="AA149" s="62" t="str">
        <f aca="true">IF(OR(B149="",T149="",U149="False Positive",U149="Risk Accepted"),"",IF(V149&lt;&gt;"",IF(V149&gt;T149,"Closed Late","Met"),IF(TODAY()&gt;T149,"SLA BREACH",IF(T149-TODAY()&lt;=7,"Due ≤7d","Within SLA"))))</f>
        <v/>
      </c>
      <c r="AB149" s="61"/>
      <c r="AC149" s="61"/>
      <c r="AD149" s="60"/>
      <c r="AE149" s="88" t="str">
        <f aca="false">IF(Y149&lt;&gt;"",ROW(),"")</f>
        <v/>
      </c>
      <c r="AF149" s="88" t="str">
        <f aca="false">IF(AND(AND(E149&lt;&gt;"",U149&lt;&gt;"Remediated",U149&lt;&gt;"False Positive",U149&lt;&gt;"Risk Accepted"),T149&lt;&gt;"",T149&lt;='Weekly Report'!$F$7),ROW(),"")</f>
        <v/>
      </c>
      <c r="AG149" s="88" t="str">
        <f aca="false">IF(AND(AND(E149&lt;&gt;"",U149&lt;&gt;"Remediated",U149&lt;&gt;"False Positive",U149&lt;&gt;"Risk Accepted"),LEFT(Q149,6)="Breach"),ROW(),"")</f>
        <v/>
      </c>
    </row>
    <row r="150" customFormat="false" ht="15" hidden="false" customHeight="false" outlineLevel="0" collapsed="false">
      <c r="A150" s="56" t="s">
        <v>2306</v>
      </c>
      <c r="B150" s="63"/>
      <c r="C150" s="61"/>
      <c r="D150" s="61"/>
      <c r="E150" s="60"/>
      <c r="F150" s="61"/>
      <c r="G150" s="61"/>
      <c r="H150" s="61"/>
      <c r="I150" s="61"/>
      <c r="J150" s="60"/>
      <c r="K150" s="61"/>
      <c r="L150" s="61"/>
      <c r="M150" s="61"/>
      <c r="N150" s="60"/>
      <c r="O150" s="60"/>
      <c r="P150" s="60"/>
      <c r="Q150" s="61"/>
      <c r="R150" s="61"/>
      <c r="S150" s="87" t="str">
        <f aca="false">IF(OR(B150="",L150=""),"",INDEX(Lists!$AD$4:$AD$8,MATCH(L150,Lists!$AC$4:$AC$8,0)))</f>
        <v/>
      </c>
      <c r="T150" s="95" t="str">
        <f aca="false">IF(OR(S150="",ISERROR(S150)),"",B150+S150)</f>
        <v/>
      </c>
      <c r="U150" s="61"/>
      <c r="V150" s="63"/>
      <c r="W150" s="63"/>
      <c r="X150" s="60"/>
      <c r="Y150" s="62" t="str">
        <f aca="false">IF(E150="","",IF(AND(B150&lt;&gt;"",B150&gt;='Weekly Report'!$F$4,B150&lt;='Weekly Report'!$F$5),"NEW",IF(AND(W150&lt;&gt;"",W150&gt;='Weekly Report'!$F$4,W150&lt;='Weekly Report'!$F$5),"CHANGED","")))</f>
        <v/>
      </c>
      <c r="Z150" s="87" t="str">
        <f aca="true">IF(B150="","",IF(V150&lt;&gt;"",V150-B150,TODAY()-B150))</f>
        <v/>
      </c>
      <c r="AA150" s="62" t="str">
        <f aca="true">IF(OR(B150="",T150="",U150="False Positive",U150="Risk Accepted"),"",IF(V150&lt;&gt;"",IF(V150&gt;T150,"Closed Late","Met"),IF(TODAY()&gt;T150,"SLA BREACH",IF(T150-TODAY()&lt;=7,"Due ≤7d","Within SLA"))))</f>
        <v/>
      </c>
      <c r="AB150" s="61"/>
      <c r="AC150" s="61"/>
      <c r="AD150" s="60"/>
      <c r="AE150" s="88" t="str">
        <f aca="false">IF(Y150&lt;&gt;"",ROW(),"")</f>
        <v/>
      </c>
      <c r="AF150" s="88" t="str">
        <f aca="false">IF(AND(AND(E150&lt;&gt;"",U150&lt;&gt;"Remediated",U150&lt;&gt;"False Positive",U150&lt;&gt;"Risk Accepted"),T150&lt;&gt;"",T150&lt;='Weekly Report'!$F$7),ROW(),"")</f>
        <v/>
      </c>
      <c r="AG150" s="88" t="str">
        <f aca="false">IF(AND(AND(E150&lt;&gt;"",U150&lt;&gt;"Remediated",U150&lt;&gt;"False Positive",U150&lt;&gt;"Risk Accepted"),LEFT(Q150,6)="Breach"),ROW(),"")</f>
        <v/>
      </c>
    </row>
    <row r="151" customFormat="false" ht="15" hidden="false" customHeight="false" outlineLevel="0" collapsed="false">
      <c r="A151" s="56" t="s">
        <v>2307</v>
      </c>
      <c r="B151" s="63"/>
      <c r="C151" s="61"/>
      <c r="D151" s="61"/>
      <c r="E151" s="60"/>
      <c r="F151" s="61"/>
      <c r="G151" s="61"/>
      <c r="H151" s="61"/>
      <c r="I151" s="61"/>
      <c r="J151" s="60"/>
      <c r="K151" s="61"/>
      <c r="L151" s="61"/>
      <c r="M151" s="61"/>
      <c r="N151" s="60"/>
      <c r="O151" s="60"/>
      <c r="P151" s="60"/>
      <c r="Q151" s="61"/>
      <c r="R151" s="61"/>
      <c r="S151" s="87" t="str">
        <f aca="false">IF(OR(B151="",L151=""),"",INDEX(Lists!$AD$4:$AD$8,MATCH(L151,Lists!$AC$4:$AC$8,0)))</f>
        <v/>
      </c>
      <c r="T151" s="95" t="str">
        <f aca="false">IF(OR(S151="",ISERROR(S151)),"",B151+S151)</f>
        <v/>
      </c>
      <c r="U151" s="61"/>
      <c r="V151" s="63"/>
      <c r="W151" s="63"/>
      <c r="X151" s="60"/>
      <c r="Y151" s="62" t="str">
        <f aca="false">IF(E151="","",IF(AND(B151&lt;&gt;"",B151&gt;='Weekly Report'!$F$4,B151&lt;='Weekly Report'!$F$5),"NEW",IF(AND(W151&lt;&gt;"",W151&gt;='Weekly Report'!$F$4,W151&lt;='Weekly Report'!$F$5),"CHANGED","")))</f>
        <v/>
      </c>
      <c r="Z151" s="87" t="str">
        <f aca="true">IF(B151="","",IF(V151&lt;&gt;"",V151-B151,TODAY()-B151))</f>
        <v/>
      </c>
      <c r="AA151" s="62" t="str">
        <f aca="true">IF(OR(B151="",T151="",U151="False Positive",U151="Risk Accepted"),"",IF(V151&lt;&gt;"",IF(V151&gt;T151,"Closed Late","Met"),IF(TODAY()&gt;T151,"SLA BREACH",IF(T151-TODAY()&lt;=7,"Due ≤7d","Within SLA"))))</f>
        <v/>
      </c>
      <c r="AB151" s="61"/>
      <c r="AC151" s="61"/>
      <c r="AD151" s="60"/>
      <c r="AE151" s="88" t="str">
        <f aca="false">IF(Y151&lt;&gt;"",ROW(),"")</f>
        <v/>
      </c>
      <c r="AF151" s="88" t="str">
        <f aca="false">IF(AND(AND(E151&lt;&gt;"",U151&lt;&gt;"Remediated",U151&lt;&gt;"False Positive",U151&lt;&gt;"Risk Accepted"),T151&lt;&gt;"",T151&lt;='Weekly Report'!$F$7),ROW(),"")</f>
        <v/>
      </c>
      <c r="AG151" s="88" t="str">
        <f aca="false">IF(AND(AND(E151&lt;&gt;"",U151&lt;&gt;"Remediated",U151&lt;&gt;"False Positive",U151&lt;&gt;"Risk Accepted"),LEFT(Q151,6)="Breach"),ROW(),"")</f>
        <v/>
      </c>
    </row>
    <row r="152" customFormat="false" ht="15" hidden="false" customHeight="false" outlineLevel="0" collapsed="false">
      <c r="A152" s="56" t="s">
        <v>2308</v>
      </c>
      <c r="B152" s="63"/>
      <c r="C152" s="61"/>
      <c r="D152" s="61"/>
      <c r="E152" s="60"/>
      <c r="F152" s="61"/>
      <c r="G152" s="61"/>
      <c r="H152" s="61"/>
      <c r="I152" s="61"/>
      <c r="J152" s="60"/>
      <c r="K152" s="61"/>
      <c r="L152" s="61"/>
      <c r="M152" s="61"/>
      <c r="N152" s="60"/>
      <c r="O152" s="60"/>
      <c r="P152" s="60"/>
      <c r="Q152" s="61"/>
      <c r="R152" s="61"/>
      <c r="S152" s="87" t="str">
        <f aca="false">IF(OR(B152="",L152=""),"",INDEX(Lists!$AD$4:$AD$8,MATCH(L152,Lists!$AC$4:$AC$8,0)))</f>
        <v/>
      </c>
      <c r="T152" s="95" t="str">
        <f aca="false">IF(OR(S152="",ISERROR(S152)),"",B152+S152)</f>
        <v/>
      </c>
      <c r="U152" s="61"/>
      <c r="V152" s="63"/>
      <c r="W152" s="63"/>
      <c r="X152" s="60"/>
      <c r="Y152" s="62" t="str">
        <f aca="false">IF(E152="","",IF(AND(B152&lt;&gt;"",B152&gt;='Weekly Report'!$F$4,B152&lt;='Weekly Report'!$F$5),"NEW",IF(AND(W152&lt;&gt;"",W152&gt;='Weekly Report'!$F$4,W152&lt;='Weekly Report'!$F$5),"CHANGED","")))</f>
        <v/>
      </c>
      <c r="Z152" s="87" t="str">
        <f aca="true">IF(B152="","",IF(V152&lt;&gt;"",V152-B152,TODAY()-B152))</f>
        <v/>
      </c>
      <c r="AA152" s="62" t="str">
        <f aca="true">IF(OR(B152="",T152="",U152="False Positive",U152="Risk Accepted"),"",IF(V152&lt;&gt;"",IF(V152&gt;T152,"Closed Late","Met"),IF(TODAY()&gt;T152,"SLA BREACH",IF(T152-TODAY()&lt;=7,"Due ≤7d","Within SLA"))))</f>
        <v/>
      </c>
      <c r="AB152" s="61"/>
      <c r="AC152" s="61"/>
      <c r="AD152" s="60"/>
      <c r="AE152" s="88" t="str">
        <f aca="false">IF(Y152&lt;&gt;"",ROW(),"")</f>
        <v/>
      </c>
      <c r="AF152" s="88" t="str">
        <f aca="false">IF(AND(AND(E152&lt;&gt;"",U152&lt;&gt;"Remediated",U152&lt;&gt;"False Positive",U152&lt;&gt;"Risk Accepted"),T152&lt;&gt;"",T152&lt;='Weekly Report'!$F$7),ROW(),"")</f>
        <v/>
      </c>
      <c r="AG152" s="88" t="str">
        <f aca="false">IF(AND(AND(E152&lt;&gt;"",U152&lt;&gt;"Remediated",U152&lt;&gt;"False Positive",U152&lt;&gt;"Risk Accepted"),LEFT(Q152,6)="Breach"),ROW(),"")</f>
        <v/>
      </c>
    </row>
    <row r="153" customFormat="false" ht="15" hidden="false" customHeight="false" outlineLevel="0" collapsed="false">
      <c r="A153" s="56" t="s">
        <v>2309</v>
      </c>
      <c r="B153" s="63"/>
      <c r="C153" s="61"/>
      <c r="D153" s="61"/>
      <c r="E153" s="60"/>
      <c r="F153" s="61"/>
      <c r="G153" s="61"/>
      <c r="H153" s="61"/>
      <c r="I153" s="61"/>
      <c r="J153" s="60"/>
      <c r="K153" s="61"/>
      <c r="L153" s="61"/>
      <c r="M153" s="61"/>
      <c r="N153" s="60"/>
      <c r="O153" s="60"/>
      <c r="P153" s="60"/>
      <c r="Q153" s="61"/>
      <c r="R153" s="61"/>
      <c r="S153" s="87" t="str">
        <f aca="false">IF(OR(B153="",L153=""),"",INDEX(Lists!$AD$4:$AD$8,MATCH(L153,Lists!$AC$4:$AC$8,0)))</f>
        <v/>
      </c>
      <c r="T153" s="95" t="str">
        <f aca="false">IF(OR(S153="",ISERROR(S153)),"",B153+S153)</f>
        <v/>
      </c>
      <c r="U153" s="61"/>
      <c r="V153" s="63"/>
      <c r="W153" s="63"/>
      <c r="X153" s="60"/>
      <c r="Y153" s="62" t="str">
        <f aca="false">IF(E153="","",IF(AND(B153&lt;&gt;"",B153&gt;='Weekly Report'!$F$4,B153&lt;='Weekly Report'!$F$5),"NEW",IF(AND(W153&lt;&gt;"",W153&gt;='Weekly Report'!$F$4,W153&lt;='Weekly Report'!$F$5),"CHANGED","")))</f>
        <v/>
      </c>
      <c r="Z153" s="87" t="str">
        <f aca="true">IF(B153="","",IF(V153&lt;&gt;"",V153-B153,TODAY()-B153))</f>
        <v/>
      </c>
      <c r="AA153" s="62" t="str">
        <f aca="true">IF(OR(B153="",T153="",U153="False Positive",U153="Risk Accepted"),"",IF(V153&lt;&gt;"",IF(V153&gt;T153,"Closed Late","Met"),IF(TODAY()&gt;T153,"SLA BREACH",IF(T153-TODAY()&lt;=7,"Due ≤7d","Within SLA"))))</f>
        <v/>
      </c>
      <c r="AB153" s="61"/>
      <c r="AC153" s="61"/>
      <c r="AD153" s="60"/>
      <c r="AE153" s="88" t="str">
        <f aca="false">IF(Y153&lt;&gt;"",ROW(),"")</f>
        <v/>
      </c>
      <c r="AF153" s="88" t="str">
        <f aca="false">IF(AND(AND(E153&lt;&gt;"",U153&lt;&gt;"Remediated",U153&lt;&gt;"False Positive",U153&lt;&gt;"Risk Accepted"),T153&lt;&gt;"",T153&lt;='Weekly Report'!$F$7),ROW(),"")</f>
        <v/>
      </c>
      <c r="AG153" s="88" t="str">
        <f aca="false">IF(AND(AND(E153&lt;&gt;"",U153&lt;&gt;"Remediated",U153&lt;&gt;"False Positive",U153&lt;&gt;"Risk Accepted"),LEFT(Q153,6)="Breach"),ROW(),"")</f>
        <v/>
      </c>
    </row>
    <row r="154" customFormat="false" ht="15" hidden="false" customHeight="false" outlineLevel="0" collapsed="false">
      <c r="A154" s="56" t="s">
        <v>2310</v>
      </c>
      <c r="B154" s="63"/>
      <c r="C154" s="61"/>
      <c r="D154" s="61"/>
      <c r="E154" s="60"/>
      <c r="F154" s="61"/>
      <c r="G154" s="61"/>
      <c r="H154" s="61"/>
      <c r="I154" s="61"/>
      <c r="J154" s="60"/>
      <c r="K154" s="61"/>
      <c r="L154" s="61"/>
      <c r="M154" s="61"/>
      <c r="N154" s="60"/>
      <c r="O154" s="60"/>
      <c r="P154" s="60"/>
      <c r="Q154" s="61"/>
      <c r="R154" s="61"/>
      <c r="S154" s="87" t="str">
        <f aca="false">IF(OR(B154="",L154=""),"",INDEX(Lists!$AD$4:$AD$8,MATCH(L154,Lists!$AC$4:$AC$8,0)))</f>
        <v/>
      </c>
      <c r="T154" s="95" t="str">
        <f aca="false">IF(OR(S154="",ISERROR(S154)),"",B154+S154)</f>
        <v/>
      </c>
      <c r="U154" s="61"/>
      <c r="V154" s="63"/>
      <c r="W154" s="63"/>
      <c r="X154" s="60"/>
      <c r="Y154" s="62" t="str">
        <f aca="false">IF(E154="","",IF(AND(B154&lt;&gt;"",B154&gt;='Weekly Report'!$F$4,B154&lt;='Weekly Report'!$F$5),"NEW",IF(AND(W154&lt;&gt;"",W154&gt;='Weekly Report'!$F$4,W154&lt;='Weekly Report'!$F$5),"CHANGED","")))</f>
        <v/>
      </c>
      <c r="Z154" s="87" t="str">
        <f aca="true">IF(B154="","",IF(V154&lt;&gt;"",V154-B154,TODAY()-B154))</f>
        <v/>
      </c>
      <c r="AA154" s="62" t="str">
        <f aca="true">IF(OR(B154="",T154="",U154="False Positive",U154="Risk Accepted"),"",IF(V154&lt;&gt;"",IF(V154&gt;T154,"Closed Late","Met"),IF(TODAY()&gt;T154,"SLA BREACH",IF(T154-TODAY()&lt;=7,"Due ≤7d","Within SLA"))))</f>
        <v/>
      </c>
      <c r="AB154" s="61"/>
      <c r="AC154" s="61"/>
      <c r="AD154" s="60"/>
      <c r="AE154" s="88" t="str">
        <f aca="false">IF(Y154&lt;&gt;"",ROW(),"")</f>
        <v/>
      </c>
      <c r="AF154" s="88" t="str">
        <f aca="false">IF(AND(AND(E154&lt;&gt;"",U154&lt;&gt;"Remediated",U154&lt;&gt;"False Positive",U154&lt;&gt;"Risk Accepted"),T154&lt;&gt;"",T154&lt;='Weekly Report'!$F$7),ROW(),"")</f>
        <v/>
      </c>
      <c r="AG154" s="88" t="str">
        <f aca="false">IF(AND(AND(E154&lt;&gt;"",U154&lt;&gt;"Remediated",U154&lt;&gt;"False Positive",U154&lt;&gt;"Risk Accepted"),LEFT(Q154,6)="Breach"),ROW(),"")</f>
        <v/>
      </c>
    </row>
    <row r="155" customFormat="false" ht="15" hidden="false" customHeight="false" outlineLevel="0" collapsed="false">
      <c r="A155" s="56" t="s">
        <v>2311</v>
      </c>
      <c r="B155" s="63"/>
      <c r="C155" s="61"/>
      <c r="D155" s="61"/>
      <c r="E155" s="60"/>
      <c r="F155" s="61"/>
      <c r="G155" s="61"/>
      <c r="H155" s="61"/>
      <c r="I155" s="61"/>
      <c r="J155" s="60"/>
      <c r="K155" s="61"/>
      <c r="L155" s="61"/>
      <c r="M155" s="61"/>
      <c r="N155" s="60"/>
      <c r="O155" s="60"/>
      <c r="P155" s="60"/>
      <c r="Q155" s="61"/>
      <c r="R155" s="61"/>
      <c r="S155" s="87" t="str">
        <f aca="false">IF(OR(B155="",L155=""),"",INDEX(Lists!$AD$4:$AD$8,MATCH(L155,Lists!$AC$4:$AC$8,0)))</f>
        <v/>
      </c>
      <c r="T155" s="95" t="str">
        <f aca="false">IF(OR(S155="",ISERROR(S155)),"",B155+S155)</f>
        <v/>
      </c>
      <c r="U155" s="61"/>
      <c r="V155" s="63"/>
      <c r="W155" s="63"/>
      <c r="X155" s="60"/>
      <c r="Y155" s="62" t="str">
        <f aca="false">IF(E155="","",IF(AND(B155&lt;&gt;"",B155&gt;='Weekly Report'!$F$4,B155&lt;='Weekly Report'!$F$5),"NEW",IF(AND(W155&lt;&gt;"",W155&gt;='Weekly Report'!$F$4,W155&lt;='Weekly Report'!$F$5),"CHANGED","")))</f>
        <v/>
      </c>
      <c r="Z155" s="87" t="str">
        <f aca="true">IF(B155="","",IF(V155&lt;&gt;"",V155-B155,TODAY()-B155))</f>
        <v/>
      </c>
      <c r="AA155" s="62" t="str">
        <f aca="true">IF(OR(B155="",T155="",U155="False Positive",U155="Risk Accepted"),"",IF(V155&lt;&gt;"",IF(V155&gt;T155,"Closed Late","Met"),IF(TODAY()&gt;T155,"SLA BREACH",IF(T155-TODAY()&lt;=7,"Due ≤7d","Within SLA"))))</f>
        <v/>
      </c>
      <c r="AB155" s="61"/>
      <c r="AC155" s="61"/>
      <c r="AD155" s="60"/>
      <c r="AE155" s="88" t="str">
        <f aca="false">IF(Y155&lt;&gt;"",ROW(),"")</f>
        <v/>
      </c>
      <c r="AF155" s="88" t="str">
        <f aca="false">IF(AND(AND(E155&lt;&gt;"",U155&lt;&gt;"Remediated",U155&lt;&gt;"False Positive",U155&lt;&gt;"Risk Accepted"),T155&lt;&gt;"",T155&lt;='Weekly Report'!$F$7),ROW(),"")</f>
        <v/>
      </c>
      <c r="AG155" s="88" t="str">
        <f aca="false">IF(AND(AND(E155&lt;&gt;"",U155&lt;&gt;"Remediated",U155&lt;&gt;"False Positive",U155&lt;&gt;"Risk Accepted"),LEFT(Q155,6)="Breach"),ROW(),"")</f>
        <v/>
      </c>
    </row>
    <row r="156" customFormat="false" ht="15" hidden="false" customHeight="false" outlineLevel="0" collapsed="false">
      <c r="A156" s="56" t="s">
        <v>2312</v>
      </c>
      <c r="B156" s="63"/>
      <c r="C156" s="61"/>
      <c r="D156" s="61"/>
      <c r="E156" s="60"/>
      <c r="F156" s="61"/>
      <c r="G156" s="61"/>
      <c r="H156" s="61"/>
      <c r="I156" s="61"/>
      <c r="J156" s="60"/>
      <c r="K156" s="61"/>
      <c r="L156" s="61"/>
      <c r="M156" s="61"/>
      <c r="N156" s="60"/>
      <c r="O156" s="60"/>
      <c r="P156" s="60"/>
      <c r="Q156" s="61"/>
      <c r="R156" s="61"/>
      <c r="S156" s="87" t="str">
        <f aca="false">IF(OR(B156="",L156=""),"",INDEX(Lists!$AD$4:$AD$8,MATCH(L156,Lists!$AC$4:$AC$8,0)))</f>
        <v/>
      </c>
      <c r="T156" s="95" t="str">
        <f aca="false">IF(OR(S156="",ISERROR(S156)),"",B156+S156)</f>
        <v/>
      </c>
      <c r="U156" s="61"/>
      <c r="V156" s="63"/>
      <c r="W156" s="63"/>
      <c r="X156" s="60"/>
      <c r="Y156" s="62" t="str">
        <f aca="false">IF(E156="","",IF(AND(B156&lt;&gt;"",B156&gt;='Weekly Report'!$F$4,B156&lt;='Weekly Report'!$F$5),"NEW",IF(AND(W156&lt;&gt;"",W156&gt;='Weekly Report'!$F$4,W156&lt;='Weekly Report'!$F$5),"CHANGED","")))</f>
        <v/>
      </c>
      <c r="Z156" s="87" t="str">
        <f aca="true">IF(B156="","",IF(V156&lt;&gt;"",V156-B156,TODAY()-B156))</f>
        <v/>
      </c>
      <c r="AA156" s="62" t="str">
        <f aca="true">IF(OR(B156="",T156="",U156="False Positive",U156="Risk Accepted"),"",IF(V156&lt;&gt;"",IF(V156&gt;T156,"Closed Late","Met"),IF(TODAY()&gt;T156,"SLA BREACH",IF(T156-TODAY()&lt;=7,"Due ≤7d","Within SLA"))))</f>
        <v/>
      </c>
      <c r="AB156" s="61"/>
      <c r="AC156" s="61"/>
      <c r="AD156" s="60"/>
      <c r="AE156" s="88" t="str">
        <f aca="false">IF(Y156&lt;&gt;"",ROW(),"")</f>
        <v/>
      </c>
      <c r="AF156" s="88" t="str">
        <f aca="false">IF(AND(AND(E156&lt;&gt;"",U156&lt;&gt;"Remediated",U156&lt;&gt;"False Positive",U156&lt;&gt;"Risk Accepted"),T156&lt;&gt;"",T156&lt;='Weekly Report'!$F$7),ROW(),"")</f>
        <v/>
      </c>
      <c r="AG156" s="88" t="str">
        <f aca="false">IF(AND(AND(E156&lt;&gt;"",U156&lt;&gt;"Remediated",U156&lt;&gt;"False Positive",U156&lt;&gt;"Risk Accepted"),LEFT(Q156,6)="Breach"),ROW(),"")</f>
        <v/>
      </c>
    </row>
    <row r="157" customFormat="false" ht="15" hidden="false" customHeight="false" outlineLevel="0" collapsed="false">
      <c r="A157" s="56" t="s">
        <v>2313</v>
      </c>
      <c r="B157" s="63"/>
      <c r="C157" s="61"/>
      <c r="D157" s="61"/>
      <c r="E157" s="60"/>
      <c r="F157" s="61"/>
      <c r="G157" s="61"/>
      <c r="H157" s="61"/>
      <c r="I157" s="61"/>
      <c r="J157" s="60"/>
      <c r="K157" s="61"/>
      <c r="L157" s="61"/>
      <c r="M157" s="61"/>
      <c r="N157" s="60"/>
      <c r="O157" s="60"/>
      <c r="P157" s="60"/>
      <c r="Q157" s="61"/>
      <c r="R157" s="61"/>
      <c r="S157" s="87" t="str">
        <f aca="false">IF(OR(B157="",L157=""),"",INDEX(Lists!$AD$4:$AD$8,MATCH(L157,Lists!$AC$4:$AC$8,0)))</f>
        <v/>
      </c>
      <c r="T157" s="95" t="str">
        <f aca="false">IF(OR(S157="",ISERROR(S157)),"",B157+S157)</f>
        <v/>
      </c>
      <c r="U157" s="61"/>
      <c r="V157" s="63"/>
      <c r="W157" s="63"/>
      <c r="X157" s="60"/>
      <c r="Y157" s="62" t="str">
        <f aca="false">IF(E157="","",IF(AND(B157&lt;&gt;"",B157&gt;='Weekly Report'!$F$4,B157&lt;='Weekly Report'!$F$5),"NEW",IF(AND(W157&lt;&gt;"",W157&gt;='Weekly Report'!$F$4,W157&lt;='Weekly Report'!$F$5),"CHANGED","")))</f>
        <v/>
      </c>
      <c r="Z157" s="87" t="str">
        <f aca="true">IF(B157="","",IF(V157&lt;&gt;"",V157-B157,TODAY()-B157))</f>
        <v/>
      </c>
      <c r="AA157" s="62" t="str">
        <f aca="true">IF(OR(B157="",T157="",U157="False Positive",U157="Risk Accepted"),"",IF(V157&lt;&gt;"",IF(V157&gt;T157,"Closed Late","Met"),IF(TODAY()&gt;T157,"SLA BREACH",IF(T157-TODAY()&lt;=7,"Due ≤7d","Within SLA"))))</f>
        <v/>
      </c>
      <c r="AB157" s="61"/>
      <c r="AC157" s="61"/>
      <c r="AD157" s="60"/>
      <c r="AE157" s="88" t="str">
        <f aca="false">IF(Y157&lt;&gt;"",ROW(),"")</f>
        <v/>
      </c>
      <c r="AF157" s="88" t="str">
        <f aca="false">IF(AND(AND(E157&lt;&gt;"",U157&lt;&gt;"Remediated",U157&lt;&gt;"False Positive",U157&lt;&gt;"Risk Accepted"),T157&lt;&gt;"",T157&lt;='Weekly Report'!$F$7),ROW(),"")</f>
        <v/>
      </c>
      <c r="AG157" s="88" t="str">
        <f aca="false">IF(AND(AND(E157&lt;&gt;"",U157&lt;&gt;"Remediated",U157&lt;&gt;"False Positive",U157&lt;&gt;"Risk Accepted"),LEFT(Q157,6)="Breach"),ROW(),"")</f>
        <v/>
      </c>
    </row>
    <row r="158" customFormat="false" ht="15" hidden="false" customHeight="false" outlineLevel="0" collapsed="false">
      <c r="A158" s="56" t="s">
        <v>2314</v>
      </c>
      <c r="B158" s="63"/>
      <c r="C158" s="61"/>
      <c r="D158" s="61"/>
      <c r="E158" s="60"/>
      <c r="F158" s="61"/>
      <c r="G158" s="61"/>
      <c r="H158" s="61"/>
      <c r="I158" s="61"/>
      <c r="J158" s="60"/>
      <c r="K158" s="61"/>
      <c r="L158" s="61"/>
      <c r="M158" s="61"/>
      <c r="N158" s="60"/>
      <c r="O158" s="60"/>
      <c r="P158" s="60"/>
      <c r="Q158" s="61"/>
      <c r="R158" s="61"/>
      <c r="S158" s="87" t="str">
        <f aca="false">IF(OR(B158="",L158=""),"",INDEX(Lists!$AD$4:$AD$8,MATCH(L158,Lists!$AC$4:$AC$8,0)))</f>
        <v/>
      </c>
      <c r="T158" s="95" t="str">
        <f aca="false">IF(OR(S158="",ISERROR(S158)),"",B158+S158)</f>
        <v/>
      </c>
      <c r="U158" s="61"/>
      <c r="V158" s="63"/>
      <c r="W158" s="63"/>
      <c r="X158" s="60"/>
      <c r="Y158" s="62" t="str">
        <f aca="false">IF(E158="","",IF(AND(B158&lt;&gt;"",B158&gt;='Weekly Report'!$F$4,B158&lt;='Weekly Report'!$F$5),"NEW",IF(AND(W158&lt;&gt;"",W158&gt;='Weekly Report'!$F$4,W158&lt;='Weekly Report'!$F$5),"CHANGED","")))</f>
        <v/>
      </c>
      <c r="Z158" s="87" t="str">
        <f aca="true">IF(B158="","",IF(V158&lt;&gt;"",V158-B158,TODAY()-B158))</f>
        <v/>
      </c>
      <c r="AA158" s="62" t="str">
        <f aca="true">IF(OR(B158="",T158="",U158="False Positive",U158="Risk Accepted"),"",IF(V158&lt;&gt;"",IF(V158&gt;T158,"Closed Late","Met"),IF(TODAY()&gt;T158,"SLA BREACH",IF(T158-TODAY()&lt;=7,"Due ≤7d","Within SLA"))))</f>
        <v/>
      </c>
      <c r="AB158" s="61"/>
      <c r="AC158" s="61"/>
      <c r="AD158" s="60"/>
      <c r="AE158" s="88" t="str">
        <f aca="false">IF(Y158&lt;&gt;"",ROW(),"")</f>
        <v/>
      </c>
      <c r="AF158" s="88" t="str">
        <f aca="false">IF(AND(AND(E158&lt;&gt;"",U158&lt;&gt;"Remediated",U158&lt;&gt;"False Positive",U158&lt;&gt;"Risk Accepted"),T158&lt;&gt;"",T158&lt;='Weekly Report'!$F$7),ROW(),"")</f>
        <v/>
      </c>
      <c r="AG158" s="88" t="str">
        <f aca="false">IF(AND(AND(E158&lt;&gt;"",U158&lt;&gt;"Remediated",U158&lt;&gt;"False Positive",U158&lt;&gt;"Risk Accepted"),LEFT(Q158,6)="Breach"),ROW(),"")</f>
        <v/>
      </c>
    </row>
    <row r="159" customFormat="false" ht="15" hidden="false" customHeight="false" outlineLevel="0" collapsed="false">
      <c r="A159" s="56" t="s">
        <v>2315</v>
      </c>
      <c r="B159" s="63"/>
      <c r="C159" s="61"/>
      <c r="D159" s="61"/>
      <c r="E159" s="60"/>
      <c r="F159" s="61"/>
      <c r="G159" s="61"/>
      <c r="H159" s="61"/>
      <c r="I159" s="61"/>
      <c r="J159" s="60"/>
      <c r="K159" s="61"/>
      <c r="L159" s="61"/>
      <c r="M159" s="61"/>
      <c r="N159" s="60"/>
      <c r="O159" s="60"/>
      <c r="P159" s="60"/>
      <c r="Q159" s="61"/>
      <c r="R159" s="61"/>
      <c r="S159" s="87" t="str">
        <f aca="false">IF(OR(B159="",L159=""),"",INDEX(Lists!$AD$4:$AD$8,MATCH(L159,Lists!$AC$4:$AC$8,0)))</f>
        <v/>
      </c>
      <c r="T159" s="95" t="str">
        <f aca="false">IF(OR(S159="",ISERROR(S159)),"",B159+S159)</f>
        <v/>
      </c>
      <c r="U159" s="61"/>
      <c r="V159" s="63"/>
      <c r="W159" s="63"/>
      <c r="X159" s="60"/>
      <c r="Y159" s="62" t="str">
        <f aca="false">IF(E159="","",IF(AND(B159&lt;&gt;"",B159&gt;='Weekly Report'!$F$4,B159&lt;='Weekly Report'!$F$5),"NEW",IF(AND(W159&lt;&gt;"",W159&gt;='Weekly Report'!$F$4,W159&lt;='Weekly Report'!$F$5),"CHANGED","")))</f>
        <v/>
      </c>
      <c r="Z159" s="87" t="str">
        <f aca="true">IF(B159="","",IF(V159&lt;&gt;"",V159-B159,TODAY()-B159))</f>
        <v/>
      </c>
      <c r="AA159" s="62" t="str">
        <f aca="true">IF(OR(B159="",T159="",U159="False Positive",U159="Risk Accepted"),"",IF(V159&lt;&gt;"",IF(V159&gt;T159,"Closed Late","Met"),IF(TODAY()&gt;T159,"SLA BREACH",IF(T159-TODAY()&lt;=7,"Due ≤7d","Within SLA"))))</f>
        <v/>
      </c>
      <c r="AB159" s="61"/>
      <c r="AC159" s="61"/>
      <c r="AD159" s="60"/>
      <c r="AE159" s="88" t="str">
        <f aca="false">IF(Y159&lt;&gt;"",ROW(),"")</f>
        <v/>
      </c>
      <c r="AF159" s="88" t="str">
        <f aca="false">IF(AND(AND(E159&lt;&gt;"",U159&lt;&gt;"Remediated",U159&lt;&gt;"False Positive",U159&lt;&gt;"Risk Accepted"),T159&lt;&gt;"",T159&lt;='Weekly Report'!$F$7),ROW(),"")</f>
        <v/>
      </c>
      <c r="AG159" s="88" t="str">
        <f aca="false">IF(AND(AND(E159&lt;&gt;"",U159&lt;&gt;"Remediated",U159&lt;&gt;"False Positive",U159&lt;&gt;"Risk Accepted"),LEFT(Q159,6)="Breach"),ROW(),"")</f>
        <v/>
      </c>
    </row>
    <row r="160" customFormat="false" ht="15" hidden="false" customHeight="false" outlineLevel="0" collapsed="false">
      <c r="A160" s="56" t="s">
        <v>2316</v>
      </c>
      <c r="B160" s="63"/>
      <c r="C160" s="61"/>
      <c r="D160" s="61"/>
      <c r="E160" s="60"/>
      <c r="F160" s="61"/>
      <c r="G160" s="61"/>
      <c r="H160" s="61"/>
      <c r="I160" s="61"/>
      <c r="J160" s="60"/>
      <c r="K160" s="61"/>
      <c r="L160" s="61"/>
      <c r="M160" s="61"/>
      <c r="N160" s="60"/>
      <c r="O160" s="60"/>
      <c r="P160" s="60"/>
      <c r="Q160" s="61"/>
      <c r="R160" s="61"/>
      <c r="S160" s="87" t="str">
        <f aca="false">IF(OR(B160="",L160=""),"",INDEX(Lists!$AD$4:$AD$8,MATCH(L160,Lists!$AC$4:$AC$8,0)))</f>
        <v/>
      </c>
      <c r="T160" s="95" t="str">
        <f aca="false">IF(OR(S160="",ISERROR(S160)),"",B160+S160)</f>
        <v/>
      </c>
      <c r="U160" s="61"/>
      <c r="V160" s="63"/>
      <c r="W160" s="63"/>
      <c r="X160" s="60"/>
      <c r="Y160" s="62" t="str">
        <f aca="false">IF(E160="","",IF(AND(B160&lt;&gt;"",B160&gt;='Weekly Report'!$F$4,B160&lt;='Weekly Report'!$F$5),"NEW",IF(AND(W160&lt;&gt;"",W160&gt;='Weekly Report'!$F$4,W160&lt;='Weekly Report'!$F$5),"CHANGED","")))</f>
        <v/>
      </c>
      <c r="Z160" s="87" t="str">
        <f aca="true">IF(B160="","",IF(V160&lt;&gt;"",V160-B160,TODAY()-B160))</f>
        <v/>
      </c>
      <c r="AA160" s="62" t="str">
        <f aca="true">IF(OR(B160="",T160="",U160="False Positive",U160="Risk Accepted"),"",IF(V160&lt;&gt;"",IF(V160&gt;T160,"Closed Late","Met"),IF(TODAY()&gt;T160,"SLA BREACH",IF(T160-TODAY()&lt;=7,"Due ≤7d","Within SLA"))))</f>
        <v/>
      </c>
      <c r="AB160" s="61"/>
      <c r="AC160" s="61"/>
      <c r="AD160" s="60"/>
      <c r="AE160" s="88" t="str">
        <f aca="false">IF(Y160&lt;&gt;"",ROW(),"")</f>
        <v/>
      </c>
      <c r="AF160" s="88" t="str">
        <f aca="false">IF(AND(AND(E160&lt;&gt;"",U160&lt;&gt;"Remediated",U160&lt;&gt;"False Positive",U160&lt;&gt;"Risk Accepted"),T160&lt;&gt;"",T160&lt;='Weekly Report'!$F$7),ROW(),"")</f>
        <v/>
      </c>
      <c r="AG160" s="88" t="str">
        <f aca="false">IF(AND(AND(E160&lt;&gt;"",U160&lt;&gt;"Remediated",U160&lt;&gt;"False Positive",U160&lt;&gt;"Risk Accepted"),LEFT(Q160,6)="Breach"),ROW(),"")</f>
        <v/>
      </c>
    </row>
    <row r="161" customFormat="false" ht="15" hidden="false" customHeight="false" outlineLevel="0" collapsed="false">
      <c r="A161" s="56" t="s">
        <v>2317</v>
      </c>
      <c r="B161" s="63"/>
      <c r="C161" s="61"/>
      <c r="D161" s="61"/>
      <c r="E161" s="60"/>
      <c r="F161" s="61"/>
      <c r="G161" s="61"/>
      <c r="H161" s="61"/>
      <c r="I161" s="61"/>
      <c r="J161" s="60"/>
      <c r="K161" s="61"/>
      <c r="L161" s="61"/>
      <c r="M161" s="61"/>
      <c r="N161" s="60"/>
      <c r="O161" s="60"/>
      <c r="P161" s="60"/>
      <c r="Q161" s="61"/>
      <c r="R161" s="61"/>
      <c r="S161" s="87" t="str">
        <f aca="false">IF(OR(B161="",L161=""),"",INDEX(Lists!$AD$4:$AD$8,MATCH(L161,Lists!$AC$4:$AC$8,0)))</f>
        <v/>
      </c>
      <c r="T161" s="95" t="str">
        <f aca="false">IF(OR(S161="",ISERROR(S161)),"",B161+S161)</f>
        <v/>
      </c>
      <c r="U161" s="61"/>
      <c r="V161" s="63"/>
      <c r="W161" s="63"/>
      <c r="X161" s="60"/>
      <c r="Y161" s="62" t="str">
        <f aca="false">IF(E161="","",IF(AND(B161&lt;&gt;"",B161&gt;='Weekly Report'!$F$4,B161&lt;='Weekly Report'!$F$5),"NEW",IF(AND(W161&lt;&gt;"",W161&gt;='Weekly Report'!$F$4,W161&lt;='Weekly Report'!$F$5),"CHANGED","")))</f>
        <v/>
      </c>
      <c r="Z161" s="87" t="str">
        <f aca="true">IF(B161="","",IF(V161&lt;&gt;"",V161-B161,TODAY()-B161))</f>
        <v/>
      </c>
      <c r="AA161" s="62" t="str">
        <f aca="true">IF(OR(B161="",T161="",U161="False Positive",U161="Risk Accepted"),"",IF(V161&lt;&gt;"",IF(V161&gt;T161,"Closed Late","Met"),IF(TODAY()&gt;T161,"SLA BREACH",IF(T161-TODAY()&lt;=7,"Due ≤7d","Within SLA"))))</f>
        <v/>
      </c>
      <c r="AB161" s="61"/>
      <c r="AC161" s="61"/>
      <c r="AD161" s="60"/>
      <c r="AE161" s="88" t="str">
        <f aca="false">IF(Y161&lt;&gt;"",ROW(),"")</f>
        <v/>
      </c>
      <c r="AF161" s="88" t="str">
        <f aca="false">IF(AND(AND(E161&lt;&gt;"",U161&lt;&gt;"Remediated",U161&lt;&gt;"False Positive",U161&lt;&gt;"Risk Accepted"),T161&lt;&gt;"",T161&lt;='Weekly Report'!$F$7),ROW(),"")</f>
        <v/>
      </c>
      <c r="AG161" s="88" t="str">
        <f aca="false">IF(AND(AND(E161&lt;&gt;"",U161&lt;&gt;"Remediated",U161&lt;&gt;"False Positive",U161&lt;&gt;"Risk Accepted"),LEFT(Q161,6)="Breach"),ROW(),"")</f>
        <v/>
      </c>
    </row>
    <row r="162" customFormat="false" ht="15" hidden="false" customHeight="false" outlineLevel="0" collapsed="false">
      <c r="A162" s="56" t="s">
        <v>2318</v>
      </c>
      <c r="B162" s="63"/>
      <c r="C162" s="61"/>
      <c r="D162" s="61"/>
      <c r="E162" s="60"/>
      <c r="F162" s="61"/>
      <c r="G162" s="61"/>
      <c r="H162" s="61"/>
      <c r="I162" s="61"/>
      <c r="J162" s="60"/>
      <c r="K162" s="61"/>
      <c r="L162" s="61"/>
      <c r="M162" s="61"/>
      <c r="N162" s="60"/>
      <c r="O162" s="60"/>
      <c r="P162" s="60"/>
      <c r="Q162" s="61"/>
      <c r="R162" s="61"/>
      <c r="S162" s="87" t="str">
        <f aca="false">IF(OR(B162="",L162=""),"",INDEX(Lists!$AD$4:$AD$8,MATCH(L162,Lists!$AC$4:$AC$8,0)))</f>
        <v/>
      </c>
      <c r="T162" s="95" t="str">
        <f aca="false">IF(OR(S162="",ISERROR(S162)),"",B162+S162)</f>
        <v/>
      </c>
      <c r="U162" s="61"/>
      <c r="V162" s="63"/>
      <c r="W162" s="63"/>
      <c r="X162" s="60"/>
      <c r="Y162" s="62" t="str">
        <f aca="false">IF(E162="","",IF(AND(B162&lt;&gt;"",B162&gt;='Weekly Report'!$F$4,B162&lt;='Weekly Report'!$F$5),"NEW",IF(AND(W162&lt;&gt;"",W162&gt;='Weekly Report'!$F$4,W162&lt;='Weekly Report'!$F$5),"CHANGED","")))</f>
        <v/>
      </c>
      <c r="Z162" s="87" t="str">
        <f aca="true">IF(B162="","",IF(V162&lt;&gt;"",V162-B162,TODAY()-B162))</f>
        <v/>
      </c>
      <c r="AA162" s="62" t="str">
        <f aca="true">IF(OR(B162="",T162="",U162="False Positive",U162="Risk Accepted"),"",IF(V162&lt;&gt;"",IF(V162&gt;T162,"Closed Late","Met"),IF(TODAY()&gt;T162,"SLA BREACH",IF(T162-TODAY()&lt;=7,"Due ≤7d","Within SLA"))))</f>
        <v/>
      </c>
      <c r="AB162" s="61"/>
      <c r="AC162" s="61"/>
      <c r="AD162" s="60"/>
      <c r="AE162" s="88" t="str">
        <f aca="false">IF(Y162&lt;&gt;"",ROW(),"")</f>
        <v/>
      </c>
      <c r="AF162" s="88" t="str">
        <f aca="false">IF(AND(AND(E162&lt;&gt;"",U162&lt;&gt;"Remediated",U162&lt;&gt;"False Positive",U162&lt;&gt;"Risk Accepted"),T162&lt;&gt;"",T162&lt;='Weekly Report'!$F$7),ROW(),"")</f>
        <v/>
      </c>
      <c r="AG162" s="88" t="str">
        <f aca="false">IF(AND(AND(E162&lt;&gt;"",U162&lt;&gt;"Remediated",U162&lt;&gt;"False Positive",U162&lt;&gt;"Risk Accepted"),LEFT(Q162,6)="Breach"),ROW(),"")</f>
        <v/>
      </c>
    </row>
    <row r="163" customFormat="false" ht="15" hidden="false" customHeight="false" outlineLevel="0" collapsed="false">
      <c r="A163" s="56" t="s">
        <v>2319</v>
      </c>
      <c r="B163" s="63"/>
      <c r="C163" s="61"/>
      <c r="D163" s="61"/>
      <c r="E163" s="60"/>
      <c r="F163" s="61"/>
      <c r="G163" s="61"/>
      <c r="H163" s="61"/>
      <c r="I163" s="61"/>
      <c r="J163" s="60"/>
      <c r="K163" s="61"/>
      <c r="L163" s="61"/>
      <c r="M163" s="61"/>
      <c r="N163" s="60"/>
      <c r="O163" s="60"/>
      <c r="P163" s="60"/>
      <c r="Q163" s="61"/>
      <c r="R163" s="61"/>
      <c r="S163" s="87" t="str">
        <f aca="false">IF(OR(B163="",L163=""),"",INDEX(Lists!$AD$4:$AD$8,MATCH(L163,Lists!$AC$4:$AC$8,0)))</f>
        <v/>
      </c>
      <c r="T163" s="95" t="str">
        <f aca="false">IF(OR(S163="",ISERROR(S163)),"",B163+S163)</f>
        <v/>
      </c>
      <c r="U163" s="61"/>
      <c r="V163" s="63"/>
      <c r="W163" s="63"/>
      <c r="X163" s="60"/>
      <c r="Y163" s="62" t="str">
        <f aca="false">IF(E163="","",IF(AND(B163&lt;&gt;"",B163&gt;='Weekly Report'!$F$4,B163&lt;='Weekly Report'!$F$5),"NEW",IF(AND(W163&lt;&gt;"",W163&gt;='Weekly Report'!$F$4,W163&lt;='Weekly Report'!$F$5),"CHANGED","")))</f>
        <v/>
      </c>
      <c r="Z163" s="87" t="str">
        <f aca="true">IF(B163="","",IF(V163&lt;&gt;"",V163-B163,TODAY()-B163))</f>
        <v/>
      </c>
      <c r="AA163" s="62" t="str">
        <f aca="true">IF(OR(B163="",T163="",U163="False Positive",U163="Risk Accepted"),"",IF(V163&lt;&gt;"",IF(V163&gt;T163,"Closed Late","Met"),IF(TODAY()&gt;T163,"SLA BREACH",IF(T163-TODAY()&lt;=7,"Due ≤7d","Within SLA"))))</f>
        <v/>
      </c>
      <c r="AB163" s="61"/>
      <c r="AC163" s="61"/>
      <c r="AD163" s="60"/>
      <c r="AE163" s="88" t="str">
        <f aca="false">IF(Y163&lt;&gt;"",ROW(),"")</f>
        <v/>
      </c>
      <c r="AF163" s="88" t="str">
        <f aca="false">IF(AND(AND(E163&lt;&gt;"",U163&lt;&gt;"Remediated",U163&lt;&gt;"False Positive",U163&lt;&gt;"Risk Accepted"),T163&lt;&gt;"",T163&lt;='Weekly Report'!$F$7),ROW(),"")</f>
        <v/>
      </c>
      <c r="AG163" s="88" t="str">
        <f aca="false">IF(AND(AND(E163&lt;&gt;"",U163&lt;&gt;"Remediated",U163&lt;&gt;"False Positive",U163&lt;&gt;"Risk Accepted"),LEFT(Q163,6)="Breach"),ROW(),"")</f>
        <v/>
      </c>
    </row>
    <row r="164" customFormat="false" ht="15" hidden="false" customHeight="false" outlineLevel="0" collapsed="false">
      <c r="A164" s="56" t="s">
        <v>2320</v>
      </c>
      <c r="B164" s="63"/>
      <c r="C164" s="61"/>
      <c r="D164" s="61"/>
      <c r="E164" s="60"/>
      <c r="F164" s="61"/>
      <c r="G164" s="61"/>
      <c r="H164" s="61"/>
      <c r="I164" s="61"/>
      <c r="J164" s="60"/>
      <c r="K164" s="61"/>
      <c r="L164" s="61"/>
      <c r="M164" s="61"/>
      <c r="N164" s="60"/>
      <c r="O164" s="60"/>
      <c r="P164" s="60"/>
      <c r="Q164" s="61"/>
      <c r="R164" s="61"/>
      <c r="S164" s="87" t="str">
        <f aca="false">IF(OR(B164="",L164=""),"",INDEX(Lists!$AD$4:$AD$8,MATCH(L164,Lists!$AC$4:$AC$8,0)))</f>
        <v/>
      </c>
      <c r="T164" s="95" t="str">
        <f aca="false">IF(OR(S164="",ISERROR(S164)),"",B164+S164)</f>
        <v/>
      </c>
      <c r="U164" s="61"/>
      <c r="V164" s="63"/>
      <c r="W164" s="63"/>
      <c r="X164" s="60"/>
      <c r="Y164" s="62" t="str">
        <f aca="false">IF(E164="","",IF(AND(B164&lt;&gt;"",B164&gt;='Weekly Report'!$F$4,B164&lt;='Weekly Report'!$F$5),"NEW",IF(AND(W164&lt;&gt;"",W164&gt;='Weekly Report'!$F$4,W164&lt;='Weekly Report'!$F$5),"CHANGED","")))</f>
        <v/>
      </c>
      <c r="Z164" s="87" t="str">
        <f aca="true">IF(B164="","",IF(V164&lt;&gt;"",V164-B164,TODAY()-B164))</f>
        <v/>
      </c>
      <c r="AA164" s="62" t="str">
        <f aca="true">IF(OR(B164="",T164="",U164="False Positive",U164="Risk Accepted"),"",IF(V164&lt;&gt;"",IF(V164&gt;T164,"Closed Late","Met"),IF(TODAY()&gt;T164,"SLA BREACH",IF(T164-TODAY()&lt;=7,"Due ≤7d","Within SLA"))))</f>
        <v/>
      </c>
      <c r="AB164" s="61"/>
      <c r="AC164" s="61"/>
      <c r="AD164" s="60"/>
      <c r="AE164" s="88" t="str">
        <f aca="false">IF(Y164&lt;&gt;"",ROW(),"")</f>
        <v/>
      </c>
      <c r="AF164" s="88" t="str">
        <f aca="false">IF(AND(AND(E164&lt;&gt;"",U164&lt;&gt;"Remediated",U164&lt;&gt;"False Positive",U164&lt;&gt;"Risk Accepted"),T164&lt;&gt;"",T164&lt;='Weekly Report'!$F$7),ROW(),"")</f>
        <v/>
      </c>
      <c r="AG164" s="88" t="str">
        <f aca="false">IF(AND(AND(E164&lt;&gt;"",U164&lt;&gt;"Remediated",U164&lt;&gt;"False Positive",U164&lt;&gt;"Risk Accepted"),LEFT(Q164,6)="Breach"),ROW(),"")</f>
        <v/>
      </c>
    </row>
    <row r="165" customFormat="false" ht="15" hidden="false" customHeight="false" outlineLevel="0" collapsed="false">
      <c r="A165" s="56" t="s">
        <v>2321</v>
      </c>
      <c r="B165" s="63"/>
      <c r="C165" s="61"/>
      <c r="D165" s="61"/>
      <c r="E165" s="60"/>
      <c r="F165" s="61"/>
      <c r="G165" s="61"/>
      <c r="H165" s="61"/>
      <c r="I165" s="61"/>
      <c r="J165" s="60"/>
      <c r="K165" s="61"/>
      <c r="L165" s="61"/>
      <c r="M165" s="61"/>
      <c r="N165" s="60"/>
      <c r="O165" s="60"/>
      <c r="P165" s="60"/>
      <c r="Q165" s="61"/>
      <c r="R165" s="61"/>
      <c r="S165" s="87" t="str">
        <f aca="false">IF(OR(B165="",L165=""),"",INDEX(Lists!$AD$4:$AD$8,MATCH(L165,Lists!$AC$4:$AC$8,0)))</f>
        <v/>
      </c>
      <c r="T165" s="95" t="str">
        <f aca="false">IF(OR(S165="",ISERROR(S165)),"",B165+S165)</f>
        <v/>
      </c>
      <c r="U165" s="61"/>
      <c r="V165" s="63"/>
      <c r="W165" s="63"/>
      <c r="X165" s="60"/>
      <c r="Y165" s="62" t="str">
        <f aca="false">IF(E165="","",IF(AND(B165&lt;&gt;"",B165&gt;='Weekly Report'!$F$4,B165&lt;='Weekly Report'!$F$5),"NEW",IF(AND(W165&lt;&gt;"",W165&gt;='Weekly Report'!$F$4,W165&lt;='Weekly Report'!$F$5),"CHANGED","")))</f>
        <v/>
      </c>
      <c r="Z165" s="87" t="str">
        <f aca="true">IF(B165="","",IF(V165&lt;&gt;"",V165-B165,TODAY()-B165))</f>
        <v/>
      </c>
      <c r="AA165" s="62" t="str">
        <f aca="true">IF(OR(B165="",T165="",U165="False Positive",U165="Risk Accepted"),"",IF(V165&lt;&gt;"",IF(V165&gt;T165,"Closed Late","Met"),IF(TODAY()&gt;T165,"SLA BREACH",IF(T165-TODAY()&lt;=7,"Due ≤7d","Within SLA"))))</f>
        <v/>
      </c>
      <c r="AB165" s="61"/>
      <c r="AC165" s="61"/>
      <c r="AD165" s="60"/>
      <c r="AE165" s="88" t="str">
        <f aca="false">IF(Y165&lt;&gt;"",ROW(),"")</f>
        <v/>
      </c>
      <c r="AF165" s="88" t="str">
        <f aca="false">IF(AND(AND(E165&lt;&gt;"",U165&lt;&gt;"Remediated",U165&lt;&gt;"False Positive",U165&lt;&gt;"Risk Accepted"),T165&lt;&gt;"",T165&lt;='Weekly Report'!$F$7),ROW(),"")</f>
        <v/>
      </c>
      <c r="AG165" s="88" t="str">
        <f aca="false">IF(AND(AND(E165&lt;&gt;"",U165&lt;&gt;"Remediated",U165&lt;&gt;"False Positive",U165&lt;&gt;"Risk Accepted"),LEFT(Q165,6)="Breach"),ROW(),"")</f>
        <v/>
      </c>
    </row>
    <row r="166" customFormat="false" ht="15" hidden="false" customHeight="false" outlineLevel="0" collapsed="false">
      <c r="A166" s="56" t="s">
        <v>2322</v>
      </c>
      <c r="B166" s="63"/>
      <c r="C166" s="61"/>
      <c r="D166" s="61"/>
      <c r="E166" s="60"/>
      <c r="F166" s="61"/>
      <c r="G166" s="61"/>
      <c r="H166" s="61"/>
      <c r="I166" s="61"/>
      <c r="J166" s="60"/>
      <c r="K166" s="61"/>
      <c r="L166" s="61"/>
      <c r="M166" s="61"/>
      <c r="N166" s="60"/>
      <c r="O166" s="60"/>
      <c r="P166" s="60"/>
      <c r="Q166" s="61"/>
      <c r="R166" s="61"/>
      <c r="S166" s="87" t="str">
        <f aca="false">IF(OR(B166="",L166=""),"",INDEX(Lists!$AD$4:$AD$8,MATCH(L166,Lists!$AC$4:$AC$8,0)))</f>
        <v/>
      </c>
      <c r="T166" s="95" t="str">
        <f aca="false">IF(OR(S166="",ISERROR(S166)),"",B166+S166)</f>
        <v/>
      </c>
      <c r="U166" s="61"/>
      <c r="V166" s="63"/>
      <c r="W166" s="63"/>
      <c r="X166" s="60"/>
      <c r="Y166" s="62" t="str">
        <f aca="false">IF(E166="","",IF(AND(B166&lt;&gt;"",B166&gt;='Weekly Report'!$F$4,B166&lt;='Weekly Report'!$F$5),"NEW",IF(AND(W166&lt;&gt;"",W166&gt;='Weekly Report'!$F$4,W166&lt;='Weekly Report'!$F$5),"CHANGED","")))</f>
        <v/>
      </c>
      <c r="Z166" s="87" t="str">
        <f aca="true">IF(B166="","",IF(V166&lt;&gt;"",V166-B166,TODAY()-B166))</f>
        <v/>
      </c>
      <c r="AA166" s="62" t="str">
        <f aca="true">IF(OR(B166="",T166="",U166="False Positive",U166="Risk Accepted"),"",IF(V166&lt;&gt;"",IF(V166&gt;T166,"Closed Late","Met"),IF(TODAY()&gt;T166,"SLA BREACH",IF(T166-TODAY()&lt;=7,"Due ≤7d","Within SLA"))))</f>
        <v/>
      </c>
      <c r="AB166" s="61"/>
      <c r="AC166" s="61"/>
      <c r="AD166" s="60"/>
      <c r="AE166" s="88" t="str">
        <f aca="false">IF(Y166&lt;&gt;"",ROW(),"")</f>
        <v/>
      </c>
      <c r="AF166" s="88" t="str">
        <f aca="false">IF(AND(AND(E166&lt;&gt;"",U166&lt;&gt;"Remediated",U166&lt;&gt;"False Positive",U166&lt;&gt;"Risk Accepted"),T166&lt;&gt;"",T166&lt;='Weekly Report'!$F$7),ROW(),"")</f>
        <v/>
      </c>
      <c r="AG166" s="88" t="str">
        <f aca="false">IF(AND(AND(E166&lt;&gt;"",U166&lt;&gt;"Remediated",U166&lt;&gt;"False Positive",U166&lt;&gt;"Risk Accepted"),LEFT(Q166,6)="Breach"),ROW(),"")</f>
        <v/>
      </c>
    </row>
    <row r="167" customFormat="false" ht="15" hidden="false" customHeight="false" outlineLevel="0" collapsed="false">
      <c r="A167" s="56" t="s">
        <v>2323</v>
      </c>
      <c r="B167" s="63"/>
      <c r="C167" s="61"/>
      <c r="D167" s="61"/>
      <c r="E167" s="60"/>
      <c r="F167" s="61"/>
      <c r="G167" s="61"/>
      <c r="H167" s="61"/>
      <c r="I167" s="61"/>
      <c r="J167" s="60"/>
      <c r="K167" s="61"/>
      <c r="L167" s="61"/>
      <c r="M167" s="61"/>
      <c r="N167" s="60"/>
      <c r="O167" s="60"/>
      <c r="P167" s="60"/>
      <c r="Q167" s="61"/>
      <c r="R167" s="61"/>
      <c r="S167" s="87" t="str">
        <f aca="false">IF(OR(B167="",L167=""),"",INDEX(Lists!$AD$4:$AD$8,MATCH(L167,Lists!$AC$4:$AC$8,0)))</f>
        <v/>
      </c>
      <c r="T167" s="95" t="str">
        <f aca="false">IF(OR(S167="",ISERROR(S167)),"",B167+S167)</f>
        <v/>
      </c>
      <c r="U167" s="61"/>
      <c r="V167" s="63"/>
      <c r="W167" s="63"/>
      <c r="X167" s="60"/>
      <c r="Y167" s="62" t="str">
        <f aca="false">IF(E167="","",IF(AND(B167&lt;&gt;"",B167&gt;='Weekly Report'!$F$4,B167&lt;='Weekly Report'!$F$5),"NEW",IF(AND(W167&lt;&gt;"",W167&gt;='Weekly Report'!$F$4,W167&lt;='Weekly Report'!$F$5),"CHANGED","")))</f>
        <v/>
      </c>
      <c r="Z167" s="87" t="str">
        <f aca="true">IF(B167="","",IF(V167&lt;&gt;"",V167-B167,TODAY()-B167))</f>
        <v/>
      </c>
      <c r="AA167" s="62" t="str">
        <f aca="true">IF(OR(B167="",T167="",U167="False Positive",U167="Risk Accepted"),"",IF(V167&lt;&gt;"",IF(V167&gt;T167,"Closed Late","Met"),IF(TODAY()&gt;T167,"SLA BREACH",IF(T167-TODAY()&lt;=7,"Due ≤7d","Within SLA"))))</f>
        <v/>
      </c>
      <c r="AB167" s="61"/>
      <c r="AC167" s="61"/>
      <c r="AD167" s="60"/>
      <c r="AE167" s="88" t="str">
        <f aca="false">IF(Y167&lt;&gt;"",ROW(),"")</f>
        <v/>
      </c>
      <c r="AF167" s="88" t="str">
        <f aca="false">IF(AND(AND(E167&lt;&gt;"",U167&lt;&gt;"Remediated",U167&lt;&gt;"False Positive",U167&lt;&gt;"Risk Accepted"),T167&lt;&gt;"",T167&lt;='Weekly Report'!$F$7),ROW(),"")</f>
        <v/>
      </c>
      <c r="AG167" s="88" t="str">
        <f aca="false">IF(AND(AND(E167&lt;&gt;"",U167&lt;&gt;"Remediated",U167&lt;&gt;"False Positive",U167&lt;&gt;"Risk Accepted"),LEFT(Q167,6)="Breach"),ROW(),"")</f>
        <v/>
      </c>
    </row>
    <row r="168" customFormat="false" ht="15" hidden="false" customHeight="false" outlineLevel="0" collapsed="false">
      <c r="A168" s="56" t="s">
        <v>2324</v>
      </c>
      <c r="B168" s="63"/>
      <c r="C168" s="61"/>
      <c r="D168" s="61"/>
      <c r="E168" s="60"/>
      <c r="F168" s="61"/>
      <c r="G168" s="61"/>
      <c r="H168" s="61"/>
      <c r="I168" s="61"/>
      <c r="J168" s="60"/>
      <c r="K168" s="61"/>
      <c r="L168" s="61"/>
      <c r="M168" s="61"/>
      <c r="N168" s="60"/>
      <c r="O168" s="60"/>
      <c r="P168" s="60"/>
      <c r="Q168" s="61"/>
      <c r="R168" s="61"/>
      <c r="S168" s="87" t="str">
        <f aca="false">IF(OR(B168="",L168=""),"",INDEX(Lists!$AD$4:$AD$8,MATCH(L168,Lists!$AC$4:$AC$8,0)))</f>
        <v/>
      </c>
      <c r="T168" s="95" t="str">
        <f aca="false">IF(OR(S168="",ISERROR(S168)),"",B168+S168)</f>
        <v/>
      </c>
      <c r="U168" s="61"/>
      <c r="V168" s="63"/>
      <c r="W168" s="63"/>
      <c r="X168" s="60"/>
      <c r="Y168" s="62" t="str">
        <f aca="false">IF(E168="","",IF(AND(B168&lt;&gt;"",B168&gt;='Weekly Report'!$F$4,B168&lt;='Weekly Report'!$F$5),"NEW",IF(AND(W168&lt;&gt;"",W168&gt;='Weekly Report'!$F$4,W168&lt;='Weekly Report'!$F$5),"CHANGED","")))</f>
        <v/>
      </c>
      <c r="Z168" s="87" t="str">
        <f aca="true">IF(B168="","",IF(V168&lt;&gt;"",V168-B168,TODAY()-B168))</f>
        <v/>
      </c>
      <c r="AA168" s="62" t="str">
        <f aca="true">IF(OR(B168="",T168="",U168="False Positive",U168="Risk Accepted"),"",IF(V168&lt;&gt;"",IF(V168&gt;T168,"Closed Late","Met"),IF(TODAY()&gt;T168,"SLA BREACH",IF(T168-TODAY()&lt;=7,"Due ≤7d","Within SLA"))))</f>
        <v/>
      </c>
      <c r="AB168" s="61"/>
      <c r="AC168" s="61"/>
      <c r="AD168" s="60"/>
      <c r="AE168" s="88" t="str">
        <f aca="false">IF(Y168&lt;&gt;"",ROW(),"")</f>
        <v/>
      </c>
      <c r="AF168" s="88" t="str">
        <f aca="false">IF(AND(AND(E168&lt;&gt;"",U168&lt;&gt;"Remediated",U168&lt;&gt;"False Positive",U168&lt;&gt;"Risk Accepted"),T168&lt;&gt;"",T168&lt;='Weekly Report'!$F$7),ROW(),"")</f>
        <v/>
      </c>
      <c r="AG168" s="88" t="str">
        <f aca="false">IF(AND(AND(E168&lt;&gt;"",U168&lt;&gt;"Remediated",U168&lt;&gt;"False Positive",U168&lt;&gt;"Risk Accepted"),LEFT(Q168,6)="Breach"),ROW(),"")</f>
        <v/>
      </c>
    </row>
    <row r="169" customFormat="false" ht="15" hidden="false" customHeight="false" outlineLevel="0" collapsed="false">
      <c r="A169" s="56" t="s">
        <v>2325</v>
      </c>
      <c r="B169" s="63"/>
      <c r="C169" s="61"/>
      <c r="D169" s="61"/>
      <c r="E169" s="60"/>
      <c r="F169" s="61"/>
      <c r="G169" s="61"/>
      <c r="H169" s="61"/>
      <c r="I169" s="61"/>
      <c r="J169" s="60"/>
      <c r="K169" s="61"/>
      <c r="L169" s="61"/>
      <c r="M169" s="61"/>
      <c r="N169" s="60"/>
      <c r="O169" s="60"/>
      <c r="P169" s="60"/>
      <c r="Q169" s="61"/>
      <c r="R169" s="61"/>
      <c r="S169" s="87" t="str">
        <f aca="false">IF(OR(B169="",L169=""),"",INDEX(Lists!$AD$4:$AD$8,MATCH(L169,Lists!$AC$4:$AC$8,0)))</f>
        <v/>
      </c>
      <c r="T169" s="95" t="str">
        <f aca="false">IF(OR(S169="",ISERROR(S169)),"",B169+S169)</f>
        <v/>
      </c>
      <c r="U169" s="61"/>
      <c r="V169" s="63"/>
      <c r="W169" s="63"/>
      <c r="X169" s="60"/>
      <c r="Y169" s="62" t="str">
        <f aca="false">IF(E169="","",IF(AND(B169&lt;&gt;"",B169&gt;='Weekly Report'!$F$4,B169&lt;='Weekly Report'!$F$5),"NEW",IF(AND(W169&lt;&gt;"",W169&gt;='Weekly Report'!$F$4,W169&lt;='Weekly Report'!$F$5),"CHANGED","")))</f>
        <v/>
      </c>
      <c r="Z169" s="87" t="str">
        <f aca="true">IF(B169="","",IF(V169&lt;&gt;"",V169-B169,TODAY()-B169))</f>
        <v/>
      </c>
      <c r="AA169" s="62" t="str">
        <f aca="true">IF(OR(B169="",T169="",U169="False Positive",U169="Risk Accepted"),"",IF(V169&lt;&gt;"",IF(V169&gt;T169,"Closed Late","Met"),IF(TODAY()&gt;T169,"SLA BREACH",IF(T169-TODAY()&lt;=7,"Due ≤7d","Within SLA"))))</f>
        <v/>
      </c>
      <c r="AB169" s="61"/>
      <c r="AC169" s="61"/>
      <c r="AD169" s="60"/>
      <c r="AE169" s="88" t="str">
        <f aca="false">IF(Y169&lt;&gt;"",ROW(),"")</f>
        <v/>
      </c>
      <c r="AF169" s="88" t="str">
        <f aca="false">IF(AND(AND(E169&lt;&gt;"",U169&lt;&gt;"Remediated",U169&lt;&gt;"False Positive",U169&lt;&gt;"Risk Accepted"),T169&lt;&gt;"",T169&lt;='Weekly Report'!$F$7),ROW(),"")</f>
        <v/>
      </c>
      <c r="AG169" s="88" t="str">
        <f aca="false">IF(AND(AND(E169&lt;&gt;"",U169&lt;&gt;"Remediated",U169&lt;&gt;"False Positive",U169&lt;&gt;"Risk Accepted"),LEFT(Q169,6)="Breach"),ROW(),"")</f>
        <v/>
      </c>
    </row>
    <row r="170" customFormat="false" ht="15" hidden="false" customHeight="false" outlineLevel="0" collapsed="false">
      <c r="A170" s="56" t="s">
        <v>2326</v>
      </c>
      <c r="B170" s="63"/>
      <c r="C170" s="61"/>
      <c r="D170" s="61"/>
      <c r="E170" s="60"/>
      <c r="F170" s="61"/>
      <c r="G170" s="61"/>
      <c r="H170" s="61"/>
      <c r="I170" s="61"/>
      <c r="J170" s="60"/>
      <c r="K170" s="61"/>
      <c r="L170" s="61"/>
      <c r="M170" s="61"/>
      <c r="N170" s="60"/>
      <c r="O170" s="60"/>
      <c r="P170" s="60"/>
      <c r="Q170" s="61"/>
      <c r="R170" s="61"/>
      <c r="S170" s="87" t="str">
        <f aca="false">IF(OR(B170="",L170=""),"",INDEX(Lists!$AD$4:$AD$8,MATCH(L170,Lists!$AC$4:$AC$8,0)))</f>
        <v/>
      </c>
      <c r="T170" s="95" t="str">
        <f aca="false">IF(OR(S170="",ISERROR(S170)),"",B170+S170)</f>
        <v/>
      </c>
      <c r="U170" s="61"/>
      <c r="V170" s="63"/>
      <c r="W170" s="63"/>
      <c r="X170" s="60"/>
      <c r="Y170" s="62" t="str">
        <f aca="false">IF(E170="","",IF(AND(B170&lt;&gt;"",B170&gt;='Weekly Report'!$F$4,B170&lt;='Weekly Report'!$F$5),"NEW",IF(AND(W170&lt;&gt;"",W170&gt;='Weekly Report'!$F$4,W170&lt;='Weekly Report'!$F$5),"CHANGED","")))</f>
        <v/>
      </c>
      <c r="Z170" s="87" t="str">
        <f aca="true">IF(B170="","",IF(V170&lt;&gt;"",V170-B170,TODAY()-B170))</f>
        <v/>
      </c>
      <c r="AA170" s="62" t="str">
        <f aca="true">IF(OR(B170="",T170="",U170="False Positive",U170="Risk Accepted"),"",IF(V170&lt;&gt;"",IF(V170&gt;T170,"Closed Late","Met"),IF(TODAY()&gt;T170,"SLA BREACH",IF(T170-TODAY()&lt;=7,"Due ≤7d","Within SLA"))))</f>
        <v/>
      </c>
      <c r="AB170" s="61"/>
      <c r="AC170" s="61"/>
      <c r="AD170" s="60"/>
      <c r="AE170" s="88" t="str">
        <f aca="false">IF(Y170&lt;&gt;"",ROW(),"")</f>
        <v/>
      </c>
      <c r="AF170" s="88" t="str">
        <f aca="false">IF(AND(AND(E170&lt;&gt;"",U170&lt;&gt;"Remediated",U170&lt;&gt;"False Positive",U170&lt;&gt;"Risk Accepted"),T170&lt;&gt;"",T170&lt;='Weekly Report'!$F$7),ROW(),"")</f>
        <v/>
      </c>
      <c r="AG170" s="88" t="str">
        <f aca="false">IF(AND(AND(E170&lt;&gt;"",U170&lt;&gt;"Remediated",U170&lt;&gt;"False Positive",U170&lt;&gt;"Risk Accepted"),LEFT(Q170,6)="Breach"),ROW(),"")</f>
        <v/>
      </c>
    </row>
    <row r="171" customFormat="false" ht="15" hidden="false" customHeight="false" outlineLevel="0" collapsed="false">
      <c r="A171" s="56" t="s">
        <v>2327</v>
      </c>
      <c r="B171" s="63"/>
      <c r="C171" s="61"/>
      <c r="D171" s="61"/>
      <c r="E171" s="60"/>
      <c r="F171" s="61"/>
      <c r="G171" s="61"/>
      <c r="H171" s="61"/>
      <c r="I171" s="61"/>
      <c r="J171" s="60"/>
      <c r="K171" s="61"/>
      <c r="L171" s="61"/>
      <c r="M171" s="61"/>
      <c r="N171" s="60"/>
      <c r="O171" s="60"/>
      <c r="P171" s="60"/>
      <c r="Q171" s="61"/>
      <c r="R171" s="61"/>
      <c r="S171" s="87" t="str">
        <f aca="false">IF(OR(B171="",L171=""),"",INDEX(Lists!$AD$4:$AD$8,MATCH(L171,Lists!$AC$4:$AC$8,0)))</f>
        <v/>
      </c>
      <c r="T171" s="95" t="str">
        <f aca="false">IF(OR(S171="",ISERROR(S171)),"",B171+S171)</f>
        <v/>
      </c>
      <c r="U171" s="61"/>
      <c r="V171" s="63"/>
      <c r="W171" s="63"/>
      <c r="X171" s="60"/>
      <c r="Y171" s="62" t="str">
        <f aca="false">IF(E171="","",IF(AND(B171&lt;&gt;"",B171&gt;='Weekly Report'!$F$4,B171&lt;='Weekly Report'!$F$5),"NEW",IF(AND(W171&lt;&gt;"",W171&gt;='Weekly Report'!$F$4,W171&lt;='Weekly Report'!$F$5),"CHANGED","")))</f>
        <v/>
      </c>
      <c r="Z171" s="87" t="str">
        <f aca="true">IF(B171="","",IF(V171&lt;&gt;"",V171-B171,TODAY()-B171))</f>
        <v/>
      </c>
      <c r="AA171" s="62" t="str">
        <f aca="true">IF(OR(B171="",T171="",U171="False Positive",U171="Risk Accepted"),"",IF(V171&lt;&gt;"",IF(V171&gt;T171,"Closed Late","Met"),IF(TODAY()&gt;T171,"SLA BREACH",IF(T171-TODAY()&lt;=7,"Due ≤7d","Within SLA"))))</f>
        <v/>
      </c>
      <c r="AB171" s="61"/>
      <c r="AC171" s="61"/>
      <c r="AD171" s="60"/>
      <c r="AE171" s="88" t="str">
        <f aca="false">IF(Y171&lt;&gt;"",ROW(),"")</f>
        <v/>
      </c>
      <c r="AF171" s="88" t="str">
        <f aca="false">IF(AND(AND(E171&lt;&gt;"",U171&lt;&gt;"Remediated",U171&lt;&gt;"False Positive",U171&lt;&gt;"Risk Accepted"),T171&lt;&gt;"",T171&lt;='Weekly Report'!$F$7),ROW(),"")</f>
        <v/>
      </c>
      <c r="AG171" s="88" t="str">
        <f aca="false">IF(AND(AND(E171&lt;&gt;"",U171&lt;&gt;"Remediated",U171&lt;&gt;"False Positive",U171&lt;&gt;"Risk Accepted"),LEFT(Q171,6)="Breach"),ROW(),"")</f>
        <v/>
      </c>
    </row>
    <row r="172" customFormat="false" ht="15" hidden="false" customHeight="false" outlineLevel="0" collapsed="false">
      <c r="A172" s="56" t="s">
        <v>2328</v>
      </c>
      <c r="B172" s="63"/>
      <c r="C172" s="61"/>
      <c r="D172" s="61"/>
      <c r="E172" s="60"/>
      <c r="F172" s="61"/>
      <c r="G172" s="61"/>
      <c r="H172" s="61"/>
      <c r="I172" s="61"/>
      <c r="J172" s="60"/>
      <c r="K172" s="61"/>
      <c r="L172" s="61"/>
      <c r="M172" s="61"/>
      <c r="N172" s="60"/>
      <c r="O172" s="60"/>
      <c r="P172" s="60"/>
      <c r="Q172" s="61"/>
      <c r="R172" s="61"/>
      <c r="S172" s="87" t="str">
        <f aca="false">IF(OR(B172="",L172=""),"",INDEX(Lists!$AD$4:$AD$8,MATCH(L172,Lists!$AC$4:$AC$8,0)))</f>
        <v/>
      </c>
      <c r="T172" s="95" t="str">
        <f aca="false">IF(OR(S172="",ISERROR(S172)),"",B172+S172)</f>
        <v/>
      </c>
      <c r="U172" s="61"/>
      <c r="V172" s="63"/>
      <c r="W172" s="63"/>
      <c r="X172" s="60"/>
      <c r="Y172" s="62" t="str">
        <f aca="false">IF(E172="","",IF(AND(B172&lt;&gt;"",B172&gt;='Weekly Report'!$F$4,B172&lt;='Weekly Report'!$F$5),"NEW",IF(AND(W172&lt;&gt;"",W172&gt;='Weekly Report'!$F$4,W172&lt;='Weekly Report'!$F$5),"CHANGED","")))</f>
        <v/>
      </c>
      <c r="Z172" s="87" t="str">
        <f aca="true">IF(B172="","",IF(V172&lt;&gt;"",V172-B172,TODAY()-B172))</f>
        <v/>
      </c>
      <c r="AA172" s="62" t="str">
        <f aca="true">IF(OR(B172="",T172="",U172="False Positive",U172="Risk Accepted"),"",IF(V172&lt;&gt;"",IF(V172&gt;T172,"Closed Late","Met"),IF(TODAY()&gt;T172,"SLA BREACH",IF(T172-TODAY()&lt;=7,"Due ≤7d","Within SLA"))))</f>
        <v/>
      </c>
      <c r="AB172" s="61"/>
      <c r="AC172" s="61"/>
      <c r="AD172" s="60"/>
      <c r="AE172" s="88" t="str">
        <f aca="false">IF(Y172&lt;&gt;"",ROW(),"")</f>
        <v/>
      </c>
      <c r="AF172" s="88" t="str">
        <f aca="false">IF(AND(AND(E172&lt;&gt;"",U172&lt;&gt;"Remediated",U172&lt;&gt;"False Positive",U172&lt;&gt;"Risk Accepted"),T172&lt;&gt;"",T172&lt;='Weekly Report'!$F$7),ROW(),"")</f>
        <v/>
      </c>
      <c r="AG172" s="88" t="str">
        <f aca="false">IF(AND(AND(E172&lt;&gt;"",U172&lt;&gt;"Remediated",U172&lt;&gt;"False Positive",U172&lt;&gt;"Risk Accepted"),LEFT(Q172,6)="Breach"),ROW(),"")</f>
        <v/>
      </c>
    </row>
    <row r="173" customFormat="false" ht="15" hidden="false" customHeight="false" outlineLevel="0" collapsed="false">
      <c r="A173" s="56" t="s">
        <v>2329</v>
      </c>
      <c r="B173" s="63"/>
      <c r="C173" s="61"/>
      <c r="D173" s="61"/>
      <c r="E173" s="60"/>
      <c r="F173" s="61"/>
      <c r="G173" s="61"/>
      <c r="H173" s="61"/>
      <c r="I173" s="61"/>
      <c r="J173" s="60"/>
      <c r="K173" s="61"/>
      <c r="L173" s="61"/>
      <c r="M173" s="61"/>
      <c r="N173" s="60"/>
      <c r="O173" s="60"/>
      <c r="P173" s="60"/>
      <c r="Q173" s="61"/>
      <c r="R173" s="61"/>
      <c r="S173" s="87" t="str">
        <f aca="false">IF(OR(B173="",L173=""),"",INDEX(Lists!$AD$4:$AD$8,MATCH(L173,Lists!$AC$4:$AC$8,0)))</f>
        <v/>
      </c>
      <c r="T173" s="95" t="str">
        <f aca="false">IF(OR(S173="",ISERROR(S173)),"",B173+S173)</f>
        <v/>
      </c>
      <c r="U173" s="61"/>
      <c r="V173" s="63"/>
      <c r="W173" s="63"/>
      <c r="X173" s="60"/>
      <c r="Y173" s="62" t="str">
        <f aca="false">IF(E173="","",IF(AND(B173&lt;&gt;"",B173&gt;='Weekly Report'!$F$4,B173&lt;='Weekly Report'!$F$5),"NEW",IF(AND(W173&lt;&gt;"",W173&gt;='Weekly Report'!$F$4,W173&lt;='Weekly Report'!$F$5),"CHANGED","")))</f>
        <v/>
      </c>
      <c r="Z173" s="87" t="str">
        <f aca="true">IF(B173="","",IF(V173&lt;&gt;"",V173-B173,TODAY()-B173))</f>
        <v/>
      </c>
      <c r="AA173" s="62" t="str">
        <f aca="true">IF(OR(B173="",T173="",U173="False Positive",U173="Risk Accepted"),"",IF(V173&lt;&gt;"",IF(V173&gt;T173,"Closed Late","Met"),IF(TODAY()&gt;T173,"SLA BREACH",IF(T173-TODAY()&lt;=7,"Due ≤7d","Within SLA"))))</f>
        <v/>
      </c>
      <c r="AB173" s="61"/>
      <c r="AC173" s="61"/>
      <c r="AD173" s="60"/>
      <c r="AE173" s="88" t="str">
        <f aca="false">IF(Y173&lt;&gt;"",ROW(),"")</f>
        <v/>
      </c>
      <c r="AF173" s="88" t="str">
        <f aca="false">IF(AND(AND(E173&lt;&gt;"",U173&lt;&gt;"Remediated",U173&lt;&gt;"False Positive",U173&lt;&gt;"Risk Accepted"),T173&lt;&gt;"",T173&lt;='Weekly Report'!$F$7),ROW(),"")</f>
        <v/>
      </c>
      <c r="AG173" s="88" t="str">
        <f aca="false">IF(AND(AND(E173&lt;&gt;"",U173&lt;&gt;"Remediated",U173&lt;&gt;"False Positive",U173&lt;&gt;"Risk Accepted"),LEFT(Q173,6)="Breach"),ROW(),"")</f>
        <v/>
      </c>
    </row>
    <row r="174" customFormat="false" ht="15" hidden="false" customHeight="false" outlineLevel="0" collapsed="false">
      <c r="A174" s="56" t="s">
        <v>2330</v>
      </c>
      <c r="B174" s="63"/>
      <c r="C174" s="61"/>
      <c r="D174" s="61"/>
      <c r="E174" s="60"/>
      <c r="F174" s="61"/>
      <c r="G174" s="61"/>
      <c r="H174" s="61"/>
      <c r="I174" s="61"/>
      <c r="J174" s="60"/>
      <c r="K174" s="61"/>
      <c r="L174" s="61"/>
      <c r="M174" s="61"/>
      <c r="N174" s="60"/>
      <c r="O174" s="60"/>
      <c r="P174" s="60"/>
      <c r="Q174" s="61"/>
      <c r="R174" s="61"/>
      <c r="S174" s="87" t="str">
        <f aca="false">IF(OR(B174="",L174=""),"",INDEX(Lists!$AD$4:$AD$8,MATCH(L174,Lists!$AC$4:$AC$8,0)))</f>
        <v/>
      </c>
      <c r="T174" s="95" t="str">
        <f aca="false">IF(OR(S174="",ISERROR(S174)),"",B174+S174)</f>
        <v/>
      </c>
      <c r="U174" s="61"/>
      <c r="V174" s="63"/>
      <c r="W174" s="63"/>
      <c r="X174" s="60"/>
      <c r="Y174" s="62" t="str">
        <f aca="false">IF(E174="","",IF(AND(B174&lt;&gt;"",B174&gt;='Weekly Report'!$F$4,B174&lt;='Weekly Report'!$F$5),"NEW",IF(AND(W174&lt;&gt;"",W174&gt;='Weekly Report'!$F$4,W174&lt;='Weekly Report'!$F$5),"CHANGED","")))</f>
        <v/>
      </c>
      <c r="Z174" s="87" t="str">
        <f aca="true">IF(B174="","",IF(V174&lt;&gt;"",V174-B174,TODAY()-B174))</f>
        <v/>
      </c>
      <c r="AA174" s="62" t="str">
        <f aca="true">IF(OR(B174="",T174="",U174="False Positive",U174="Risk Accepted"),"",IF(V174&lt;&gt;"",IF(V174&gt;T174,"Closed Late","Met"),IF(TODAY()&gt;T174,"SLA BREACH",IF(T174-TODAY()&lt;=7,"Due ≤7d","Within SLA"))))</f>
        <v/>
      </c>
      <c r="AB174" s="61"/>
      <c r="AC174" s="61"/>
      <c r="AD174" s="60"/>
      <c r="AE174" s="88" t="str">
        <f aca="false">IF(Y174&lt;&gt;"",ROW(),"")</f>
        <v/>
      </c>
      <c r="AF174" s="88" t="str">
        <f aca="false">IF(AND(AND(E174&lt;&gt;"",U174&lt;&gt;"Remediated",U174&lt;&gt;"False Positive",U174&lt;&gt;"Risk Accepted"),T174&lt;&gt;"",T174&lt;='Weekly Report'!$F$7),ROW(),"")</f>
        <v/>
      </c>
      <c r="AG174" s="88" t="str">
        <f aca="false">IF(AND(AND(E174&lt;&gt;"",U174&lt;&gt;"Remediated",U174&lt;&gt;"False Positive",U174&lt;&gt;"Risk Accepted"),LEFT(Q174,6)="Breach"),ROW(),"")</f>
        <v/>
      </c>
    </row>
    <row r="175" customFormat="false" ht="15" hidden="false" customHeight="false" outlineLevel="0" collapsed="false">
      <c r="A175" s="56" t="s">
        <v>2331</v>
      </c>
      <c r="B175" s="63"/>
      <c r="C175" s="61"/>
      <c r="D175" s="61"/>
      <c r="E175" s="60"/>
      <c r="F175" s="61"/>
      <c r="G175" s="61"/>
      <c r="H175" s="61"/>
      <c r="I175" s="61"/>
      <c r="J175" s="60"/>
      <c r="K175" s="61"/>
      <c r="L175" s="61"/>
      <c r="M175" s="61"/>
      <c r="N175" s="60"/>
      <c r="O175" s="60"/>
      <c r="P175" s="60"/>
      <c r="Q175" s="61"/>
      <c r="R175" s="61"/>
      <c r="S175" s="87" t="str">
        <f aca="false">IF(OR(B175="",L175=""),"",INDEX(Lists!$AD$4:$AD$8,MATCH(L175,Lists!$AC$4:$AC$8,0)))</f>
        <v/>
      </c>
      <c r="T175" s="95" t="str">
        <f aca="false">IF(OR(S175="",ISERROR(S175)),"",B175+S175)</f>
        <v/>
      </c>
      <c r="U175" s="61"/>
      <c r="V175" s="63"/>
      <c r="W175" s="63"/>
      <c r="X175" s="60"/>
      <c r="Y175" s="62" t="str">
        <f aca="false">IF(E175="","",IF(AND(B175&lt;&gt;"",B175&gt;='Weekly Report'!$F$4,B175&lt;='Weekly Report'!$F$5),"NEW",IF(AND(W175&lt;&gt;"",W175&gt;='Weekly Report'!$F$4,W175&lt;='Weekly Report'!$F$5),"CHANGED","")))</f>
        <v/>
      </c>
      <c r="Z175" s="87" t="str">
        <f aca="true">IF(B175="","",IF(V175&lt;&gt;"",V175-B175,TODAY()-B175))</f>
        <v/>
      </c>
      <c r="AA175" s="62" t="str">
        <f aca="true">IF(OR(B175="",T175="",U175="False Positive",U175="Risk Accepted"),"",IF(V175&lt;&gt;"",IF(V175&gt;T175,"Closed Late","Met"),IF(TODAY()&gt;T175,"SLA BREACH",IF(T175-TODAY()&lt;=7,"Due ≤7d","Within SLA"))))</f>
        <v/>
      </c>
      <c r="AB175" s="61"/>
      <c r="AC175" s="61"/>
      <c r="AD175" s="60"/>
      <c r="AE175" s="88" t="str">
        <f aca="false">IF(Y175&lt;&gt;"",ROW(),"")</f>
        <v/>
      </c>
      <c r="AF175" s="88" t="str">
        <f aca="false">IF(AND(AND(E175&lt;&gt;"",U175&lt;&gt;"Remediated",U175&lt;&gt;"False Positive",U175&lt;&gt;"Risk Accepted"),T175&lt;&gt;"",T175&lt;='Weekly Report'!$F$7),ROW(),"")</f>
        <v/>
      </c>
      <c r="AG175" s="88" t="str">
        <f aca="false">IF(AND(AND(E175&lt;&gt;"",U175&lt;&gt;"Remediated",U175&lt;&gt;"False Positive",U175&lt;&gt;"Risk Accepted"),LEFT(Q175,6)="Breach"),ROW(),"")</f>
        <v/>
      </c>
    </row>
    <row r="176" customFormat="false" ht="15" hidden="false" customHeight="false" outlineLevel="0" collapsed="false">
      <c r="A176" s="56" t="s">
        <v>2332</v>
      </c>
      <c r="B176" s="63"/>
      <c r="C176" s="61"/>
      <c r="D176" s="61"/>
      <c r="E176" s="60"/>
      <c r="F176" s="61"/>
      <c r="G176" s="61"/>
      <c r="H176" s="61"/>
      <c r="I176" s="61"/>
      <c r="J176" s="60"/>
      <c r="K176" s="61"/>
      <c r="L176" s="61"/>
      <c r="M176" s="61"/>
      <c r="N176" s="60"/>
      <c r="O176" s="60"/>
      <c r="P176" s="60"/>
      <c r="Q176" s="61"/>
      <c r="R176" s="61"/>
      <c r="S176" s="87" t="str">
        <f aca="false">IF(OR(B176="",L176=""),"",INDEX(Lists!$AD$4:$AD$8,MATCH(L176,Lists!$AC$4:$AC$8,0)))</f>
        <v/>
      </c>
      <c r="T176" s="95" t="str">
        <f aca="false">IF(OR(S176="",ISERROR(S176)),"",B176+S176)</f>
        <v/>
      </c>
      <c r="U176" s="61"/>
      <c r="V176" s="63"/>
      <c r="W176" s="63"/>
      <c r="X176" s="60"/>
      <c r="Y176" s="62" t="str">
        <f aca="false">IF(E176="","",IF(AND(B176&lt;&gt;"",B176&gt;='Weekly Report'!$F$4,B176&lt;='Weekly Report'!$F$5),"NEW",IF(AND(W176&lt;&gt;"",W176&gt;='Weekly Report'!$F$4,W176&lt;='Weekly Report'!$F$5),"CHANGED","")))</f>
        <v/>
      </c>
      <c r="Z176" s="87" t="str">
        <f aca="true">IF(B176="","",IF(V176&lt;&gt;"",V176-B176,TODAY()-B176))</f>
        <v/>
      </c>
      <c r="AA176" s="62" t="str">
        <f aca="true">IF(OR(B176="",T176="",U176="False Positive",U176="Risk Accepted"),"",IF(V176&lt;&gt;"",IF(V176&gt;T176,"Closed Late","Met"),IF(TODAY()&gt;T176,"SLA BREACH",IF(T176-TODAY()&lt;=7,"Due ≤7d","Within SLA"))))</f>
        <v/>
      </c>
      <c r="AB176" s="61"/>
      <c r="AC176" s="61"/>
      <c r="AD176" s="60"/>
      <c r="AE176" s="88" t="str">
        <f aca="false">IF(Y176&lt;&gt;"",ROW(),"")</f>
        <v/>
      </c>
      <c r="AF176" s="88" t="str">
        <f aca="false">IF(AND(AND(E176&lt;&gt;"",U176&lt;&gt;"Remediated",U176&lt;&gt;"False Positive",U176&lt;&gt;"Risk Accepted"),T176&lt;&gt;"",T176&lt;='Weekly Report'!$F$7),ROW(),"")</f>
        <v/>
      </c>
      <c r="AG176" s="88" t="str">
        <f aca="false">IF(AND(AND(E176&lt;&gt;"",U176&lt;&gt;"Remediated",U176&lt;&gt;"False Positive",U176&lt;&gt;"Risk Accepted"),LEFT(Q176,6)="Breach"),ROW(),"")</f>
        <v/>
      </c>
    </row>
    <row r="177" customFormat="false" ht="15" hidden="false" customHeight="false" outlineLevel="0" collapsed="false">
      <c r="A177" s="56" t="s">
        <v>2333</v>
      </c>
      <c r="B177" s="63"/>
      <c r="C177" s="61"/>
      <c r="D177" s="61"/>
      <c r="E177" s="60"/>
      <c r="F177" s="61"/>
      <c r="G177" s="61"/>
      <c r="H177" s="61"/>
      <c r="I177" s="61"/>
      <c r="J177" s="60"/>
      <c r="K177" s="61"/>
      <c r="L177" s="61"/>
      <c r="M177" s="61"/>
      <c r="N177" s="60"/>
      <c r="O177" s="60"/>
      <c r="P177" s="60"/>
      <c r="Q177" s="61"/>
      <c r="R177" s="61"/>
      <c r="S177" s="87" t="str">
        <f aca="false">IF(OR(B177="",L177=""),"",INDEX(Lists!$AD$4:$AD$8,MATCH(L177,Lists!$AC$4:$AC$8,0)))</f>
        <v/>
      </c>
      <c r="T177" s="95" t="str">
        <f aca="false">IF(OR(S177="",ISERROR(S177)),"",B177+S177)</f>
        <v/>
      </c>
      <c r="U177" s="61"/>
      <c r="V177" s="63"/>
      <c r="W177" s="63"/>
      <c r="X177" s="60"/>
      <c r="Y177" s="62" t="str">
        <f aca="false">IF(E177="","",IF(AND(B177&lt;&gt;"",B177&gt;='Weekly Report'!$F$4,B177&lt;='Weekly Report'!$F$5),"NEW",IF(AND(W177&lt;&gt;"",W177&gt;='Weekly Report'!$F$4,W177&lt;='Weekly Report'!$F$5),"CHANGED","")))</f>
        <v/>
      </c>
      <c r="Z177" s="87" t="str">
        <f aca="true">IF(B177="","",IF(V177&lt;&gt;"",V177-B177,TODAY()-B177))</f>
        <v/>
      </c>
      <c r="AA177" s="62" t="str">
        <f aca="true">IF(OR(B177="",T177="",U177="False Positive",U177="Risk Accepted"),"",IF(V177&lt;&gt;"",IF(V177&gt;T177,"Closed Late","Met"),IF(TODAY()&gt;T177,"SLA BREACH",IF(T177-TODAY()&lt;=7,"Due ≤7d","Within SLA"))))</f>
        <v/>
      </c>
      <c r="AB177" s="61"/>
      <c r="AC177" s="61"/>
      <c r="AD177" s="60"/>
      <c r="AE177" s="88" t="str">
        <f aca="false">IF(Y177&lt;&gt;"",ROW(),"")</f>
        <v/>
      </c>
      <c r="AF177" s="88" t="str">
        <f aca="false">IF(AND(AND(E177&lt;&gt;"",U177&lt;&gt;"Remediated",U177&lt;&gt;"False Positive",U177&lt;&gt;"Risk Accepted"),T177&lt;&gt;"",T177&lt;='Weekly Report'!$F$7),ROW(),"")</f>
        <v/>
      </c>
      <c r="AG177" s="88" t="str">
        <f aca="false">IF(AND(AND(E177&lt;&gt;"",U177&lt;&gt;"Remediated",U177&lt;&gt;"False Positive",U177&lt;&gt;"Risk Accepted"),LEFT(Q177,6)="Breach"),ROW(),"")</f>
        <v/>
      </c>
    </row>
    <row r="178" customFormat="false" ht="15" hidden="false" customHeight="false" outlineLevel="0" collapsed="false">
      <c r="A178" s="56" t="s">
        <v>2334</v>
      </c>
      <c r="B178" s="63"/>
      <c r="C178" s="61"/>
      <c r="D178" s="61"/>
      <c r="E178" s="60"/>
      <c r="F178" s="61"/>
      <c r="G178" s="61"/>
      <c r="H178" s="61"/>
      <c r="I178" s="61"/>
      <c r="J178" s="60"/>
      <c r="K178" s="61"/>
      <c r="L178" s="61"/>
      <c r="M178" s="61"/>
      <c r="N178" s="60"/>
      <c r="O178" s="60"/>
      <c r="P178" s="60"/>
      <c r="Q178" s="61"/>
      <c r="R178" s="61"/>
      <c r="S178" s="87" t="str">
        <f aca="false">IF(OR(B178="",L178=""),"",INDEX(Lists!$AD$4:$AD$8,MATCH(L178,Lists!$AC$4:$AC$8,0)))</f>
        <v/>
      </c>
      <c r="T178" s="95" t="str">
        <f aca="false">IF(OR(S178="",ISERROR(S178)),"",B178+S178)</f>
        <v/>
      </c>
      <c r="U178" s="61"/>
      <c r="V178" s="63"/>
      <c r="W178" s="63"/>
      <c r="X178" s="60"/>
      <c r="Y178" s="62" t="str">
        <f aca="false">IF(E178="","",IF(AND(B178&lt;&gt;"",B178&gt;='Weekly Report'!$F$4,B178&lt;='Weekly Report'!$F$5),"NEW",IF(AND(W178&lt;&gt;"",W178&gt;='Weekly Report'!$F$4,W178&lt;='Weekly Report'!$F$5),"CHANGED","")))</f>
        <v/>
      </c>
      <c r="Z178" s="87" t="str">
        <f aca="true">IF(B178="","",IF(V178&lt;&gt;"",V178-B178,TODAY()-B178))</f>
        <v/>
      </c>
      <c r="AA178" s="62" t="str">
        <f aca="true">IF(OR(B178="",T178="",U178="False Positive",U178="Risk Accepted"),"",IF(V178&lt;&gt;"",IF(V178&gt;T178,"Closed Late","Met"),IF(TODAY()&gt;T178,"SLA BREACH",IF(T178-TODAY()&lt;=7,"Due ≤7d","Within SLA"))))</f>
        <v/>
      </c>
      <c r="AB178" s="61"/>
      <c r="AC178" s="61"/>
      <c r="AD178" s="60"/>
      <c r="AE178" s="88" t="str">
        <f aca="false">IF(Y178&lt;&gt;"",ROW(),"")</f>
        <v/>
      </c>
      <c r="AF178" s="88" t="str">
        <f aca="false">IF(AND(AND(E178&lt;&gt;"",U178&lt;&gt;"Remediated",U178&lt;&gt;"False Positive",U178&lt;&gt;"Risk Accepted"),T178&lt;&gt;"",T178&lt;='Weekly Report'!$F$7),ROW(),"")</f>
        <v/>
      </c>
      <c r="AG178" s="88" t="str">
        <f aca="false">IF(AND(AND(E178&lt;&gt;"",U178&lt;&gt;"Remediated",U178&lt;&gt;"False Positive",U178&lt;&gt;"Risk Accepted"),LEFT(Q178,6)="Breach"),ROW(),"")</f>
        <v/>
      </c>
    </row>
    <row r="179" customFormat="false" ht="15" hidden="false" customHeight="false" outlineLevel="0" collapsed="false">
      <c r="A179" s="56" t="s">
        <v>2335</v>
      </c>
      <c r="B179" s="63"/>
      <c r="C179" s="61"/>
      <c r="D179" s="61"/>
      <c r="E179" s="60"/>
      <c r="F179" s="61"/>
      <c r="G179" s="61"/>
      <c r="H179" s="61"/>
      <c r="I179" s="61"/>
      <c r="J179" s="60"/>
      <c r="K179" s="61"/>
      <c r="L179" s="61"/>
      <c r="M179" s="61"/>
      <c r="N179" s="60"/>
      <c r="O179" s="60"/>
      <c r="P179" s="60"/>
      <c r="Q179" s="61"/>
      <c r="R179" s="61"/>
      <c r="S179" s="87" t="str">
        <f aca="false">IF(OR(B179="",L179=""),"",INDEX(Lists!$AD$4:$AD$8,MATCH(L179,Lists!$AC$4:$AC$8,0)))</f>
        <v/>
      </c>
      <c r="T179" s="95" t="str">
        <f aca="false">IF(OR(S179="",ISERROR(S179)),"",B179+S179)</f>
        <v/>
      </c>
      <c r="U179" s="61"/>
      <c r="V179" s="63"/>
      <c r="W179" s="63"/>
      <c r="X179" s="60"/>
      <c r="Y179" s="62" t="str">
        <f aca="false">IF(E179="","",IF(AND(B179&lt;&gt;"",B179&gt;='Weekly Report'!$F$4,B179&lt;='Weekly Report'!$F$5),"NEW",IF(AND(W179&lt;&gt;"",W179&gt;='Weekly Report'!$F$4,W179&lt;='Weekly Report'!$F$5),"CHANGED","")))</f>
        <v/>
      </c>
      <c r="Z179" s="87" t="str">
        <f aca="true">IF(B179="","",IF(V179&lt;&gt;"",V179-B179,TODAY()-B179))</f>
        <v/>
      </c>
      <c r="AA179" s="62" t="str">
        <f aca="true">IF(OR(B179="",T179="",U179="False Positive",U179="Risk Accepted"),"",IF(V179&lt;&gt;"",IF(V179&gt;T179,"Closed Late","Met"),IF(TODAY()&gt;T179,"SLA BREACH",IF(T179-TODAY()&lt;=7,"Due ≤7d","Within SLA"))))</f>
        <v/>
      </c>
      <c r="AB179" s="61"/>
      <c r="AC179" s="61"/>
      <c r="AD179" s="60"/>
      <c r="AE179" s="88" t="str">
        <f aca="false">IF(Y179&lt;&gt;"",ROW(),"")</f>
        <v/>
      </c>
      <c r="AF179" s="88" t="str">
        <f aca="false">IF(AND(AND(E179&lt;&gt;"",U179&lt;&gt;"Remediated",U179&lt;&gt;"False Positive",U179&lt;&gt;"Risk Accepted"),T179&lt;&gt;"",T179&lt;='Weekly Report'!$F$7),ROW(),"")</f>
        <v/>
      </c>
      <c r="AG179" s="88" t="str">
        <f aca="false">IF(AND(AND(E179&lt;&gt;"",U179&lt;&gt;"Remediated",U179&lt;&gt;"False Positive",U179&lt;&gt;"Risk Accepted"),LEFT(Q179,6)="Breach"),ROW(),"")</f>
        <v/>
      </c>
    </row>
    <row r="180" customFormat="false" ht="15" hidden="false" customHeight="false" outlineLevel="0" collapsed="false">
      <c r="A180" s="56" t="s">
        <v>2336</v>
      </c>
      <c r="B180" s="63"/>
      <c r="C180" s="61"/>
      <c r="D180" s="61"/>
      <c r="E180" s="60"/>
      <c r="F180" s="61"/>
      <c r="G180" s="61"/>
      <c r="H180" s="61"/>
      <c r="I180" s="61"/>
      <c r="J180" s="60"/>
      <c r="K180" s="61"/>
      <c r="L180" s="61"/>
      <c r="M180" s="61"/>
      <c r="N180" s="60"/>
      <c r="O180" s="60"/>
      <c r="P180" s="60"/>
      <c r="Q180" s="61"/>
      <c r="R180" s="61"/>
      <c r="S180" s="87" t="str">
        <f aca="false">IF(OR(B180="",L180=""),"",INDEX(Lists!$AD$4:$AD$8,MATCH(L180,Lists!$AC$4:$AC$8,0)))</f>
        <v/>
      </c>
      <c r="T180" s="95" t="str">
        <f aca="false">IF(OR(S180="",ISERROR(S180)),"",B180+S180)</f>
        <v/>
      </c>
      <c r="U180" s="61"/>
      <c r="V180" s="63"/>
      <c r="W180" s="63"/>
      <c r="X180" s="60"/>
      <c r="Y180" s="62" t="str">
        <f aca="false">IF(E180="","",IF(AND(B180&lt;&gt;"",B180&gt;='Weekly Report'!$F$4,B180&lt;='Weekly Report'!$F$5),"NEW",IF(AND(W180&lt;&gt;"",W180&gt;='Weekly Report'!$F$4,W180&lt;='Weekly Report'!$F$5),"CHANGED","")))</f>
        <v/>
      </c>
      <c r="Z180" s="87" t="str">
        <f aca="true">IF(B180="","",IF(V180&lt;&gt;"",V180-B180,TODAY()-B180))</f>
        <v/>
      </c>
      <c r="AA180" s="62" t="str">
        <f aca="true">IF(OR(B180="",T180="",U180="False Positive",U180="Risk Accepted"),"",IF(V180&lt;&gt;"",IF(V180&gt;T180,"Closed Late","Met"),IF(TODAY()&gt;T180,"SLA BREACH",IF(T180-TODAY()&lt;=7,"Due ≤7d","Within SLA"))))</f>
        <v/>
      </c>
      <c r="AB180" s="61"/>
      <c r="AC180" s="61"/>
      <c r="AD180" s="60"/>
      <c r="AE180" s="88" t="str">
        <f aca="false">IF(Y180&lt;&gt;"",ROW(),"")</f>
        <v/>
      </c>
      <c r="AF180" s="88" t="str">
        <f aca="false">IF(AND(AND(E180&lt;&gt;"",U180&lt;&gt;"Remediated",U180&lt;&gt;"False Positive",U180&lt;&gt;"Risk Accepted"),T180&lt;&gt;"",T180&lt;='Weekly Report'!$F$7),ROW(),"")</f>
        <v/>
      </c>
      <c r="AG180" s="88" t="str">
        <f aca="false">IF(AND(AND(E180&lt;&gt;"",U180&lt;&gt;"Remediated",U180&lt;&gt;"False Positive",U180&lt;&gt;"Risk Accepted"),LEFT(Q180,6)="Breach"),ROW(),"")</f>
        <v/>
      </c>
    </row>
    <row r="181" customFormat="false" ht="15" hidden="false" customHeight="false" outlineLevel="0" collapsed="false">
      <c r="A181" s="56" t="s">
        <v>2337</v>
      </c>
      <c r="B181" s="63"/>
      <c r="C181" s="61"/>
      <c r="D181" s="61"/>
      <c r="E181" s="60"/>
      <c r="F181" s="61"/>
      <c r="G181" s="61"/>
      <c r="H181" s="61"/>
      <c r="I181" s="61"/>
      <c r="J181" s="60"/>
      <c r="K181" s="61"/>
      <c r="L181" s="61"/>
      <c r="M181" s="61"/>
      <c r="N181" s="60"/>
      <c r="O181" s="60"/>
      <c r="P181" s="60"/>
      <c r="Q181" s="61"/>
      <c r="R181" s="61"/>
      <c r="S181" s="87" t="str">
        <f aca="false">IF(OR(B181="",L181=""),"",INDEX(Lists!$AD$4:$AD$8,MATCH(L181,Lists!$AC$4:$AC$8,0)))</f>
        <v/>
      </c>
      <c r="T181" s="95" t="str">
        <f aca="false">IF(OR(S181="",ISERROR(S181)),"",B181+S181)</f>
        <v/>
      </c>
      <c r="U181" s="61"/>
      <c r="V181" s="63"/>
      <c r="W181" s="63"/>
      <c r="X181" s="60"/>
      <c r="Y181" s="62" t="str">
        <f aca="false">IF(E181="","",IF(AND(B181&lt;&gt;"",B181&gt;='Weekly Report'!$F$4,B181&lt;='Weekly Report'!$F$5),"NEW",IF(AND(W181&lt;&gt;"",W181&gt;='Weekly Report'!$F$4,W181&lt;='Weekly Report'!$F$5),"CHANGED","")))</f>
        <v/>
      </c>
      <c r="Z181" s="87" t="str">
        <f aca="true">IF(B181="","",IF(V181&lt;&gt;"",V181-B181,TODAY()-B181))</f>
        <v/>
      </c>
      <c r="AA181" s="62" t="str">
        <f aca="true">IF(OR(B181="",T181="",U181="False Positive",U181="Risk Accepted"),"",IF(V181&lt;&gt;"",IF(V181&gt;T181,"Closed Late","Met"),IF(TODAY()&gt;T181,"SLA BREACH",IF(T181-TODAY()&lt;=7,"Due ≤7d","Within SLA"))))</f>
        <v/>
      </c>
      <c r="AB181" s="61"/>
      <c r="AC181" s="61"/>
      <c r="AD181" s="60"/>
      <c r="AE181" s="88" t="str">
        <f aca="false">IF(Y181&lt;&gt;"",ROW(),"")</f>
        <v/>
      </c>
      <c r="AF181" s="88" t="str">
        <f aca="false">IF(AND(AND(E181&lt;&gt;"",U181&lt;&gt;"Remediated",U181&lt;&gt;"False Positive",U181&lt;&gt;"Risk Accepted"),T181&lt;&gt;"",T181&lt;='Weekly Report'!$F$7),ROW(),"")</f>
        <v/>
      </c>
      <c r="AG181" s="88" t="str">
        <f aca="false">IF(AND(AND(E181&lt;&gt;"",U181&lt;&gt;"Remediated",U181&lt;&gt;"False Positive",U181&lt;&gt;"Risk Accepted"),LEFT(Q181,6)="Breach"),ROW(),"")</f>
        <v/>
      </c>
    </row>
    <row r="182" customFormat="false" ht="15" hidden="false" customHeight="false" outlineLevel="0" collapsed="false">
      <c r="A182" s="56" t="s">
        <v>2338</v>
      </c>
      <c r="B182" s="63"/>
      <c r="C182" s="61"/>
      <c r="D182" s="61"/>
      <c r="E182" s="60"/>
      <c r="F182" s="61"/>
      <c r="G182" s="61"/>
      <c r="H182" s="61"/>
      <c r="I182" s="61"/>
      <c r="J182" s="60"/>
      <c r="K182" s="61"/>
      <c r="L182" s="61"/>
      <c r="M182" s="61"/>
      <c r="N182" s="60"/>
      <c r="O182" s="60"/>
      <c r="P182" s="60"/>
      <c r="Q182" s="61"/>
      <c r="R182" s="61"/>
      <c r="S182" s="87" t="str">
        <f aca="false">IF(OR(B182="",L182=""),"",INDEX(Lists!$AD$4:$AD$8,MATCH(L182,Lists!$AC$4:$AC$8,0)))</f>
        <v/>
      </c>
      <c r="T182" s="95" t="str">
        <f aca="false">IF(OR(S182="",ISERROR(S182)),"",B182+S182)</f>
        <v/>
      </c>
      <c r="U182" s="61"/>
      <c r="V182" s="63"/>
      <c r="W182" s="63"/>
      <c r="X182" s="60"/>
      <c r="Y182" s="62" t="str">
        <f aca="false">IF(E182="","",IF(AND(B182&lt;&gt;"",B182&gt;='Weekly Report'!$F$4,B182&lt;='Weekly Report'!$F$5),"NEW",IF(AND(W182&lt;&gt;"",W182&gt;='Weekly Report'!$F$4,W182&lt;='Weekly Report'!$F$5),"CHANGED","")))</f>
        <v/>
      </c>
      <c r="Z182" s="87" t="str">
        <f aca="true">IF(B182="","",IF(V182&lt;&gt;"",V182-B182,TODAY()-B182))</f>
        <v/>
      </c>
      <c r="AA182" s="62" t="str">
        <f aca="true">IF(OR(B182="",T182="",U182="False Positive",U182="Risk Accepted"),"",IF(V182&lt;&gt;"",IF(V182&gt;T182,"Closed Late","Met"),IF(TODAY()&gt;T182,"SLA BREACH",IF(T182-TODAY()&lt;=7,"Due ≤7d","Within SLA"))))</f>
        <v/>
      </c>
      <c r="AB182" s="61"/>
      <c r="AC182" s="61"/>
      <c r="AD182" s="60"/>
      <c r="AE182" s="88" t="str">
        <f aca="false">IF(Y182&lt;&gt;"",ROW(),"")</f>
        <v/>
      </c>
      <c r="AF182" s="88" t="str">
        <f aca="false">IF(AND(AND(E182&lt;&gt;"",U182&lt;&gt;"Remediated",U182&lt;&gt;"False Positive",U182&lt;&gt;"Risk Accepted"),T182&lt;&gt;"",T182&lt;='Weekly Report'!$F$7),ROW(),"")</f>
        <v/>
      </c>
      <c r="AG182" s="88" t="str">
        <f aca="false">IF(AND(AND(E182&lt;&gt;"",U182&lt;&gt;"Remediated",U182&lt;&gt;"False Positive",U182&lt;&gt;"Risk Accepted"),LEFT(Q182,6)="Breach"),ROW(),"")</f>
        <v/>
      </c>
    </row>
    <row r="183" customFormat="false" ht="15" hidden="false" customHeight="false" outlineLevel="0" collapsed="false">
      <c r="A183" s="56" t="s">
        <v>2339</v>
      </c>
      <c r="B183" s="63"/>
      <c r="C183" s="61"/>
      <c r="D183" s="61"/>
      <c r="E183" s="60"/>
      <c r="F183" s="61"/>
      <c r="G183" s="61"/>
      <c r="H183" s="61"/>
      <c r="I183" s="61"/>
      <c r="J183" s="60"/>
      <c r="K183" s="61"/>
      <c r="L183" s="61"/>
      <c r="M183" s="61"/>
      <c r="N183" s="60"/>
      <c r="O183" s="60"/>
      <c r="P183" s="60"/>
      <c r="Q183" s="61"/>
      <c r="R183" s="61"/>
      <c r="S183" s="87" t="str">
        <f aca="false">IF(OR(B183="",L183=""),"",INDEX(Lists!$AD$4:$AD$8,MATCH(L183,Lists!$AC$4:$AC$8,0)))</f>
        <v/>
      </c>
      <c r="T183" s="95" t="str">
        <f aca="false">IF(OR(S183="",ISERROR(S183)),"",B183+S183)</f>
        <v/>
      </c>
      <c r="U183" s="61"/>
      <c r="V183" s="63"/>
      <c r="W183" s="63"/>
      <c r="X183" s="60"/>
      <c r="Y183" s="62" t="str">
        <f aca="false">IF(E183="","",IF(AND(B183&lt;&gt;"",B183&gt;='Weekly Report'!$F$4,B183&lt;='Weekly Report'!$F$5),"NEW",IF(AND(W183&lt;&gt;"",W183&gt;='Weekly Report'!$F$4,W183&lt;='Weekly Report'!$F$5),"CHANGED","")))</f>
        <v/>
      </c>
      <c r="Z183" s="87" t="str">
        <f aca="true">IF(B183="","",IF(V183&lt;&gt;"",V183-B183,TODAY()-B183))</f>
        <v/>
      </c>
      <c r="AA183" s="62" t="str">
        <f aca="true">IF(OR(B183="",T183="",U183="False Positive",U183="Risk Accepted"),"",IF(V183&lt;&gt;"",IF(V183&gt;T183,"Closed Late","Met"),IF(TODAY()&gt;T183,"SLA BREACH",IF(T183-TODAY()&lt;=7,"Due ≤7d","Within SLA"))))</f>
        <v/>
      </c>
      <c r="AB183" s="61"/>
      <c r="AC183" s="61"/>
      <c r="AD183" s="60"/>
      <c r="AE183" s="88" t="str">
        <f aca="false">IF(Y183&lt;&gt;"",ROW(),"")</f>
        <v/>
      </c>
      <c r="AF183" s="88" t="str">
        <f aca="false">IF(AND(AND(E183&lt;&gt;"",U183&lt;&gt;"Remediated",U183&lt;&gt;"False Positive",U183&lt;&gt;"Risk Accepted"),T183&lt;&gt;"",T183&lt;='Weekly Report'!$F$7),ROW(),"")</f>
        <v/>
      </c>
      <c r="AG183" s="88" t="str">
        <f aca="false">IF(AND(AND(E183&lt;&gt;"",U183&lt;&gt;"Remediated",U183&lt;&gt;"False Positive",U183&lt;&gt;"Risk Accepted"),LEFT(Q183,6)="Breach"),ROW(),"")</f>
        <v/>
      </c>
    </row>
    <row r="184" customFormat="false" ht="15" hidden="false" customHeight="false" outlineLevel="0" collapsed="false">
      <c r="A184" s="56" t="s">
        <v>2340</v>
      </c>
      <c r="B184" s="63"/>
      <c r="C184" s="61"/>
      <c r="D184" s="61"/>
      <c r="E184" s="60"/>
      <c r="F184" s="61"/>
      <c r="G184" s="61"/>
      <c r="H184" s="61"/>
      <c r="I184" s="61"/>
      <c r="J184" s="60"/>
      <c r="K184" s="61"/>
      <c r="L184" s="61"/>
      <c r="M184" s="61"/>
      <c r="N184" s="60"/>
      <c r="O184" s="60"/>
      <c r="P184" s="60"/>
      <c r="Q184" s="61"/>
      <c r="R184" s="61"/>
      <c r="S184" s="87" t="str">
        <f aca="false">IF(OR(B184="",L184=""),"",INDEX(Lists!$AD$4:$AD$8,MATCH(L184,Lists!$AC$4:$AC$8,0)))</f>
        <v/>
      </c>
      <c r="T184" s="95" t="str">
        <f aca="false">IF(OR(S184="",ISERROR(S184)),"",B184+S184)</f>
        <v/>
      </c>
      <c r="U184" s="61"/>
      <c r="V184" s="63"/>
      <c r="W184" s="63"/>
      <c r="X184" s="60"/>
      <c r="Y184" s="62" t="str">
        <f aca="false">IF(E184="","",IF(AND(B184&lt;&gt;"",B184&gt;='Weekly Report'!$F$4,B184&lt;='Weekly Report'!$F$5),"NEW",IF(AND(W184&lt;&gt;"",W184&gt;='Weekly Report'!$F$4,W184&lt;='Weekly Report'!$F$5),"CHANGED","")))</f>
        <v/>
      </c>
      <c r="Z184" s="87" t="str">
        <f aca="true">IF(B184="","",IF(V184&lt;&gt;"",V184-B184,TODAY()-B184))</f>
        <v/>
      </c>
      <c r="AA184" s="62" t="str">
        <f aca="true">IF(OR(B184="",T184="",U184="False Positive",U184="Risk Accepted"),"",IF(V184&lt;&gt;"",IF(V184&gt;T184,"Closed Late","Met"),IF(TODAY()&gt;T184,"SLA BREACH",IF(T184-TODAY()&lt;=7,"Due ≤7d","Within SLA"))))</f>
        <v/>
      </c>
      <c r="AB184" s="61"/>
      <c r="AC184" s="61"/>
      <c r="AD184" s="60"/>
      <c r="AE184" s="88" t="str">
        <f aca="false">IF(Y184&lt;&gt;"",ROW(),"")</f>
        <v/>
      </c>
      <c r="AF184" s="88" t="str">
        <f aca="false">IF(AND(AND(E184&lt;&gt;"",U184&lt;&gt;"Remediated",U184&lt;&gt;"False Positive",U184&lt;&gt;"Risk Accepted"),T184&lt;&gt;"",T184&lt;='Weekly Report'!$F$7),ROW(),"")</f>
        <v/>
      </c>
      <c r="AG184" s="88" t="str">
        <f aca="false">IF(AND(AND(E184&lt;&gt;"",U184&lt;&gt;"Remediated",U184&lt;&gt;"False Positive",U184&lt;&gt;"Risk Accepted"),LEFT(Q184,6)="Breach"),ROW(),"")</f>
        <v/>
      </c>
    </row>
    <row r="185" customFormat="false" ht="15" hidden="false" customHeight="false" outlineLevel="0" collapsed="false">
      <c r="A185" s="56" t="s">
        <v>2341</v>
      </c>
      <c r="B185" s="63"/>
      <c r="C185" s="61"/>
      <c r="D185" s="61"/>
      <c r="E185" s="60"/>
      <c r="F185" s="61"/>
      <c r="G185" s="61"/>
      <c r="H185" s="61"/>
      <c r="I185" s="61"/>
      <c r="J185" s="60"/>
      <c r="K185" s="61"/>
      <c r="L185" s="61"/>
      <c r="M185" s="61"/>
      <c r="N185" s="60"/>
      <c r="O185" s="60"/>
      <c r="P185" s="60"/>
      <c r="Q185" s="61"/>
      <c r="R185" s="61"/>
      <c r="S185" s="87" t="str">
        <f aca="false">IF(OR(B185="",L185=""),"",INDEX(Lists!$AD$4:$AD$8,MATCH(L185,Lists!$AC$4:$AC$8,0)))</f>
        <v/>
      </c>
      <c r="T185" s="95" t="str">
        <f aca="false">IF(OR(S185="",ISERROR(S185)),"",B185+S185)</f>
        <v/>
      </c>
      <c r="U185" s="61"/>
      <c r="V185" s="63"/>
      <c r="W185" s="63"/>
      <c r="X185" s="60"/>
      <c r="Y185" s="62" t="str">
        <f aca="false">IF(E185="","",IF(AND(B185&lt;&gt;"",B185&gt;='Weekly Report'!$F$4,B185&lt;='Weekly Report'!$F$5),"NEW",IF(AND(W185&lt;&gt;"",W185&gt;='Weekly Report'!$F$4,W185&lt;='Weekly Report'!$F$5),"CHANGED","")))</f>
        <v/>
      </c>
      <c r="Z185" s="87" t="str">
        <f aca="true">IF(B185="","",IF(V185&lt;&gt;"",V185-B185,TODAY()-B185))</f>
        <v/>
      </c>
      <c r="AA185" s="62" t="str">
        <f aca="true">IF(OR(B185="",T185="",U185="False Positive",U185="Risk Accepted"),"",IF(V185&lt;&gt;"",IF(V185&gt;T185,"Closed Late","Met"),IF(TODAY()&gt;T185,"SLA BREACH",IF(T185-TODAY()&lt;=7,"Due ≤7d","Within SLA"))))</f>
        <v/>
      </c>
      <c r="AB185" s="61"/>
      <c r="AC185" s="61"/>
      <c r="AD185" s="60"/>
      <c r="AE185" s="88" t="str">
        <f aca="false">IF(Y185&lt;&gt;"",ROW(),"")</f>
        <v/>
      </c>
      <c r="AF185" s="88" t="str">
        <f aca="false">IF(AND(AND(E185&lt;&gt;"",U185&lt;&gt;"Remediated",U185&lt;&gt;"False Positive",U185&lt;&gt;"Risk Accepted"),T185&lt;&gt;"",T185&lt;='Weekly Report'!$F$7),ROW(),"")</f>
        <v/>
      </c>
      <c r="AG185" s="88" t="str">
        <f aca="false">IF(AND(AND(E185&lt;&gt;"",U185&lt;&gt;"Remediated",U185&lt;&gt;"False Positive",U185&lt;&gt;"Risk Accepted"),LEFT(Q185,6)="Breach"),ROW(),"")</f>
        <v/>
      </c>
    </row>
    <row r="186" customFormat="false" ht="15" hidden="false" customHeight="false" outlineLevel="0" collapsed="false">
      <c r="A186" s="56" t="s">
        <v>2342</v>
      </c>
      <c r="B186" s="63"/>
      <c r="C186" s="61"/>
      <c r="D186" s="61"/>
      <c r="E186" s="60"/>
      <c r="F186" s="61"/>
      <c r="G186" s="61"/>
      <c r="H186" s="61"/>
      <c r="I186" s="61"/>
      <c r="J186" s="60"/>
      <c r="K186" s="61"/>
      <c r="L186" s="61"/>
      <c r="M186" s="61"/>
      <c r="N186" s="60"/>
      <c r="O186" s="60"/>
      <c r="P186" s="60"/>
      <c r="Q186" s="61"/>
      <c r="R186" s="61"/>
      <c r="S186" s="87" t="str">
        <f aca="false">IF(OR(B186="",L186=""),"",INDEX(Lists!$AD$4:$AD$8,MATCH(L186,Lists!$AC$4:$AC$8,0)))</f>
        <v/>
      </c>
      <c r="T186" s="95" t="str">
        <f aca="false">IF(OR(S186="",ISERROR(S186)),"",B186+S186)</f>
        <v/>
      </c>
      <c r="U186" s="61"/>
      <c r="V186" s="63"/>
      <c r="W186" s="63"/>
      <c r="X186" s="60"/>
      <c r="Y186" s="62" t="str">
        <f aca="false">IF(E186="","",IF(AND(B186&lt;&gt;"",B186&gt;='Weekly Report'!$F$4,B186&lt;='Weekly Report'!$F$5),"NEW",IF(AND(W186&lt;&gt;"",W186&gt;='Weekly Report'!$F$4,W186&lt;='Weekly Report'!$F$5),"CHANGED","")))</f>
        <v/>
      </c>
      <c r="Z186" s="87" t="str">
        <f aca="true">IF(B186="","",IF(V186&lt;&gt;"",V186-B186,TODAY()-B186))</f>
        <v/>
      </c>
      <c r="AA186" s="62" t="str">
        <f aca="true">IF(OR(B186="",T186="",U186="False Positive",U186="Risk Accepted"),"",IF(V186&lt;&gt;"",IF(V186&gt;T186,"Closed Late","Met"),IF(TODAY()&gt;T186,"SLA BREACH",IF(T186-TODAY()&lt;=7,"Due ≤7d","Within SLA"))))</f>
        <v/>
      </c>
      <c r="AB186" s="61"/>
      <c r="AC186" s="61"/>
      <c r="AD186" s="60"/>
      <c r="AE186" s="88" t="str">
        <f aca="false">IF(Y186&lt;&gt;"",ROW(),"")</f>
        <v/>
      </c>
      <c r="AF186" s="88" t="str">
        <f aca="false">IF(AND(AND(E186&lt;&gt;"",U186&lt;&gt;"Remediated",U186&lt;&gt;"False Positive",U186&lt;&gt;"Risk Accepted"),T186&lt;&gt;"",T186&lt;='Weekly Report'!$F$7),ROW(),"")</f>
        <v/>
      </c>
      <c r="AG186" s="88" t="str">
        <f aca="false">IF(AND(AND(E186&lt;&gt;"",U186&lt;&gt;"Remediated",U186&lt;&gt;"False Positive",U186&lt;&gt;"Risk Accepted"),LEFT(Q186,6)="Breach"),ROW(),"")</f>
        <v/>
      </c>
    </row>
    <row r="187" customFormat="false" ht="15" hidden="false" customHeight="false" outlineLevel="0" collapsed="false">
      <c r="A187" s="56" t="s">
        <v>2343</v>
      </c>
      <c r="B187" s="63"/>
      <c r="C187" s="61"/>
      <c r="D187" s="61"/>
      <c r="E187" s="60"/>
      <c r="F187" s="61"/>
      <c r="G187" s="61"/>
      <c r="H187" s="61"/>
      <c r="I187" s="61"/>
      <c r="J187" s="60"/>
      <c r="K187" s="61"/>
      <c r="L187" s="61"/>
      <c r="M187" s="61"/>
      <c r="N187" s="60"/>
      <c r="O187" s="60"/>
      <c r="P187" s="60"/>
      <c r="Q187" s="61"/>
      <c r="R187" s="61"/>
      <c r="S187" s="87" t="str">
        <f aca="false">IF(OR(B187="",L187=""),"",INDEX(Lists!$AD$4:$AD$8,MATCH(L187,Lists!$AC$4:$AC$8,0)))</f>
        <v/>
      </c>
      <c r="T187" s="95" t="str">
        <f aca="false">IF(OR(S187="",ISERROR(S187)),"",B187+S187)</f>
        <v/>
      </c>
      <c r="U187" s="61"/>
      <c r="V187" s="63"/>
      <c r="W187" s="63"/>
      <c r="X187" s="60"/>
      <c r="Y187" s="62" t="str">
        <f aca="false">IF(E187="","",IF(AND(B187&lt;&gt;"",B187&gt;='Weekly Report'!$F$4,B187&lt;='Weekly Report'!$F$5),"NEW",IF(AND(W187&lt;&gt;"",W187&gt;='Weekly Report'!$F$4,W187&lt;='Weekly Report'!$F$5),"CHANGED","")))</f>
        <v/>
      </c>
      <c r="Z187" s="87" t="str">
        <f aca="true">IF(B187="","",IF(V187&lt;&gt;"",V187-B187,TODAY()-B187))</f>
        <v/>
      </c>
      <c r="AA187" s="62" t="str">
        <f aca="true">IF(OR(B187="",T187="",U187="False Positive",U187="Risk Accepted"),"",IF(V187&lt;&gt;"",IF(V187&gt;T187,"Closed Late","Met"),IF(TODAY()&gt;T187,"SLA BREACH",IF(T187-TODAY()&lt;=7,"Due ≤7d","Within SLA"))))</f>
        <v/>
      </c>
      <c r="AB187" s="61"/>
      <c r="AC187" s="61"/>
      <c r="AD187" s="60"/>
      <c r="AE187" s="88" t="str">
        <f aca="false">IF(Y187&lt;&gt;"",ROW(),"")</f>
        <v/>
      </c>
      <c r="AF187" s="88" t="str">
        <f aca="false">IF(AND(AND(E187&lt;&gt;"",U187&lt;&gt;"Remediated",U187&lt;&gt;"False Positive",U187&lt;&gt;"Risk Accepted"),T187&lt;&gt;"",T187&lt;='Weekly Report'!$F$7),ROW(),"")</f>
        <v/>
      </c>
      <c r="AG187" s="88" t="str">
        <f aca="false">IF(AND(AND(E187&lt;&gt;"",U187&lt;&gt;"Remediated",U187&lt;&gt;"False Positive",U187&lt;&gt;"Risk Accepted"),LEFT(Q187,6)="Breach"),ROW(),"")</f>
        <v/>
      </c>
    </row>
    <row r="188" customFormat="false" ht="15" hidden="false" customHeight="false" outlineLevel="0" collapsed="false">
      <c r="A188" s="56" t="s">
        <v>2344</v>
      </c>
      <c r="B188" s="63"/>
      <c r="C188" s="61"/>
      <c r="D188" s="61"/>
      <c r="E188" s="60"/>
      <c r="F188" s="61"/>
      <c r="G188" s="61"/>
      <c r="H188" s="61"/>
      <c r="I188" s="61"/>
      <c r="J188" s="60"/>
      <c r="K188" s="61"/>
      <c r="L188" s="61"/>
      <c r="M188" s="61"/>
      <c r="N188" s="60"/>
      <c r="O188" s="60"/>
      <c r="P188" s="60"/>
      <c r="Q188" s="61"/>
      <c r="R188" s="61"/>
      <c r="S188" s="87" t="str">
        <f aca="false">IF(OR(B188="",L188=""),"",INDEX(Lists!$AD$4:$AD$8,MATCH(L188,Lists!$AC$4:$AC$8,0)))</f>
        <v/>
      </c>
      <c r="T188" s="95" t="str">
        <f aca="false">IF(OR(S188="",ISERROR(S188)),"",B188+S188)</f>
        <v/>
      </c>
      <c r="U188" s="61"/>
      <c r="V188" s="63"/>
      <c r="W188" s="63"/>
      <c r="X188" s="60"/>
      <c r="Y188" s="62" t="str">
        <f aca="false">IF(E188="","",IF(AND(B188&lt;&gt;"",B188&gt;='Weekly Report'!$F$4,B188&lt;='Weekly Report'!$F$5),"NEW",IF(AND(W188&lt;&gt;"",W188&gt;='Weekly Report'!$F$4,W188&lt;='Weekly Report'!$F$5),"CHANGED","")))</f>
        <v/>
      </c>
      <c r="Z188" s="87" t="str">
        <f aca="true">IF(B188="","",IF(V188&lt;&gt;"",V188-B188,TODAY()-B188))</f>
        <v/>
      </c>
      <c r="AA188" s="62" t="str">
        <f aca="true">IF(OR(B188="",T188="",U188="False Positive",U188="Risk Accepted"),"",IF(V188&lt;&gt;"",IF(V188&gt;T188,"Closed Late","Met"),IF(TODAY()&gt;T188,"SLA BREACH",IF(T188-TODAY()&lt;=7,"Due ≤7d","Within SLA"))))</f>
        <v/>
      </c>
      <c r="AB188" s="61"/>
      <c r="AC188" s="61"/>
      <c r="AD188" s="60"/>
      <c r="AE188" s="88" t="str">
        <f aca="false">IF(Y188&lt;&gt;"",ROW(),"")</f>
        <v/>
      </c>
      <c r="AF188" s="88" t="str">
        <f aca="false">IF(AND(AND(E188&lt;&gt;"",U188&lt;&gt;"Remediated",U188&lt;&gt;"False Positive",U188&lt;&gt;"Risk Accepted"),T188&lt;&gt;"",T188&lt;='Weekly Report'!$F$7),ROW(),"")</f>
        <v/>
      </c>
      <c r="AG188" s="88" t="str">
        <f aca="false">IF(AND(AND(E188&lt;&gt;"",U188&lt;&gt;"Remediated",U188&lt;&gt;"False Positive",U188&lt;&gt;"Risk Accepted"),LEFT(Q188,6)="Breach"),ROW(),"")</f>
        <v/>
      </c>
    </row>
    <row r="189" customFormat="false" ht="15" hidden="false" customHeight="false" outlineLevel="0" collapsed="false">
      <c r="A189" s="56" t="s">
        <v>2345</v>
      </c>
      <c r="B189" s="63"/>
      <c r="C189" s="61"/>
      <c r="D189" s="61"/>
      <c r="E189" s="60"/>
      <c r="F189" s="61"/>
      <c r="G189" s="61"/>
      <c r="H189" s="61"/>
      <c r="I189" s="61"/>
      <c r="J189" s="60"/>
      <c r="K189" s="61"/>
      <c r="L189" s="61"/>
      <c r="M189" s="61"/>
      <c r="N189" s="60"/>
      <c r="O189" s="60"/>
      <c r="P189" s="60"/>
      <c r="Q189" s="61"/>
      <c r="R189" s="61"/>
      <c r="S189" s="87" t="str">
        <f aca="false">IF(OR(B189="",L189=""),"",INDEX(Lists!$AD$4:$AD$8,MATCH(L189,Lists!$AC$4:$AC$8,0)))</f>
        <v/>
      </c>
      <c r="T189" s="95" t="str">
        <f aca="false">IF(OR(S189="",ISERROR(S189)),"",B189+S189)</f>
        <v/>
      </c>
      <c r="U189" s="61"/>
      <c r="V189" s="63"/>
      <c r="W189" s="63"/>
      <c r="X189" s="60"/>
      <c r="Y189" s="62" t="str">
        <f aca="false">IF(E189="","",IF(AND(B189&lt;&gt;"",B189&gt;='Weekly Report'!$F$4,B189&lt;='Weekly Report'!$F$5),"NEW",IF(AND(W189&lt;&gt;"",W189&gt;='Weekly Report'!$F$4,W189&lt;='Weekly Report'!$F$5),"CHANGED","")))</f>
        <v/>
      </c>
      <c r="Z189" s="87" t="str">
        <f aca="true">IF(B189="","",IF(V189&lt;&gt;"",V189-B189,TODAY()-B189))</f>
        <v/>
      </c>
      <c r="AA189" s="62" t="str">
        <f aca="true">IF(OR(B189="",T189="",U189="False Positive",U189="Risk Accepted"),"",IF(V189&lt;&gt;"",IF(V189&gt;T189,"Closed Late","Met"),IF(TODAY()&gt;T189,"SLA BREACH",IF(T189-TODAY()&lt;=7,"Due ≤7d","Within SLA"))))</f>
        <v/>
      </c>
      <c r="AB189" s="61"/>
      <c r="AC189" s="61"/>
      <c r="AD189" s="60"/>
      <c r="AE189" s="88" t="str">
        <f aca="false">IF(Y189&lt;&gt;"",ROW(),"")</f>
        <v/>
      </c>
      <c r="AF189" s="88" t="str">
        <f aca="false">IF(AND(AND(E189&lt;&gt;"",U189&lt;&gt;"Remediated",U189&lt;&gt;"False Positive",U189&lt;&gt;"Risk Accepted"),T189&lt;&gt;"",T189&lt;='Weekly Report'!$F$7),ROW(),"")</f>
        <v/>
      </c>
      <c r="AG189" s="88" t="str">
        <f aca="false">IF(AND(AND(E189&lt;&gt;"",U189&lt;&gt;"Remediated",U189&lt;&gt;"False Positive",U189&lt;&gt;"Risk Accepted"),LEFT(Q189,6)="Breach"),ROW(),"")</f>
        <v/>
      </c>
    </row>
    <row r="190" customFormat="false" ht="15" hidden="false" customHeight="false" outlineLevel="0" collapsed="false">
      <c r="A190" s="56" t="s">
        <v>2346</v>
      </c>
      <c r="B190" s="63"/>
      <c r="C190" s="61"/>
      <c r="D190" s="61"/>
      <c r="E190" s="60"/>
      <c r="F190" s="61"/>
      <c r="G190" s="61"/>
      <c r="H190" s="61"/>
      <c r="I190" s="61"/>
      <c r="J190" s="60"/>
      <c r="K190" s="61"/>
      <c r="L190" s="61"/>
      <c r="M190" s="61"/>
      <c r="N190" s="60"/>
      <c r="O190" s="60"/>
      <c r="P190" s="60"/>
      <c r="Q190" s="61"/>
      <c r="R190" s="61"/>
      <c r="S190" s="87" t="str">
        <f aca="false">IF(OR(B190="",L190=""),"",INDEX(Lists!$AD$4:$AD$8,MATCH(L190,Lists!$AC$4:$AC$8,0)))</f>
        <v/>
      </c>
      <c r="T190" s="95" t="str">
        <f aca="false">IF(OR(S190="",ISERROR(S190)),"",B190+S190)</f>
        <v/>
      </c>
      <c r="U190" s="61"/>
      <c r="V190" s="63"/>
      <c r="W190" s="63"/>
      <c r="X190" s="60"/>
      <c r="Y190" s="62" t="str">
        <f aca="false">IF(E190="","",IF(AND(B190&lt;&gt;"",B190&gt;='Weekly Report'!$F$4,B190&lt;='Weekly Report'!$F$5),"NEW",IF(AND(W190&lt;&gt;"",W190&gt;='Weekly Report'!$F$4,W190&lt;='Weekly Report'!$F$5),"CHANGED","")))</f>
        <v/>
      </c>
      <c r="Z190" s="87" t="str">
        <f aca="true">IF(B190="","",IF(V190&lt;&gt;"",V190-B190,TODAY()-B190))</f>
        <v/>
      </c>
      <c r="AA190" s="62" t="str">
        <f aca="true">IF(OR(B190="",T190="",U190="False Positive",U190="Risk Accepted"),"",IF(V190&lt;&gt;"",IF(V190&gt;T190,"Closed Late","Met"),IF(TODAY()&gt;T190,"SLA BREACH",IF(T190-TODAY()&lt;=7,"Due ≤7d","Within SLA"))))</f>
        <v/>
      </c>
      <c r="AB190" s="61"/>
      <c r="AC190" s="61"/>
      <c r="AD190" s="60"/>
      <c r="AE190" s="88" t="str">
        <f aca="false">IF(Y190&lt;&gt;"",ROW(),"")</f>
        <v/>
      </c>
      <c r="AF190" s="88" t="str">
        <f aca="false">IF(AND(AND(E190&lt;&gt;"",U190&lt;&gt;"Remediated",U190&lt;&gt;"False Positive",U190&lt;&gt;"Risk Accepted"),T190&lt;&gt;"",T190&lt;='Weekly Report'!$F$7),ROW(),"")</f>
        <v/>
      </c>
      <c r="AG190" s="88" t="str">
        <f aca="false">IF(AND(AND(E190&lt;&gt;"",U190&lt;&gt;"Remediated",U190&lt;&gt;"False Positive",U190&lt;&gt;"Risk Accepted"),LEFT(Q190,6)="Breach"),ROW(),"")</f>
        <v/>
      </c>
    </row>
    <row r="191" customFormat="false" ht="15" hidden="false" customHeight="false" outlineLevel="0" collapsed="false">
      <c r="A191" s="56" t="s">
        <v>2347</v>
      </c>
      <c r="B191" s="63"/>
      <c r="C191" s="61"/>
      <c r="D191" s="61"/>
      <c r="E191" s="60"/>
      <c r="F191" s="61"/>
      <c r="G191" s="61"/>
      <c r="H191" s="61"/>
      <c r="I191" s="61"/>
      <c r="J191" s="60"/>
      <c r="K191" s="61"/>
      <c r="L191" s="61"/>
      <c r="M191" s="61"/>
      <c r="N191" s="60"/>
      <c r="O191" s="60"/>
      <c r="P191" s="60"/>
      <c r="Q191" s="61"/>
      <c r="R191" s="61"/>
      <c r="S191" s="87" t="str">
        <f aca="false">IF(OR(B191="",L191=""),"",INDEX(Lists!$AD$4:$AD$8,MATCH(L191,Lists!$AC$4:$AC$8,0)))</f>
        <v/>
      </c>
      <c r="T191" s="95" t="str">
        <f aca="false">IF(OR(S191="",ISERROR(S191)),"",B191+S191)</f>
        <v/>
      </c>
      <c r="U191" s="61"/>
      <c r="V191" s="63"/>
      <c r="W191" s="63"/>
      <c r="X191" s="60"/>
      <c r="Y191" s="62" t="str">
        <f aca="false">IF(E191="","",IF(AND(B191&lt;&gt;"",B191&gt;='Weekly Report'!$F$4,B191&lt;='Weekly Report'!$F$5),"NEW",IF(AND(W191&lt;&gt;"",W191&gt;='Weekly Report'!$F$4,W191&lt;='Weekly Report'!$F$5),"CHANGED","")))</f>
        <v/>
      </c>
      <c r="Z191" s="87" t="str">
        <f aca="true">IF(B191="","",IF(V191&lt;&gt;"",V191-B191,TODAY()-B191))</f>
        <v/>
      </c>
      <c r="AA191" s="62" t="str">
        <f aca="true">IF(OR(B191="",T191="",U191="False Positive",U191="Risk Accepted"),"",IF(V191&lt;&gt;"",IF(V191&gt;T191,"Closed Late","Met"),IF(TODAY()&gt;T191,"SLA BREACH",IF(T191-TODAY()&lt;=7,"Due ≤7d","Within SLA"))))</f>
        <v/>
      </c>
      <c r="AB191" s="61"/>
      <c r="AC191" s="61"/>
      <c r="AD191" s="60"/>
      <c r="AE191" s="88" t="str">
        <f aca="false">IF(Y191&lt;&gt;"",ROW(),"")</f>
        <v/>
      </c>
      <c r="AF191" s="88" t="str">
        <f aca="false">IF(AND(AND(E191&lt;&gt;"",U191&lt;&gt;"Remediated",U191&lt;&gt;"False Positive",U191&lt;&gt;"Risk Accepted"),T191&lt;&gt;"",T191&lt;='Weekly Report'!$F$7),ROW(),"")</f>
        <v/>
      </c>
      <c r="AG191" s="88" t="str">
        <f aca="false">IF(AND(AND(E191&lt;&gt;"",U191&lt;&gt;"Remediated",U191&lt;&gt;"False Positive",U191&lt;&gt;"Risk Accepted"),LEFT(Q191,6)="Breach"),ROW(),"")</f>
        <v/>
      </c>
    </row>
    <row r="192" customFormat="false" ht="15" hidden="false" customHeight="false" outlineLevel="0" collapsed="false">
      <c r="A192" s="56" t="s">
        <v>2348</v>
      </c>
      <c r="B192" s="63"/>
      <c r="C192" s="61"/>
      <c r="D192" s="61"/>
      <c r="E192" s="60"/>
      <c r="F192" s="61"/>
      <c r="G192" s="61"/>
      <c r="H192" s="61"/>
      <c r="I192" s="61"/>
      <c r="J192" s="60"/>
      <c r="K192" s="61"/>
      <c r="L192" s="61"/>
      <c r="M192" s="61"/>
      <c r="N192" s="60"/>
      <c r="O192" s="60"/>
      <c r="P192" s="60"/>
      <c r="Q192" s="61"/>
      <c r="R192" s="61"/>
      <c r="S192" s="87" t="str">
        <f aca="false">IF(OR(B192="",L192=""),"",INDEX(Lists!$AD$4:$AD$8,MATCH(L192,Lists!$AC$4:$AC$8,0)))</f>
        <v/>
      </c>
      <c r="T192" s="95" t="str">
        <f aca="false">IF(OR(S192="",ISERROR(S192)),"",B192+S192)</f>
        <v/>
      </c>
      <c r="U192" s="61"/>
      <c r="V192" s="63"/>
      <c r="W192" s="63"/>
      <c r="X192" s="60"/>
      <c r="Y192" s="62" t="str">
        <f aca="false">IF(E192="","",IF(AND(B192&lt;&gt;"",B192&gt;='Weekly Report'!$F$4,B192&lt;='Weekly Report'!$F$5),"NEW",IF(AND(W192&lt;&gt;"",W192&gt;='Weekly Report'!$F$4,W192&lt;='Weekly Report'!$F$5),"CHANGED","")))</f>
        <v/>
      </c>
      <c r="Z192" s="87" t="str">
        <f aca="true">IF(B192="","",IF(V192&lt;&gt;"",V192-B192,TODAY()-B192))</f>
        <v/>
      </c>
      <c r="AA192" s="62" t="str">
        <f aca="true">IF(OR(B192="",T192="",U192="False Positive",U192="Risk Accepted"),"",IF(V192&lt;&gt;"",IF(V192&gt;T192,"Closed Late","Met"),IF(TODAY()&gt;T192,"SLA BREACH",IF(T192-TODAY()&lt;=7,"Due ≤7d","Within SLA"))))</f>
        <v/>
      </c>
      <c r="AB192" s="61"/>
      <c r="AC192" s="61"/>
      <c r="AD192" s="60"/>
      <c r="AE192" s="88" t="str">
        <f aca="false">IF(Y192&lt;&gt;"",ROW(),"")</f>
        <v/>
      </c>
      <c r="AF192" s="88" t="str">
        <f aca="false">IF(AND(AND(E192&lt;&gt;"",U192&lt;&gt;"Remediated",U192&lt;&gt;"False Positive",U192&lt;&gt;"Risk Accepted"),T192&lt;&gt;"",T192&lt;='Weekly Report'!$F$7),ROW(),"")</f>
        <v/>
      </c>
      <c r="AG192" s="88" t="str">
        <f aca="false">IF(AND(AND(E192&lt;&gt;"",U192&lt;&gt;"Remediated",U192&lt;&gt;"False Positive",U192&lt;&gt;"Risk Accepted"),LEFT(Q192,6)="Breach"),ROW(),"")</f>
        <v/>
      </c>
    </row>
    <row r="193" customFormat="false" ht="15" hidden="false" customHeight="false" outlineLevel="0" collapsed="false">
      <c r="A193" s="56" t="s">
        <v>2349</v>
      </c>
      <c r="B193" s="63"/>
      <c r="C193" s="61"/>
      <c r="D193" s="61"/>
      <c r="E193" s="60"/>
      <c r="F193" s="61"/>
      <c r="G193" s="61"/>
      <c r="H193" s="61"/>
      <c r="I193" s="61"/>
      <c r="J193" s="60"/>
      <c r="K193" s="61"/>
      <c r="L193" s="61"/>
      <c r="M193" s="61"/>
      <c r="N193" s="60"/>
      <c r="O193" s="60"/>
      <c r="P193" s="60"/>
      <c r="Q193" s="61"/>
      <c r="R193" s="61"/>
      <c r="S193" s="87" t="str">
        <f aca="false">IF(OR(B193="",L193=""),"",INDEX(Lists!$AD$4:$AD$8,MATCH(L193,Lists!$AC$4:$AC$8,0)))</f>
        <v/>
      </c>
      <c r="T193" s="95" t="str">
        <f aca="false">IF(OR(S193="",ISERROR(S193)),"",B193+S193)</f>
        <v/>
      </c>
      <c r="U193" s="61"/>
      <c r="V193" s="63"/>
      <c r="W193" s="63"/>
      <c r="X193" s="60"/>
      <c r="Y193" s="62" t="str">
        <f aca="false">IF(E193="","",IF(AND(B193&lt;&gt;"",B193&gt;='Weekly Report'!$F$4,B193&lt;='Weekly Report'!$F$5),"NEW",IF(AND(W193&lt;&gt;"",W193&gt;='Weekly Report'!$F$4,W193&lt;='Weekly Report'!$F$5),"CHANGED","")))</f>
        <v/>
      </c>
      <c r="Z193" s="87" t="str">
        <f aca="true">IF(B193="","",IF(V193&lt;&gt;"",V193-B193,TODAY()-B193))</f>
        <v/>
      </c>
      <c r="AA193" s="62" t="str">
        <f aca="true">IF(OR(B193="",T193="",U193="False Positive",U193="Risk Accepted"),"",IF(V193&lt;&gt;"",IF(V193&gt;T193,"Closed Late","Met"),IF(TODAY()&gt;T193,"SLA BREACH",IF(T193-TODAY()&lt;=7,"Due ≤7d","Within SLA"))))</f>
        <v/>
      </c>
      <c r="AB193" s="61"/>
      <c r="AC193" s="61"/>
      <c r="AD193" s="60"/>
      <c r="AE193" s="88" t="str">
        <f aca="false">IF(Y193&lt;&gt;"",ROW(),"")</f>
        <v/>
      </c>
      <c r="AF193" s="88" t="str">
        <f aca="false">IF(AND(AND(E193&lt;&gt;"",U193&lt;&gt;"Remediated",U193&lt;&gt;"False Positive",U193&lt;&gt;"Risk Accepted"),T193&lt;&gt;"",T193&lt;='Weekly Report'!$F$7),ROW(),"")</f>
        <v/>
      </c>
      <c r="AG193" s="88" t="str">
        <f aca="false">IF(AND(AND(E193&lt;&gt;"",U193&lt;&gt;"Remediated",U193&lt;&gt;"False Positive",U193&lt;&gt;"Risk Accepted"),LEFT(Q193,6)="Breach"),ROW(),"")</f>
        <v/>
      </c>
    </row>
    <row r="194" customFormat="false" ht="15" hidden="false" customHeight="false" outlineLevel="0" collapsed="false">
      <c r="A194" s="56" t="s">
        <v>2350</v>
      </c>
      <c r="B194" s="63"/>
      <c r="C194" s="61"/>
      <c r="D194" s="61"/>
      <c r="E194" s="60"/>
      <c r="F194" s="61"/>
      <c r="G194" s="61"/>
      <c r="H194" s="61"/>
      <c r="I194" s="61"/>
      <c r="J194" s="60"/>
      <c r="K194" s="61"/>
      <c r="L194" s="61"/>
      <c r="M194" s="61"/>
      <c r="N194" s="60"/>
      <c r="O194" s="60"/>
      <c r="P194" s="60"/>
      <c r="Q194" s="61"/>
      <c r="R194" s="61"/>
      <c r="S194" s="87" t="str">
        <f aca="false">IF(OR(B194="",L194=""),"",INDEX(Lists!$AD$4:$AD$8,MATCH(L194,Lists!$AC$4:$AC$8,0)))</f>
        <v/>
      </c>
      <c r="T194" s="95" t="str">
        <f aca="false">IF(OR(S194="",ISERROR(S194)),"",B194+S194)</f>
        <v/>
      </c>
      <c r="U194" s="61"/>
      <c r="V194" s="63"/>
      <c r="W194" s="63"/>
      <c r="X194" s="60"/>
      <c r="Y194" s="62" t="str">
        <f aca="false">IF(E194="","",IF(AND(B194&lt;&gt;"",B194&gt;='Weekly Report'!$F$4,B194&lt;='Weekly Report'!$F$5),"NEW",IF(AND(W194&lt;&gt;"",W194&gt;='Weekly Report'!$F$4,W194&lt;='Weekly Report'!$F$5),"CHANGED","")))</f>
        <v/>
      </c>
      <c r="Z194" s="87" t="str">
        <f aca="true">IF(B194="","",IF(V194&lt;&gt;"",V194-B194,TODAY()-B194))</f>
        <v/>
      </c>
      <c r="AA194" s="62" t="str">
        <f aca="true">IF(OR(B194="",T194="",U194="False Positive",U194="Risk Accepted"),"",IF(V194&lt;&gt;"",IF(V194&gt;T194,"Closed Late","Met"),IF(TODAY()&gt;T194,"SLA BREACH",IF(T194-TODAY()&lt;=7,"Due ≤7d","Within SLA"))))</f>
        <v/>
      </c>
      <c r="AB194" s="61"/>
      <c r="AC194" s="61"/>
      <c r="AD194" s="60"/>
      <c r="AE194" s="88" t="str">
        <f aca="false">IF(Y194&lt;&gt;"",ROW(),"")</f>
        <v/>
      </c>
      <c r="AF194" s="88" t="str">
        <f aca="false">IF(AND(AND(E194&lt;&gt;"",U194&lt;&gt;"Remediated",U194&lt;&gt;"False Positive",U194&lt;&gt;"Risk Accepted"),T194&lt;&gt;"",T194&lt;='Weekly Report'!$F$7),ROW(),"")</f>
        <v/>
      </c>
      <c r="AG194" s="88" t="str">
        <f aca="false">IF(AND(AND(E194&lt;&gt;"",U194&lt;&gt;"Remediated",U194&lt;&gt;"False Positive",U194&lt;&gt;"Risk Accepted"),LEFT(Q194,6)="Breach"),ROW(),"")</f>
        <v/>
      </c>
    </row>
    <row r="195" customFormat="false" ht="15" hidden="false" customHeight="false" outlineLevel="0" collapsed="false">
      <c r="A195" s="56" t="s">
        <v>2351</v>
      </c>
      <c r="B195" s="63"/>
      <c r="C195" s="61"/>
      <c r="D195" s="61"/>
      <c r="E195" s="60"/>
      <c r="F195" s="61"/>
      <c r="G195" s="61"/>
      <c r="H195" s="61"/>
      <c r="I195" s="61"/>
      <c r="J195" s="60"/>
      <c r="K195" s="61"/>
      <c r="L195" s="61"/>
      <c r="M195" s="61"/>
      <c r="N195" s="60"/>
      <c r="O195" s="60"/>
      <c r="P195" s="60"/>
      <c r="Q195" s="61"/>
      <c r="R195" s="61"/>
      <c r="S195" s="87" t="str">
        <f aca="false">IF(OR(B195="",L195=""),"",INDEX(Lists!$AD$4:$AD$8,MATCH(L195,Lists!$AC$4:$AC$8,0)))</f>
        <v/>
      </c>
      <c r="T195" s="95" t="str">
        <f aca="false">IF(OR(S195="",ISERROR(S195)),"",B195+S195)</f>
        <v/>
      </c>
      <c r="U195" s="61"/>
      <c r="V195" s="63"/>
      <c r="W195" s="63"/>
      <c r="X195" s="60"/>
      <c r="Y195" s="62" t="str">
        <f aca="false">IF(E195="","",IF(AND(B195&lt;&gt;"",B195&gt;='Weekly Report'!$F$4,B195&lt;='Weekly Report'!$F$5),"NEW",IF(AND(W195&lt;&gt;"",W195&gt;='Weekly Report'!$F$4,W195&lt;='Weekly Report'!$F$5),"CHANGED","")))</f>
        <v/>
      </c>
      <c r="Z195" s="87" t="str">
        <f aca="true">IF(B195="","",IF(V195&lt;&gt;"",V195-B195,TODAY()-B195))</f>
        <v/>
      </c>
      <c r="AA195" s="62" t="str">
        <f aca="true">IF(OR(B195="",T195="",U195="False Positive",U195="Risk Accepted"),"",IF(V195&lt;&gt;"",IF(V195&gt;T195,"Closed Late","Met"),IF(TODAY()&gt;T195,"SLA BREACH",IF(T195-TODAY()&lt;=7,"Due ≤7d","Within SLA"))))</f>
        <v/>
      </c>
      <c r="AB195" s="61"/>
      <c r="AC195" s="61"/>
      <c r="AD195" s="60"/>
      <c r="AE195" s="88" t="str">
        <f aca="false">IF(Y195&lt;&gt;"",ROW(),"")</f>
        <v/>
      </c>
      <c r="AF195" s="88" t="str">
        <f aca="false">IF(AND(AND(E195&lt;&gt;"",U195&lt;&gt;"Remediated",U195&lt;&gt;"False Positive",U195&lt;&gt;"Risk Accepted"),T195&lt;&gt;"",T195&lt;='Weekly Report'!$F$7),ROW(),"")</f>
        <v/>
      </c>
      <c r="AG195" s="88" t="str">
        <f aca="false">IF(AND(AND(E195&lt;&gt;"",U195&lt;&gt;"Remediated",U195&lt;&gt;"False Positive",U195&lt;&gt;"Risk Accepted"),LEFT(Q195,6)="Breach"),ROW(),"")</f>
        <v/>
      </c>
    </row>
    <row r="196" customFormat="false" ht="15" hidden="false" customHeight="false" outlineLevel="0" collapsed="false">
      <c r="A196" s="56" t="s">
        <v>2352</v>
      </c>
      <c r="B196" s="63"/>
      <c r="C196" s="61"/>
      <c r="D196" s="61"/>
      <c r="E196" s="60"/>
      <c r="F196" s="61"/>
      <c r="G196" s="61"/>
      <c r="H196" s="61"/>
      <c r="I196" s="61"/>
      <c r="J196" s="60"/>
      <c r="K196" s="61"/>
      <c r="L196" s="61"/>
      <c r="M196" s="61"/>
      <c r="N196" s="60"/>
      <c r="O196" s="60"/>
      <c r="P196" s="60"/>
      <c r="Q196" s="61"/>
      <c r="R196" s="61"/>
      <c r="S196" s="87" t="str">
        <f aca="false">IF(OR(B196="",L196=""),"",INDEX(Lists!$AD$4:$AD$8,MATCH(L196,Lists!$AC$4:$AC$8,0)))</f>
        <v/>
      </c>
      <c r="T196" s="95" t="str">
        <f aca="false">IF(OR(S196="",ISERROR(S196)),"",B196+S196)</f>
        <v/>
      </c>
      <c r="U196" s="61"/>
      <c r="V196" s="63"/>
      <c r="W196" s="63"/>
      <c r="X196" s="60"/>
      <c r="Y196" s="62" t="str">
        <f aca="false">IF(E196="","",IF(AND(B196&lt;&gt;"",B196&gt;='Weekly Report'!$F$4,B196&lt;='Weekly Report'!$F$5),"NEW",IF(AND(W196&lt;&gt;"",W196&gt;='Weekly Report'!$F$4,W196&lt;='Weekly Report'!$F$5),"CHANGED","")))</f>
        <v/>
      </c>
      <c r="Z196" s="87" t="str">
        <f aca="true">IF(B196="","",IF(V196&lt;&gt;"",V196-B196,TODAY()-B196))</f>
        <v/>
      </c>
      <c r="AA196" s="62" t="str">
        <f aca="true">IF(OR(B196="",T196="",U196="False Positive",U196="Risk Accepted"),"",IF(V196&lt;&gt;"",IF(V196&gt;T196,"Closed Late","Met"),IF(TODAY()&gt;T196,"SLA BREACH",IF(T196-TODAY()&lt;=7,"Due ≤7d","Within SLA"))))</f>
        <v/>
      </c>
      <c r="AB196" s="61"/>
      <c r="AC196" s="61"/>
      <c r="AD196" s="60"/>
      <c r="AE196" s="88" t="str">
        <f aca="false">IF(Y196&lt;&gt;"",ROW(),"")</f>
        <v/>
      </c>
      <c r="AF196" s="88" t="str">
        <f aca="false">IF(AND(AND(E196&lt;&gt;"",U196&lt;&gt;"Remediated",U196&lt;&gt;"False Positive",U196&lt;&gt;"Risk Accepted"),T196&lt;&gt;"",T196&lt;='Weekly Report'!$F$7),ROW(),"")</f>
        <v/>
      </c>
      <c r="AG196" s="88" t="str">
        <f aca="false">IF(AND(AND(E196&lt;&gt;"",U196&lt;&gt;"Remediated",U196&lt;&gt;"False Positive",U196&lt;&gt;"Risk Accepted"),LEFT(Q196,6)="Breach"),ROW(),"")</f>
        <v/>
      </c>
    </row>
    <row r="197" customFormat="false" ht="15" hidden="false" customHeight="false" outlineLevel="0" collapsed="false">
      <c r="A197" s="56" t="s">
        <v>2353</v>
      </c>
      <c r="B197" s="63"/>
      <c r="C197" s="61"/>
      <c r="D197" s="61"/>
      <c r="E197" s="60"/>
      <c r="F197" s="61"/>
      <c r="G197" s="61"/>
      <c r="H197" s="61"/>
      <c r="I197" s="61"/>
      <c r="J197" s="60"/>
      <c r="K197" s="61"/>
      <c r="L197" s="61"/>
      <c r="M197" s="61"/>
      <c r="N197" s="60"/>
      <c r="O197" s="60"/>
      <c r="P197" s="60"/>
      <c r="Q197" s="61"/>
      <c r="R197" s="61"/>
      <c r="S197" s="87" t="str">
        <f aca="false">IF(OR(B197="",L197=""),"",INDEX(Lists!$AD$4:$AD$8,MATCH(L197,Lists!$AC$4:$AC$8,0)))</f>
        <v/>
      </c>
      <c r="T197" s="95" t="str">
        <f aca="false">IF(OR(S197="",ISERROR(S197)),"",B197+S197)</f>
        <v/>
      </c>
      <c r="U197" s="61"/>
      <c r="V197" s="63"/>
      <c r="W197" s="63"/>
      <c r="X197" s="60"/>
      <c r="Y197" s="62" t="str">
        <f aca="false">IF(E197="","",IF(AND(B197&lt;&gt;"",B197&gt;='Weekly Report'!$F$4,B197&lt;='Weekly Report'!$F$5),"NEW",IF(AND(W197&lt;&gt;"",W197&gt;='Weekly Report'!$F$4,W197&lt;='Weekly Report'!$F$5),"CHANGED","")))</f>
        <v/>
      </c>
      <c r="Z197" s="87" t="str">
        <f aca="true">IF(B197="","",IF(V197&lt;&gt;"",V197-B197,TODAY()-B197))</f>
        <v/>
      </c>
      <c r="AA197" s="62" t="str">
        <f aca="true">IF(OR(B197="",T197="",U197="False Positive",U197="Risk Accepted"),"",IF(V197&lt;&gt;"",IF(V197&gt;T197,"Closed Late","Met"),IF(TODAY()&gt;T197,"SLA BREACH",IF(T197-TODAY()&lt;=7,"Due ≤7d","Within SLA"))))</f>
        <v/>
      </c>
      <c r="AB197" s="61"/>
      <c r="AC197" s="61"/>
      <c r="AD197" s="60"/>
      <c r="AE197" s="88" t="str">
        <f aca="false">IF(Y197&lt;&gt;"",ROW(),"")</f>
        <v/>
      </c>
      <c r="AF197" s="88" t="str">
        <f aca="false">IF(AND(AND(E197&lt;&gt;"",U197&lt;&gt;"Remediated",U197&lt;&gt;"False Positive",U197&lt;&gt;"Risk Accepted"),T197&lt;&gt;"",T197&lt;='Weekly Report'!$F$7),ROW(),"")</f>
        <v/>
      </c>
      <c r="AG197" s="88" t="str">
        <f aca="false">IF(AND(AND(E197&lt;&gt;"",U197&lt;&gt;"Remediated",U197&lt;&gt;"False Positive",U197&lt;&gt;"Risk Accepted"),LEFT(Q197,6)="Breach"),ROW(),"")</f>
        <v/>
      </c>
    </row>
    <row r="198" customFormat="false" ht="15" hidden="false" customHeight="false" outlineLevel="0" collapsed="false">
      <c r="A198" s="56" t="s">
        <v>2354</v>
      </c>
      <c r="B198" s="63"/>
      <c r="C198" s="61"/>
      <c r="D198" s="61"/>
      <c r="E198" s="60"/>
      <c r="F198" s="61"/>
      <c r="G198" s="61"/>
      <c r="H198" s="61"/>
      <c r="I198" s="61"/>
      <c r="J198" s="60"/>
      <c r="K198" s="61"/>
      <c r="L198" s="61"/>
      <c r="M198" s="61"/>
      <c r="N198" s="60"/>
      <c r="O198" s="60"/>
      <c r="P198" s="60"/>
      <c r="Q198" s="61"/>
      <c r="R198" s="61"/>
      <c r="S198" s="87" t="str">
        <f aca="false">IF(OR(B198="",L198=""),"",INDEX(Lists!$AD$4:$AD$8,MATCH(L198,Lists!$AC$4:$AC$8,0)))</f>
        <v/>
      </c>
      <c r="T198" s="95" t="str">
        <f aca="false">IF(OR(S198="",ISERROR(S198)),"",B198+S198)</f>
        <v/>
      </c>
      <c r="U198" s="61"/>
      <c r="V198" s="63"/>
      <c r="W198" s="63"/>
      <c r="X198" s="60"/>
      <c r="Y198" s="62" t="str">
        <f aca="false">IF(E198="","",IF(AND(B198&lt;&gt;"",B198&gt;='Weekly Report'!$F$4,B198&lt;='Weekly Report'!$F$5),"NEW",IF(AND(W198&lt;&gt;"",W198&gt;='Weekly Report'!$F$4,W198&lt;='Weekly Report'!$F$5),"CHANGED","")))</f>
        <v/>
      </c>
      <c r="Z198" s="87" t="str">
        <f aca="true">IF(B198="","",IF(V198&lt;&gt;"",V198-B198,TODAY()-B198))</f>
        <v/>
      </c>
      <c r="AA198" s="62" t="str">
        <f aca="true">IF(OR(B198="",T198="",U198="False Positive",U198="Risk Accepted"),"",IF(V198&lt;&gt;"",IF(V198&gt;T198,"Closed Late","Met"),IF(TODAY()&gt;T198,"SLA BREACH",IF(T198-TODAY()&lt;=7,"Due ≤7d","Within SLA"))))</f>
        <v/>
      </c>
      <c r="AB198" s="61"/>
      <c r="AC198" s="61"/>
      <c r="AD198" s="60"/>
      <c r="AE198" s="88" t="str">
        <f aca="false">IF(Y198&lt;&gt;"",ROW(),"")</f>
        <v/>
      </c>
      <c r="AF198" s="88" t="str">
        <f aca="false">IF(AND(AND(E198&lt;&gt;"",U198&lt;&gt;"Remediated",U198&lt;&gt;"False Positive",U198&lt;&gt;"Risk Accepted"),T198&lt;&gt;"",T198&lt;='Weekly Report'!$F$7),ROW(),"")</f>
        <v/>
      </c>
      <c r="AG198" s="88" t="str">
        <f aca="false">IF(AND(AND(E198&lt;&gt;"",U198&lt;&gt;"Remediated",U198&lt;&gt;"False Positive",U198&lt;&gt;"Risk Accepted"),LEFT(Q198,6)="Breach"),ROW(),"")</f>
        <v/>
      </c>
    </row>
    <row r="199" customFormat="false" ht="15" hidden="false" customHeight="false" outlineLevel="0" collapsed="false">
      <c r="A199" s="56" t="s">
        <v>2355</v>
      </c>
      <c r="B199" s="63"/>
      <c r="C199" s="61"/>
      <c r="D199" s="61"/>
      <c r="E199" s="60"/>
      <c r="F199" s="61"/>
      <c r="G199" s="61"/>
      <c r="H199" s="61"/>
      <c r="I199" s="61"/>
      <c r="J199" s="60"/>
      <c r="K199" s="61"/>
      <c r="L199" s="61"/>
      <c r="M199" s="61"/>
      <c r="N199" s="60"/>
      <c r="O199" s="60"/>
      <c r="P199" s="60"/>
      <c r="Q199" s="61"/>
      <c r="R199" s="61"/>
      <c r="S199" s="87" t="str">
        <f aca="false">IF(OR(B199="",L199=""),"",INDEX(Lists!$AD$4:$AD$8,MATCH(L199,Lists!$AC$4:$AC$8,0)))</f>
        <v/>
      </c>
      <c r="T199" s="95" t="str">
        <f aca="false">IF(OR(S199="",ISERROR(S199)),"",B199+S199)</f>
        <v/>
      </c>
      <c r="U199" s="61"/>
      <c r="V199" s="63"/>
      <c r="W199" s="63"/>
      <c r="X199" s="60"/>
      <c r="Y199" s="62" t="str">
        <f aca="false">IF(E199="","",IF(AND(B199&lt;&gt;"",B199&gt;='Weekly Report'!$F$4,B199&lt;='Weekly Report'!$F$5),"NEW",IF(AND(W199&lt;&gt;"",W199&gt;='Weekly Report'!$F$4,W199&lt;='Weekly Report'!$F$5),"CHANGED","")))</f>
        <v/>
      </c>
      <c r="Z199" s="87" t="str">
        <f aca="true">IF(B199="","",IF(V199&lt;&gt;"",V199-B199,TODAY()-B199))</f>
        <v/>
      </c>
      <c r="AA199" s="62" t="str">
        <f aca="true">IF(OR(B199="",T199="",U199="False Positive",U199="Risk Accepted"),"",IF(V199&lt;&gt;"",IF(V199&gt;T199,"Closed Late","Met"),IF(TODAY()&gt;T199,"SLA BREACH",IF(T199-TODAY()&lt;=7,"Due ≤7d","Within SLA"))))</f>
        <v/>
      </c>
      <c r="AB199" s="61"/>
      <c r="AC199" s="61"/>
      <c r="AD199" s="60"/>
      <c r="AE199" s="88" t="str">
        <f aca="false">IF(Y199&lt;&gt;"",ROW(),"")</f>
        <v/>
      </c>
      <c r="AF199" s="88" t="str">
        <f aca="false">IF(AND(AND(E199&lt;&gt;"",U199&lt;&gt;"Remediated",U199&lt;&gt;"False Positive",U199&lt;&gt;"Risk Accepted"),T199&lt;&gt;"",T199&lt;='Weekly Report'!$F$7),ROW(),"")</f>
        <v/>
      </c>
      <c r="AG199" s="88" t="str">
        <f aca="false">IF(AND(AND(E199&lt;&gt;"",U199&lt;&gt;"Remediated",U199&lt;&gt;"False Positive",U199&lt;&gt;"Risk Accepted"),LEFT(Q199,6)="Breach"),ROW(),"")</f>
        <v/>
      </c>
    </row>
    <row r="200" customFormat="false" ht="15" hidden="false" customHeight="false" outlineLevel="0" collapsed="false">
      <c r="A200" s="56" t="s">
        <v>2356</v>
      </c>
      <c r="B200" s="63"/>
      <c r="C200" s="61"/>
      <c r="D200" s="61"/>
      <c r="E200" s="60"/>
      <c r="F200" s="61"/>
      <c r="G200" s="61"/>
      <c r="H200" s="61"/>
      <c r="I200" s="61"/>
      <c r="J200" s="60"/>
      <c r="K200" s="61"/>
      <c r="L200" s="61"/>
      <c r="M200" s="61"/>
      <c r="N200" s="60"/>
      <c r="O200" s="60"/>
      <c r="P200" s="60"/>
      <c r="Q200" s="61"/>
      <c r="R200" s="61"/>
      <c r="S200" s="87" t="str">
        <f aca="false">IF(OR(B200="",L200=""),"",INDEX(Lists!$AD$4:$AD$8,MATCH(L200,Lists!$AC$4:$AC$8,0)))</f>
        <v/>
      </c>
      <c r="T200" s="95" t="str">
        <f aca="false">IF(OR(S200="",ISERROR(S200)),"",B200+S200)</f>
        <v/>
      </c>
      <c r="U200" s="61"/>
      <c r="V200" s="63"/>
      <c r="W200" s="63"/>
      <c r="X200" s="60"/>
      <c r="Y200" s="62" t="str">
        <f aca="false">IF(E200="","",IF(AND(B200&lt;&gt;"",B200&gt;='Weekly Report'!$F$4,B200&lt;='Weekly Report'!$F$5),"NEW",IF(AND(W200&lt;&gt;"",W200&gt;='Weekly Report'!$F$4,W200&lt;='Weekly Report'!$F$5),"CHANGED","")))</f>
        <v/>
      </c>
      <c r="Z200" s="87" t="str">
        <f aca="true">IF(B200="","",IF(V200&lt;&gt;"",V200-B200,TODAY()-B200))</f>
        <v/>
      </c>
      <c r="AA200" s="62" t="str">
        <f aca="true">IF(OR(B200="",T200="",U200="False Positive",U200="Risk Accepted"),"",IF(V200&lt;&gt;"",IF(V200&gt;T200,"Closed Late","Met"),IF(TODAY()&gt;T200,"SLA BREACH",IF(T200-TODAY()&lt;=7,"Due ≤7d","Within SLA"))))</f>
        <v/>
      </c>
      <c r="AB200" s="61"/>
      <c r="AC200" s="61"/>
      <c r="AD200" s="60"/>
      <c r="AE200" s="88" t="str">
        <f aca="false">IF(Y200&lt;&gt;"",ROW(),"")</f>
        <v/>
      </c>
      <c r="AF200" s="88" t="str">
        <f aca="false">IF(AND(AND(E200&lt;&gt;"",U200&lt;&gt;"Remediated",U200&lt;&gt;"False Positive",U200&lt;&gt;"Risk Accepted"),T200&lt;&gt;"",T200&lt;='Weekly Report'!$F$7),ROW(),"")</f>
        <v/>
      </c>
      <c r="AG200" s="88" t="str">
        <f aca="false">IF(AND(AND(E200&lt;&gt;"",U200&lt;&gt;"Remediated",U200&lt;&gt;"False Positive",U200&lt;&gt;"Risk Accepted"),LEFT(Q200,6)="Breach"),ROW(),"")</f>
        <v/>
      </c>
    </row>
    <row r="201" customFormat="false" ht="15" hidden="false" customHeight="false" outlineLevel="0" collapsed="false">
      <c r="A201" s="56" t="s">
        <v>2357</v>
      </c>
      <c r="B201" s="63"/>
      <c r="C201" s="61"/>
      <c r="D201" s="61"/>
      <c r="E201" s="60"/>
      <c r="F201" s="61"/>
      <c r="G201" s="61"/>
      <c r="H201" s="61"/>
      <c r="I201" s="61"/>
      <c r="J201" s="60"/>
      <c r="K201" s="61"/>
      <c r="L201" s="61"/>
      <c r="M201" s="61"/>
      <c r="N201" s="60"/>
      <c r="O201" s="60"/>
      <c r="P201" s="60"/>
      <c r="Q201" s="61"/>
      <c r="R201" s="61"/>
      <c r="S201" s="87" t="str">
        <f aca="false">IF(OR(B201="",L201=""),"",INDEX(Lists!$AD$4:$AD$8,MATCH(L201,Lists!$AC$4:$AC$8,0)))</f>
        <v/>
      </c>
      <c r="T201" s="95" t="str">
        <f aca="false">IF(OR(S201="",ISERROR(S201)),"",B201+S201)</f>
        <v/>
      </c>
      <c r="U201" s="61"/>
      <c r="V201" s="63"/>
      <c r="W201" s="63"/>
      <c r="X201" s="60"/>
      <c r="Y201" s="62" t="str">
        <f aca="false">IF(E201="","",IF(AND(B201&lt;&gt;"",B201&gt;='Weekly Report'!$F$4,B201&lt;='Weekly Report'!$F$5),"NEW",IF(AND(W201&lt;&gt;"",W201&gt;='Weekly Report'!$F$4,W201&lt;='Weekly Report'!$F$5),"CHANGED","")))</f>
        <v/>
      </c>
      <c r="Z201" s="87" t="str">
        <f aca="true">IF(B201="","",IF(V201&lt;&gt;"",V201-B201,TODAY()-B201))</f>
        <v/>
      </c>
      <c r="AA201" s="62" t="str">
        <f aca="true">IF(OR(B201="",T201="",U201="False Positive",U201="Risk Accepted"),"",IF(V201&lt;&gt;"",IF(V201&gt;T201,"Closed Late","Met"),IF(TODAY()&gt;T201,"SLA BREACH",IF(T201-TODAY()&lt;=7,"Due ≤7d","Within SLA"))))</f>
        <v/>
      </c>
      <c r="AB201" s="61"/>
      <c r="AC201" s="61"/>
      <c r="AD201" s="60"/>
      <c r="AE201" s="88" t="str">
        <f aca="false">IF(Y201&lt;&gt;"",ROW(),"")</f>
        <v/>
      </c>
      <c r="AF201" s="88" t="str">
        <f aca="false">IF(AND(AND(E201&lt;&gt;"",U201&lt;&gt;"Remediated",U201&lt;&gt;"False Positive",U201&lt;&gt;"Risk Accepted"),T201&lt;&gt;"",T201&lt;='Weekly Report'!$F$7),ROW(),"")</f>
        <v/>
      </c>
      <c r="AG201" s="88" t="str">
        <f aca="false">IF(AND(AND(E201&lt;&gt;"",U201&lt;&gt;"Remediated",U201&lt;&gt;"False Positive",U201&lt;&gt;"Risk Accepted"),LEFT(Q201,6)="Breach"),ROW(),"")</f>
        <v/>
      </c>
    </row>
    <row r="202" customFormat="false" ht="15" hidden="false" customHeight="false" outlineLevel="0" collapsed="false">
      <c r="A202" s="56" t="s">
        <v>2358</v>
      </c>
      <c r="B202" s="63"/>
      <c r="C202" s="61"/>
      <c r="D202" s="61"/>
      <c r="E202" s="60"/>
      <c r="F202" s="61"/>
      <c r="G202" s="61"/>
      <c r="H202" s="61"/>
      <c r="I202" s="61"/>
      <c r="J202" s="60"/>
      <c r="K202" s="61"/>
      <c r="L202" s="61"/>
      <c r="M202" s="61"/>
      <c r="N202" s="60"/>
      <c r="O202" s="60"/>
      <c r="P202" s="60"/>
      <c r="Q202" s="61"/>
      <c r="R202" s="61"/>
      <c r="S202" s="87" t="str">
        <f aca="false">IF(OR(B202="",L202=""),"",INDEX(Lists!$AD$4:$AD$8,MATCH(L202,Lists!$AC$4:$AC$8,0)))</f>
        <v/>
      </c>
      <c r="T202" s="95" t="str">
        <f aca="false">IF(OR(S202="",ISERROR(S202)),"",B202+S202)</f>
        <v/>
      </c>
      <c r="U202" s="61"/>
      <c r="V202" s="63"/>
      <c r="W202" s="63"/>
      <c r="X202" s="60"/>
      <c r="Y202" s="62" t="str">
        <f aca="false">IF(E202="","",IF(AND(B202&lt;&gt;"",B202&gt;='Weekly Report'!$F$4,B202&lt;='Weekly Report'!$F$5),"NEW",IF(AND(W202&lt;&gt;"",W202&gt;='Weekly Report'!$F$4,W202&lt;='Weekly Report'!$F$5),"CHANGED","")))</f>
        <v/>
      </c>
      <c r="Z202" s="87" t="str">
        <f aca="true">IF(B202="","",IF(V202&lt;&gt;"",V202-B202,TODAY()-B202))</f>
        <v/>
      </c>
      <c r="AA202" s="62" t="str">
        <f aca="true">IF(OR(B202="",T202="",U202="False Positive",U202="Risk Accepted"),"",IF(V202&lt;&gt;"",IF(V202&gt;T202,"Closed Late","Met"),IF(TODAY()&gt;T202,"SLA BREACH",IF(T202-TODAY()&lt;=7,"Due ≤7d","Within SLA"))))</f>
        <v/>
      </c>
      <c r="AB202" s="61"/>
      <c r="AC202" s="61"/>
      <c r="AD202" s="60"/>
      <c r="AE202" s="88" t="str">
        <f aca="false">IF(Y202&lt;&gt;"",ROW(),"")</f>
        <v/>
      </c>
      <c r="AF202" s="88" t="str">
        <f aca="false">IF(AND(AND(E202&lt;&gt;"",U202&lt;&gt;"Remediated",U202&lt;&gt;"False Positive",U202&lt;&gt;"Risk Accepted"),T202&lt;&gt;"",T202&lt;='Weekly Report'!$F$7),ROW(),"")</f>
        <v/>
      </c>
      <c r="AG202" s="88" t="str">
        <f aca="false">IF(AND(AND(E202&lt;&gt;"",U202&lt;&gt;"Remediated",U202&lt;&gt;"False Positive",U202&lt;&gt;"Risk Accepted"),LEFT(Q202,6)="Breach"),ROW(),"")</f>
        <v/>
      </c>
    </row>
    <row r="203" customFormat="false" ht="15" hidden="false" customHeight="false" outlineLevel="0" collapsed="false">
      <c r="A203" s="56" t="s">
        <v>2359</v>
      </c>
      <c r="B203" s="63"/>
      <c r="C203" s="61"/>
      <c r="D203" s="61"/>
      <c r="E203" s="60"/>
      <c r="F203" s="61"/>
      <c r="G203" s="61"/>
      <c r="H203" s="61"/>
      <c r="I203" s="61"/>
      <c r="J203" s="60"/>
      <c r="K203" s="61"/>
      <c r="L203" s="61"/>
      <c r="M203" s="61"/>
      <c r="N203" s="60"/>
      <c r="O203" s="60"/>
      <c r="P203" s="60"/>
      <c r="Q203" s="61"/>
      <c r="R203" s="61"/>
      <c r="S203" s="87" t="str">
        <f aca="false">IF(OR(B203="",L203=""),"",INDEX(Lists!$AD$4:$AD$8,MATCH(L203,Lists!$AC$4:$AC$8,0)))</f>
        <v/>
      </c>
      <c r="T203" s="95" t="str">
        <f aca="false">IF(OR(S203="",ISERROR(S203)),"",B203+S203)</f>
        <v/>
      </c>
      <c r="U203" s="61"/>
      <c r="V203" s="63"/>
      <c r="W203" s="63"/>
      <c r="X203" s="60"/>
      <c r="Y203" s="62" t="str">
        <f aca="false">IF(E203="","",IF(AND(B203&lt;&gt;"",B203&gt;='Weekly Report'!$F$4,B203&lt;='Weekly Report'!$F$5),"NEW",IF(AND(W203&lt;&gt;"",W203&gt;='Weekly Report'!$F$4,W203&lt;='Weekly Report'!$F$5),"CHANGED","")))</f>
        <v/>
      </c>
      <c r="Z203" s="87" t="str">
        <f aca="true">IF(B203="","",IF(V203&lt;&gt;"",V203-B203,TODAY()-B203))</f>
        <v/>
      </c>
      <c r="AA203" s="62" t="str">
        <f aca="true">IF(OR(B203="",T203="",U203="False Positive",U203="Risk Accepted"),"",IF(V203&lt;&gt;"",IF(V203&gt;T203,"Closed Late","Met"),IF(TODAY()&gt;T203,"SLA BREACH",IF(T203-TODAY()&lt;=7,"Due ≤7d","Within SLA"))))</f>
        <v/>
      </c>
      <c r="AB203" s="61"/>
      <c r="AC203" s="61"/>
      <c r="AD203" s="60"/>
      <c r="AE203" s="88" t="str">
        <f aca="false">IF(Y203&lt;&gt;"",ROW(),"")</f>
        <v/>
      </c>
      <c r="AF203" s="88" t="str">
        <f aca="false">IF(AND(AND(E203&lt;&gt;"",U203&lt;&gt;"Remediated",U203&lt;&gt;"False Positive",U203&lt;&gt;"Risk Accepted"),T203&lt;&gt;"",T203&lt;='Weekly Report'!$F$7),ROW(),"")</f>
        <v/>
      </c>
      <c r="AG203" s="88" t="str">
        <f aca="false">IF(AND(AND(E203&lt;&gt;"",U203&lt;&gt;"Remediated",U203&lt;&gt;"False Positive",U203&lt;&gt;"Risk Accepted"),LEFT(Q203,6)="Breach"),ROW(),"")</f>
        <v/>
      </c>
    </row>
    <row r="204" customFormat="false" ht="15" hidden="false" customHeight="false" outlineLevel="0" collapsed="false">
      <c r="A204" s="56" t="s">
        <v>2360</v>
      </c>
      <c r="B204" s="63"/>
      <c r="C204" s="61"/>
      <c r="D204" s="61"/>
      <c r="E204" s="60"/>
      <c r="F204" s="61"/>
      <c r="G204" s="61"/>
      <c r="H204" s="61"/>
      <c r="I204" s="61"/>
      <c r="J204" s="60"/>
      <c r="K204" s="61"/>
      <c r="L204" s="61"/>
      <c r="M204" s="61"/>
      <c r="N204" s="60"/>
      <c r="O204" s="60"/>
      <c r="P204" s="60"/>
      <c r="Q204" s="61"/>
      <c r="R204" s="61"/>
      <c r="S204" s="87" t="str">
        <f aca="false">IF(OR(B204="",L204=""),"",INDEX(Lists!$AD$4:$AD$8,MATCH(L204,Lists!$AC$4:$AC$8,0)))</f>
        <v/>
      </c>
      <c r="T204" s="95" t="str">
        <f aca="false">IF(OR(S204="",ISERROR(S204)),"",B204+S204)</f>
        <v/>
      </c>
      <c r="U204" s="61"/>
      <c r="V204" s="63"/>
      <c r="W204" s="63"/>
      <c r="X204" s="60"/>
      <c r="Y204" s="62" t="str">
        <f aca="false">IF(E204="","",IF(AND(B204&lt;&gt;"",B204&gt;='Weekly Report'!$F$4,B204&lt;='Weekly Report'!$F$5),"NEW",IF(AND(W204&lt;&gt;"",W204&gt;='Weekly Report'!$F$4,W204&lt;='Weekly Report'!$F$5),"CHANGED","")))</f>
        <v/>
      </c>
      <c r="Z204" s="87" t="str">
        <f aca="true">IF(B204="","",IF(V204&lt;&gt;"",V204-B204,TODAY()-B204))</f>
        <v/>
      </c>
      <c r="AA204" s="62" t="str">
        <f aca="true">IF(OR(B204="",T204="",U204="False Positive",U204="Risk Accepted"),"",IF(V204&lt;&gt;"",IF(V204&gt;T204,"Closed Late","Met"),IF(TODAY()&gt;T204,"SLA BREACH",IF(T204-TODAY()&lt;=7,"Due ≤7d","Within SLA"))))</f>
        <v/>
      </c>
      <c r="AB204" s="61"/>
      <c r="AC204" s="61"/>
      <c r="AD204" s="60"/>
      <c r="AE204" s="88" t="str">
        <f aca="false">IF(Y204&lt;&gt;"",ROW(),"")</f>
        <v/>
      </c>
      <c r="AF204" s="88" t="str">
        <f aca="false">IF(AND(AND(E204&lt;&gt;"",U204&lt;&gt;"Remediated",U204&lt;&gt;"False Positive",U204&lt;&gt;"Risk Accepted"),T204&lt;&gt;"",T204&lt;='Weekly Report'!$F$7),ROW(),"")</f>
        <v/>
      </c>
      <c r="AG204" s="88" t="str">
        <f aca="false">IF(AND(AND(E204&lt;&gt;"",U204&lt;&gt;"Remediated",U204&lt;&gt;"False Positive",U204&lt;&gt;"Risk Accepted"),LEFT(Q204,6)="Breach"),ROW(),"")</f>
        <v/>
      </c>
    </row>
    <row r="205" customFormat="false" ht="15" hidden="false" customHeight="false" outlineLevel="0" collapsed="false">
      <c r="A205" s="56" t="s">
        <v>2361</v>
      </c>
      <c r="B205" s="63"/>
      <c r="C205" s="61"/>
      <c r="D205" s="61"/>
      <c r="E205" s="60"/>
      <c r="F205" s="61"/>
      <c r="G205" s="61"/>
      <c r="H205" s="61"/>
      <c r="I205" s="61"/>
      <c r="J205" s="60"/>
      <c r="K205" s="61"/>
      <c r="L205" s="61"/>
      <c r="M205" s="61"/>
      <c r="N205" s="60"/>
      <c r="O205" s="60"/>
      <c r="P205" s="60"/>
      <c r="Q205" s="61"/>
      <c r="R205" s="61"/>
      <c r="S205" s="87" t="str">
        <f aca="false">IF(OR(B205="",L205=""),"",INDEX(Lists!$AD$4:$AD$8,MATCH(L205,Lists!$AC$4:$AC$8,0)))</f>
        <v/>
      </c>
      <c r="T205" s="95" t="str">
        <f aca="false">IF(OR(S205="",ISERROR(S205)),"",B205+S205)</f>
        <v/>
      </c>
      <c r="U205" s="61"/>
      <c r="V205" s="63"/>
      <c r="W205" s="63"/>
      <c r="X205" s="60"/>
      <c r="Y205" s="62" t="str">
        <f aca="false">IF(E205="","",IF(AND(B205&lt;&gt;"",B205&gt;='Weekly Report'!$F$4,B205&lt;='Weekly Report'!$F$5),"NEW",IF(AND(W205&lt;&gt;"",W205&gt;='Weekly Report'!$F$4,W205&lt;='Weekly Report'!$F$5),"CHANGED","")))</f>
        <v/>
      </c>
      <c r="Z205" s="87" t="str">
        <f aca="true">IF(B205="","",IF(V205&lt;&gt;"",V205-B205,TODAY()-B205))</f>
        <v/>
      </c>
      <c r="AA205" s="62" t="str">
        <f aca="true">IF(OR(B205="",T205="",U205="False Positive",U205="Risk Accepted"),"",IF(V205&lt;&gt;"",IF(V205&gt;T205,"Closed Late","Met"),IF(TODAY()&gt;T205,"SLA BREACH",IF(T205-TODAY()&lt;=7,"Due ≤7d","Within SLA"))))</f>
        <v/>
      </c>
      <c r="AB205" s="61"/>
      <c r="AC205" s="61"/>
      <c r="AD205" s="60"/>
      <c r="AE205" s="88" t="str">
        <f aca="false">IF(Y205&lt;&gt;"",ROW(),"")</f>
        <v/>
      </c>
      <c r="AF205" s="88" t="str">
        <f aca="false">IF(AND(AND(E205&lt;&gt;"",U205&lt;&gt;"Remediated",U205&lt;&gt;"False Positive",U205&lt;&gt;"Risk Accepted"),T205&lt;&gt;"",T205&lt;='Weekly Report'!$F$7),ROW(),"")</f>
        <v/>
      </c>
      <c r="AG205" s="88" t="str">
        <f aca="false">IF(AND(AND(E205&lt;&gt;"",U205&lt;&gt;"Remediated",U205&lt;&gt;"False Positive",U205&lt;&gt;"Risk Accepted"),LEFT(Q205,6)="Breach"),ROW(),"")</f>
        <v/>
      </c>
    </row>
    <row r="206" customFormat="false" ht="15" hidden="false" customHeight="false" outlineLevel="0" collapsed="false">
      <c r="A206" s="56" t="s">
        <v>2362</v>
      </c>
      <c r="B206" s="63"/>
      <c r="C206" s="61"/>
      <c r="D206" s="61"/>
      <c r="E206" s="60"/>
      <c r="F206" s="61"/>
      <c r="G206" s="61"/>
      <c r="H206" s="61"/>
      <c r="I206" s="61"/>
      <c r="J206" s="60"/>
      <c r="K206" s="61"/>
      <c r="L206" s="61"/>
      <c r="M206" s="61"/>
      <c r="N206" s="60"/>
      <c r="O206" s="60"/>
      <c r="P206" s="60"/>
      <c r="Q206" s="61"/>
      <c r="R206" s="61"/>
      <c r="S206" s="87" t="str">
        <f aca="false">IF(OR(B206="",L206=""),"",INDEX(Lists!$AD$4:$AD$8,MATCH(L206,Lists!$AC$4:$AC$8,0)))</f>
        <v/>
      </c>
      <c r="T206" s="95" t="str">
        <f aca="false">IF(OR(S206="",ISERROR(S206)),"",B206+S206)</f>
        <v/>
      </c>
      <c r="U206" s="61"/>
      <c r="V206" s="63"/>
      <c r="W206" s="63"/>
      <c r="X206" s="60"/>
      <c r="Y206" s="62" t="str">
        <f aca="false">IF(E206="","",IF(AND(B206&lt;&gt;"",B206&gt;='Weekly Report'!$F$4,B206&lt;='Weekly Report'!$F$5),"NEW",IF(AND(W206&lt;&gt;"",W206&gt;='Weekly Report'!$F$4,W206&lt;='Weekly Report'!$F$5),"CHANGED","")))</f>
        <v/>
      </c>
      <c r="Z206" s="87" t="str">
        <f aca="true">IF(B206="","",IF(V206&lt;&gt;"",V206-B206,TODAY()-B206))</f>
        <v/>
      </c>
      <c r="AA206" s="62" t="str">
        <f aca="true">IF(OR(B206="",T206="",U206="False Positive",U206="Risk Accepted"),"",IF(V206&lt;&gt;"",IF(V206&gt;T206,"Closed Late","Met"),IF(TODAY()&gt;T206,"SLA BREACH",IF(T206-TODAY()&lt;=7,"Due ≤7d","Within SLA"))))</f>
        <v/>
      </c>
      <c r="AB206" s="61"/>
      <c r="AC206" s="61"/>
      <c r="AD206" s="60"/>
      <c r="AE206" s="88" t="str">
        <f aca="false">IF(Y206&lt;&gt;"",ROW(),"")</f>
        <v/>
      </c>
      <c r="AF206" s="88" t="str">
        <f aca="false">IF(AND(AND(E206&lt;&gt;"",U206&lt;&gt;"Remediated",U206&lt;&gt;"False Positive",U206&lt;&gt;"Risk Accepted"),T206&lt;&gt;"",T206&lt;='Weekly Report'!$F$7),ROW(),"")</f>
        <v/>
      </c>
      <c r="AG206" s="88" t="str">
        <f aca="false">IF(AND(AND(E206&lt;&gt;"",U206&lt;&gt;"Remediated",U206&lt;&gt;"False Positive",U206&lt;&gt;"Risk Accepted"),LEFT(Q206,6)="Breach"),ROW(),"")</f>
        <v/>
      </c>
    </row>
    <row r="207" customFormat="false" ht="15" hidden="false" customHeight="false" outlineLevel="0" collapsed="false">
      <c r="A207" s="56" t="s">
        <v>2363</v>
      </c>
      <c r="B207" s="63"/>
      <c r="C207" s="61"/>
      <c r="D207" s="61"/>
      <c r="E207" s="60"/>
      <c r="F207" s="61"/>
      <c r="G207" s="61"/>
      <c r="H207" s="61"/>
      <c r="I207" s="61"/>
      <c r="J207" s="60"/>
      <c r="K207" s="61"/>
      <c r="L207" s="61"/>
      <c r="M207" s="61"/>
      <c r="N207" s="60"/>
      <c r="O207" s="60"/>
      <c r="P207" s="60"/>
      <c r="Q207" s="61"/>
      <c r="R207" s="61"/>
      <c r="S207" s="87" t="str">
        <f aca="false">IF(OR(B207="",L207=""),"",INDEX(Lists!$AD$4:$AD$8,MATCH(L207,Lists!$AC$4:$AC$8,0)))</f>
        <v/>
      </c>
      <c r="T207" s="95" t="str">
        <f aca="false">IF(OR(S207="",ISERROR(S207)),"",B207+S207)</f>
        <v/>
      </c>
      <c r="U207" s="61"/>
      <c r="V207" s="63"/>
      <c r="W207" s="63"/>
      <c r="X207" s="60"/>
      <c r="Y207" s="62" t="str">
        <f aca="false">IF(E207="","",IF(AND(B207&lt;&gt;"",B207&gt;='Weekly Report'!$F$4,B207&lt;='Weekly Report'!$F$5),"NEW",IF(AND(W207&lt;&gt;"",W207&gt;='Weekly Report'!$F$4,W207&lt;='Weekly Report'!$F$5),"CHANGED","")))</f>
        <v/>
      </c>
      <c r="Z207" s="87" t="str">
        <f aca="true">IF(B207="","",IF(V207&lt;&gt;"",V207-B207,TODAY()-B207))</f>
        <v/>
      </c>
      <c r="AA207" s="62" t="str">
        <f aca="true">IF(OR(B207="",T207="",U207="False Positive",U207="Risk Accepted"),"",IF(V207&lt;&gt;"",IF(V207&gt;T207,"Closed Late","Met"),IF(TODAY()&gt;T207,"SLA BREACH",IF(T207-TODAY()&lt;=7,"Due ≤7d","Within SLA"))))</f>
        <v/>
      </c>
      <c r="AB207" s="61"/>
      <c r="AC207" s="61"/>
      <c r="AD207" s="60"/>
      <c r="AE207" s="88" t="str">
        <f aca="false">IF(Y207&lt;&gt;"",ROW(),"")</f>
        <v/>
      </c>
      <c r="AF207" s="88" t="str">
        <f aca="false">IF(AND(AND(E207&lt;&gt;"",U207&lt;&gt;"Remediated",U207&lt;&gt;"False Positive",U207&lt;&gt;"Risk Accepted"),T207&lt;&gt;"",T207&lt;='Weekly Report'!$F$7),ROW(),"")</f>
        <v/>
      </c>
      <c r="AG207" s="88" t="str">
        <f aca="false">IF(AND(AND(E207&lt;&gt;"",U207&lt;&gt;"Remediated",U207&lt;&gt;"False Positive",U207&lt;&gt;"Risk Accepted"),LEFT(Q207,6)="Breach"),ROW(),"")</f>
        <v/>
      </c>
    </row>
    <row r="208" customFormat="false" ht="15" hidden="false" customHeight="false" outlineLevel="0" collapsed="false">
      <c r="A208" s="56" t="s">
        <v>2364</v>
      </c>
      <c r="B208" s="63"/>
      <c r="C208" s="61"/>
      <c r="D208" s="61"/>
      <c r="E208" s="60"/>
      <c r="F208" s="61"/>
      <c r="G208" s="61"/>
      <c r="H208" s="61"/>
      <c r="I208" s="61"/>
      <c r="J208" s="60"/>
      <c r="K208" s="61"/>
      <c r="L208" s="61"/>
      <c r="M208" s="61"/>
      <c r="N208" s="60"/>
      <c r="O208" s="60"/>
      <c r="P208" s="60"/>
      <c r="Q208" s="61"/>
      <c r="R208" s="61"/>
      <c r="S208" s="87" t="str">
        <f aca="false">IF(OR(B208="",L208=""),"",INDEX(Lists!$AD$4:$AD$8,MATCH(L208,Lists!$AC$4:$AC$8,0)))</f>
        <v/>
      </c>
      <c r="T208" s="95" t="str">
        <f aca="false">IF(OR(S208="",ISERROR(S208)),"",B208+S208)</f>
        <v/>
      </c>
      <c r="U208" s="61"/>
      <c r="V208" s="63"/>
      <c r="W208" s="63"/>
      <c r="X208" s="60"/>
      <c r="Y208" s="62" t="str">
        <f aca="false">IF(E208="","",IF(AND(B208&lt;&gt;"",B208&gt;='Weekly Report'!$F$4,B208&lt;='Weekly Report'!$F$5),"NEW",IF(AND(W208&lt;&gt;"",W208&gt;='Weekly Report'!$F$4,W208&lt;='Weekly Report'!$F$5),"CHANGED","")))</f>
        <v/>
      </c>
      <c r="Z208" s="87" t="str">
        <f aca="true">IF(B208="","",IF(V208&lt;&gt;"",V208-B208,TODAY()-B208))</f>
        <v/>
      </c>
      <c r="AA208" s="62" t="str">
        <f aca="true">IF(OR(B208="",T208="",U208="False Positive",U208="Risk Accepted"),"",IF(V208&lt;&gt;"",IF(V208&gt;T208,"Closed Late","Met"),IF(TODAY()&gt;T208,"SLA BREACH",IF(T208-TODAY()&lt;=7,"Due ≤7d","Within SLA"))))</f>
        <v/>
      </c>
      <c r="AB208" s="61"/>
      <c r="AC208" s="61"/>
      <c r="AD208" s="60"/>
      <c r="AE208" s="88" t="str">
        <f aca="false">IF(Y208&lt;&gt;"",ROW(),"")</f>
        <v/>
      </c>
      <c r="AF208" s="88" t="str">
        <f aca="false">IF(AND(AND(E208&lt;&gt;"",U208&lt;&gt;"Remediated",U208&lt;&gt;"False Positive",U208&lt;&gt;"Risk Accepted"),T208&lt;&gt;"",T208&lt;='Weekly Report'!$F$7),ROW(),"")</f>
        <v/>
      </c>
      <c r="AG208" s="88" t="str">
        <f aca="false">IF(AND(AND(E208&lt;&gt;"",U208&lt;&gt;"Remediated",U208&lt;&gt;"False Positive",U208&lt;&gt;"Risk Accepted"),LEFT(Q208,6)="Breach"),ROW(),"")</f>
        <v/>
      </c>
    </row>
    <row r="209" customFormat="false" ht="15" hidden="false" customHeight="false" outlineLevel="0" collapsed="false">
      <c r="A209" s="56" t="s">
        <v>2365</v>
      </c>
      <c r="B209" s="63"/>
      <c r="C209" s="61"/>
      <c r="D209" s="61"/>
      <c r="E209" s="60"/>
      <c r="F209" s="61"/>
      <c r="G209" s="61"/>
      <c r="H209" s="61"/>
      <c r="I209" s="61"/>
      <c r="J209" s="60"/>
      <c r="K209" s="61"/>
      <c r="L209" s="61"/>
      <c r="M209" s="61"/>
      <c r="N209" s="60"/>
      <c r="O209" s="60"/>
      <c r="P209" s="60"/>
      <c r="Q209" s="61"/>
      <c r="R209" s="61"/>
      <c r="S209" s="87" t="str">
        <f aca="false">IF(OR(B209="",L209=""),"",INDEX(Lists!$AD$4:$AD$8,MATCH(L209,Lists!$AC$4:$AC$8,0)))</f>
        <v/>
      </c>
      <c r="T209" s="95" t="str">
        <f aca="false">IF(OR(S209="",ISERROR(S209)),"",B209+S209)</f>
        <v/>
      </c>
      <c r="U209" s="61"/>
      <c r="V209" s="63"/>
      <c r="W209" s="63"/>
      <c r="X209" s="60"/>
      <c r="Y209" s="62" t="str">
        <f aca="false">IF(E209="","",IF(AND(B209&lt;&gt;"",B209&gt;='Weekly Report'!$F$4,B209&lt;='Weekly Report'!$F$5),"NEW",IF(AND(W209&lt;&gt;"",W209&gt;='Weekly Report'!$F$4,W209&lt;='Weekly Report'!$F$5),"CHANGED","")))</f>
        <v/>
      </c>
      <c r="Z209" s="87" t="str">
        <f aca="true">IF(B209="","",IF(V209&lt;&gt;"",V209-B209,TODAY()-B209))</f>
        <v/>
      </c>
      <c r="AA209" s="62" t="str">
        <f aca="true">IF(OR(B209="",T209="",U209="False Positive",U209="Risk Accepted"),"",IF(V209&lt;&gt;"",IF(V209&gt;T209,"Closed Late","Met"),IF(TODAY()&gt;T209,"SLA BREACH",IF(T209-TODAY()&lt;=7,"Due ≤7d","Within SLA"))))</f>
        <v/>
      </c>
      <c r="AB209" s="61"/>
      <c r="AC209" s="61"/>
      <c r="AD209" s="60"/>
      <c r="AE209" s="88" t="str">
        <f aca="false">IF(Y209&lt;&gt;"",ROW(),"")</f>
        <v/>
      </c>
      <c r="AF209" s="88" t="str">
        <f aca="false">IF(AND(AND(E209&lt;&gt;"",U209&lt;&gt;"Remediated",U209&lt;&gt;"False Positive",U209&lt;&gt;"Risk Accepted"),T209&lt;&gt;"",T209&lt;='Weekly Report'!$F$7),ROW(),"")</f>
        <v/>
      </c>
      <c r="AG209" s="88" t="str">
        <f aca="false">IF(AND(AND(E209&lt;&gt;"",U209&lt;&gt;"Remediated",U209&lt;&gt;"False Positive",U209&lt;&gt;"Risk Accepted"),LEFT(Q209,6)="Breach"),ROW(),"")</f>
        <v/>
      </c>
    </row>
    <row r="210" customFormat="false" ht="15" hidden="false" customHeight="false" outlineLevel="0" collapsed="false">
      <c r="A210" s="56" t="s">
        <v>2366</v>
      </c>
      <c r="B210" s="63"/>
      <c r="C210" s="61"/>
      <c r="D210" s="61"/>
      <c r="E210" s="60"/>
      <c r="F210" s="61"/>
      <c r="G210" s="61"/>
      <c r="H210" s="61"/>
      <c r="I210" s="61"/>
      <c r="J210" s="60"/>
      <c r="K210" s="61"/>
      <c r="L210" s="61"/>
      <c r="M210" s="61"/>
      <c r="N210" s="60"/>
      <c r="O210" s="60"/>
      <c r="P210" s="60"/>
      <c r="Q210" s="61"/>
      <c r="R210" s="61"/>
      <c r="S210" s="87" t="str">
        <f aca="false">IF(OR(B210="",L210=""),"",INDEX(Lists!$AD$4:$AD$8,MATCH(L210,Lists!$AC$4:$AC$8,0)))</f>
        <v/>
      </c>
      <c r="T210" s="95" t="str">
        <f aca="false">IF(OR(S210="",ISERROR(S210)),"",B210+S210)</f>
        <v/>
      </c>
      <c r="U210" s="61"/>
      <c r="V210" s="63"/>
      <c r="W210" s="63"/>
      <c r="X210" s="60"/>
      <c r="Y210" s="62" t="str">
        <f aca="false">IF(E210="","",IF(AND(B210&lt;&gt;"",B210&gt;='Weekly Report'!$F$4,B210&lt;='Weekly Report'!$F$5),"NEW",IF(AND(W210&lt;&gt;"",W210&gt;='Weekly Report'!$F$4,W210&lt;='Weekly Report'!$F$5),"CHANGED","")))</f>
        <v/>
      </c>
      <c r="Z210" s="87" t="str">
        <f aca="true">IF(B210="","",IF(V210&lt;&gt;"",V210-B210,TODAY()-B210))</f>
        <v/>
      </c>
      <c r="AA210" s="62" t="str">
        <f aca="true">IF(OR(B210="",T210="",U210="False Positive",U210="Risk Accepted"),"",IF(V210&lt;&gt;"",IF(V210&gt;T210,"Closed Late","Met"),IF(TODAY()&gt;T210,"SLA BREACH",IF(T210-TODAY()&lt;=7,"Due ≤7d","Within SLA"))))</f>
        <v/>
      </c>
      <c r="AB210" s="61"/>
      <c r="AC210" s="61"/>
      <c r="AD210" s="60"/>
      <c r="AE210" s="88" t="str">
        <f aca="false">IF(Y210&lt;&gt;"",ROW(),"")</f>
        <v/>
      </c>
      <c r="AF210" s="88" t="str">
        <f aca="false">IF(AND(AND(E210&lt;&gt;"",U210&lt;&gt;"Remediated",U210&lt;&gt;"False Positive",U210&lt;&gt;"Risk Accepted"),T210&lt;&gt;"",T210&lt;='Weekly Report'!$F$7),ROW(),"")</f>
        <v/>
      </c>
      <c r="AG210" s="88" t="str">
        <f aca="false">IF(AND(AND(E210&lt;&gt;"",U210&lt;&gt;"Remediated",U210&lt;&gt;"False Positive",U210&lt;&gt;"Risk Accepted"),LEFT(Q210,6)="Breach"),ROW(),"")</f>
        <v/>
      </c>
    </row>
    <row r="211" customFormat="false" ht="15" hidden="false" customHeight="false" outlineLevel="0" collapsed="false">
      <c r="A211" s="56" t="s">
        <v>2367</v>
      </c>
      <c r="B211" s="63"/>
      <c r="C211" s="61"/>
      <c r="D211" s="61"/>
      <c r="E211" s="60"/>
      <c r="F211" s="61"/>
      <c r="G211" s="61"/>
      <c r="H211" s="61"/>
      <c r="I211" s="61"/>
      <c r="J211" s="60"/>
      <c r="K211" s="61"/>
      <c r="L211" s="61"/>
      <c r="M211" s="61"/>
      <c r="N211" s="60"/>
      <c r="O211" s="60"/>
      <c r="P211" s="60"/>
      <c r="Q211" s="61"/>
      <c r="R211" s="61"/>
      <c r="S211" s="87" t="str">
        <f aca="false">IF(OR(B211="",L211=""),"",INDEX(Lists!$AD$4:$AD$8,MATCH(L211,Lists!$AC$4:$AC$8,0)))</f>
        <v/>
      </c>
      <c r="T211" s="95" t="str">
        <f aca="false">IF(OR(S211="",ISERROR(S211)),"",B211+S211)</f>
        <v/>
      </c>
      <c r="U211" s="61"/>
      <c r="V211" s="63"/>
      <c r="W211" s="63"/>
      <c r="X211" s="60"/>
      <c r="Y211" s="62" t="str">
        <f aca="false">IF(E211="","",IF(AND(B211&lt;&gt;"",B211&gt;='Weekly Report'!$F$4,B211&lt;='Weekly Report'!$F$5),"NEW",IF(AND(W211&lt;&gt;"",W211&gt;='Weekly Report'!$F$4,W211&lt;='Weekly Report'!$F$5),"CHANGED","")))</f>
        <v/>
      </c>
      <c r="Z211" s="87" t="str">
        <f aca="true">IF(B211="","",IF(V211&lt;&gt;"",V211-B211,TODAY()-B211))</f>
        <v/>
      </c>
      <c r="AA211" s="62" t="str">
        <f aca="true">IF(OR(B211="",T211="",U211="False Positive",U211="Risk Accepted"),"",IF(V211&lt;&gt;"",IF(V211&gt;T211,"Closed Late","Met"),IF(TODAY()&gt;T211,"SLA BREACH",IF(T211-TODAY()&lt;=7,"Due ≤7d","Within SLA"))))</f>
        <v/>
      </c>
      <c r="AB211" s="61"/>
      <c r="AC211" s="61"/>
      <c r="AD211" s="60"/>
      <c r="AE211" s="88" t="str">
        <f aca="false">IF(Y211&lt;&gt;"",ROW(),"")</f>
        <v/>
      </c>
      <c r="AF211" s="88" t="str">
        <f aca="false">IF(AND(AND(E211&lt;&gt;"",U211&lt;&gt;"Remediated",U211&lt;&gt;"False Positive",U211&lt;&gt;"Risk Accepted"),T211&lt;&gt;"",T211&lt;='Weekly Report'!$F$7),ROW(),"")</f>
        <v/>
      </c>
      <c r="AG211" s="88" t="str">
        <f aca="false">IF(AND(AND(E211&lt;&gt;"",U211&lt;&gt;"Remediated",U211&lt;&gt;"False Positive",U211&lt;&gt;"Risk Accepted"),LEFT(Q211,6)="Breach"),ROW(),"")</f>
        <v/>
      </c>
    </row>
    <row r="212" customFormat="false" ht="15" hidden="false" customHeight="false" outlineLevel="0" collapsed="false">
      <c r="A212" s="56" t="s">
        <v>2368</v>
      </c>
      <c r="B212" s="63"/>
      <c r="C212" s="61"/>
      <c r="D212" s="61"/>
      <c r="E212" s="60"/>
      <c r="F212" s="61"/>
      <c r="G212" s="61"/>
      <c r="H212" s="61"/>
      <c r="I212" s="61"/>
      <c r="J212" s="60"/>
      <c r="K212" s="61"/>
      <c r="L212" s="61"/>
      <c r="M212" s="61"/>
      <c r="N212" s="60"/>
      <c r="O212" s="60"/>
      <c r="P212" s="60"/>
      <c r="Q212" s="61"/>
      <c r="R212" s="61"/>
      <c r="S212" s="87" t="str">
        <f aca="false">IF(OR(B212="",L212=""),"",INDEX(Lists!$AD$4:$AD$8,MATCH(L212,Lists!$AC$4:$AC$8,0)))</f>
        <v/>
      </c>
      <c r="T212" s="95" t="str">
        <f aca="false">IF(OR(S212="",ISERROR(S212)),"",B212+S212)</f>
        <v/>
      </c>
      <c r="U212" s="61"/>
      <c r="V212" s="63"/>
      <c r="W212" s="63"/>
      <c r="X212" s="60"/>
      <c r="Y212" s="62" t="str">
        <f aca="false">IF(E212="","",IF(AND(B212&lt;&gt;"",B212&gt;='Weekly Report'!$F$4,B212&lt;='Weekly Report'!$F$5),"NEW",IF(AND(W212&lt;&gt;"",W212&gt;='Weekly Report'!$F$4,W212&lt;='Weekly Report'!$F$5),"CHANGED","")))</f>
        <v/>
      </c>
      <c r="Z212" s="87" t="str">
        <f aca="true">IF(B212="","",IF(V212&lt;&gt;"",V212-B212,TODAY()-B212))</f>
        <v/>
      </c>
      <c r="AA212" s="62" t="str">
        <f aca="true">IF(OR(B212="",T212="",U212="False Positive",U212="Risk Accepted"),"",IF(V212&lt;&gt;"",IF(V212&gt;T212,"Closed Late","Met"),IF(TODAY()&gt;T212,"SLA BREACH",IF(T212-TODAY()&lt;=7,"Due ≤7d","Within SLA"))))</f>
        <v/>
      </c>
      <c r="AB212" s="61"/>
      <c r="AC212" s="61"/>
      <c r="AD212" s="60"/>
      <c r="AE212" s="88" t="str">
        <f aca="false">IF(Y212&lt;&gt;"",ROW(),"")</f>
        <v/>
      </c>
      <c r="AF212" s="88" t="str">
        <f aca="false">IF(AND(AND(E212&lt;&gt;"",U212&lt;&gt;"Remediated",U212&lt;&gt;"False Positive",U212&lt;&gt;"Risk Accepted"),T212&lt;&gt;"",T212&lt;='Weekly Report'!$F$7),ROW(),"")</f>
        <v/>
      </c>
      <c r="AG212" s="88" t="str">
        <f aca="false">IF(AND(AND(E212&lt;&gt;"",U212&lt;&gt;"Remediated",U212&lt;&gt;"False Positive",U212&lt;&gt;"Risk Accepted"),LEFT(Q212,6)="Breach"),ROW(),"")</f>
        <v/>
      </c>
    </row>
    <row r="213" customFormat="false" ht="15" hidden="false" customHeight="false" outlineLevel="0" collapsed="false">
      <c r="A213" s="56" t="s">
        <v>2369</v>
      </c>
      <c r="B213" s="63"/>
      <c r="C213" s="61"/>
      <c r="D213" s="61"/>
      <c r="E213" s="60"/>
      <c r="F213" s="61"/>
      <c r="G213" s="61"/>
      <c r="H213" s="61"/>
      <c r="I213" s="61"/>
      <c r="J213" s="60"/>
      <c r="K213" s="61"/>
      <c r="L213" s="61"/>
      <c r="M213" s="61"/>
      <c r="N213" s="60"/>
      <c r="O213" s="60"/>
      <c r="P213" s="60"/>
      <c r="Q213" s="61"/>
      <c r="R213" s="61"/>
      <c r="S213" s="87" t="str">
        <f aca="false">IF(OR(B213="",L213=""),"",INDEX(Lists!$AD$4:$AD$8,MATCH(L213,Lists!$AC$4:$AC$8,0)))</f>
        <v/>
      </c>
      <c r="T213" s="95" t="str">
        <f aca="false">IF(OR(S213="",ISERROR(S213)),"",B213+S213)</f>
        <v/>
      </c>
      <c r="U213" s="61"/>
      <c r="V213" s="63"/>
      <c r="W213" s="63"/>
      <c r="X213" s="60"/>
      <c r="Y213" s="62" t="str">
        <f aca="false">IF(E213="","",IF(AND(B213&lt;&gt;"",B213&gt;='Weekly Report'!$F$4,B213&lt;='Weekly Report'!$F$5),"NEW",IF(AND(W213&lt;&gt;"",W213&gt;='Weekly Report'!$F$4,W213&lt;='Weekly Report'!$F$5),"CHANGED","")))</f>
        <v/>
      </c>
      <c r="Z213" s="87" t="str">
        <f aca="true">IF(B213="","",IF(V213&lt;&gt;"",V213-B213,TODAY()-B213))</f>
        <v/>
      </c>
      <c r="AA213" s="62" t="str">
        <f aca="true">IF(OR(B213="",T213="",U213="False Positive",U213="Risk Accepted"),"",IF(V213&lt;&gt;"",IF(V213&gt;T213,"Closed Late","Met"),IF(TODAY()&gt;T213,"SLA BREACH",IF(T213-TODAY()&lt;=7,"Due ≤7d","Within SLA"))))</f>
        <v/>
      </c>
      <c r="AB213" s="61"/>
      <c r="AC213" s="61"/>
      <c r="AD213" s="60"/>
      <c r="AE213" s="88" t="str">
        <f aca="false">IF(Y213&lt;&gt;"",ROW(),"")</f>
        <v/>
      </c>
      <c r="AF213" s="88" t="str">
        <f aca="false">IF(AND(AND(E213&lt;&gt;"",U213&lt;&gt;"Remediated",U213&lt;&gt;"False Positive",U213&lt;&gt;"Risk Accepted"),T213&lt;&gt;"",T213&lt;='Weekly Report'!$F$7),ROW(),"")</f>
        <v/>
      </c>
      <c r="AG213" s="88" t="str">
        <f aca="false">IF(AND(AND(E213&lt;&gt;"",U213&lt;&gt;"Remediated",U213&lt;&gt;"False Positive",U213&lt;&gt;"Risk Accepted"),LEFT(Q213,6)="Breach"),ROW(),"")</f>
        <v/>
      </c>
    </row>
    <row r="214" customFormat="false" ht="15" hidden="false" customHeight="false" outlineLevel="0" collapsed="false">
      <c r="A214" s="56" t="s">
        <v>2370</v>
      </c>
      <c r="B214" s="63"/>
      <c r="C214" s="61"/>
      <c r="D214" s="61"/>
      <c r="E214" s="60"/>
      <c r="F214" s="61"/>
      <c r="G214" s="61"/>
      <c r="H214" s="61"/>
      <c r="I214" s="61"/>
      <c r="J214" s="60"/>
      <c r="K214" s="61"/>
      <c r="L214" s="61"/>
      <c r="M214" s="61"/>
      <c r="N214" s="60"/>
      <c r="O214" s="60"/>
      <c r="P214" s="60"/>
      <c r="Q214" s="61"/>
      <c r="R214" s="61"/>
      <c r="S214" s="87" t="str">
        <f aca="false">IF(OR(B214="",L214=""),"",INDEX(Lists!$AD$4:$AD$8,MATCH(L214,Lists!$AC$4:$AC$8,0)))</f>
        <v/>
      </c>
      <c r="T214" s="95" t="str">
        <f aca="false">IF(OR(S214="",ISERROR(S214)),"",B214+S214)</f>
        <v/>
      </c>
      <c r="U214" s="61"/>
      <c r="V214" s="63"/>
      <c r="W214" s="63"/>
      <c r="X214" s="60"/>
      <c r="Y214" s="62" t="str">
        <f aca="false">IF(E214="","",IF(AND(B214&lt;&gt;"",B214&gt;='Weekly Report'!$F$4,B214&lt;='Weekly Report'!$F$5),"NEW",IF(AND(W214&lt;&gt;"",W214&gt;='Weekly Report'!$F$4,W214&lt;='Weekly Report'!$F$5),"CHANGED","")))</f>
        <v/>
      </c>
      <c r="Z214" s="87" t="str">
        <f aca="true">IF(B214="","",IF(V214&lt;&gt;"",V214-B214,TODAY()-B214))</f>
        <v/>
      </c>
      <c r="AA214" s="62" t="str">
        <f aca="true">IF(OR(B214="",T214="",U214="False Positive",U214="Risk Accepted"),"",IF(V214&lt;&gt;"",IF(V214&gt;T214,"Closed Late","Met"),IF(TODAY()&gt;T214,"SLA BREACH",IF(T214-TODAY()&lt;=7,"Due ≤7d","Within SLA"))))</f>
        <v/>
      </c>
      <c r="AB214" s="61"/>
      <c r="AC214" s="61"/>
      <c r="AD214" s="60"/>
      <c r="AE214" s="88" t="str">
        <f aca="false">IF(Y214&lt;&gt;"",ROW(),"")</f>
        <v/>
      </c>
      <c r="AF214" s="88" t="str">
        <f aca="false">IF(AND(AND(E214&lt;&gt;"",U214&lt;&gt;"Remediated",U214&lt;&gt;"False Positive",U214&lt;&gt;"Risk Accepted"),T214&lt;&gt;"",T214&lt;='Weekly Report'!$F$7),ROW(),"")</f>
        <v/>
      </c>
      <c r="AG214" s="88" t="str">
        <f aca="false">IF(AND(AND(E214&lt;&gt;"",U214&lt;&gt;"Remediated",U214&lt;&gt;"False Positive",U214&lt;&gt;"Risk Accepted"),LEFT(Q214,6)="Breach"),ROW(),"")</f>
        <v/>
      </c>
    </row>
    <row r="215" customFormat="false" ht="15" hidden="false" customHeight="false" outlineLevel="0" collapsed="false">
      <c r="A215" s="56" t="s">
        <v>2371</v>
      </c>
      <c r="B215" s="63"/>
      <c r="C215" s="61"/>
      <c r="D215" s="61"/>
      <c r="E215" s="60"/>
      <c r="F215" s="61"/>
      <c r="G215" s="61"/>
      <c r="H215" s="61"/>
      <c r="I215" s="61"/>
      <c r="J215" s="60"/>
      <c r="K215" s="61"/>
      <c r="L215" s="61"/>
      <c r="M215" s="61"/>
      <c r="N215" s="60"/>
      <c r="O215" s="60"/>
      <c r="P215" s="60"/>
      <c r="Q215" s="61"/>
      <c r="R215" s="61"/>
      <c r="S215" s="87" t="str">
        <f aca="false">IF(OR(B215="",L215=""),"",INDEX(Lists!$AD$4:$AD$8,MATCH(L215,Lists!$AC$4:$AC$8,0)))</f>
        <v/>
      </c>
      <c r="T215" s="95" t="str">
        <f aca="false">IF(OR(S215="",ISERROR(S215)),"",B215+S215)</f>
        <v/>
      </c>
      <c r="U215" s="61"/>
      <c r="V215" s="63"/>
      <c r="W215" s="63"/>
      <c r="X215" s="60"/>
      <c r="Y215" s="62" t="str">
        <f aca="false">IF(E215="","",IF(AND(B215&lt;&gt;"",B215&gt;='Weekly Report'!$F$4,B215&lt;='Weekly Report'!$F$5),"NEW",IF(AND(W215&lt;&gt;"",W215&gt;='Weekly Report'!$F$4,W215&lt;='Weekly Report'!$F$5),"CHANGED","")))</f>
        <v/>
      </c>
      <c r="Z215" s="87" t="str">
        <f aca="true">IF(B215="","",IF(V215&lt;&gt;"",V215-B215,TODAY()-B215))</f>
        <v/>
      </c>
      <c r="AA215" s="62" t="str">
        <f aca="true">IF(OR(B215="",T215="",U215="False Positive",U215="Risk Accepted"),"",IF(V215&lt;&gt;"",IF(V215&gt;T215,"Closed Late","Met"),IF(TODAY()&gt;T215,"SLA BREACH",IF(T215-TODAY()&lt;=7,"Due ≤7d","Within SLA"))))</f>
        <v/>
      </c>
      <c r="AB215" s="61"/>
      <c r="AC215" s="61"/>
      <c r="AD215" s="60"/>
      <c r="AE215" s="88" t="str">
        <f aca="false">IF(Y215&lt;&gt;"",ROW(),"")</f>
        <v/>
      </c>
      <c r="AF215" s="88" t="str">
        <f aca="false">IF(AND(AND(E215&lt;&gt;"",U215&lt;&gt;"Remediated",U215&lt;&gt;"False Positive",U215&lt;&gt;"Risk Accepted"),T215&lt;&gt;"",T215&lt;='Weekly Report'!$F$7),ROW(),"")</f>
        <v/>
      </c>
      <c r="AG215" s="88" t="str">
        <f aca="false">IF(AND(AND(E215&lt;&gt;"",U215&lt;&gt;"Remediated",U215&lt;&gt;"False Positive",U215&lt;&gt;"Risk Accepted"),LEFT(Q215,6)="Breach"),ROW(),"")</f>
        <v/>
      </c>
    </row>
    <row r="216" customFormat="false" ht="15" hidden="false" customHeight="false" outlineLevel="0" collapsed="false">
      <c r="A216" s="56" t="s">
        <v>2372</v>
      </c>
      <c r="B216" s="63"/>
      <c r="C216" s="61"/>
      <c r="D216" s="61"/>
      <c r="E216" s="60"/>
      <c r="F216" s="61"/>
      <c r="G216" s="61"/>
      <c r="H216" s="61"/>
      <c r="I216" s="61"/>
      <c r="J216" s="60"/>
      <c r="K216" s="61"/>
      <c r="L216" s="61"/>
      <c r="M216" s="61"/>
      <c r="N216" s="60"/>
      <c r="O216" s="60"/>
      <c r="P216" s="60"/>
      <c r="Q216" s="61"/>
      <c r="R216" s="61"/>
      <c r="S216" s="87" t="str">
        <f aca="false">IF(OR(B216="",L216=""),"",INDEX(Lists!$AD$4:$AD$8,MATCH(L216,Lists!$AC$4:$AC$8,0)))</f>
        <v/>
      </c>
      <c r="T216" s="95" t="str">
        <f aca="false">IF(OR(S216="",ISERROR(S216)),"",B216+S216)</f>
        <v/>
      </c>
      <c r="U216" s="61"/>
      <c r="V216" s="63"/>
      <c r="W216" s="63"/>
      <c r="X216" s="60"/>
      <c r="Y216" s="62" t="str">
        <f aca="false">IF(E216="","",IF(AND(B216&lt;&gt;"",B216&gt;='Weekly Report'!$F$4,B216&lt;='Weekly Report'!$F$5),"NEW",IF(AND(W216&lt;&gt;"",W216&gt;='Weekly Report'!$F$4,W216&lt;='Weekly Report'!$F$5),"CHANGED","")))</f>
        <v/>
      </c>
      <c r="Z216" s="87" t="str">
        <f aca="true">IF(B216="","",IF(V216&lt;&gt;"",V216-B216,TODAY()-B216))</f>
        <v/>
      </c>
      <c r="AA216" s="62" t="str">
        <f aca="true">IF(OR(B216="",T216="",U216="False Positive",U216="Risk Accepted"),"",IF(V216&lt;&gt;"",IF(V216&gt;T216,"Closed Late","Met"),IF(TODAY()&gt;T216,"SLA BREACH",IF(T216-TODAY()&lt;=7,"Due ≤7d","Within SLA"))))</f>
        <v/>
      </c>
      <c r="AB216" s="61"/>
      <c r="AC216" s="61"/>
      <c r="AD216" s="60"/>
      <c r="AE216" s="88" t="str">
        <f aca="false">IF(Y216&lt;&gt;"",ROW(),"")</f>
        <v/>
      </c>
      <c r="AF216" s="88" t="str">
        <f aca="false">IF(AND(AND(E216&lt;&gt;"",U216&lt;&gt;"Remediated",U216&lt;&gt;"False Positive",U216&lt;&gt;"Risk Accepted"),T216&lt;&gt;"",T216&lt;='Weekly Report'!$F$7),ROW(),"")</f>
        <v/>
      </c>
      <c r="AG216" s="88" t="str">
        <f aca="false">IF(AND(AND(E216&lt;&gt;"",U216&lt;&gt;"Remediated",U216&lt;&gt;"False Positive",U216&lt;&gt;"Risk Accepted"),LEFT(Q216,6)="Breach"),ROW(),"")</f>
        <v/>
      </c>
    </row>
    <row r="217" customFormat="false" ht="15" hidden="false" customHeight="false" outlineLevel="0" collapsed="false">
      <c r="A217" s="56" t="s">
        <v>2373</v>
      </c>
      <c r="B217" s="63"/>
      <c r="C217" s="61"/>
      <c r="D217" s="61"/>
      <c r="E217" s="60"/>
      <c r="F217" s="61"/>
      <c r="G217" s="61"/>
      <c r="H217" s="61"/>
      <c r="I217" s="61"/>
      <c r="J217" s="60"/>
      <c r="K217" s="61"/>
      <c r="L217" s="61"/>
      <c r="M217" s="61"/>
      <c r="N217" s="60"/>
      <c r="O217" s="60"/>
      <c r="P217" s="60"/>
      <c r="Q217" s="61"/>
      <c r="R217" s="61"/>
      <c r="S217" s="87" t="str">
        <f aca="false">IF(OR(B217="",L217=""),"",INDEX(Lists!$AD$4:$AD$8,MATCH(L217,Lists!$AC$4:$AC$8,0)))</f>
        <v/>
      </c>
      <c r="T217" s="95" t="str">
        <f aca="false">IF(OR(S217="",ISERROR(S217)),"",B217+S217)</f>
        <v/>
      </c>
      <c r="U217" s="61"/>
      <c r="V217" s="63"/>
      <c r="W217" s="63"/>
      <c r="X217" s="60"/>
      <c r="Y217" s="62" t="str">
        <f aca="false">IF(E217="","",IF(AND(B217&lt;&gt;"",B217&gt;='Weekly Report'!$F$4,B217&lt;='Weekly Report'!$F$5),"NEW",IF(AND(W217&lt;&gt;"",W217&gt;='Weekly Report'!$F$4,W217&lt;='Weekly Report'!$F$5),"CHANGED","")))</f>
        <v/>
      </c>
      <c r="Z217" s="87" t="str">
        <f aca="true">IF(B217="","",IF(V217&lt;&gt;"",V217-B217,TODAY()-B217))</f>
        <v/>
      </c>
      <c r="AA217" s="62" t="str">
        <f aca="true">IF(OR(B217="",T217="",U217="False Positive",U217="Risk Accepted"),"",IF(V217&lt;&gt;"",IF(V217&gt;T217,"Closed Late","Met"),IF(TODAY()&gt;T217,"SLA BREACH",IF(T217-TODAY()&lt;=7,"Due ≤7d","Within SLA"))))</f>
        <v/>
      </c>
      <c r="AB217" s="61"/>
      <c r="AC217" s="61"/>
      <c r="AD217" s="60"/>
      <c r="AE217" s="88" t="str">
        <f aca="false">IF(Y217&lt;&gt;"",ROW(),"")</f>
        <v/>
      </c>
      <c r="AF217" s="88" t="str">
        <f aca="false">IF(AND(AND(E217&lt;&gt;"",U217&lt;&gt;"Remediated",U217&lt;&gt;"False Positive",U217&lt;&gt;"Risk Accepted"),T217&lt;&gt;"",T217&lt;='Weekly Report'!$F$7),ROW(),"")</f>
        <v/>
      </c>
      <c r="AG217" s="88" t="str">
        <f aca="false">IF(AND(AND(E217&lt;&gt;"",U217&lt;&gt;"Remediated",U217&lt;&gt;"False Positive",U217&lt;&gt;"Risk Accepted"),LEFT(Q217,6)="Breach"),ROW(),"")</f>
        <v/>
      </c>
    </row>
    <row r="218" customFormat="false" ht="15" hidden="false" customHeight="false" outlineLevel="0" collapsed="false">
      <c r="A218" s="56" t="s">
        <v>2374</v>
      </c>
      <c r="B218" s="63"/>
      <c r="C218" s="61"/>
      <c r="D218" s="61"/>
      <c r="E218" s="60"/>
      <c r="F218" s="61"/>
      <c r="G218" s="61"/>
      <c r="H218" s="61"/>
      <c r="I218" s="61"/>
      <c r="J218" s="60"/>
      <c r="K218" s="61"/>
      <c r="L218" s="61"/>
      <c r="M218" s="61"/>
      <c r="N218" s="60"/>
      <c r="O218" s="60"/>
      <c r="P218" s="60"/>
      <c r="Q218" s="61"/>
      <c r="R218" s="61"/>
      <c r="S218" s="87" t="str">
        <f aca="false">IF(OR(B218="",L218=""),"",INDEX(Lists!$AD$4:$AD$8,MATCH(L218,Lists!$AC$4:$AC$8,0)))</f>
        <v/>
      </c>
      <c r="T218" s="95" t="str">
        <f aca="false">IF(OR(S218="",ISERROR(S218)),"",B218+S218)</f>
        <v/>
      </c>
      <c r="U218" s="61"/>
      <c r="V218" s="63"/>
      <c r="W218" s="63"/>
      <c r="X218" s="60"/>
      <c r="Y218" s="62" t="str">
        <f aca="false">IF(E218="","",IF(AND(B218&lt;&gt;"",B218&gt;='Weekly Report'!$F$4,B218&lt;='Weekly Report'!$F$5),"NEW",IF(AND(W218&lt;&gt;"",W218&gt;='Weekly Report'!$F$4,W218&lt;='Weekly Report'!$F$5),"CHANGED","")))</f>
        <v/>
      </c>
      <c r="Z218" s="87" t="str">
        <f aca="true">IF(B218="","",IF(V218&lt;&gt;"",V218-B218,TODAY()-B218))</f>
        <v/>
      </c>
      <c r="AA218" s="62" t="str">
        <f aca="true">IF(OR(B218="",T218="",U218="False Positive",U218="Risk Accepted"),"",IF(V218&lt;&gt;"",IF(V218&gt;T218,"Closed Late","Met"),IF(TODAY()&gt;T218,"SLA BREACH",IF(T218-TODAY()&lt;=7,"Due ≤7d","Within SLA"))))</f>
        <v/>
      </c>
      <c r="AB218" s="61"/>
      <c r="AC218" s="61"/>
      <c r="AD218" s="60"/>
      <c r="AE218" s="88" t="str">
        <f aca="false">IF(Y218&lt;&gt;"",ROW(),"")</f>
        <v/>
      </c>
      <c r="AF218" s="88" t="str">
        <f aca="false">IF(AND(AND(E218&lt;&gt;"",U218&lt;&gt;"Remediated",U218&lt;&gt;"False Positive",U218&lt;&gt;"Risk Accepted"),T218&lt;&gt;"",T218&lt;='Weekly Report'!$F$7),ROW(),"")</f>
        <v/>
      </c>
      <c r="AG218" s="88" t="str">
        <f aca="false">IF(AND(AND(E218&lt;&gt;"",U218&lt;&gt;"Remediated",U218&lt;&gt;"False Positive",U218&lt;&gt;"Risk Accepted"),LEFT(Q218,6)="Breach"),ROW(),"")</f>
        <v/>
      </c>
    </row>
    <row r="219" customFormat="false" ht="15" hidden="false" customHeight="false" outlineLevel="0" collapsed="false">
      <c r="A219" s="56" t="s">
        <v>2375</v>
      </c>
      <c r="B219" s="63"/>
      <c r="C219" s="61"/>
      <c r="D219" s="61"/>
      <c r="E219" s="60"/>
      <c r="F219" s="61"/>
      <c r="G219" s="61"/>
      <c r="H219" s="61"/>
      <c r="I219" s="61"/>
      <c r="J219" s="60"/>
      <c r="K219" s="61"/>
      <c r="L219" s="61"/>
      <c r="M219" s="61"/>
      <c r="N219" s="60"/>
      <c r="O219" s="60"/>
      <c r="P219" s="60"/>
      <c r="Q219" s="61"/>
      <c r="R219" s="61"/>
      <c r="S219" s="87" t="str">
        <f aca="false">IF(OR(B219="",L219=""),"",INDEX(Lists!$AD$4:$AD$8,MATCH(L219,Lists!$AC$4:$AC$8,0)))</f>
        <v/>
      </c>
      <c r="T219" s="95" t="str">
        <f aca="false">IF(OR(S219="",ISERROR(S219)),"",B219+S219)</f>
        <v/>
      </c>
      <c r="U219" s="61"/>
      <c r="V219" s="63"/>
      <c r="W219" s="63"/>
      <c r="X219" s="60"/>
      <c r="Y219" s="62" t="str">
        <f aca="false">IF(E219="","",IF(AND(B219&lt;&gt;"",B219&gt;='Weekly Report'!$F$4,B219&lt;='Weekly Report'!$F$5),"NEW",IF(AND(W219&lt;&gt;"",W219&gt;='Weekly Report'!$F$4,W219&lt;='Weekly Report'!$F$5),"CHANGED","")))</f>
        <v/>
      </c>
      <c r="Z219" s="87" t="str">
        <f aca="true">IF(B219="","",IF(V219&lt;&gt;"",V219-B219,TODAY()-B219))</f>
        <v/>
      </c>
      <c r="AA219" s="62" t="str">
        <f aca="true">IF(OR(B219="",T219="",U219="False Positive",U219="Risk Accepted"),"",IF(V219&lt;&gt;"",IF(V219&gt;T219,"Closed Late","Met"),IF(TODAY()&gt;T219,"SLA BREACH",IF(T219-TODAY()&lt;=7,"Due ≤7d","Within SLA"))))</f>
        <v/>
      </c>
      <c r="AB219" s="61"/>
      <c r="AC219" s="61"/>
      <c r="AD219" s="60"/>
      <c r="AE219" s="88" t="str">
        <f aca="false">IF(Y219&lt;&gt;"",ROW(),"")</f>
        <v/>
      </c>
      <c r="AF219" s="88" t="str">
        <f aca="false">IF(AND(AND(E219&lt;&gt;"",U219&lt;&gt;"Remediated",U219&lt;&gt;"False Positive",U219&lt;&gt;"Risk Accepted"),T219&lt;&gt;"",T219&lt;='Weekly Report'!$F$7),ROW(),"")</f>
        <v/>
      </c>
      <c r="AG219" s="88" t="str">
        <f aca="false">IF(AND(AND(E219&lt;&gt;"",U219&lt;&gt;"Remediated",U219&lt;&gt;"False Positive",U219&lt;&gt;"Risk Accepted"),LEFT(Q219,6)="Breach"),ROW(),"")</f>
        <v/>
      </c>
    </row>
    <row r="220" customFormat="false" ht="15" hidden="false" customHeight="false" outlineLevel="0" collapsed="false">
      <c r="A220" s="56" t="s">
        <v>2376</v>
      </c>
      <c r="B220" s="63"/>
      <c r="C220" s="61"/>
      <c r="D220" s="61"/>
      <c r="E220" s="60"/>
      <c r="F220" s="61"/>
      <c r="G220" s="61"/>
      <c r="H220" s="61"/>
      <c r="I220" s="61"/>
      <c r="J220" s="60"/>
      <c r="K220" s="61"/>
      <c r="L220" s="61"/>
      <c r="M220" s="61"/>
      <c r="N220" s="60"/>
      <c r="O220" s="60"/>
      <c r="P220" s="60"/>
      <c r="Q220" s="61"/>
      <c r="R220" s="61"/>
      <c r="S220" s="87" t="str">
        <f aca="false">IF(OR(B220="",L220=""),"",INDEX(Lists!$AD$4:$AD$8,MATCH(L220,Lists!$AC$4:$AC$8,0)))</f>
        <v/>
      </c>
      <c r="T220" s="95" t="str">
        <f aca="false">IF(OR(S220="",ISERROR(S220)),"",B220+S220)</f>
        <v/>
      </c>
      <c r="U220" s="61"/>
      <c r="V220" s="63"/>
      <c r="W220" s="63"/>
      <c r="X220" s="60"/>
      <c r="Y220" s="62" t="str">
        <f aca="false">IF(E220="","",IF(AND(B220&lt;&gt;"",B220&gt;='Weekly Report'!$F$4,B220&lt;='Weekly Report'!$F$5),"NEW",IF(AND(W220&lt;&gt;"",W220&gt;='Weekly Report'!$F$4,W220&lt;='Weekly Report'!$F$5),"CHANGED","")))</f>
        <v/>
      </c>
      <c r="Z220" s="87" t="str">
        <f aca="true">IF(B220="","",IF(V220&lt;&gt;"",V220-B220,TODAY()-B220))</f>
        <v/>
      </c>
      <c r="AA220" s="62" t="str">
        <f aca="true">IF(OR(B220="",T220="",U220="False Positive",U220="Risk Accepted"),"",IF(V220&lt;&gt;"",IF(V220&gt;T220,"Closed Late","Met"),IF(TODAY()&gt;T220,"SLA BREACH",IF(T220-TODAY()&lt;=7,"Due ≤7d","Within SLA"))))</f>
        <v/>
      </c>
      <c r="AB220" s="61"/>
      <c r="AC220" s="61"/>
      <c r="AD220" s="60"/>
      <c r="AE220" s="88" t="str">
        <f aca="false">IF(Y220&lt;&gt;"",ROW(),"")</f>
        <v/>
      </c>
      <c r="AF220" s="88" t="str">
        <f aca="false">IF(AND(AND(E220&lt;&gt;"",U220&lt;&gt;"Remediated",U220&lt;&gt;"False Positive",U220&lt;&gt;"Risk Accepted"),T220&lt;&gt;"",T220&lt;='Weekly Report'!$F$7),ROW(),"")</f>
        <v/>
      </c>
      <c r="AG220" s="88" t="str">
        <f aca="false">IF(AND(AND(E220&lt;&gt;"",U220&lt;&gt;"Remediated",U220&lt;&gt;"False Positive",U220&lt;&gt;"Risk Accepted"),LEFT(Q220,6)="Breach"),ROW(),"")</f>
        <v/>
      </c>
    </row>
    <row r="221" customFormat="false" ht="15" hidden="false" customHeight="false" outlineLevel="0" collapsed="false">
      <c r="A221" s="56" t="s">
        <v>2377</v>
      </c>
      <c r="B221" s="63"/>
      <c r="C221" s="61"/>
      <c r="D221" s="61"/>
      <c r="E221" s="60"/>
      <c r="F221" s="61"/>
      <c r="G221" s="61"/>
      <c r="H221" s="61"/>
      <c r="I221" s="61"/>
      <c r="J221" s="60"/>
      <c r="K221" s="61"/>
      <c r="L221" s="61"/>
      <c r="M221" s="61"/>
      <c r="N221" s="60"/>
      <c r="O221" s="60"/>
      <c r="P221" s="60"/>
      <c r="Q221" s="61"/>
      <c r="R221" s="61"/>
      <c r="S221" s="87" t="str">
        <f aca="false">IF(OR(B221="",L221=""),"",INDEX(Lists!$AD$4:$AD$8,MATCH(L221,Lists!$AC$4:$AC$8,0)))</f>
        <v/>
      </c>
      <c r="T221" s="95" t="str">
        <f aca="false">IF(OR(S221="",ISERROR(S221)),"",B221+S221)</f>
        <v/>
      </c>
      <c r="U221" s="61"/>
      <c r="V221" s="63"/>
      <c r="W221" s="63"/>
      <c r="X221" s="60"/>
      <c r="Y221" s="62" t="str">
        <f aca="false">IF(E221="","",IF(AND(B221&lt;&gt;"",B221&gt;='Weekly Report'!$F$4,B221&lt;='Weekly Report'!$F$5),"NEW",IF(AND(W221&lt;&gt;"",W221&gt;='Weekly Report'!$F$4,W221&lt;='Weekly Report'!$F$5),"CHANGED","")))</f>
        <v/>
      </c>
      <c r="Z221" s="87" t="str">
        <f aca="true">IF(B221="","",IF(V221&lt;&gt;"",V221-B221,TODAY()-B221))</f>
        <v/>
      </c>
      <c r="AA221" s="62" t="str">
        <f aca="true">IF(OR(B221="",T221="",U221="False Positive",U221="Risk Accepted"),"",IF(V221&lt;&gt;"",IF(V221&gt;T221,"Closed Late","Met"),IF(TODAY()&gt;T221,"SLA BREACH",IF(T221-TODAY()&lt;=7,"Due ≤7d","Within SLA"))))</f>
        <v/>
      </c>
      <c r="AB221" s="61"/>
      <c r="AC221" s="61"/>
      <c r="AD221" s="60"/>
      <c r="AE221" s="88" t="str">
        <f aca="false">IF(Y221&lt;&gt;"",ROW(),"")</f>
        <v/>
      </c>
      <c r="AF221" s="88" t="str">
        <f aca="false">IF(AND(AND(E221&lt;&gt;"",U221&lt;&gt;"Remediated",U221&lt;&gt;"False Positive",U221&lt;&gt;"Risk Accepted"),T221&lt;&gt;"",T221&lt;='Weekly Report'!$F$7),ROW(),"")</f>
        <v/>
      </c>
      <c r="AG221" s="88" t="str">
        <f aca="false">IF(AND(AND(E221&lt;&gt;"",U221&lt;&gt;"Remediated",U221&lt;&gt;"False Positive",U221&lt;&gt;"Risk Accepted"),LEFT(Q221,6)="Breach"),ROW(),"")</f>
        <v/>
      </c>
    </row>
    <row r="222" customFormat="false" ht="15" hidden="false" customHeight="false" outlineLevel="0" collapsed="false">
      <c r="A222" s="56" t="s">
        <v>2378</v>
      </c>
      <c r="B222" s="63"/>
      <c r="C222" s="61"/>
      <c r="D222" s="61"/>
      <c r="E222" s="60"/>
      <c r="F222" s="61"/>
      <c r="G222" s="61"/>
      <c r="H222" s="61"/>
      <c r="I222" s="61"/>
      <c r="J222" s="60"/>
      <c r="K222" s="61"/>
      <c r="L222" s="61"/>
      <c r="M222" s="61"/>
      <c r="N222" s="60"/>
      <c r="O222" s="60"/>
      <c r="P222" s="60"/>
      <c r="Q222" s="61"/>
      <c r="R222" s="61"/>
      <c r="S222" s="87" t="str">
        <f aca="false">IF(OR(B222="",L222=""),"",INDEX(Lists!$AD$4:$AD$8,MATCH(L222,Lists!$AC$4:$AC$8,0)))</f>
        <v/>
      </c>
      <c r="T222" s="95" t="str">
        <f aca="false">IF(OR(S222="",ISERROR(S222)),"",B222+S222)</f>
        <v/>
      </c>
      <c r="U222" s="61"/>
      <c r="V222" s="63"/>
      <c r="W222" s="63"/>
      <c r="X222" s="60"/>
      <c r="Y222" s="62" t="str">
        <f aca="false">IF(E222="","",IF(AND(B222&lt;&gt;"",B222&gt;='Weekly Report'!$F$4,B222&lt;='Weekly Report'!$F$5),"NEW",IF(AND(W222&lt;&gt;"",W222&gt;='Weekly Report'!$F$4,W222&lt;='Weekly Report'!$F$5),"CHANGED","")))</f>
        <v/>
      </c>
      <c r="Z222" s="87" t="str">
        <f aca="true">IF(B222="","",IF(V222&lt;&gt;"",V222-B222,TODAY()-B222))</f>
        <v/>
      </c>
      <c r="AA222" s="62" t="str">
        <f aca="true">IF(OR(B222="",T222="",U222="False Positive",U222="Risk Accepted"),"",IF(V222&lt;&gt;"",IF(V222&gt;T222,"Closed Late","Met"),IF(TODAY()&gt;T222,"SLA BREACH",IF(T222-TODAY()&lt;=7,"Due ≤7d","Within SLA"))))</f>
        <v/>
      </c>
      <c r="AB222" s="61"/>
      <c r="AC222" s="61"/>
      <c r="AD222" s="60"/>
      <c r="AE222" s="88" t="str">
        <f aca="false">IF(Y222&lt;&gt;"",ROW(),"")</f>
        <v/>
      </c>
      <c r="AF222" s="88" t="str">
        <f aca="false">IF(AND(AND(E222&lt;&gt;"",U222&lt;&gt;"Remediated",U222&lt;&gt;"False Positive",U222&lt;&gt;"Risk Accepted"),T222&lt;&gt;"",T222&lt;='Weekly Report'!$F$7),ROW(),"")</f>
        <v/>
      </c>
      <c r="AG222" s="88" t="str">
        <f aca="false">IF(AND(AND(E222&lt;&gt;"",U222&lt;&gt;"Remediated",U222&lt;&gt;"False Positive",U222&lt;&gt;"Risk Accepted"),LEFT(Q222,6)="Breach"),ROW(),"")</f>
        <v/>
      </c>
    </row>
    <row r="223" customFormat="false" ht="15" hidden="false" customHeight="false" outlineLevel="0" collapsed="false">
      <c r="A223" s="56" t="s">
        <v>2379</v>
      </c>
      <c r="B223" s="63"/>
      <c r="C223" s="61"/>
      <c r="D223" s="61"/>
      <c r="E223" s="60"/>
      <c r="F223" s="61"/>
      <c r="G223" s="61"/>
      <c r="H223" s="61"/>
      <c r="I223" s="61"/>
      <c r="J223" s="60"/>
      <c r="K223" s="61"/>
      <c r="L223" s="61"/>
      <c r="M223" s="61"/>
      <c r="N223" s="60"/>
      <c r="O223" s="60"/>
      <c r="P223" s="60"/>
      <c r="Q223" s="61"/>
      <c r="R223" s="61"/>
      <c r="S223" s="87" t="str">
        <f aca="false">IF(OR(B223="",L223=""),"",INDEX(Lists!$AD$4:$AD$8,MATCH(L223,Lists!$AC$4:$AC$8,0)))</f>
        <v/>
      </c>
      <c r="T223" s="95" t="str">
        <f aca="false">IF(OR(S223="",ISERROR(S223)),"",B223+S223)</f>
        <v/>
      </c>
      <c r="U223" s="61"/>
      <c r="V223" s="63"/>
      <c r="W223" s="63"/>
      <c r="X223" s="60"/>
      <c r="Y223" s="62" t="str">
        <f aca="false">IF(E223="","",IF(AND(B223&lt;&gt;"",B223&gt;='Weekly Report'!$F$4,B223&lt;='Weekly Report'!$F$5),"NEW",IF(AND(W223&lt;&gt;"",W223&gt;='Weekly Report'!$F$4,W223&lt;='Weekly Report'!$F$5),"CHANGED","")))</f>
        <v/>
      </c>
      <c r="Z223" s="87" t="str">
        <f aca="true">IF(B223="","",IF(V223&lt;&gt;"",V223-B223,TODAY()-B223))</f>
        <v/>
      </c>
      <c r="AA223" s="62" t="str">
        <f aca="true">IF(OR(B223="",T223="",U223="False Positive",U223="Risk Accepted"),"",IF(V223&lt;&gt;"",IF(V223&gt;T223,"Closed Late","Met"),IF(TODAY()&gt;T223,"SLA BREACH",IF(T223-TODAY()&lt;=7,"Due ≤7d","Within SLA"))))</f>
        <v/>
      </c>
      <c r="AB223" s="61"/>
      <c r="AC223" s="61"/>
      <c r="AD223" s="60"/>
      <c r="AE223" s="88" t="str">
        <f aca="false">IF(Y223&lt;&gt;"",ROW(),"")</f>
        <v/>
      </c>
      <c r="AF223" s="88" t="str">
        <f aca="false">IF(AND(AND(E223&lt;&gt;"",U223&lt;&gt;"Remediated",U223&lt;&gt;"False Positive",U223&lt;&gt;"Risk Accepted"),T223&lt;&gt;"",T223&lt;='Weekly Report'!$F$7),ROW(),"")</f>
        <v/>
      </c>
      <c r="AG223" s="88" t="str">
        <f aca="false">IF(AND(AND(E223&lt;&gt;"",U223&lt;&gt;"Remediated",U223&lt;&gt;"False Positive",U223&lt;&gt;"Risk Accepted"),LEFT(Q223,6)="Breach"),ROW(),"")</f>
        <v/>
      </c>
    </row>
    <row r="224" customFormat="false" ht="15" hidden="false" customHeight="false" outlineLevel="0" collapsed="false">
      <c r="A224" s="56" t="s">
        <v>2380</v>
      </c>
      <c r="B224" s="63"/>
      <c r="C224" s="61"/>
      <c r="D224" s="61"/>
      <c r="E224" s="60"/>
      <c r="F224" s="61"/>
      <c r="G224" s="61"/>
      <c r="H224" s="61"/>
      <c r="I224" s="61"/>
      <c r="J224" s="60"/>
      <c r="K224" s="61"/>
      <c r="L224" s="61"/>
      <c r="M224" s="61"/>
      <c r="N224" s="60"/>
      <c r="O224" s="60"/>
      <c r="P224" s="60"/>
      <c r="Q224" s="61"/>
      <c r="R224" s="61"/>
      <c r="S224" s="87" t="str">
        <f aca="false">IF(OR(B224="",L224=""),"",INDEX(Lists!$AD$4:$AD$8,MATCH(L224,Lists!$AC$4:$AC$8,0)))</f>
        <v/>
      </c>
      <c r="T224" s="95" t="str">
        <f aca="false">IF(OR(S224="",ISERROR(S224)),"",B224+S224)</f>
        <v/>
      </c>
      <c r="U224" s="61"/>
      <c r="V224" s="63"/>
      <c r="W224" s="63"/>
      <c r="X224" s="60"/>
      <c r="Y224" s="62" t="str">
        <f aca="false">IF(E224="","",IF(AND(B224&lt;&gt;"",B224&gt;='Weekly Report'!$F$4,B224&lt;='Weekly Report'!$F$5),"NEW",IF(AND(W224&lt;&gt;"",W224&gt;='Weekly Report'!$F$4,W224&lt;='Weekly Report'!$F$5),"CHANGED","")))</f>
        <v/>
      </c>
      <c r="Z224" s="87" t="str">
        <f aca="true">IF(B224="","",IF(V224&lt;&gt;"",V224-B224,TODAY()-B224))</f>
        <v/>
      </c>
      <c r="AA224" s="62" t="str">
        <f aca="true">IF(OR(B224="",T224="",U224="False Positive",U224="Risk Accepted"),"",IF(V224&lt;&gt;"",IF(V224&gt;T224,"Closed Late","Met"),IF(TODAY()&gt;T224,"SLA BREACH",IF(T224-TODAY()&lt;=7,"Due ≤7d","Within SLA"))))</f>
        <v/>
      </c>
      <c r="AB224" s="61"/>
      <c r="AC224" s="61"/>
      <c r="AD224" s="60"/>
      <c r="AE224" s="88" t="str">
        <f aca="false">IF(Y224&lt;&gt;"",ROW(),"")</f>
        <v/>
      </c>
      <c r="AF224" s="88" t="str">
        <f aca="false">IF(AND(AND(E224&lt;&gt;"",U224&lt;&gt;"Remediated",U224&lt;&gt;"False Positive",U224&lt;&gt;"Risk Accepted"),T224&lt;&gt;"",T224&lt;='Weekly Report'!$F$7),ROW(),"")</f>
        <v/>
      </c>
      <c r="AG224" s="88" t="str">
        <f aca="false">IF(AND(AND(E224&lt;&gt;"",U224&lt;&gt;"Remediated",U224&lt;&gt;"False Positive",U224&lt;&gt;"Risk Accepted"),LEFT(Q224,6)="Breach"),ROW(),"")</f>
        <v/>
      </c>
    </row>
    <row r="225" customFormat="false" ht="15" hidden="false" customHeight="false" outlineLevel="0" collapsed="false">
      <c r="A225" s="56" t="s">
        <v>2381</v>
      </c>
      <c r="B225" s="63"/>
      <c r="C225" s="61"/>
      <c r="D225" s="61"/>
      <c r="E225" s="60"/>
      <c r="F225" s="61"/>
      <c r="G225" s="61"/>
      <c r="H225" s="61"/>
      <c r="I225" s="61"/>
      <c r="J225" s="60"/>
      <c r="K225" s="61"/>
      <c r="L225" s="61"/>
      <c r="M225" s="61"/>
      <c r="N225" s="60"/>
      <c r="O225" s="60"/>
      <c r="P225" s="60"/>
      <c r="Q225" s="61"/>
      <c r="R225" s="61"/>
      <c r="S225" s="87" t="str">
        <f aca="false">IF(OR(B225="",L225=""),"",INDEX(Lists!$AD$4:$AD$8,MATCH(L225,Lists!$AC$4:$AC$8,0)))</f>
        <v/>
      </c>
      <c r="T225" s="95" t="str">
        <f aca="false">IF(OR(S225="",ISERROR(S225)),"",B225+S225)</f>
        <v/>
      </c>
      <c r="U225" s="61"/>
      <c r="V225" s="63"/>
      <c r="W225" s="63"/>
      <c r="X225" s="60"/>
      <c r="Y225" s="62" t="str">
        <f aca="false">IF(E225="","",IF(AND(B225&lt;&gt;"",B225&gt;='Weekly Report'!$F$4,B225&lt;='Weekly Report'!$F$5),"NEW",IF(AND(W225&lt;&gt;"",W225&gt;='Weekly Report'!$F$4,W225&lt;='Weekly Report'!$F$5),"CHANGED","")))</f>
        <v/>
      </c>
      <c r="Z225" s="87" t="str">
        <f aca="true">IF(B225="","",IF(V225&lt;&gt;"",V225-B225,TODAY()-B225))</f>
        <v/>
      </c>
      <c r="AA225" s="62" t="str">
        <f aca="true">IF(OR(B225="",T225="",U225="False Positive",U225="Risk Accepted"),"",IF(V225&lt;&gt;"",IF(V225&gt;T225,"Closed Late","Met"),IF(TODAY()&gt;T225,"SLA BREACH",IF(T225-TODAY()&lt;=7,"Due ≤7d","Within SLA"))))</f>
        <v/>
      </c>
      <c r="AB225" s="61"/>
      <c r="AC225" s="61"/>
      <c r="AD225" s="60"/>
      <c r="AE225" s="88" t="str">
        <f aca="false">IF(Y225&lt;&gt;"",ROW(),"")</f>
        <v/>
      </c>
      <c r="AF225" s="88" t="str">
        <f aca="false">IF(AND(AND(E225&lt;&gt;"",U225&lt;&gt;"Remediated",U225&lt;&gt;"False Positive",U225&lt;&gt;"Risk Accepted"),T225&lt;&gt;"",T225&lt;='Weekly Report'!$F$7),ROW(),"")</f>
        <v/>
      </c>
      <c r="AG225" s="88" t="str">
        <f aca="false">IF(AND(AND(E225&lt;&gt;"",U225&lt;&gt;"Remediated",U225&lt;&gt;"False Positive",U225&lt;&gt;"Risk Accepted"),LEFT(Q225,6)="Breach"),ROW(),"")</f>
        <v/>
      </c>
    </row>
    <row r="226" customFormat="false" ht="15" hidden="false" customHeight="false" outlineLevel="0" collapsed="false">
      <c r="A226" s="56" t="s">
        <v>2382</v>
      </c>
      <c r="B226" s="63"/>
      <c r="C226" s="61"/>
      <c r="D226" s="61"/>
      <c r="E226" s="60"/>
      <c r="F226" s="61"/>
      <c r="G226" s="61"/>
      <c r="H226" s="61"/>
      <c r="I226" s="61"/>
      <c r="J226" s="60"/>
      <c r="K226" s="61"/>
      <c r="L226" s="61"/>
      <c r="M226" s="61"/>
      <c r="N226" s="60"/>
      <c r="O226" s="60"/>
      <c r="P226" s="60"/>
      <c r="Q226" s="61"/>
      <c r="R226" s="61"/>
      <c r="S226" s="87" t="str">
        <f aca="false">IF(OR(B226="",L226=""),"",INDEX(Lists!$AD$4:$AD$8,MATCH(L226,Lists!$AC$4:$AC$8,0)))</f>
        <v/>
      </c>
      <c r="T226" s="95" t="str">
        <f aca="false">IF(OR(S226="",ISERROR(S226)),"",B226+S226)</f>
        <v/>
      </c>
      <c r="U226" s="61"/>
      <c r="V226" s="63"/>
      <c r="W226" s="63"/>
      <c r="X226" s="60"/>
      <c r="Y226" s="62" t="str">
        <f aca="false">IF(E226="","",IF(AND(B226&lt;&gt;"",B226&gt;='Weekly Report'!$F$4,B226&lt;='Weekly Report'!$F$5),"NEW",IF(AND(W226&lt;&gt;"",W226&gt;='Weekly Report'!$F$4,W226&lt;='Weekly Report'!$F$5),"CHANGED","")))</f>
        <v/>
      </c>
      <c r="Z226" s="87" t="str">
        <f aca="true">IF(B226="","",IF(V226&lt;&gt;"",V226-B226,TODAY()-B226))</f>
        <v/>
      </c>
      <c r="AA226" s="62" t="str">
        <f aca="true">IF(OR(B226="",T226="",U226="False Positive",U226="Risk Accepted"),"",IF(V226&lt;&gt;"",IF(V226&gt;T226,"Closed Late","Met"),IF(TODAY()&gt;T226,"SLA BREACH",IF(T226-TODAY()&lt;=7,"Due ≤7d","Within SLA"))))</f>
        <v/>
      </c>
      <c r="AB226" s="61"/>
      <c r="AC226" s="61"/>
      <c r="AD226" s="60"/>
      <c r="AE226" s="88" t="str">
        <f aca="false">IF(Y226&lt;&gt;"",ROW(),"")</f>
        <v/>
      </c>
      <c r="AF226" s="88" t="str">
        <f aca="false">IF(AND(AND(E226&lt;&gt;"",U226&lt;&gt;"Remediated",U226&lt;&gt;"False Positive",U226&lt;&gt;"Risk Accepted"),T226&lt;&gt;"",T226&lt;='Weekly Report'!$F$7),ROW(),"")</f>
        <v/>
      </c>
      <c r="AG226" s="88" t="str">
        <f aca="false">IF(AND(AND(E226&lt;&gt;"",U226&lt;&gt;"Remediated",U226&lt;&gt;"False Positive",U226&lt;&gt;"Risk Accepted"),LEFT(Q226,6)="Breach"),ROW(),"")</f>
        <v/>
      </c>
    </row>
    <row r="227" customFormat="false" ht="15" hidden="false" customHeight="false" outlineLevel="0" collapsed="false">
      <c r="A227" s="56" t="s">
        <v>2383</v>
      </c>
      <c r="B227" s="63"/>
      <c r="C227" s="61"/>
      <c r="D227" s="61"/>
      <c r="E227" s="60"/>
      <c r="F227" s="61"/>
      <c r="G227" s="61"/>
      <c r="H227" s="61"/>
      <c r="I227" s="61"/>
      <c r="J227" s="60"/>
      <c r="K227" s="61"/>
      <c r="L227" s="61"/>
      <c r="M227" s="61"/>
      <c r="N227" s="60"/>
      <c r="O227" s="60"/>
      <c r="P227" s="60"/>
      <c r="Q227" s="61"/>
      <c r="R227" s="61"/>
      <c r="S227" s="87" t="str">
        <f aca="false">IF(OR(B227="",L227=""),"",INDEX(Lists!$AD$4:$AD$8,MATCH(L227,Lists!$AC$4:$AC$8,0)))</f>
        <v/>
      </c>
      <c r="T227" s="95" t="str">
        <f aca="false">IF(OR(S227="",ISERROR(S227)),"",B227+S227)</f>
        <v/>
      </c>
      <c r="U227" s="61"/>
      <c r="V227" s="63"/>
      <c r="W227" s="63"/>
      <c r="X227" s="60"/>
      <c r="Y227" s="62" t="str">
        <f aca="false">IF(E227="","",IF(AND(B227&lt;&gt;"",B227&gt;='Weekly Report'!$F$4,B227&lt;='Weekly Report'!$F$5),"NEW",IF(AND(W227&lt;&gt;"",W227&gt;='Weekly Report'!$F$4,W227&lt;='Weekly Report'!$F$5),"CHANGED","")))</f>
        <v/>
      </c>
      <c r="Z227" s="87" t="str">
        <f aca="true">IF(B227="","",IF(V227&lt;&gt;"",V227-B227,TODAY()-B227))</f>
        <v/>
      </c>
      <c r="AA227" s="62" t="str">
        <f aca="true">IF(OR(B227="",T227="",U227="False Positive",U227="Risk Accepted"),"",IF(V227&lt;&gt;"",IF(V227&gt;T227,"Closed Late","Met"),IF(TODAY()&gt;T227,"SLA BREACH",IF(T227-TODAY()&lt;=7,"Due ≤7d","Within SLA"))))</f>
        <v/>
      </c>
      <c r="AB227" s="61"/>
      <c r="AC227" s="61"/>
      <c r="AD227" s="60"/>
      <c r="AE227" s="88" t="str">
        <f aca="false">IF(Y227&lt;&gt;"",ROW(),"")</f>
        <v/>
      </c>
      <c r="AF227" s="88" t="str">
        <f aca="false">IF(AND(AND(E227&lt;&gt;"",U227&lt;&gt;"Remediated",U227&lt;&gt;"False Positive",U227&lt;&gt;"Risk Accepted"),T227&lt;&gt;"",T227&lt;='Weekly Report'!$F$7),ROW(),"")</f>
        <v/>
      </c>
      <c r="AG227" s="88" t="str">
        <f aca="false">IF(AND(AND(E227&lt;&gt;"",U227&lt;&gt;"Remediated",U227&lt;&gt;"False Positive",U227&lt;&gt;"Risk Accepted"),LEFT(Q227,6)="Breach"),ROW(),"")</f>
        <v/>
      </c>
    </row>
    <row r="228" customFormat="false" ht="15" hidden="false" customHeight="false" outlineLevel="0" collapsed="false">
      <c r="A228" s="56" t="s">
        <v>2384</v>
      </c>
      <c r="B228" s="63"/>
      <c r="C228" s="61"/>
      <c r="D228" s="61"/>
      <c r="E228" s="60"/>
      <c r="F228" s="61"/>
      <c r="G228" s="61"/>
      <c r="H228" s="61"/>
      <c r="I228" s="61"/>
      <c r="J228" s="60"/>
      <c r="K228" s="61"/>
      <c r="L228" s="61"/>
      <c r="M228" s="61"/>
      <c r="N228" s="60"/>
      <c r="O228" s="60"/>
      <c r="P228" s="60"/>
      <c r="Q228" s="61"/>
      <c r="R228" s="61"/>
      <c r="S228" s="87" t="str">
        <f aca="false">IF(OR(B228="",L228=""),"",INDEX(Lists!$AD$4:$AD$8,MATCH(L228,Lists!$AC$4:$AC$8,0)))</f>
        <v/>
      </c>
      <c r="T228" s="95" t="str">
        <f aca="false">IF(OR(S228="",ISERROR(S228)),"",B228+S228)</f>
        <v/>
      </c>
      <c r="U228" s="61"/>
      <c r="V228" s="63"/>
      <c r="W228" s="63"/>
      <c r="X228" s="60"/>
      <c r="Y228" s="62" t="str">
        <f aca="false">IF(E228="","",IF(AND(B228&lt;&gt;"",B228&gt;='Weekly Report'!$F$4,B228&lt;='Weekly Report'!$F$5),"NEW",IF(AND(W228&lt;&gt;"",W228&gt;='Weekly Report'!$F$4,W228&lt;='Weekly Report'!$F$5),"CHANGED","")))</f>
        <v/>
      </c>
      <c r="Z228" s="87" t="str">
        <f aca="true">IF(B228="","",IF(V228&lt;&gt;"",V228-B228,TODAY()-B228))</f>
        <v/>
      </c>
      <c r="AA228" s="62" t="str">
        <f aca="true">IF(OR(B228="",T228="",U228="False Positive",U228="Risk Accepted"),"",IF(V228&lt;&gt;"",IF(V228&gt;T228,"Closed Late","Met"),IF(TODAY()&gt;T228,"SLA BREACH",IF(T228-TODAY()&lt;=7,"Due ≤7d","Within SLA"))))</f>
        <v/>
      </c>
      <c r="AB228" s="61"/>
      <c r="AC228" s="61"/>
      <c r="AD228" s="60"/>
      <c r="AE228" s="88" t="str">
        <f aca="false">IF(Y228&lt;&gt;"",ROW(),"")</f>
        <v/>
      </c>
      <c r="AF228" s="88" t="str">
        <f aca="false">IF(AND(AND(E228&lt;&gt;"",U228&lt;&gt;"Remediated",U228&lt;&gt;"False Positive",U228&lt;&gt;"Risk Accepted"),T228&lt;&gt;"",T228&lt;='Weekly Report'!$F$7),ROW(),"")</f>
        <v/>
      </c>
      <c r="AG228" s="88" t="str">
        <f aca="false">IF(AND(AND(E228&lt;&gt;"",U228&lt;&gt;"Remediated",U228&lt;&gt;"False Positive",U228&lt;&gt;"Risk Accepted"),LEFT(Q228,6)="Breach"),ROW(),"")</f>
        <v/>
      </c>
    </row>
    <row r="229" customFormat="false" ht="15" hidden="false" customHeight="false" outlineLevel="0" collapsed="false">
      <c r="A229" s="56" t="s">
        <v>2385</v>
      </c>
      <c r="B229" s="63"/>
      <c r="C229" s="61"/>
      <c r="D229" s="61"/>
      <c r="E229" s="60"/>
      <c r="F229" s="61"/>
      <c r="G229" s="61"/>
      <c r="H229" s="61"/>
      <c r="I229" s="61"/>
      <c r="J229" s="60"/>
      <c r="K229" s="61"/>
      <c r="L229" s="61"/>
      <c r="M229" s="61"/>
      <c r="N229" s="60"/>
      <c r="O229" s="60"/>
      <c r="P229" s="60"/>
      <c r="Q229" s="61"/>
      <c r="R229" s="61"/>
      <c r="S229" s="87" t="str">
        <f aca="false">IF(OR(B229="",L229=""),"",INDEX(Lists!$AD$4:$AD$8,MATCH(L229,Lists!$AC$4:$AC$8,0)))</f>
        <v/>
      </c>
      <c r="T229" s="95" t="str">
        <f aca="false">IF(OR(S229="",ISERROR(S229)),"",B229+S229)</f>
        <v/>
      </c>
      <c r="U229" s="61"/>
      <c r="V229" s="63"/>
      <c r="W229" s="63"/>
      <c r="X229" s="60"/>
      <c r="Y229" s="62" t="str">
        <f aca="false">IF(E229="","",IF(AND(B229&lt;&gt;"",B229&gt;='Weekly Report'!$F$4,B229&lt;='Weekly Report'!$F$5),"NEW",IF(AND(W229&lt;&gt;"",W229&gt;='Weekly Report'!$F$4,W229&lt;='Weekly Report'!$F$5),"CHANGED","")))</f>
        <v/>
      </c>
      <c r="Z229" s="87" t="str">
        <f aca="true">IF(B229="","",IF(V229&lt;&gt;"",V229-B229,TODAY()-B229))</f>
        <v/>
      </c>
      <c r="AA229" s="62" t="str">
        <f aca="true">IF(OR(B229="",T229="",U229="False Positive",U229="Risk Accepted"),"",IF(V229&lt;&gt;"",IF(V229&gt;T229,"Closed Late","Met"),IF(TODAY()&gt;T229,"SLA BREACH",IF(T229-TODAY()&lt;=7,"Due ≤7d","Within SLA"))))</f>
        <v/>
      </c>
      <c r="AB229" s="61"/>
      <c r="AC229" s="61"/>
      <c r="AD229" s="60"/>
      <c r="AE229" s="88" t="str">
        <f aca="false">IF(Y229&lt;&gt;"",ROW(),"")</f>
        <v/>
      </c>
      <c r="AF229" s="88" t="str">
        <f aca="false">IF(AND(AND(E229&lt;&gt;"",U229&lt;&gt;"Remediated",U229&lt;&gt;"False Positive",U229&lt;&gt;"Risk Accepted"),T229&lt;&gt;"",T229&lt;='Weekly Report'!$F$7),ROW(),"")</f>
        <v/>
      </c>
      <c r="AG229" s="88" t="str">
        <f aca="false">IF(AND(AND(E229&lt;&gt;"",U229&lt;&gt;"Remediated",U229&lt;&gt;"False Positive",U229&lt;&gt;"Risk Accepted"),LEFT(Q229,6)="Breach"),ROW(),"")</f>
        <v/>
      </c>
    </row>
    <row r="230" customFormat="false" ht="15" hidden="false" customHeight="false" outlineLevel="0" collapsed="false">
      <c r="A230" s="56" t="s">
        <v>2386</v>
      </c>
      <c r="B230" s="63"/>
      <c r="C230" s="61"/>
      <c r="D230" s="61"/>
      <c r="E230" s="60"/>
      <c r="F230" s="61"/>
      <c r="G230" s="61"/>
      <c r="H230" s="61"/>
      <c r="I230" s="61"/>
      <c r="J230" s="60"/>
      <c r="K230" s="61"/>
      <c r="L230" s="61"/>
      <c r="M230" s="61"/>
      <c r="N230" s="60"/>
      <c r="O230" s="60"/>
      <c r="P230" s="60"/>
      <c r="Q230" s="61"/>
      <c r="R230" s="61"/>
      <c r="S230" s="87" t="str">
        <f aca="false">IF(OR(B230="",L230=""),"",INDEX(Lists!$AD$4:$AD$8,MATCH(L230,Lists!$AC$4:$AC$8,0)))</f>
        <v/>
      </c>
      <c r="T230" s="95" t="str">
        <f aca="false">IF(OR(S230="",ISERROR(S230)),"",B230+S230)</f>
        <v/>
      </c>
      <c r="U230" s="61"/>
      <c r="V230" s="63"/>
      <c r="W230" s="63"/>
      <c r="X230" s="60"/>
      <c r="Y230" s="62" t="str">
        <f aca="false">IF(E230="","",IF(AND(B230&lt;&gt;"",B230&gt;='Weekly Report'!$F$4,B230&lt;='Weekly Report'!$F$5),"NEW",IF(AND(W230&lt;&gt;"",W230&gt;='Weekly Report'!$F$4,W230&lt;='Weekly Report'!$F$5),"CHANGED","")))</f>
        <v/>
      </c>
      <c r="Z230" s="87" t="str">
        <f aca="true">IF(B230="","",IF(V230&lt;&gt;"",V230-B230,TODAY()-B230))</f>
        <v/>
      </c>
      <c r="AA230" s="62" t="str">
        <f aca="true">IF(OR(B230="",T230="",U230="False Positive",U230="Risk Accepted"),"",IF(V230&lt;&gt;"",IF(V230&gt;T230,"Closed Late","Met"),IF(TODAY()&gt;T230,"SLA BREACH",IF(T230-TODAY()&lt;=7,"Due ≤7d","Within SLA"))))</f>
        <v/>
      </c>
      <c r="AB230" s="61"/>
      <c r="AC230" s="61"/>
      <c r="AD230" s="60"/>
      <c r="AE230" s="88" t="str">
        <f aca="false">IF(Y230&lt;&gt;"",ROW(),"")</f>
        <v/>
      </c>
      <c r="AF230" s="88" t="str">
        <f aca="false">IF(AND(AND(E230&lt;&gt;"",U230&lt;&gt;"Remediated",U230&lt;&gt;"False Positive",U230&lt;&gt;"Risk Accepted"),T230&lt;&gt;"",T230&lt;='Weekly Report'!$F$7),ROW(),"")</f>
        <v/>
      </c>
      <c r="AG230" s="88" t="str">
        <f aca="false">IF(AND(AND(E230&lt;&gt;"",U230&lt;&gt;"Remediated",U230&lt;&gt;"False Positive",U230&lt;&gt;"Risk Accepted"),LEFT(Q230,6)="Breach"),ROW(),"")</f>
        <v/>
      </c>
    </row>
    <row r="231" customFormat="false" ht="15" hidden="false" customHeight="false" outlineLevel="0" collapsed="false">
      <c r="A231" s="56" t="s">
        <v>2387</v>
      </c>
      <c r="B231" s="63"/>
      <c r="C231" s="61"/>
      <c r="D231" s="61"/>
      <c r="E231" s="60"/>
      <c r="F231" s="61"/>
      <c r="G231" s="61"/>
      <c r="H231" s="61"/>
      <c r="I231" s="61"/>
      <c r="J231" s="60"/>
      <c r="K231" s="61"/>
      <c r="L231" s="61"/>
      <c r="M231" s="61"/>
      <c r="N231" s="60"/>
      <c r="O231" s="60"/>
      <c r="P231" s="60"/>
      <c r="Q231" s="61"/>
      <c r="R231" s="61"/>
      <c r="S231" s="87" t="str">
        <f aca="false">IF(OR(B231="",L231=""),"",INDEX(Lists!$AD$4:$AD$8,MATCH(L231,Lists!$AC$4:$AC$8,0)))</f>
        <v/>
      </c>
      <c r="T231" s="95" t="str">
        <f aca="false">IF(OR(S231="",ISERROR(S231)),"",B231+S231)</f>
        <v/>
      </c>
      <c r="U231" s="61"/>
      <c r="V231" s="63"/>
      <c r="W231" s="63"/>
      <c r="X231" s="60"/>
      <c r="Y231" s="62" t="str">
        <f aca="false">IF(E231="","",IF(AND(B231&lt;&gt;"",B231&gt;='Weekly Report'!$F$4,B231&lt;='Weekly Report'!$F$5),"NEW",IF(AND(W231&lt;&gt;"",W231&gt;='Weekly Report'!$F$4,W231&lt;='Weekly Report'!$F$5),"CHANGED","")))</f>
        <v/>
      </c>
      <c r="Z231" s="87" t="str">
        <f aca="true">IF(B231="","",IF(V231&lt;&gt;"",V231-B231,TODAY()-B231))</f>
        <v/>
      </c>
      <c r="AA231" s="62" t="str">
        <f aca="true">IF(OR(B231="",T231="",U231="False Positive",U231="Risk Accepted"),"",IF(V231&lt;&gt;"",IF(V231&gt;T231,"Closed Late","Met"),IF(TODAY()&gt;T231,"SLA BREACH",IF(T231-TODAY()&lt;=7,"Due ≤7d","Within SLA"))))</f>
        <v/>
      </c>
      <c r="AB231" s="61"/>
      <c r="AC231" s="61"/>
      <c r="AD231" s="60"/>
      <c r="AE231" s="88" t="str">
        <f aca="false">IF(Y231&lt;&gt;"",ROW(),"")</f>
        <v/>
      </c>
      <c r="AF231" s="88" t="str">
        <f aca="false">IF(AND(AND(E231&lt;&gt;"",U231&lt;&gt;"Remediated",U231&lt;&gt;"False Positive",U231&lt;&gt;"Risk Accepted"),T231&lt;&gt;"",T231&lt;='Weekly Report'!$F$7),ROW(),"")</f>
        <v/>
      </c>
      <c r="AG231" s="88" t="str">
        <f aca="false">IF(AND(AND(E231&lt;&gt;"",U231&lt;&gt;"Remediated",U231&lt;&gt;"False Positive",U231&lt;&gt;"Risk Accepted"),LEFT(Q231,6)="Breach"),ROW(),"")</f>
        <v/>
      </c>
    </row>
    <row r="232" customFormat="false" ht="15" hidden="false" customHeight="false" outlineLevel="0" collapsed="false">
      <c r="A232" s="56" t="s">
        <v>2388</v>
      </c>
      <c r="B232" s="63"/>
      <c r="C232" s="61"/>
      <c r="D232" s="61"/>
      <c r="E232" s="60"/>
      <c r="F232" s="61"/>
      <c r="G232" s="61"/>
      <c r="H232" s="61"/>
      <c r="I232" s="61"/>
      <c r="J232" s="60"/>
      <c r="K232" s="61"/>
      <c r="L232" s="61"/>
      <c r="M232" s="61"/>
      <c r="N232" s="60"/>
      <c r="O232" s="60"/>
      <c r="P232" s="60"/>
      <c r="Q232" s="61"/>
      <c r="R232" s="61"/>
      <c r="S232" s="87" t="str">
        <f aca="false">IF(OR(B232="",L232=""),"",INDEX(Lists!$AD$4:$AD$8,MATCH(L232,Lists!$AC$4:$AC$8,0)))</f>
        <v/>
      </c>
      <c r="T232" s="95" t="str">
        <f aca="false">IF(OR(S232="",ISERROR(S232)),"",B232+S232)</f>
        <v/>
      </c>
      <c r="U232" s="61"/>
      <c r="V232" s="63"/>
      <c r="W232" s="63"/>
      <c r="X232" s="60"/>
      <c r="Y232" s="62" t="str">
        <f aca="false">IF(E232="","",IF(AND(B232&lt;&gt;"",B232&gt;='Weekly Report'!$F$4,B232&lt;='Weekly Report'!$F$5),"NEW",IF(AND(W232&lt;&gt;"",W232&gt;='Weekly Report'!$F$4,W232&lt;='Weekly Report'!$F$5),"CHANGED","")))</f>
        <v/>
      </c>
      <c r="Z232" s="87" t="str">
        <f aca="true">IF(B232="","",IF(V232&lt;&gt;"",V232-B232,TODAY()-B232))</f>
        <v/>
      </c>
      <c r="AA232" s="62" t="str">
        <f aca="true">IF(OR(B232="",T232="",U232="False Positive",U232="Risk Accepted"),"",IF(V232&lt;&gt;"",IF(V232&gt;T232,"Closed Late","Met"),IF(TODAY()&gt;T232,"SLA BREACH",IF(T232-TODAY()&lt;=7,"Due ≤7d","Within SLA"))))</f>
        <v/>
      </c>
      <c r="AB232" s="61"/>
      <c r="AC232" s="61"/>
      <c r="AD232" s="60"/>
      <c r="AE232" s="88" t="str">
        <f aca="false">IF(Y232&lt;&gt;"",ROW(),"")</f>
        <v/>
      </c>
      <c r="AF232" s="88" t="str">
        <f aca="false">IF(AND(AND(E232&lt;&gt;"",U232&lt;&gt;"Remediated",U232&lt;&gt;"False Positive",U232&lt;&gt;"Risk Accepted"),T232&lt;&gt;"",T232&lt;='Weekly Report'!$F$7),ROW(),"")</f>
        <v/>
      </c>
      <c r="AG232" s="88" t="str">
        <f aca="false">IF(AND(AND(E232&lt;&gt;"",U232&lt;&gt;"Remediated",U232&lt;&gt;"False Positive",U232&lt;&gt;"Risk Accepted"),LEFT(Q232,6)="Breach"),ROW(),"")</f>
        <v/>
      </c>
    </row>
    <row r="233" customFormat="false" ht="15" hidden="false" customHeight="false" outlineLevel="0" collapsed="false">
      <c r="A233" s="56" t="s">
        <v>2389</v>
      </c>
      <c r="B233" s="63"/>
      <c r="C233" s="61"/>
      <c r="D233" s="61"/>
      <c r="E233" s="60"/>
      <c r="F233" s="61"/>
      <c r="G233" s="61"/>
      <c r="H233" s="61"/>
      <c r="I233" s="61"/>
      <c r="J233" s="60"/>
      <c r="K233" s="61"/>
      <c r="L233" s="61"/>
      <c r="M233" s="61"/>
      <c r="N233" s="60"/>
      <c r="O233" s="60"/>
      <c r="P233" s="60"/>
      <c r="Q233" s="61"/>
      <c r="R233" s="61"/>
      <c r="S233" s="87" t="str">
        <f aca="false">IF(OR(B233="",L233=""),"",INDEX(Lists!$AD$4:$AD$8,MATCH(L233,Lists!$AC$4:$AC$8,0)))</f>
        <v/>
      </c>
      <c r="T233" s="95" t="str">
        <f aca="false">IF(OR(S233="",ISERROR(S233)),"",B233+S233)</f>
        <v/>
      </c>
      <c r="U233" s="61"/>
      <c r="V233" s="63"/>
      <c r="W233" s="63"/>
      <c r="X233" s="60"/>
      <c r="Y233" s="62" t="str">
        <f aca="false">IF(E233="","",IF(AND(B233&lt;&gt;"",B233&gt;='Weekly Report'!$F$4,B233&lt;='Weekly Report'!$F$5),"NEW",IF(AND(W233&lt;&gt;"",W233&gt;='Weekly Report'!$F$4,W233&lt;='Weekly Report'!$F$5),"CHANGED","")))</f>
        <v/>
      </c>
      <c r="Z233" s="87" t="str">
        <f aca="true">IF(B233="","",IF(V233&lt;&gt;"",V233-B233,TODAY()-B233))</f>
        <v/>
      </c>
      <c r="AA233" s="62" t="str">
        <f aca="true">IF(OR(B233="",T233="",U233="False Positive",U233="Risk Accepted"),"",IF(V233&lt;&gt;"",IF(V233&gt;T233,"Closed Late","Met"),IF(TODAY()&gt;T233,"SLA BREACH",IF(T233-TODAY()&lt;=7,"Due ≤7d","Within SLA"))))</f>
        <v/>
      </c>
      <c r="AB233" s="61"/>
      <c r="AC233" s="61"/>
      <c r="AD233" s="60"/>
      <c r="AE233" s="88" t="str">
        <f aca="false">IF(Y233&lt;&gt;"",ROW(),"")</f>
        <v/>
      </c>
      <c r="AF233" s="88" t="str">
        <f aca="false">IF(AND(AND(E233&lt;&gt;"",U233&lt;&gt;"Remediated",U233&lt;&gt;"False Positive",U233&lt;&gt;"Risk Accepted"),T233&lt;&gt;"",T233&lt;='Weekly Report'!$F$7),ROW(),"")</f>
        <v/>
      </c>
      <c r="AG233" s="88" t="str">
        <f aca="false">IF(AND(AND(E233&lt;&gt;"",U233&lt;&gt;"Remediated",U233&lt;&gt;"False Positive",U233&lt;&gt;"Risk Accepted"),LEFT(Q233,6)="Breach"),ROW(),"")</f>
        <v/>
      </c>
    </row>
    <row r="234" customFormat="false" ht="15" hidden="false" customHeight="false" outlineLevel="0" collapsed="false">
      <c r="A234" s="56" t="s">
        <v>2390</v>
      </c>
      <c r="B234" s="63"/>
      <c r="C234" s="61"/>
      <c r="D234" s="61"/>
      <c r="E234" s="60"/>
      <c r="F234" s="61"/>
      <c r="G234" s="61"/>
      <c r="H234" s="61"/>
      <c r="I234" s="61"/>
      <c r="J234" s="60"/>
      <c r="K234" s="61"/>
      <c r="L234" s="61"/>
      <c r="M234" s="61"/>
      <c r="N234" s="60"/>
      <c r="O234" s="60"/>
      <c r="P234" s="60"/>
      <c r="Q234" s="61"/>
      <c r="R234" s="61"/>
      <c r="S234" s="87" t="str">
        <f aca="false">IF(OR(B234="",L234=""),"",INDEX(Lists!$AD$4:$AD$8,MATCH(L234,Lists!$AC$4:$AC$8,0)))</f>
        <v/>
      </c>
      <c r="T234" s="95" t="str">
        <f aca="false">IF(OR(S234="",ISERROR(S234)),"",B234+S234)</f>
        <v/>
      </c>
      <c r="U234" s="61"/>
      <c r="V234" s="63"/>
      <c r="W234" s="63"/>
      <c r="X234" s="60"/>
      <c r="Y234" s="62" t="str">
        <f aca="false">IF(E234="","",IF(AND(B234&lt;&gt;"",B234&gt;='Weekly Report'!$F$4,B234&lt;='Weekly Report'!$F$5),"NEW",IF(AND(W234&lt;&gt;"",W234&gt;='Weekly Report'!$F$4,W234&lt;='Weekly Report'!$F$5),"CHANGED","")))</f>
        <v/>
      </c>
      <c r="Z234" s="87" t="str">
        <f aca="true">IF(B234="","",IF(V234&lt;&gt;"",V234-B234,TODAY()-B234))</f>
        <v/>
      </c>
      <c r="AA234" s="62" t="str">
        <f aca="true">IF(OR(B234="",T234="",U234="False Positive",U234="Risk Accepted"),"",IF(V234&lt;&gt;"",IF(V234&gt;T234,"Closed Late","Met"),IF(TODAY()&gt;T234,"SLA BREACH",IF(T234-TODAY()&lt;=7,"Due ≤7d","Within SLA"))))</f>
        <v/>
      </c>
      <c r="AB234" s="61"/>
      <c r="AC234" s="61"/>
      <c r="AD234" s="60"/>
      <c r="AE234" s="88" t="str">
        <f aca="false">IF(Y234&lt;&gt;"",ROW(),"")</f>
        <v/>
      </c>
      <c r="AF234" s="88" t="str">
        <f aca="false">IF(AND(AND(E234&lt;&gt;"",U234&lt;&gt;"Remediated",U234&lt;&gt;"False Positive",U234&lt;&gt;"Risk Accepted"),T234&lt;&gt;"",T234&lt;='Weekly Report'!$F$7),ROW(),"")</f>
        <v/>
      </c>
      <c r="AG234" s="88" t="str">
        <f aca="false">IF(AND(AND(E234&lt;&gt;"",U234&lt;&gt;"Remediated",U234&lt;&gt;"False Positive",U234&lt;&gt;"Risk Accepted"),LEFT(Q234,6)="Breach"),ROW(),"")</f>
        <v/>
      </c>
    </row>
    <row r="235" customFormat="false" ht="15" hidden="false" customHeight="false" outlineLevel="0" collapsed="false">
      <c r="A235" s="56" t="s">
        <v>2391</v>
      </c>
      <c r="B235" s="63"/>
      <c r="C235" s="61"/>
      <c r="D235" s="61"/>
      <c r="E235" s="60"/>
      <c r="F235" s="61"/>
      <c r="G235" s="61"/>
      <c r="H235" s="61"/>
      <c r="I235" s="61"/>
      <c r="J235" s="60"/>
      <c r="K235" s="61"/>
      <c r="L235" s="61"/>
      <c r="M235" s="61"/>
      <c r="N235" s="60"/>
      <c r="O235" s="60"/>
      <c r="P235" s="60"/>
      <c r="Q235" s="61"/>
      <c r="R235" s="61"/>
      <c r="S235" s="87" t="str">
        <f aca="false">IF(OR(B235="",L235=""),"",INDEX(Lists!$AD$4:$AD$8,MATCH(L235,Lists!$AC$4:$AC$8,0)))</f>
        <v/>
      </c>
      <c r="T235" s="95" t="str">
        <f aca="false">IF(OR(S235="",ISERROR(S235)),"",B235+S235)</f>
        <v/>
      </c>
      <c r="U235" s="61"/>
      <c r="V235" s="63"/>
      <c r="W235" s="63"/>
      <c r="X235" s="60"/>
      <c r="Y235" s="62" t="str">
        <f aca="false">IF(E235="","",IF(AND(B235&lt;&gt;"",B235&gt;='Weekly Report'!$F$4,B235&lt;='Weekly Report'!$F$5),"NEW",IF(AND(W235&lt;&gt;"",W235&gt;='Weekly Report'!$F$4,W235&lt;='Weekly Report'!$F$5),"CHANGED","")))</f>
        <v/>
      </c>
      <c r="Z235" s="87" t="str">
        <f aca="true">IF(B235="","",IF(V235&lt;&gt;"",V235-B235,TODAY()-B235))</f>
        <v/>
      </c>
      <c r="AA235" s="62" t="str">
        <f aca="true">IF(OR(B235="",T235="",U235="False Positive",U235="Risk Accepted"),"",IF(V235&lt;&gt;"",IF(V235&gt;T235,"Closed Late","Met"),IF(TODAY()&gt;T235,"SLA BREACH",IF(T235-TODAY()&lt;=7,"Due ≤7d","Within SLA"))))</f>
        <v/>
      </c>
      <c r="AB235" s="61"/>
      <c r="AC235" s="61"/>
      <c r="AD235" s="60"/>
      <c r="AE235" s="88" t="str">
        <f aca="false">IF(Y235&lt;&gt;"",ROW(),"")</f>
        <v/>
      </c>
      <c r="AF235" s="88" t="str">
        <f aca="false">IF(AND(AND(E235&lt;&gt;"",U235&lt;&gt;"Remediated",U235&lt;&gt;"False Positive",U235&lt;&gt;"Risk Accepted"),T235&lt;&gt;"",T235&lt;='Weekly Report'!$F$7),ROW(),"")</f>
        <v/>
      </c>
      <c r="AG235" s="88" t="str">
        <f aca="false">IF(AND(AND(E235&lt;&gt;"",U235&lt;&gt;"Remediated",U235&lt;&gt;"False Positive",U235&lt;&gt;"Risk Accepted"),LEFT(Q235,6)="Breach"),ROW(),"")</f>
        <v/>
      </c>
    </row>
    <row r="236" customFormat="false" ht="15" hidden="false" customHeight="false" outlineLevel="0" collapsed="false">
      <c r="A236" s="56" t="s">
        <v>2392</v>
      </c>
      <c r="B236" s="63"/>
      <c r="C236" s="61"/>
      <c r="D236" s="61"/>
      <c r="E236" s="60"/>
      <c r="F236" s="61"/>
      <c r="G236" s="61"/>
      <c r="H236" s="61"/>
      <c r="I236" s="61"/>
      <c r="J236" s="60"/>
      <c r="K236" s="61"/>
      <c r="L236" s="61"/>
      <c r="M236" s="61"/>
      <c r="N236" s="60"/>
      <c r="O236" s="60"/>
      <c r="P236" s="60"/>
      <c r="Q236" s="61"/>
      <c r="R236" s="61"/>
      <c r="S236" s="87" t="str">
        <f aca="false">IF(OR(B236="",L236=""),"",INDEX(Lists!$AD$4:$AD$8,MATCH(L236,Lists!$AC$4:$AC$8,0)))</f>
        <v/>
      </c>
      <c r="T236" s="95" t="str">
        <f aca="false">IF(OR(S236="",ISERROR(S236)),"",B236+S236)</f>
        <v/>
      </c>
      <c r="U236" s="61"/>
      <c r="V236" s="63"/>
      <c r="W236" s="63"/>
      <c r="X236" s="60"/>
      <c r="Y236" s="62" t="str">
        <f aca="false">IF(E236="","",IF(AND(B236&lt;&gt;"",B236&gt;='Weekly Report'!$F$4,B236&lt;='Weekly Report'!$F$5),"NEW",IF(AND(W236&lt;&gt;"",W236&gt;='Weekly Report'!$F$4,W236&lt;='Weekly Report'!$F$5),"CHANGED","")))</f>
        <v/>
      </c>
      <c r="Z236" s="87" t="str">
        <f aca="true">IF(B236="","",IF(V236&lt;&gt;"",V236-B236,TODAY()-B236))</f>
        <v/>
      </c>
      <c r="AA236" s="62" t="str">
        <f aca="true">IF(OR(B236="",T236="",U236="False Positive",U236="Risk Accepted"),"",IF(V236&lt;&gt;"",IF(V236&gt;T236,"Closed Late","Met"),IF(TODAY()&gt;T236,"SLA BREACH",IF(T236-TODAY()&lt;=7,"Due ≤7d","Within SLA"))))</f>
        <v/>
      </c>
      <c r="AB236" s="61"/>
      <c r="AC236" s="61"/>
      <c r="AD236" s="60"/>
      <c r="AE236" s="88" t="str">
        <f aca="false">IF(Y236&lt;&gt;"",ROW(),"")</f>
        <v/>
      </c>
      <c r="AF236" s="88" t="str">
        <f aca="false">IF(AND(AND(E236&lt;&gt;"",U236&lt;&gt;"Remediated",U236&lt;&gt;"False Positive",U236&lt;&gt;"Risk Accepted"),T236&lt;&gt;"",T236&lt;='Weekly Report'!$F$7),ROW(),"")</f>
        <v/>
      </c>
      <c r="AG236" s="88" t="str">
        <f aca="false">IF(AND(AND(E236&lt;&gt;"",U236&lt;&gt;"Remediated",U236&lt;&gt;"False Positive",U236&lt;&gt;"Risk Accepted"),LEFT(Q236,6)="Breach"),ROW(),"")</f>
        <v/>
      </c>
    </row>
    <row r="237" customFormat="false" ht="15" hidden="false" customHeight="false" outlineLevel="0" collapsed="false">
      <c r="A237" s="56" t="s">
        <v>2393</v>
      </c>
      <c r="B237" s="63"/>
      <c r="C237" s="61"/>
      <c r="D237" s="61"/>
      <c r="E237" s="60"/>
      <c r="F237" s="61"/>
      <c r="G237" s="61"/>
      <c r="H237" s="61"/>
      <c r="I237" s="61"/>
      <c r="J237" s="60"/>
      <c r="K237" s="61"/>
      <c r="L237" s="61"/>
      <c r="M237" s="61"/>
      <c r="N237" s="60"/>
      <c r="O237" s="60"/>
      <c r="P237" s="60"/>
      <c r="Q237" s="61"/>
      <c r="R237" s="61"/>
      <c r="S237" s="87" t="str">
        <f aca="false">IF(OR(B237="",L237=""),"",INDEX(Lists!$AD$4:$AD$8,MATCH(L237,Lists!$AC$4:$AC$8,0)))</f>
        <v/>
      </c>
      <c r="T237" s="95" t="str">
        <f aca="false">IF(OR(S237="",ISERROR(S237)),"",B237+S237)</f>
        <v/>
      </c>
      <c r="U237" s="61"/>
      <c r="V237" s="63"/>
      <c r="W237" s="63"/>
      <c r="X237" s="60"/>
      <c r="Y237" s="62" t="str">
        <f aca="false">IF(E237="","",IF(AND(B237&lt;&gt;"",B237&gt;='Weekly Report'!$F$4,B237&lt;='Weekly Report'!$F$5),"NEW",IF(AND(W237&lt;&gt;"",W237&gt;='Weekly Report'!$F$4,W237&lt;='Weekly Report'!$F$5),"CHANGED","")))</f>
        <v/>
      </c>
      <c r="Z237" s="87" t="str">
        <f aca="true">IF(B237="","",IF(V237&lt;&gt;"",V237-B237,TODAY()-B237))</f>
        <v/>
      </c>
      <c r="AA237" s="62" t="str">
        <f aca="true">IF(OR(B237="",T237="",U237="False Positive",U237="Risk Accepted"),"",IF(V237&lt;&gt;"",IF(V237&gt;T237,"Closed Late","Met"),IF(TODAY()&gt;T237,"SLA BREACH",IF(T237-TODAY()&lt;=7,"Due ≤7d","Within SLA"))))</f>
        <v/>
      </c>
      <c r="AB237" s="61"/>
      <c r="AC237" s="61"/>
      <c r="AD237" s="60"/>
      <c r="AE237" s="88" t="str">
        <f aca="false">IF(Y237&lt;&gt;"",ROW(),"")</f>
        <v/>
      </c>
      <c r="AF237" s="88" t="str">
        <f aca="false">IF(AND(AND(E237&lt;&gt;"",U237&lt;&gt;"Remediated",U237&lt;&gt;"False Positive",U237&lt;&gt;"Risk Accepted"),T237&lt;&gt;"",T237&lt;='Weekly Report'!$F$7),ROW(),"")</f>
        <v/>
      </c>
      <c r="AG237" s="88" t="str">
        <f aca="false">IF(AND(AND(E237&lt;&gt;"",U237&lt;&gt;"Remediated",U237&lt;&gt;"False Positive",U237&lt;&gt;"Risk Accepted"),LEFT(Q237,6)="Breach"),ROW(),"")</f>
        <v/>
      </c>
    </row>
    <row r="238" customFormat="false" ht="15" hidden="false" customHeight="false" outlineLevel="0" collapsed="false">
      <c r="A238" s="56" t="s">
        <v>2394</v>
      </c>
      <c r="B238" s="63"/>
      <c r="C238" s="61"/>
      <c r="D238" s="61"/>
      <c r="E238" s="60"/>
      <c r="F238" s="61"/>
      <c r="G238" s="61"/>
      <c r="H238" s="61"/>
      <c r="I238" s="61"/>
      <c r="J238" s="60"/>
      <c r="K238" s="61"/>
      <c r="L238" s="61"/>
      <c r="M238" s="61"/>
      <c r="N238" s="60"/>
      <c r="O238" s="60"/>
      <c r="P238" s="60"/>
      <c r="Q238" s="61"/>
      <c r="R238" s="61"/>
      <c r="S238" s="87" t="str">
        <f aca="false">IF(OR(B238="",L238=""),"",INDEX(Lists!$AD$4:$AD$8,MATCH(L238,Lists!$AC$4:$AC$8,0)))</f>
        <v/>
      </c>
      <c r="T238" s="95" t="str">
        <f aca="false">IF(OR(S238="",ISERROR(S238)),"",B238+S238)</f>
        <v/>
      </c>
      <c r="U238" s="61"/>
      <c r="V238" s="63"/>
      <c r="W238" s="63"/>
      <c r="X238" s="60"/>
      <c r="Y238" s="62" t="str">
        <f aca="false">IF(E238="","",IF(AND(B238&lt;&gt;"",B238&gt;='Weekly Report'!$F$4,B238&lt;='Weekly Report'!$F$5),"NEW",IF(AND(W238&lt;&gt;"",W238&gt;='Weekly Report'!$F$4,W238&lt;='Weekly Report'!$F$5),"CHANGED","")))</f>
        <v/>
      </c>
      <c r="Z238" s="87" t="str">
        <f aca="true">IF(B238="","",IF(V238&lt;&gt;"",V238-B238,TODAY()-B238))</f>
        <v/>
      </c>
      <c r="AA238" s="62" t="str">
        <f aca="true">IF(OR(B238="",T238="",U238="False Positive",U238="Risk Accepted"),"",IF(V238&lt;&gt;"",IF(V238&gt;T238,"Closed Late","Met"),IF(TODAY()&gt;T238,"SLA BREACH",IF(T238-TODAY()&lt;=7,"Due ≤7d","Within SLA"))))</f>
        <v/>
      </c>
      <c r="AB238" s="61"/>
      <c r="AC238" s="61"/>
      <c r="AD238" s="60"/>
      <c r="AE238" s="88" t="str">
        <f aca="false">IF(Y238&lt;&gt;"",ROW(),"")</f>
        <v/>
      </c>
      <c r="AF238" s="88" t="str">
        <f aca="false">IF(AND(AND(E238&lt;&gt;"",U238&lt;&gt;"Remediated",U238&lt;&gt;"False Positive",U238&lt;&gt;"Risk Accepted"),T238&lt;&gt;"",T238&lt;='Weekly Report'!$F$7),ROW(),"")</f>
        <v/>
      </c>
      <c r="AG238" s="88" t="str">
        <f aca="false">IF(AND(AND(E238&lt;&gt;"",U238&lt;&gt;"Remediated",U238&lt;&gt;"False Positive",U238&lt;&gt;"Risk Accepted"),LEFT(Q238,6)="Breach"),ROW(),"")</f>
        <v/>
      </c>
    </row>
    <row r="239" customFormat="false" ht="15" hidden="false" customHeight="false" outlineLevel="0" collapsed="false">
      <c r="A239" s="56" t="s">
        <v>2395</v>
      </c>
      <c r="B239" s="63"/>
      <c r="C239" s="61"/>
      <c r="D239" s="61"/>
      <c r="E239" s="60"/>
      <c r="F239" s="61"/>
      <c r="G239" s="61"/>
      <c r="H239" s="61"/>
      <c r="I239" s="61"/>
      <c r="J239" s="60"/>
      <c r="K239" s="61"/>
      <c r="L239" s="61"/>
      <c r="M239" s="61"/>
      <c r="N239" s="60"/>
      <c r="O239" s="60"/>
      <c r="P239" s="60"/>
      <c r="Q239" s="61"/>
      <c r="R239" s="61"/>
      <c r="S239" s="87" t="str">
        <f aca="false">IF(OR(B239="",L239=""),"",INDEX(Lists!$AD$4:$AD$8,MATCH(L239,Lists!$AC$4:$AC$8,0)))</f>
        <v/>
      </c>
      <c r="T239" s="95" t="str">
        <f aca="false">IF(OR(S239="",ISERROR(S239)),"",B239+S239)</f>
        <v/>
      </c>
      <c r="U239" s="61"/>
      <c r="V239" s="63"/>
      <c r="W239" s="63"/>
      <c r="X239" s="60"/>
      <c r="Y239" s="62" t="str">
        <f aca="false">IF(E239="","",IF(AND(B239&lt;&gt;"",B239&gt;='Weekly Report'!$F$4,B239&lt;='Weekly Report'!$F$5),"NEW",IF(AND(W239&lt;&gt;"",W239&gt;='Weekly Report'!$F$4,W239&lt;='Weekly Report'!$F$5),"CHANGED","")))</f>
        <v/>
      </c>
      <c r="Z239" s="87" t="str">
        <f aca="true">IF(B239="","",IF(V239&lt;&gt;"",V239-B239,TODAY()-B239))</f>
        <v/>
      </c>
      <c r="AA239" s="62" t="str">
        <f aca="true">IF(OR(B239="",T239="",U239="False Positive",U239="Risk Accepted"),"",IF(V239&lt;&gt;"",IF(V239&gt;T239,"Closed Late","Met"),IF(TODAY()&gt;T239,"SLA BREACH",IF(T239-TODAY()&lt;=7,"Due ≤7d","Within SLA"))))</f>
        <v/>
      </c>
      <c r="AB239" s="61"/>
      <c r="AC239" s="61"/>
      <c r="AD239" s="60"/>
      <c r="AE239" s="88" t="str">
        <f aca="false">IF(Y239&lt;&gt;"",ROW(),"")</f>
        <v/>
      </c>
      <c r="AF239" s="88" t="str">
        <f aca="false">IF(AND(AND(E239&lt;&gt;"",U239&lt;&gt;"Remediated",U239&lt;&gt;"False Positive",U239&lt;&gt;"Risk Accepted"),T239&lt;&gt;"",T239&lt;='Weekly Report'!$F$7),ROW(),"")</f>
        <v/>
      </c>
      <c r="AG239" s="88" t="str">
        <f aca="false">IF(AND(AND(E239&lt;&gt;"",U239&lt;&gt;"Remediated",U239&lt;&gt;"False Positive",U239&lt;&gt;"Risk Accepted"),LEFT(Q239,6)="Breach"),ROW(),"")</f>
        <v/>
      </c>
    </row>
    <row r="240" customFormat="false" ht="15" hidden="false" customHeight="false" outlineLevel="0" collapsed="false">
      <c r="A240" s="56" t="s">
        <v>2396</v>
      </c>
      <c r="B240" s="63"/>
      <c r="C240" s="61"/>
      <c r="D240" s="61"/>
      <c r="E240" s="60"/>
      <c r="F240" s="61"/>
      <c r="G240" s="61"/>
      <c r="H240" s="61"/>
      <c r="I240" s="61"/>
      <c r="J240" s="60"/>
      <c r="K240" s="61"/>
      <c r="L240" s="61"/>
      <c r="M240" s="61"/>
      <c r="N240" s="60"/>
      <c r="O240" s="60"/>
      <c r="P240" s="60"/>
      <c r="Q240" s="61"/>
      <c r="R240" s="61"/>
      <c r="S240" s="87" t="str">
        <f aca="false">IF(OR(B240="",L240=""),"",INDEX(Lists!$AD$4:$AD$8,MATCH(L240,Lists!$AC$4:$AC$8,0)))</f>
        <v/>
      </c>
      <c r="T240" s="95" t="str">
        <f aca="false">IF(OR(S240="",ISERROR(S240)),"",B240+S240)</f>
        <v/>
      </c>
      <c r="U240" s="61"/>
      <c r="V240" s="63"/>
      <c r="W240" s="63"/>
      <c r="X240" s="60"/>
      <c r="Y240" s="62" t="str">
        <f aca="false">IF(E240="","",IF(AND(B240&lt;&gt;"",B240&gt;='Weekly Report'!$F$4,B240&lt;='Weekly Report'!$F$5),"NEW",IF(AND(W240&lt;&gt;"",W240&gt;='Weekly Report'!$F$4,W240&lt;='Weekly Report'!$F$5),"CHANGED","")))</f>
        <v/>
      </c>
      <c r="Z240" s="87" t="str">
        <f aca="true">IF(B240="","",IF(V240&lt;&gt;"",V240-B240,TODAY()-B240))</f>
        <v/>
      </c>
      <c r="AA240" s="62" t="str">
        <f aca="true">IF(OR(B240="",T240="",U240="False Positive",U240="Risk Accepted"),"",IF(V240&lt;&gt;"",IF(V240&gt;T240,"Closed Late","Met"),IF(TODAY()&gt;T240,"SLA BREACH",IF(T240-TODAY()&lt;=7,"Due ≤7d","Within SLA"))))</f>
        <v/>
      </c>
      <c r="AB240" s="61"/>
      <c r="AC240" s="61"/>
      <c r="AD240" s="60"/>
      <c r="AE240" s="88" t="str">
        <f aca="false">IF(Y240&lt;&gt;"",ROW(),"")</f>
        <v/>
      </c>
      <c r="AF240" s="88" t="str">
        <f aca="false">IF(AND(AND(E240&lt;&gt;"",U240&lt;&gt;"Remediated",U240&lt;&gt;"False Positive",U240&lt;&gt;"Risk Accepted"),T240&lt;&gt;"",T240&lt;='Weekly Report'!$F$7),ROW(),"")</f>
        <v/>
      </c>
      <c r="AG240" s="88" t="str">
        <f aca="false">IF(AND(AND(E240&lt;&gt;"",U240&lt;&gt;"Remediated",U240&lt;&gt;"False Positive",U240&lt;&gt;"Risk Accepted"),LEFT(Q240,6)="Breach"),ROW(),"")</f>
        <v/>
      </c>
    </row>
    <row r="241" customFormat="false" ht="15" hidden="false" customHeight="false" outlineLevel="0" collapsed="false">
      <c r="A241" s="56" t="s">
        <v>2397</v>
      </c>
      <c r="B241" s="63"/>
      <c r="C241" s="61"/>
      <c r="D241" s="61"/>
      <c r="E241" s="60"/>
      <c r="F241" s="61"/>
      <c r="G241" s="61"/>
      <c r="H241" s="61"/>
      <c r="I241" s="61"/>
      <c r="J241" s="60"/>
      <c r="K241" s="61"/>
      <c r="L241" s="61"/>
      <c r="M241" s="61"/>
      <c r="N241" s="60"/>
      <c r="O241" s="60"/>
      <c r="P241" s="60"/>
      <c r="Q241" s="61"/>
      <c r="R241" s="61"/>
      <c r="S241" s="87" t="str">
        <f aca="false">IF(OR(B241="",L241=""),"",INDEX(Lists!$AD$4:$AD$8,MATCH(L241,Lists!$AC$4:$AC$8,0)))</f>
        <v/>
      </c>
      <c r="T241" s="95" t="str">
        <f aca="false">IF(OR(S241="",ISERROR(S241)),"",B241+S241)</f>
        <v/>
      </c>
      <c r="U241" s="61"/>
      <c r="V241" s="63"/>
      <c r="W241" s="63"/>
      <c r="X241" s="60"/>
      <c r="Y241" s="62" t="str">
        <f aca="false">IF(E241="","",IF(AND(B241&lt;&gt;"",B241&gt;='Weekly Report'!$F$4,B241&lt;='Weekly Report'!$F$5),"NEW",IF(AND(W241&lt;&gt;"",W241&gt;='Weekly Report'!$F$4,W241&lt;='Weekly Report'!$F$5),"CHANGED","")))</f>
        <v/>
      </c>
      <c r="Z241" s="87" t="str">
        <f aca="true">IF(B241="","",IF(V241&lt;&gt;"",V241-B241,TODAY()-B241))</f>
        <v/>
      </c>
      <c r="AA241" s="62" t="str">
        <f aca="true">IF(OR(B241="",T241="",U241="False Positive",U241="Risk Accepted"),"",IF(V241&lt;&gt;"",IF(V241&gt;T241,"Closed Late","Met"),IF(TODAY()&gt;T241,"SLA BREACH",IF(T241-TODAY()&lt;=7,"Due ≤7d","Within SLA"))))</f>
        <v/>
      </c>
      <c r="AB241" s="61"/>
      <c r="AC241" s="61"/>
      <c r="AD241" s="60"/>
      <c r="AE241" s="88" t="str">
        <f aca="false">IF(Y241&lt;&gt;"",ROW(),"")</f>
        <v/>
      </c>
      <c r="AF241" s="88" t="str">
        <f aca="false">IF(AND(AND(E241&lt;&gt;"",U241&lt;&gt;"Remediated",U241&lt;&gt;"False Positive",U241&lt;&gt;"Risk Accepted"),T241&lt;&gt;"",T241&lt;='Weekly Report'!$F$7),ROW(),"")</f>
        <v/>
      </c>
      <c r="AG241" s="88" t="str">
        <f aca="false">IF(AND(AND(E241&lt;&gt;"",U241&lt;&gt;"Remediated",U241&lt;&gt;"False Positive",U241&lt;&gt;"Risk Accepted"),LEFT(Q241,6)="Breach"),ROW(),"")</f>
        <v/>
      </c>
    </row>
    <row r="242" customFormat="false" ht="15" hidden="false" customHeight="false" outlineLevel="0" collapsed="false">
      <c r="A242" s="56" t="s">
        <v>2398</v>
      </c>
      <c r="B242" s="63"/>
      <c r="C242" s="61"/>
      <c r="D242" s="61"/>
      <c r="E242" s="60"/>
      <c r="F242" s="61"/>
      <c r="G242" s="61"/>
      <c r="H242" s="61"/>
      <c r="I242" s="61"/>
      <c r="J242" s="60"/>
      <c r="K242" s="61"/>
      <c r="L242" s="61"/>
      <c r="M242" s="61"/>
      <c r="N242" s="60"/>
      <c r="O242" s="60"/>
      <c r="P242" s="60"/>
      <c r="Q242" s="61"/>
      <c r="R242" s="61"/>
      <c r="S242" s="87" t="str">
        <f aca="false">IF(OR(B242="",L242=""),"",INDEX(Lists!$AD$4:$AD$8,MATCH(L242,Lists!$AC$4:$AC$8,0)))</f>
        <v/>
      </c>
      <c r="T242" s="95" t="str">
        <f aca="false">IF(OR(S242="",ISERROR(S242)),"",B242+S242)</f>
        <v/>
      </c>
      <c r="U242" s="61"/>
      <c r="V242" s="63"/>
      <c r="W242" s="63"/>
      <c r="X242" s="60"/>
      <c r="Y242" s="62" t="str">
        <f aca="false">IF(E242="","",IF(AND(B242&lt;&gt;"",B242&gt;='Weekly Report'!$F$4,B242&lt;='Weekly Report'!$F$5),"NEW",IF(AND(W242&lt;&gt;"",W242&gt;='Weekly Report'!$F$4,W242&lt;='Weekly Report'!$F$5),"CHANGED","")))</f>
        <v/>
      </c>
      <c r="Z242" s="87" t="str">
        <f aca="true">IF(B242="","",IF(V242&lt;&gt;"",V242-B242,TODAY()-B242))</f>
        <v/>
      </c>
      <c r="AA242" s="62" t="str">
        <f aca="true">IF(OR(B242="",T242="",U242="False Positive",U242="Risk Accepted"),"",IF(V242&lt;&gt;"",IF(V242&gt;T242,"Closed Late","Met"),IF(TODAY()&gt;T242,"SLA BREACH",IF(T242-TODAY()&lt;=7,"Due ≤7d","Within SLA"))))</f>
        <v/>
      </c>
      <c r="AB242" s="61"/>
      <c r="AC242" s="61"/>
      <c r="AD242" s="60"/>
      <c r="AE242" s="88" t="str">
        <f aca="false">IF(Y242&lt;&gt;"",ROW(),"")</f>
        <v/>
      </c>
      <c r="AF242" s="88" t="str">
        <f aca="false">IF(AND(AND(E242&lt;&gt;"",U242&lt;&gt;"Remediated",U242&lt;&gt;"False Positive",U242&lt;&gt;"Risk Accepted"),T242&lt;&gt;"",T242&lt;='Weekly Report'!$F$7),ROW(),"")</f>
        <v/>
      </c>
      <c r="AG242" s="88" t="str">
        <f aca="false">IF(AND(AND(E242&lt;&gt;"",U242&lt;&gt;"Remediated",U242&lt;&gt;"False Positive",U242&lt;&gt;"Risk Accepted"),LEFT(Q242,6)="Breach"),ROW(),"")</f>
        <v/>
      </c>
    </row>
    <row r="243" customFormat="false" ht="15" hidden="false" customHeight="false" outlineLevel="0" collapsed="false">
      <c r="A243" s="56" t="s">
        <v>2399</v>
      </c>
      <c r="B243" s="63"/>
      <c r="C243" s="61"/>
      <c r="D243" s="61"/>
      <c r="E243" s="60"/>
      <c r="F243" s="61"/>
      <c r="G243" s="61"/>
      <c r="H243" s="61"/>
      <c r="I243" s="61"/>
      <c r="J243" s="60"/>
      <c r="K243" s="61"/>
      <c r="L243" s="61"/>
      <c r="M243" s="61"/>
      <c r="N243" s="60"/>
      <c r="O243" s="60"/>
      <c r="P243" s="60"/>
      <c r="Q243" s="61"/>
      <c r="R243" s="61"/>
      <c r="S243" s="87" t="str">
        <f aca="false">IF(OR(B243="",L243=""),"",INDEX(Lists!$AD$4:$AD$8,MATCH(L243,Lists!$AC$4:$AC$8,0)))</f>
        <v/>
      </c>
      <c r="T243" s="95" t="str">
        <f aca="false">IF(OR(S243="",ISERROR(S243)),"",B243+S243)</f>
        <v/>
      </c>
      <c r="U243" s="61"/>
      <c r="V243" s="63"/>
      <c r="W243" s="63"/>
      <c r="X243" s="60"/>
      <c r="Y243" s="62" t="str">
        <f aca="false">IF(E243="","",IF(AND(B243&lt;&gt;"",B243&gt;='Weekly Report'!$F$4,B243&lt;='Weekly Report'!$F$5),"NEW",IF(AND(W243&lt;&gt;"",W243&gt;='Weekly Report'!$F$4,W243&lt;='Weekly Report'!$F$5),"CHANGED","")))</f>
        <v/>
      </c>
      <c r="Z243" s="87" t="str">
        <f aca="true">IF(B243="","",IF(V243&lt;&gt;"",V243-B243,TODAY()-B243))</f>
        <v/>
      </c>
      <c r="AA243" s="62" t="str">
        <f aca="true">IF(OR(B243="",T243="",U243="False Positive",U243="Risk Accepted"),"",IF(V243&lt;&gt;"",IF(V243&gt;T243,"Closed Late","Met"),IF(TODAY()&gt;T243,"SLA BREACH",IF(T243-TODAY()&lt;=7,"Due ≤7d","Within SLA"))))</f>
        <v/>
      </c>
      <c r="AB243" s="61"/>
      <c r="AC243" s="61"/>
      <c r="AD243" s="60"/>
      <c r="AE243" s="88" t="str">
        <f aca="false">IF(Y243&lt;&gt;"",ROW(),"")</f>
        <v/>
      </c>
      <c r="AF243" s="88" t="str">
        <f aca="false">IF(AND(AND(E243&lt;&gt;"",U243&lt;&gt;"Remediated",U243&lt;&gt;"False Positive",U243&lt;&gt;"Risk Accepted"),T243&lt;&gt;"",T243&lt;='Weekly Report'!$F$7),ROW(),"")</f>
        <v/>
      </c>
      <c r="AG243" s="88" t="str">
        <f aca="false">IF(AND(AND(E243&lt;&gt;"",U243&lt;&gt;"Remediated",U243&lt;&gt;"False Positive",U243&lt;&gt;"Risk Accepted"),LEFT(Q243,6)="Breach"),ROW(),"")</f>
        <v/>
      </c>
    </row>
    <row r="244" customFormat="false" ht="15" hidden="false" customHeight="false" outlineLevel="0" collapsed="false">
      <c r="A244" s="56" t="s">
        <v>2400</v>
      </c>
      <c r="B244" s="63"/>
      <c r="C244" s="61"/>
      <c r="D244" s="61"/>
      <c r="E244" s="60"/>
      <c r="F244" s="61"/>
      <c r="G244" s="61"/>
      <c r="H244" s="61"/>
      <c r="I244" s="61"/>
      <c r="J244" s="60"/>
      <c r="K244" s="61"/>
      <c r="L244" s="61"/>
      <c r="M244" s="61"/>
      <c r="N244" s="60"/>
      <c r="O244" s="60"/>
      <c r="P244" s="60"/>
      <c r="Q244" s="61"/>
      <c r="R244" s="61"/>
      <c r="S244" s="87" t="str">
        <f aca="false">IF(OR(B244="",L244=""),"",INDEX(Lists!$AD$4:$AD$8,MATCH(L244,Lists!$AC$4:$AC$8,0)))</f>
        <v/>
      </c>
      <c r="T244" s="95" t="str">
        <f aca="false">IF(OR(S244="",ISERROR(S244)),"",B244+S244)</f>
        <v/>
      </c>
      <c r="U244" s="61"/>
      <c r="V244" s="63"/>
      <c r="W244" s="63"/>
      <c r="X244" s="60"/>
      <c r="Y244" s="62" t="str">
        <f aca="false">IF(E244="","",IF(AND(B244&lt;&gt;"",B244&gt;='Weekly Report'!$F$4,B244&lt;='Weekly Report'!$F$5),"NEW",IF(AND(W244&lt;&gt;"",W244&gt;='Weekly Report'!$F$4,W244&lt;='Weekly Report'!$F$5),"CHANGED","")))</f>
        <v/>
      </c>
      <c r="Z244" s="87" t="str">
        <f aca="true">IF(B244="","",IF(V244&lt;&gt;"",V244-B244,TODAY()-B244))</f>
        <v/>
      </c>
      <c r="AA244" s="62" t="str">
        <f aca="true">IF(OR(B244="",T244="",U244="False Positive",U244="Risk Accepted"),"",IF(V244&lt;&gt;"",IF(V244&gt;T244,"Closed Late","Met"),IF(TODAY()&gt;T244,"SLA BREACH",IF(T244-TODAY()&lt;=7,"Due ≤7d","Within SLA"))))</f>
        <v/>
      </c>
      <c r="AB244" s="61"/>
      <c r="AC244" s="61"/>
      <c r="AD244" s="60"/>
      <c r="AE244" s="88" t="str">
        <f aca="false">IF(Y244&lt;&gt;"",ROW(),"")</f>
        <v/>
      </c>
      <c r="AF244" s="88" t="str">
        <f aca="false">IF(AND(AND(E244&lt;&gt;"",U244&lt;&gt;"Remediated",U244&lt;&gt;"False Positive",U244&lt;&gt;"Risk Accepted"),T244&lt;&gt;"",T244&lt;='Weekly Report'!$F$7),ROW(),"")</f>
        <v/>
      </c>
      <c r="AG244" s="88" t="str">
        <f aca="false">IF(AND(AND(E244&lt;&gt;"",U244&lt;&gt;"Remediated",U244&lt;&gt;"False Positive",U244&lt;&gt;"Risk Accepted"),LEFT(Q244,6)="Breach"),ROW(),"")</f>
        <v/>
      </c>
    </row>
    <row r="245" customFormat="false" ht="15" hidden="false" customHeight="false" outlineLevel="0" collapsed="false">
      <c r="A245" s="56" t="s">
        <v>2401</v>
      </c>
      <c r="B245" s="63"/>
      <c r="C245" s="61"/>
      <c r="D245" s="61"/>
      <c r="E245" s="60"/>
      <c r="F245" s="61"/>
      <c r="G245" s="61"/>
      <c r="H245" s="61"/>
      <c r="I245" s="61"/>
      <c r="J245" s="60"/>
      <c r="K245" s="61"/>
      <c r="L245" s="61"/>
      <c r="M245" s="61"/>
      <c r="N245" s="60"/>
      <c r="O245" s="60"/>
      <c r="P245" s="60"/>
      <c r="Q245" s="61"/>
      <c r="R245" s="61"/>
      <c r="S245" s="87" t="str">
        <f aca="false">IF(OR(B245="",L245=""),"",INDEX(Lists!$AD$4:$AD$8,MATCH(L245,Lists!$AC$4:$AC$8,0)))</f>
        <v/>
      </c>
      <c r="T245" s="95" t="str">
        <f aca="false">IF(OR(S245="",ISERROR(S245)),"",B245+S245)</f>
        <v/>
      </c>
      <c r="U245" s="61"/>
      <c r="V245" s="63"/>
      <c r="W245" s="63"/>
      <c r="X245" s="60"/>
      <c r="Y245" s="62" t="str">
        <f aca="false">IF(E245="","",IF(AND(B245&lt;&gt;"",B245&gt;='Weekly Report'!$F$4,B245&lt;='Weekly Report'!$F$5),"NEW",IF(AND(W245&lt;&gt;"",W245&gt;='Weekly Report'!$F$4,W245&lt;='Weekly Report'!$F$5),"CHANGED","")))</f>
        <v/>
      </c>
      <c r="Z245" s="87" t="str">
        <f aca="true">IF(B245="","",IF(V245&lt;&gt;"",V245-B245,TODAY()-B245))</f>
        <v/>
      </c>
      <c r="AA245" s="62" t="str">
        <f aca="true">IF(OR(B245="",T245="",U245="False Positive",U245="Risk Accepted"),"",IF(V245&lt;&gt;"",IF(V245&gt;T245,"Closed Late","Met"),IF(TODAY()&gt;T245,"SLA BREACH",IF(T245-TODAY()&lt;=7,"Due ≤7d","Within SLA"))))</f>
        <v/>
      </c>
      <c r="AB245" s="61"/>
      <c r="AC245" s="61"/>
      <c r="AD245" s="60"/>
      <c r="AE245" s="88" t="str">
        <f aca="false">IF(Y245&lt;&gt;"",ROW(),"")</f>
        <v/>
      </c>
      <c r="AF245" s="88" t="str">
        <f aca="false">IF(AND(AND(E245&lt;&gt;"",U245&lt;&gt;"Remediated",U245&lt;&gt;"False Positive",U245&lt;&gt;"Risk Accepted"),T245&lt;&gt;"",T245&lt;='Weekly Report'!$F$7),ROW(),"")</f>
        <v/>
      </c>
      <c r="AG245" s="88" t="str">
        <f aca="false">IF(AND(AND(E245&lt;&gt;"",U245&lt;&gt;"Remediated",U245&lt;&gt;"False Positive",U245&lt;&gt;"Risk Accepted"),LEFT(Q245,6)="Breach"),ROW(),"")</f>
        <v/>
      </c>
    </row>
    <row r="246" customFormat="false" ht="15" hidden="false" customHeight="false" outlineLevel="0" collapsed="false">
      <c r="A246" s="56" t="s">
        <v>2402</v>
      </c>
      <c r="B246" s="63"/>
      <c r="C246" s="61"/>
      <c r="D246" s="61"/>
      <c r="E246" s="60"/>
      <c r="F246" s="61"/>
      <c r="G246" s="61"/>
      <c r="H246" s="61"/>
      <c r="I246" s="61"/>
      <c r="J246" s="60"/>
      <c r="K246" s="61"/>
      <c r="L246" s="61"/>
      <c r="M246" s="61"/>
      <c r="N246" s="60"/>
      <c r="O246" s="60"/>
      <c r="P246" s="60"/>
      <c r="Q246" s="61"/>
      <c r="R246" s="61"/>
      <c r="S246" s="87" t="str">
        <f aca="false">IF(OR(B246="",L246=""),"",INDEX(Lists!$AD$4:$AD$8,MATCH(L246,Lists!$AC$4:$AC$8,0)))</f>
        <v/>
      </c>
      <c r="T246" s="95" t="str">
        <f aca="false">IF(OR(S246="",ISERROR(S246)),"",B246+S246)</f>
        <v/>
      </c>
      <c r="U246" s="61"/>
      <c r="V246" s="63"/>
      <c r="W246" s="63"/>
      <c r="X246" s="60"/>
      <c r="Y246" s="62" t="str">
        <f aca="false">IF(E246="","",IF(AND(B246&lt;&gt;"",B246&gt;='Weekly Report'!$F$4,B246&lt;='Weekly Report'!$F$5),"NEW",IF(AND(W246&lt;&gt;"",W246&gt;='Weekly Report'!$F$4,W246&lt;='Weekly Report'!$F$5),"CHANGED","")))</f>
        <v/>
      </c>
      <c r="Z246" s="87" t="str">
        <f aca="true">IF(B246="","",IF(V246&lt;&gt;"",V246-B246,TODAY()-B246))</f>
        <v/>
      </c>
      <c r="AA246" s="62" t="str">
        <f aca="true">IF(OR(B246="",T246="",U246="False Positive",U246="Risk Accepted"),"",IF(V246&lt;&gt;"",IF(V246&gt;T246,"Closed Late","Met"),IF(TODAY()&gt;T246,"SLA BREACH",IF(T246-TODAY()&lt;=7,"Due ≤7d","Within SLA"))))</f>
        <v/>
      </c>
      <c r="AB246" s="61"/>
      <c r="AC246" s="61"/>
      <c r="AD246" s="60"/>
      <c r="AE246" s="88" t="str">
        <f aca="false">IF(Y246&lt;&gt;"",ROW(),"")</f>
        <v/>
      </c>
      <c r="AF246" s="88" t="str">
        <f aca="false">IF(AND(AND(E246&lt;&gt;"",U246&lt;&gt;"Remediated",U246&lt;&gt;"False Positive",U246&lt;&gt;"Risk Accepted"),T246&lt;&gt;"",T246&lt;='Weekly Report'!$F$7),ROW(),"")</f>
        <v/>
      </c>
      <c r="AG246" s="88" t="str">
        <f aca="false">IF(AND(AND(E246&lt;&gt;"",U246&lt;&gt;"Remediated",U246&lt;&gt;"False Positive",U246&lt;&gt;"Risk Accepted"),LEFT(Q246,6)="Breach"),ROW(),"")</f>
        <v/>
      </c>
    </row>
    <row r="247" customFormat="false" ht="15" hidden="false" customHeight="false" outlineLevel="0" collapsed="false">
      <c r="A247" s="56" t="s">
        <v>2403</v>
      </c>
      <c r="B247" s="63"/>
      <c r="C247" s="61"/>
      <c r="D247" s="61"/>
      <c r="E247" s="60"/>
      <c r="F247" s="61"/>
      <c r="G247" s="61"/>
      <c r="H247" s="61"/>
      <c r="I247" s="61"/>
      <c r="J247" s="60"/>
      <c r="K247" s="61"/>
      <c r="L247" s="61"/>
      <c r="M247" s="61"/>
      <c r="N247" s="60"/>
      <c r="O247" s="60"/>
      <c r="P247" s="60"/>
      <c r="Q247" s="61"/>
      <c r="R247" s="61"/>
      <c r="S247" s="87" t="str">
        <f aca="false">IF(OR(B247="",L247=""),"",INDEX(Lists!$AD$4:$AD$8,MATCH(L247,Lists!$AC$4:$AC$8,0)))</f>
        <v/>
      </c>
      <c r="T247" s="95" t="str">
        <f aca="false">IF(OR(S247="",ISERROR(S247)),"",B247+S247)</f>
        <v/>
      </c>
      <c r="U247" s="61"/>
      <c r="V247" s="63"/>
      <c r="W247" s="63"/>
      <c r="X247" s="60"/>
      <c r="Y247" s="62" t="str">
        <f aca="false">IF(E247="","",IF(AND(B247&lt;&gt;"",B247&gt;='Weekly Report'!$F$4,B247&lt;='Weekly Report'!$F$5),"NEW",IF(AND(W247&lt;&gt;"",W247&gt;='Weekly Report'!$F$4,W247&lt;='Weekly Report'!$F$5),"CHANGED","")))</f>
        <v/>
      </c>
      <c r="Z247" s="87" t="str">
        <f aca="true">IF(B247="","",IF(V247&lt;&gt;"",V247-B247,TODAY()-B247))</f>
        <v/>
      </c>
      <c r="AA247" s="62" t="str">
        <f aca="true">IF(OR(B247="",T247="",U247="False Positive",U247="Risk Accepted"),"",IF(V247&lt;&gt;"",IF(V247&gt;T247,"Closed Late","Met"),IF(TODAY()&gt;T247,"SLA BREACH",IF(T247-TODAY()&lt;=7,"Due ≤7d","Within SLA"))))</f>
        <v/>
      </c>
      <c r="AB247" s="61"/>
      <c r="AC247" s="61"/>
      <c r="AD247" s="60"/>
      <c r="AE247" s="88" t="str">
        <f aca="false">IF(Y247&lt;&gt;"",ROW(),"")</f>
        <v/>
      </c>
      <c r="AF247" s="88" t="str">
        <f aca="false">IF(AND(AND(E247&lt;&gt;"",U247&lt;&gt;"Remediated",U247&lt;&gt;"False Positive",U247&lt;&gt;"Risk Accepted"),T247&lt;&gt;"",T247&lt;='Weekly Report'!$F$7),ROW(),"")</f>
        <v/>
      </c>
      <c r="AG247" s="88" t="str">
        <f aca="false">IF(AND(AND(E247&lt;&gt;"",U247&lt;&gt;"Remediated",U247&lt;&gt;"False Positive",U247&lt;&gt;"Risk Accepted"),LEFT(Q247,6)="Breach"),ROW(),"")</f>
        <v/>
      </c>
    </row>
    <row r="248" customFormat="false" ht="15" hidden="false" customHeight="false" outlineLevel="0" collapsed="false">
      <c r="A248" s="56" t="s">
        <v>2404</v>
      </c>
      <c r="B248" s="63"/>
      <c r="C248" s="61"/>
      <c r="D248" s="61"/>
      <c r="E248" s="60"/>
      <c r="F248" s="61"/>
      <c r="G248" s="61"/>
      <c r="H248" s="61"/>
      <c r="I248" s="61"/>
      <c r="J248" s="60"/>
      <c r="K248" s="61"/>
      <c r="L248" s="61"/>
      <c r="M248" s="61"/>
      <c r="N248" s="60"/>
      <c r="O248" s="60"/>
      <c r="P248" s="60"/>
      <c r="Q248" s="61"/>
      <c r="R248" s="61"/>
      <c r="S248" s="87" t="str">
        <f aca="false">IF(OR(B248="",L248=""),"",INDEX(Lists!$AD$4:$AD$8,MATCH(L248,Lists!$AC$4:$AC$8,0)))</f>
        <v/>
      </c>
      <c r="T248" s="95" t="str">
        <f aca="false">IF(OR(S248="",ISERROR(S248)),"",B248+S248)</f>
        <v/>
      </c>
      <c r="U248" s="61"/>
      <c r="V248" s="63"/>
      <c r="W248" s="63"/>
      <c r="X248" s="60"/>
      <c r="Y248" s="62" t="str">
        <f aca="false">IF(E248="","",IF(AND(B248&lt;&gt;"",B248&gt;='Weekly Report'!$F$4,B248&lt;='Weekly Report'!$F$5),"NEW",IF(AND(W248&lt;&gt;"",W248&gt;='Weekly Report'!$F$4,W248&lt;='Weekly Report'!$F$5),"CHANGED","")))</f>
        <v/>
      </c>
      <c r="Z248" s="87" t="str">
        <f aca="true">IF(B248="","",IF(V248&lt;&gt;"",V248-B248,TODAY()-B248))</f>
        <v/>
      </c>
      <c r="AA248" s="62" t="str">
        <f aca="true">IF(OR(B248="",T248="",U248="False Positive",U248="Risk Accepted"),"",IF(V248&lt;&gt;"",IF(V248&gt;T248,"Closed Late","Met"),IF(TODAY()&gt;T248,"SLA BREACH",IF(T248-TODAY()&lt;=7,"Due ≤7d","Within SLA"))))</f>
        <v/>
      </c>
      <c r="AB248" s="61"/>
      <c r="AC248" s="61"/>
      <c r="AD248" s="60"/>
      <c r="AE248" s="88" t="str">
        <f aca="false">IF(Y248&lt;&gt;"",ROW(),"")</f>
        <v/>
      </c>
      <c r="AF248" s="88" t="str">
        <f aca="false">IF(AND(AND(E248&lt;&gt;"",U248&lt;&gt;"Remediated",U248&lt;&gt;"False Positive",U248&lt;&gt;"Risk Accepted"),T248&lt;&gt;"",T248&lt;='Weekly Report'!$F$7),ROW(),"")</f>
        <v/>
      </c>
      <c r="AG248" s="88" t="str">
        <f aca="false">IF(AND(AND(E248&lt;&gt;"",U248&lt;&gt;"Remediated",U248&lt;&gt;"False Positive",U248&lt;&gt;"Risk Accepted"),LEFT(Q248,6)="Breach"),ROW(),"")</f>
        <v/>
      </c>
    </row>
    <row r="249" customFormat="false" ht="15" hidden="false" customHeight="false" outlineLevel="0" collapsed="false">
      <c r="A249" s="56" t="s">
        <v>2405</v>
      </c>
      <c r="B249" s="63"/>
      <c r="C249" s="61"/>
      <c r="D249" s="61"/>
      <c r="E249" s="60"/>
      <c r="F249" s="61"/>
      <c r="G249" s="61"/>
      <c r="H249" s="61"/>
      <c r="I249" s="61"/>
      <c r="J249" s="60"/>
      <c r="K249" s="61"/>
      <c r="L249" s="61"/>
      <c r="M249" s="61"/>
      <c r="N249" s="60"/>
      <c r="O249" s="60"/>
      <c r="P249" s="60"/>
      <c r="Q249" s="61"/>
      <c r="R249" s="61"/>
      <c r="S249" s="87" t="str">
        <f aca="false">IF(OR(B249="",L249=""),"",INDEX(Lists!$AD$4:$AD$8,MATCH(L249,Lists!$AC$4:$AC$8,0)))</f>
        <v/>
      </c>
      <c r="T249" s="95" t="str">
        <f aca="false">IF(OR(S249="",ISERROR(S249)),"",B249+S249)</f>
        <v/>
      </c>
      <c r="U249" s="61"/>
      <c r="V249" s="63"/>
      <c r="W249" s="63"/>
      <c r="X249" s="60"/>
      <c r="Y249" s="62" t="str">
        <f aca="false">IF(E249="","",IF(AND(B249&lt;&gt;"",B249&gt;='Weekly Report'!$F$4,B249&lt;='Weekly Report'!$F$5),"NEW",IF(AND(W249&lt;&gt;"",W249&gt;='Weekly Report'!$F$4,W249&lt;='Weekly Report'!$F$5),"CHANGED","")))</f>
        <v/>
      </c>
      <c r="Z249" s="87" t="str">
        <f aca="true">IF(B249="","",IF(V249&lt;&gt;"",V249-B249,TODAY()-B249))</f>
        <v/>
      </c>
      <c r="AA249" s="62" t="str">
        <f aca="true">IF(OR(B249="",T249="",U249="False Positive",U249="Risk Accepted"),"",IF(V249&lt;&gt;"",IF(V249&gt;T249,"Closed Late","Met"),IF(TODAY()&gt;T249,"SLA BREACH",IF(T249-TODAY()&lt;=7,"Due ≤7d","Within SLA"))))</f>
        <v/>
      </c>
      <c r="AB249" s="61"/>
      <c r="AC249" s="61"/>
      <c r="AD249" s="60"/>
      <c r="AE249" s="88" t="str">
        <f aca="false">IF(Y249&lt;&gt;"",ROW(),"")</f>
        <v/>
      </c>
      <c r="AF249" s="88" t="str">
        <f aca="false">IF(AND(AND(E249&lt;&gt;"",U249&lt;&gt;"Remediated",U249&lt;&gt;"False Positive",U249&lt;&gt;"Risk Accepted"),T249&lt;&gt;"",T249&lt;='Weekly Report'!$F$7),ROW(),"")</f>
        <v/>
      </c>
      <c r="AG249" s="88" t="str">
        <f aca="false">IF(AND(AND(E249&lt;&gt;"",U249&lt;&gt;"Remediated",U249&lt;&gt;"False Positive",U249&lt;&gt;"Risk Accepted"),LEFT(Q249,6)="Breach"),ROW(),"")</f>
        <v/>
      </c>
    </row>
    <row r="250" customFormat="false" ht="15" hidden="false" customHeight="false" outlineLevel="0" collapsed="false">
      <c r="A250" s="56" t="s">
        <v>2406</v>
      </c>
      <c r="B250" s="63"/>
      <c r="C250" s="61"/>
      <c r="D250" s="61"/>
      <c r="E250" s="60"/>
      <c r="F250" s="61"/>
      <c r="G250" s="61"/>
      <c r="H250" s="61"/>
      <c r="I250" s="61"/>
      <c r="J250" s="60"/>
      <c r="K250" s="61"/>
      <c r="L250" s="61"/>
      <c r="M250" s="61"/>
      <c r="N250" s="60"/>
      <c r="O250" s="60"/>
      <c r="P250" s="60"/>
      <c r="Q250" s="61"/>
      <c r="R250" s="61"/>
      <c r="S250" s="87" t="str">
        <f aca="false">IF(OR(B250="",L250=""),"",INDEX(Lists!$AD$4:$AD$8,MATCH(L250,Lists!$AC$4:$AC$8,0)))</f>
        <v/>
      </c>
      <c r="T250" s="95" t="str">
        <f aca="false">IF(OR(S250="",ISERROR(S250)),"",B250+S250)</f>
        <v/>
      </c>
      <c r="U250" s="61"/>
      <c r="V250" s="63"/>
      <c r="W250" s="63"/>
      <c r="X250" s="60"/>
      <c r="Y250" s="62" t="str">
        <f aca="false">IF(E250="","",IF(AND(B250&lt;&gt;"",B250&gt;='Weekly Report'!$F$4,B250&lt;='Weekly Report'!$F$5),"NEW",IF(AND(W250&lt;&gt;"",W250&gt;='Weekly Report'!$F$4,W250&lt;='Weekly Report'!$F$5),"CHANGED","")))</f>
        <v/>
      </c>
      <c r="Z250" s="87" t="str">
        <f aca="true">IF(B250="","",IF(V250&lt;&gt;"",V250-B250,TODAY()-B250))</f>
        <v/>
      </c>
      <c r="AA250" s="62" t="str">
        <f aca="true">IF(OR(B250="",T250="",U250="False Positive",U250="Risk Accepted"),"",IF(V250&lt;&gt;"",IF(V250&gt;T250,"Closed Late","Met"),IF(TODAY()&gt;T250,"SLA BREACH",IF(T250-TODAY()&lt;=7,"Due ≤7d","Within SLA"))))</f>
        <v/>
      </c>
      <c r="AB250" s="61"/>
      <c r="AC250" s="61"/>
      <c r="AD250" s="60"/>
      <c r="AE250" s="88" t="str">
        <f aca="false">IF(Y250&lt;&gt;"",ROW(),"")</f>
        <v/>
      </c>
      <c r="AF250" s="88" t="str">
        <f aca="false">IF(AND(AND(E250&lt;&gt;"",U250&lt;&gt;"Remediated",U250&lt;&gt;"False Positive",U250&lt;&gt;"Risk Accepted"),T250&lt;&gt;"",T250&lt;='Weekly Report'!$F$7),ROW(),"")</f>
        <v/>
      </c>
      <c r="AG250" s="88" t="str">
        <f aca="false">IF(AND(AND(E250&lt;&gt;"",U250&lt;&gt;"Remediated",U250&lt;&gt;"False Positive",U250&lt;&gt;"Risk Accepted"),LEFT(Q250,6)="Breach"),ROW(),"")</f>
        <v/>
      </c>
    </row>
    <row r="251" customFormat="false" ht="15" hidden="false" customHeight="false" outlineLevel="0" collapsed="false">
      <c r="A251" s="56" t="s">
        <v>2407</v>
      </c>
      <c r="B251" s="63"/>
      <c r="C251" s="61"/>
      <c r="D251" s="61"/>
      <c r="E251" s="60"/>
      <c r="F251" s="61"/>
      <c r="G251" s="61"/>
      <c r="H251" s="61"/>
      <c r="I251" s="61"/>
      <c r="J251" s="60"/>
      <c r="K251" s="61"/>
      <c r="L251" s="61"/>
      <c r="M251" s="61"/>
      <c r="N251" s="60"/>
      <c r="O251" s="60"/>
      <c r="P251" s="60"/>
      <c r="Q251" s="61"/>
      <c r="R251" s="61"/>
      <c r="S251" s="87" t="str">
        <f aca="false">IF(OR(B251="",L251=""),"",INDEX(Lists!$AD$4:$AD$8,MATCH(L251,Lists!$AC$4:$AC$8,0)))</f>
        <v/>
      </c>
      <c r="T251" s="95" t="str">
        <f aca="false">IF(OR(S251="",ISERROR(S251)),"",B251+S251)</f>
        <v/>
      </c>
      <c r="U251" s="61"/>
      <c r="V251" s="63"/>
      <c r="W251" s="63"/>
      <c r="X251" s="60"/>
      <c r="Y251" s="62" t="str">
        <f aca="false">IF(E251="","",IF(AND(B251&lt;&gt;"",B251&gt;='Weekly Report'!$F$4,B251&lt;='Weekly Report'!$F$5),"NEW",IF(AND(W251&lt;&gt;"",W251&gt;='Weekly Report'!$F$4,W251&lt;='Weekly Report'!$F$5),"CHANGED","")))</f>
        <v/>
      </c>
      <c r="Z251" s="87" t="str">
        <f aca="true">IF(B251="","",IF(V251&lt;&gt;"",V251-B251,TODAY()-B251))</f>
        <v/>
      </c>
      <c r="AA251" s="62" t="str">
        <f aca="true">IF(OR(B251="",T251="",U251="False Positive",U251="Risk Accepted"),"",IF(V251&lt;&gt;"",IF(V251&gt;T251,"Closed Late","Met"),IF(TODAY()&gt;T251,"SLA BREACH",IF(T251-TODAY()&lt;=7,"Due ≤7d","Within SLA"))))</f>
        <v/>
      </c>
      <c r="AB251" s="61"/>
      <c r="AC251" s="61"/>
      <c r="AD251" s="60"/>
      <c r="AE251" s="88" t="str">
        <f aca="false">IF(Y251&lt;&gt;"",ROW(),"")</f>
        <v/>
      </c>
      <c r="AF251" s="88" t="str">
        <f aca="false">IF(AND(AND(E251&lt;&gt;"",U251&lt;&gt;"Remediated",U251&lt;&gt;"False Positive",U251&lt;&gt;"Risk Accepted"),T251&lt;&gt;"",T251&lt;='Weekly Report'!$F$7),ROW(),"")</f>
        <v/>
      </c>
      <c r="AG251" s="88" t="str">
        <f aca="false">IF(AND(AND(E251&lt;&gt;"",U251&lt;&gt;"Remediated",U251&lt;&gt;"False Positive",U251&lt;&gt;"Risk Accepted"),LEFT(Q251,6)="Breach"),ROW(),"")</f>
        <v/>
      </c>
    </row>
    <row r="252" customFormat="false" ht="15" hidden="false" customHeight="false" outlineLevel="0" collapsed="false">
      <c r="A252" s="56" t="s">
        <v>2408</v>
      </c>
      <c r="B252" s="63"/>
      <c r="C252" s="61"/>
      <c r="D252" s="61"/>
      <c r="E252" s="60"/>
      <c r="F252" s="61"/>
      <c r="G252" s="61"/>
      <c r="H252" s="61"/>
      <c r="I252" s="61"/>
      <c r="J252" s="60"/>
      <c r="K252" s="61"/>
      <c r="L252" s="61"/>
      <c r="M252" s="61"/>
      <c r="N252" s="60"/>
      <c r="O252" s="60"/>
      <c r="P252" s="60"/>
      <c r="Q252" s="61"/>
      <c r="R252" s="61"/>
      <c r="S252" s="87" t="str">
        <f aca="false">IF(OR(B252="",L252=""),"",INDEX(Lists!$AD$4:$AD$8,MATCH(L252,Lists!$AC$4:$AC$8,0)))</f>
        <v/>
      </c>
      <c r="T252" s="95" t="str">
        <f aca="false">IF(OR(S252="",ISERROR(S252)),"",B252+S252)</f>
        <v/>
      </c>
      <c r="U252" s="61"/>
      <c r="V252" s="63"/>
      <c r="W252" s="63"/>
      <c r="X252" s="60"/>
      <c r="Y252" s="62" t="str">
        <f aca="false">IF(E252="","",IF(AND(B252&lt;&gt;"",B252&gt;='Weekly Report'!$F$4,B252&lt;='Weekly Report'!$F$5),"NEW",IF(AND(W252&lt;&gt;"",W252&gt;='Weekly Report'!$F$4,W252&lt;='Weekly Report'!$F$5),"CHANGED","")))</f>
        <v/>
      </c>
      <c r="Z252" s="87" t="str">
        <f aca="true">IF(B252="","",IF(V252&lt;&gt;"",V252-B252,TODAY()-B252))</f>
        <v/>
      </c>
      <c r="AA252" s="62" t="str">
        <f aca="true">IF(OR(B252="",T252="",U252="False Positive",U252="Risk Accepted"),"",IF(V252&lt;&gt;"",IF(V252&gt;T252,"Closed Late","Met"),IF(TODAY()&gt;T252,"SLA BREACH",IF(T252-TODAY()&lt;=7,"Due ≤7d","Within SLA"))))</f>
        <v/>
      </c>
      <c r="AB252" s="61"/>
      <c r="AC252" s="61"/>
      <c r="AD252" s="60"/>
      <c r="AE252" s="88" t="str">
        <f aca="false">IF(Y252&lt;&gt;"",ROW(),"")</f>
        <v/>
      </c>
      <c r="AF252" s="88" t="str">
        <f aca="false">IF(AND(AND(E252&lt;&gt;"",U252&lt;&gt;"Remediated",U252&lt;&gt;"False Positive",U252&lt;&gt;"Risk Accepted"),T252&lt;&gt;"",T252&lt;='Weekly Report'!$F$7),ROW(),"")</f>
        <v/>
      </c>
      <c r="AG252" s="88" t="str">
        <f aca="false">IF(AND(AND(E252&lt;&gt;"",U252&lt;&gt;"Remediated",U252&lt;&gt;"False Positive",U252&lt;&gt;"Risk Accepted"),LEFT(Q252,6)="Breach"),ROW(),"")</f>
        <v/>
      </c>
    </row>
    <row r="253" customFormat="false" ht="15" hidden="false" customHeight="false" outlineLevel="0" collapsed="false">
      <c r="A253" s="56" t="s">
        <v>2409</v>
      </c>
      <c r="B253" s="63"/>
      <c r="C253" s="61"/>
      <c r="D253" s="61"/>
      <c r="E253" s="60"/>
      <c r="F253" s="61"/>
      <c r="G253" s="61"/>
      <c r="H253" s="61"/>
      <c r="I253" s="61"/>
      <c r="J253" s="60"/>
      <c r="K253" s="61"/>
      <c r="L253" s="61"/>
      <c r="M253" s="61"/>
      <c r="N253" s="60"/>
      <c r="O253" s="60"/>
      <c r="P253" s="60"/>
      <c r="Q253" s="61"/>
      <c r="R253" s="61"/>
      <c r="S253" s="87" t="str">
        <f aca="false">IF(OR(B253="",L253=""),"",INDEX(Lists!$AD$4:$AD$8,MATCH(L253,Lists!$AC$4:$AC$8,0)))</f>
        <v/>
      </c>
      <c r="T253" s="95" t="str">
        <f aca="false">IF(OR(S253="",ISERROR(S253)),"",B253+S253)</f>
        <v/>
      </c>
      <c r="U253" s="61"/>
      <c r="V253" s="63"/>
      <c r="W253" s="63"/>
      <c r="X253" s="60"/>
      <c r="Y253" s="62" t="str">
        <f aca="false">IF(E253="","",IF(AND(B253&lt;&gt;"",B253&gt;='Weekly Report'!$F$4,B253&lt;='Weekly Report'!$F$5),"NEW",IF(AND(W253&lt;&gt;"",W253&gt;='Weekly Report'!$F$4,W253&lt;='Weekly Report'!$F$5),"CHANGED","")))</f>
        <v/>
      </c>
      <c r="Z253" s="87" t="str">
        <f aca="true">IF(B253="","",IF(V253&lt;&gt;"",V253-B253,TODAY()-B253))</f>
        <v/>
      </c>
      <c r="AA253" s="62" t="str">
        <f aca="true">IF(OR(B253="",T253="",U253="False Positive",U253="Risk Accepted"),"",IF(V253&lt;&gt;"",IF(V253&gt;T253,"Closed Late","Met"),IF(TODAY()&gt;T253,"SLA BREACH",IF(T253-TODAY()&lt;=7,"Due ≤7d","Within SLA"))))</f>
        <v/>
      </c>
      <c r="AB253" s="61"/>
      <c r="AC253" s="61"/>
      <c r="AD253" s="60"/>
      <c r="AE253" s="88" t="str">
        <f aca="false">IF(Y253&lt;&gt;"",ROW(),"")</f>
        <v/>
      </c>
      <c r="AF253" s="88" t="str">
        <f aca="false">IF(AND(AND(E253&lt;&gt;"",U253&lt;&gt;"Remediated",U253&lt;&gt;"False Positive",U253&lt;&gt;"Risk Accepted"),T253&lt;&gt;"",T253&lt;='Weekly Report'!$F$7),ROW(),"")</f>
        <v/>
      </c>
      <c r="AG253" s="88" t="str">
        <f aca="false">IF(AND(AND(E253&lt;&gt;"",U253&lt;&gt;"Remediated",U253&lt;&gt;"False Positive",U253&lt;&gt;"Risk Accepted"),LEFT(Q253,6)="Breach"),ROW(),"")</f>
        <v/>
      </c>
    </row>
    <row r="254" customFormat="false" ht="15" hidden="false" customHeight="false" outlineLevel="0" collapsed="false">
      <c r="A254" s="56" t="s">
        <v>2410</v>
      </c>
      <c r="B254" s="63"/>
      <c r="C254" s="61"/>
      <c r="D254" s="61"/>
      <c r="E254" s="60"/>
      <c r="F254" s="61"/>
      <c r="G254" s="61"/>
      <c r="H254" s="61"/>
      <c r="I254" s="61"/>
      <c r="J254" s="60"/>
      <c r="K254" s="61"/>
      <c r="L254" s="61"/>
      <c r="M254" s="61"/>
      <c r="N254" s="60"/>
      <c r="O254" s="60"/>
      <c r="P254" s="60"/>
      <c r="Q254" s="61"/>
      <c r="R254" s="61"/>
      <c r="S254" s="87" t="str">
        <f aca="false">IF(OR(B254="",L254=""),"",INDEX(Lists!$AD$4:$AD$8,MATCH(L254,Lists!$AC$4:$AC$8,0)))</f>
        <v/>
      </c>
      <c r="T254" s="95" t="str">
        <f aca="false">IF(OR(S254="",ISERROR(S254)),"",B254+S254)</f>
        <v/>
      </c>
      <c r="U254" s="61"/>
      <c r="V254" s="63"/>
      <c r="W254" s="63"/>
      <c r="X254" s="60"/>
      <c r="Y254" s="62" t="str">
        <f aca="false">IF(E254="","",IF(AND(B254&lt;&gt;"",B254&gt;='Weekly Report'!$F$4,B254&lt;='Weekly Report'!$F$5),"NEW",IF(AND(W254&lt;&gt;"",W254&gt;='Weekly Report'!$F$4,W254&lt;='Weekly Report'!$F$5),"CHANGED","")))</f>
        <v/>
      </c>
      <c r="Z254" s="87" t="str">
        <f aca="true">IF(B254="","",IF(V254&lt;&gt;"",V254-B254,TODAY()-B254))</f>
        <v/>
      </c>
      <c r="AA254" s="62" t="str">
        <f aca="true">IF(OR(B254="",T254="",U254="False Positive",U254="Risk Accepted"),"",IF(V254&lt;&gt;"",IF(V254&gt;T254,"Closed Late","Met"),IF(TODAY()&gt;T254,"SLA BREACH",IF(T254-TODAY()&lt;=7,"Due ≤7d","Within SLA"))))</f>
        <v/>
      </c>
      <c r="AB254" s="61"/>
      <c r="AC254" s="61"/>
      <c r="AD254" s="60"/>
      <c r="AE254" s="88" t="str">
        <f aca="false">IF(Y254&lt;&gt;"",ROW(),"")</f>
        <v/>
      </c>
      <c r="AF254" s="88" t="str">
        <f aca="false">IF(AND(AND(E254&lt;&gt;"",U254&lt;&gt;"Remediated",U254&lt;&gt;"False Positive",U254&lt;&gt;"Risk Accepted"),T254&lt;&gt;"",T254&lt;='Weekly Report'!$F$7),ROW(),"")</f>
        <v/>
      </c>
      <c r="AG254" s="88" t="str">
        <f aca="false">IF(AND(AND(E254&lt;&gt;"",U254&lt;&gt;"Remediated",U254&lt;&gt;"False Positive",U254&lt;&gt;"Risk Accepted"),LEFT(Q254,6)="Breach"),ROW(),"")</f>
        <v/>
      </c>
    </row>
    <row r="255" customFormat="false" ht="15" hidden="false" customHeight="false" outlineLevel="0" collapsed="false">
      <c r="A255" s="56" t="s">
        <v>2411</v>
      </c>
      <c r="B255" s="63"/>
      <c r="C255" s="61"/>
      <c r="D255" s="61"/>
      <c r="E255" s="60"/>
      <c r="F255" s="61"/>
      <c r="G255" s="61"/>
      <c r="H255" s="61"/>
      <c r="I255" s="61"/>
      <c r="J255" s="60"/>
      <c r="K255" s="61"/>
      <c r="L255" s="61"/>
      <c r="M255" s="61"/>
      <c r="N255" s="60"/>
      <c r="O255" s="60"/>
      <c r="P255" s="60"/>
      <c r="Q255" s="61"/>
      <c r="R255" s="61"/>
      <c r="S255" s="87" t="str">
        <f aca="false">IF(OR(B255="",L255=""),"",INDEX(Lists!$AD$4:$AD$8,MATCH(L255,Lists!$AC$4:$AC$8,0)))</f>
        <v/>
      </c>
      <c r="T255" s="95" t="str">
        <f aca="false">IF(OR(S255="",ISERROR(S255)),"",B255+S255)</f>
        <v/>
      </c>
      <c r="U255" s="61"/>
      <c r="V255" s="63"/>
      <c r="W255" s="63"/>
      <c r="X255" s="60"/>
      <c r="Y255" s="62" t="str">
        <f aca="false">IF(E255="","",IF(AND(B255&lt;&gt;"",B255&gt;='Weekly Report'!$F$4,B255&lt;='Weekly Report'!$F$5),"NEW",IF(AND(W255&lt;&gt;"",W255&gt;='Weekly Report'!$F$4,W255&lt;='Weekly Report'!$F$5),"CHANGED","")))</f>
        <v/>
      </c>
      <c r="Z255" s="87" t="str">
        <f aca="true">IF(B255="","",IF(V255&lt;&gt;"",V255-B255,TODAY()-B255))</f>
        <v/>
      </c>
      <c r="AA255" s="62" t="str">
        <f aca="true">IF(OR(B255="",T255="",U255="False Positive",U255="Risk Accepted"),"",IF(V255&lt;&gt;"",IF(V255&gt;T255,"Closed Late","Met"),IF(TODAY()&gt;T255,"SLA BREACH",IF(T255-TODAY()&lt;=7,"Due ≤7d","Within SLA"))))</f>
        <v/>
      </c>
      <c r="AB255" s="61"/>
      <c r="AC255" s="61"/>
      <c r="AD255" s="60"/>
      <c r="AE255" s="88" t="str">
        <f aca="false">IF(Y255&lt;&gt;"",ROW(),"")</f>
        <v/>
      </c>
      <c r="AF255" s="88" t="str">
        <f aca="false">IF(AND(AND(E255&lt;&gt;"",U255&lt;&gt;"Remediated",U255&lt;&gt;"False Positive",U255&lt;&gt;"Risk Accepted"),T255&lt;&gt;"",T255&lt;='Weekly Report'!$F$7),ROW(),"")</f>
        <v/>
      </c>
      <c r="AG255" s="88" t="str">
        <f aca="false">IF(AND(AND(E255&lt;&gt;"",U255&lt;&gt;"Remediated",U255&lt;&gt;"False Positive",U255&lt;&gt;"Risk Accepted"),LEFT(Q255,6)="Breach"),ROW(),"")</f>
        <v/>
      </c>
    </row>
    <row r="256" customFormat="false" ht="15" hidden="false" customHeight="false" outlineLevel="0" collapsed="false">
      <c r="A256" s="56" t="s">
        <v>2412</v>
      </c>
      <c r="B256" s="63"/>
      <c r="C256" s="61"/>
      <c r="D256" s="61"/>
      <c r="E256" s="60"/>
      <c r="F256" s="61"/>
      <c r="G256" s="61"/>
      <c r="H256" s="61"/>
      <c r="I256" s="61"/>
      <c r="J256" s="60"/>
      <c r="K256" s="61"/>
      <c r="L256" s="61"/>
      <c r="M256" s="61"/>
      <c r="N256" s="60"/>
      <c r="O256" s="60"/>
      <c r="P256" s="60"/>
      <c r="Q256" s="61"/>
      <c r="R256" s="61"/>
      <c r="S256" s="87" t="str">
        <f aca="false">IF(OR(B256="",L256=""),"",INDEX(Lists!$AD$4:$AD$8,MATCH(L256,Lists!$AC$4:$AC$8,0)))</f>
        <v/>
      </c>
      <c r="T256" s="95" t="str">
        <f aca="false">IF(OR(S256="",ISERROR(S256)),"",B256+S256)</f>
        <v/>
      </c>
      <c r="U256" s="61"/>
      <c r="V256" s="63"/>
      <c r="W256" s="63"/>
      <c r="X256" s="60"/>
      <c r="Y256" s="62" t="str">
        <f aca="false">IF(E256="","",IF(AND(B256&lt;&gt;"",B256&gt;='Weekly Report'!$F$4,B256&lt;='Weekly Report'!$F$5),"NEW",IF(AND(W256&lt;&gt;"",W256&gt;='Weekly Report'!$F$4,W256&lt;='Weekly Report'!$F$5),"CHANGED","")))</f>
        <v/>
      </c>
      <c r="Z256" s="87" t="str">
        <f aca="true">IF(B256="","",IF(V256&lt;&gt;"",V256-B256,TODAY()-B256))</f>
        <v/>
      </c>
      <c r="AA256" s="62" t="str">
        <f aca="true">IF(OR(B256="",T256="",U256="False Positive",U256="Risk Accepted"),"",IF(V256&lt;&gt;"",IF(V256&gt;T256,"Closed Late","Met"),IF(TODAY()&gt;T256,"SLA BREACH",IF(T256-TODAY()&lt;=7,"Due ≤7d","Within SLA"))))</f>
        <v/>
      </c>
      <c r="AB256" s="61"/>
      <c r="AC256" s="61"/>
      <c r="AD256" s="60"/>
      <c r="AE256" s="88" t="str">
        <f aca="false">IF(Y256&lt;&gt;"",ROW(),"")</f>
        <v/>
      </c>
      <c r="AF256" s="88" t="str">
        <f aca="false">IF(AND(AND(E256&lt;&gt;"",U256&lt;&gt;"Remediated",U256&lt;&gt;"False Positive",U256&lt;&gt;"Risk Accepted"),T256&lt;&gt;"",T256&lt;='Weekly Report'!$F$7),ROW(),"")</f>
        <v/>
      </c>
      <c r="AG256" s="88" t="str">
        <f aca="false">IF(AND(AND(E256&lt;&gt;"",U256&lt;&gt;"Remediated",U256&lt;&gt;"False Positive",U256&lt;&gt;"Risk Accepted"),LEFT(Q256,6)="Breach"),ROW(),"")</f>
        <v/>
      </c>
    </row>
    <row r="257" customFormat="false" ht="15" hidden="false" customHeight="false" outlineLevel="0" collapsed="false">
      <c r="A257" s="56" t="s">
        <v>2413</v>
      </c>
      <c r="B257" s="63"/>
      <c r="C257" s="61"/>
      <c r="D257" s="61"/>
      <c r="E257" s="60"/>
      <c r="F257" s="61"/>
      <c r="G257" s="61"/>
      <c r="H257" s="61"/>
      <c r="I257" s="61"/>
      <c r="J257" s="60"/>
      <c r="K257" s="61"/>
      <c r="L257" s="61"/>
      <c r="M257" s="61"/>
      <c r="N257" s="60"/>
      <c r="O257" s="60"/>
      <c r="P257" s="60"/>
      <c r="Q257" s="61"/>
      <c r="R257" s="61"/>
      <c r="S257" s="87" t="str">
        <f aca="false">IF(OR(B257="",L257=""),"",INDEX(Lists!$AD$4:$AD$8,MATCH(L257,Lists!$AC$4:$AC$8,0)))</f>
        <v/>
      </c>
      <c r="T257" s="95" t="str">
        <f aca="false">IF(OR(S257="",ISERROR(S257)),"",B257+S257)</f>
        <v/>
      </c>
      <c r="U257" s="61"/>
      <c r="V257" s="63"/>
      <c r="W257" s="63"/>
      <c r="X257" s="60"/>
      <c r="Y257" s="62" t="str">
        <f aca="false">IF(E257="","",IF(AND(B257&lt;&gt;"",B257&gt;='Weekly Report'!$F$4,B257&lt;='Weekly Report'!$F$5),"NEW",IF(AND(W257&lt;&gt;"",W257&gt;='Weekly Report'!$F$4,W257&lt;='Weekly Report'!$F$5),"CHANGED","")))</f>
        <v/>
      </c>
      <c r="Z257" s="87" t="str">
        <f aca="true">IF(B257="","",IF(V257&lt;&gt;"",V257-B257,TODAY()-B257))</f>
        <v/>
      </c>
      <c r="AA257" s="62" t="str">
        <f aca="true">IF(OR(B257="",T257="",U257="False Positive",U257="Risk Accepted"),"",IF(V257&lt;&gt;"",IF(V257&gt;T257,"Closed Late","Met"),IF(TODAY()&gt;T257,"SLA BREACH",IF(T257-TODAY()&lt;=7,"Due ≤7d","Within SLA"))))</f>
        <v/>
      </c>
      <c r="AB257" s="61"/>
      <c r="AC257" s="61"/>
      <c r="AD257" s="60"/>
      <c r="AE257" s="88" t="str">
        <f aca="false">IF(Y257&lt;&gt;"",ROW(),"")</f>
        <v/>
      </c>
      <c r="AF257" s="88" t="str">
        <f aca="false">IF(AND(AND(E257&lt;&gt;"",U257&lt;&gt;"Remediated",U257&lt;&gt;"False Positive",U257&lt;&gt;"Risk Accepted"),T257&lt;&gt;"",T257&lt;='Weekly Report'!$F$7),ROW(),"")</f>
        <v/>
      </c>
      <c r="AG257" s="88" t="str">
        <f aca="false">IF(AND(AND(E257&lt;&gt;"",U257&lt;&gt;"Remediated",U257&lt;&gt;"False Positive",U257&lt;&gt;"Risk Accepted"),LEFT(Q257,6)="Breach"),ROW(),"")</f>
        <v/>
      </c>
    </row>
    <row r="258" customFormat="false" ht="15" hidden="false" customHeight="false" outlineLevel="0" collapsed="false">
      <c r="A258" s="56" t="s">
        <v>2414</v>
      </c>
      <c r="B258" s="63"/>
      <c r="C258" s="61"/>
      <c r="D258" s="61"/>
      <c r="E258" s="60"/>
      <c r="F258" s="61"/>
      <c r="G258" s="61"/>
      <c r="H258" s="61"/>
      <c r="I258" s="61"/>
      <c r="J258" s="60"/>
      <c r="K258" s="61"/>
      <c r="L258" s="61"/>
      <c r="M258" s="61"/>
      <c r="N258" s="60"/>
      <c r="O258" s="60"/>
      <c r="P258" s="60"/>
      <c r="Q258" s="61"/>
      <c r="R258" s="61"/>
      <c r="S258" s="87" t="str">
        <f aca="false">IF(OR(B258="",L258=""),"",INDEX(Lists!$AD$4:$AD$8,MATCH(L258,Lists!$AC$4:$AC$8,0)))</f>
        <v/>
      </c>
      <c r="T258" s="95" t="str">
        <f aca="false">IF(OR(S258="",ISERROR(S258)),"",B258+S258)</f>
        <v/>
      </c>
      <c r="U258" s="61"/>
      <c r="V258" s="63"/>
      <c r="W258" s="63"/>
      <c r="X258" s="60"/>
      <c r="Y258" s="62" t="str">
        <f aca="false">IF(E258="","",IF(AND(B258&lt;&gt;"",B258&gt;='Weekly Report'!$F$4,B258&lt;='Weekly Report'!$F$5),"NEW",IF(AND(W258&lt;&gt;"",W258&gt;='Weekly Report'!$F$4,W258&lt;='Weekly Report'!$F$5),"CHANGED","")))</f>
        <v/>
      </c>
      <c r="Z258" s="87" t="str">
        <f aca="true">IF(B258="","",IF(V258&lt;&gt;"",V258-B258,TODAY()-B258))</f>
        <v/>
      </c>
      <c r="AA258" s="62" t="str">
        <f aca="true">IF(OR(B258="",T258="",U258="False Positive",U258="Risk Accepted"),"",IF(V258&lt;&gt;"",IF(V258&gt;T258,"Closed Late","Met"),IF(TODAY()&gt;T258,"SLA BREACH",IF(T258-TODAY()&lt;=7,"Due ≤7d","Within SLA"))))</f>
        <v/>
      </c>
      <c r="AB258" s="61"/>
      <c r="AC258" s="61"/>
      <c r="AD258" s="60"/>
      <c r="AE258" s="88" t="str">
        <f aca="false">IF(Y258&lt;&gt;"",ROW(),"")</f>
        <v/>
      </c>
      <c r="AF258" s="88" t="str">
        <f aca="false">IF(AND(AND(E258&lt;&gt;"",U258&lt;&gt;"Remediated",U258&lt;&gt;"False Positive",U258&lt;&gt;"Risk Accepted"),T258&lt;&gt;"",T258&lt;='Weekly Report'!$F$7),ROW(),"")</f>
        <v/>
      </c>
      <c r="AG258" s="88" t="str">
        <f aca="false">IF(AND(AND(E258&lt;&gt;"",U258&lt;&gt;"Remediated",U258&lt;&gt;"False Positive",U258&lt;&gt;"Risk Accepted"),LEFT(Q258,6)="Breach"),ROW(),"")</f>
        <v/>
      </c>
    </row>
    <row r="259" customFormat="false" ht="15" hidden="false" customHeight="false" outlineLevel="0" collapsed="false">
      <c r="A259" s="56" t="s">
        <v>2415</v>
      </c>
      <c r="B259" s="63"/>
      <c r="C259" s="61"/>
      <c r="D259" s="61"/>
      <c r="E259" s="60"/>
      <c r="F259" s="61"/>
      <c r="G259" s="61"/>
      <c r="H259" s="61"/>
      <c r="I259" s="61"/>
      <c r="J259" s="60"/>
      <c r="K259" s="61"/>
      <c r="L259" s="61"/>
      <c r="M259" s="61"/>
      <c r="N259" s="60"/>
      <c r="O259" s="60"/>
      <c r="P259" s="60"/>
      <c r="Q259" s="61"/>
      <c r="R259" s="61"/>
      <c r="S259" s="87" t="str">
        <f aca="false">IF(OR(B259="",L259=""),"",INDEX(Lists!$AD$4:$AD$8,MATCH(L259,Lists!$AC$4:$AC$8,0)))</f>
        <v/>
      </c>
      <c r="T259" s="95" t="str">
        <f aca="false">IF(OR(S259="",ISERROR(S259)),"",B259+S259)</f>
        <v/>
      </c>
      <c r="U259" s="61"/>
      <c r="V259" s="63"/>
      <c r="W259" s="63"/>
      <c r="X259" s="60"/>
      <c r="Y259" s="62" t="str">
        <f aca="false">IF(E259="","",IF(AND(B259&lt;&gt;"",B259&gt;='Weekly Report'!$F$4,B259&lt;='Weekly Report'!$F$5),"NEW",IF(AND(W259&lt;&gt;"",W259&gt;='Weekly Report'!$F$4,W259&lt;='Weekly Report'!$F$5),"CHANGED","")))</f>
        <v/>
      </c>
      <c r="Z259" s="87" t="str">
        <f aca="true">IF(B259="","",IF(V259&lt;&gt;"",V259-B259,TODAY()-B259))</f>
        <v/>
      </c>
      <c r="AA259" s="62" t="str">
        <f aca="true">IF(OR(B259="",T259="",U259="False Positive",U259="Risk Accepted"),"",IF(V259&lt;&gt;"",IF(V259&gt;T259,"Closed Late","Met"),IF(TODAY()&gt;T259,"SLA BREACH",IF(T259-TODAY()&lt;=7,"Due ≤7d","Within SLA"))))</f>
        <v/>
      </c>
      <c r="AB259" s="61"/>
      <c r="AC259" s="61"/>
      <c r="AD259" s="60"/>
      <c r="AE259" s="88" t="str">
        <f aca="false">IF(Y259&lt;&gt;"",ROW(),"")</f>
        <v/>
      </c>
      <c r="AF259" s="88" t="str">
        <f aca="false">IF(AND(AND(E259&lt;&gt;"",U259&lt;&gt;"Remediated",U259&lt;&gt;"False Positive",U259&lt;&gt;"Risk Accepted"),T259&lt;&gt;"",T259&lt;='Weekly Report'!$F$7),ROW(),"")</f>
        <v/>
      </c>
      <c r="AG259" s="88" t="str">
        <f aca="false">IF(AND(AND(E259&lt;&gt;"",U259&lt;&gt;"Remediated",U259&lt;&gt;"False Positive",U259&lt;&gt;"Risk Accepted"),LEFT(Q259,6)="Breach"),ROW(),"")</f>
        <v/>
      </c>
    </row>
    <row r="260" customFormat="false" ht="15" hidden="false" customHeight="false" outlineLevel="0" collapsed="false">
      <c r="A260" s="56" t="s">
        <v>2416</v>
      </c>
      <c r="B260" s="63"/>
      <c r="C260" s="61"/>
      <c r="D260" s="61"/>
      <c r="E260" s="60"/>
      <c r="F260" s="61"/>
      <c r="G260" s="61"/>
      <c r="H260" s="61"/>
      <c r="I260" s="61"/>
      <c r="J260" s="60"/>
      <c r="K260" s="61"/>
      <c r="L260" s="61"/>
      <c r="M260" s="61"/>
      <c r="N260" s="60"/>
      <c r="O260" s="60"/>
      <c r="P260" s="60"/>
      <c r="Q260" s="61"/>
      <c r="R260" s="61"/>
      <c r="S260" s="87" t="str">
        <f aca="false">IF(OR(B260="",L260=""),"",INDEX(Lists!$AD$4:$AD$8,MATCH(L260,Lists!$AC$4:$AC$8,0)))</f>
        <v/>
      </c>
      <c r="T260" s="95" t="str">
        <f aca="false">IF(OR(S260="",ISERROR(S260)),"",B260+S260)</f>
        <v/>
      </c>
      <c r="U260" s="61"/>
      <c r="V260" s="63"/>
      <c r="W260" s="63"/>
      <c r="X260" s="60"/>
      <c r="Y260" s="62" t="str">
        <f aca="false">IF(E260="","",IF(AND(B260&lt;&gt;"",B260&gt;='Weekly Report'!$F$4,B260&lt;='Weekly Report'!$F$5),"NEW",IF(AND(W260&lt;&gt;"",W260&gt;='Weekly Report'!$F$4,W260&lt;='Weekly Report'!$F$5),"CHANGED","")))</f>
        <v/>
      </c>
      <c r="Z260" s="87" t="str">
        <f aca="true">IF(B260="","",IF(V260&lt;&gt;"",V260-B260,TODAY()-B260))</f>
        <v/>
      </c>
      <c r="AA260" s="62" t="str">
        <f aca="true">IF(OR(B260="",T260="",U260="False Positive",U260="Risk Accepted"),"",IF(V260&lt;&gt;"",IF(V260&gt;T260,"Closed Late","Met"),IF(TODAY()&gt;T260,"SLA BREACH",IF(T260-TODAY()&lt;=7,"Due ≤7d","Within SLA"))))</f>
        <v/>
      </c>
      <c r="AB260" s="61"/>
      <c r="AC260" s="61"/>
      <c r="AD260" s="60"/>
      <c r="AE260" s="88" t="str">
        <f aca="false">IF(Y260&lt;&gt;"",ROW(),"")</f>
        <v/>
      </c>
      <c r="AF260" s="88" t="str">
        <f aca="false">IF(AND(AND(E260&lt;&gt;"",U260&lt;&gt;"Remediated",U260&lt;&gt;"False Positive",U260&lt;&gt;"Risk Accepted"),T260&lt;&gt;"",T260&lt;='Weekly Report'!$F$7),ROW(),"")</f>
        <v/>
      </c>
      <c r="AG260" s="88" t="str">
        <f aca="false">IF(AND(AND(E260&lt;&gt;"",U260&lt;&gt;"Remediated",U260&lt;&gt;"False Positive",U260&lt;&gt;"Risk Accepted"),LEFT(Q260,6)="Breach"),ROW(),"")</f>
        <v/>
      </c>
    </row>
    <row r="261" customFormat="false" ht="15" hidden="false" customHeight="false" outlineLevel="0" collapsed="false">
      <c r="A261" s="56" t="s">
        <v>2417</v>
      </c>
      <c r="B261" s="63"/>
      <c r="C261" s="61"/>
      <c r="D261" s="61"/>
      <c r="E261" s="60"/>
      <c r="F261" s="61"/>
      <c r="G261" s="61"/>
      <c r="H261" s="61"/>
      <c r="I261" s="61"/>
      <c r="J261" s="60"/>
      <c r="K261" s="61"/>
      <c r="L261" s="61"/>
      <c r="M261" s="61"/>
      <c r="N261" s="60"/>
      <c r="O261" s="60"/>
      <c r="P261" s="60"/>
      <c r="Q261" s="61"/>
      <c r="R261" s="61"/>
      <c r="S261" s="87" t="str">
        <f aca="false">IF(OR(B261="",L261=""),"",INDEX(Lists!$AD$4:$AD$8,MATCH(L261,Lists!$AC$4:$AC$8,0)))</f>
        <v/>
      </c>
      <c r="T261" s="95" t="str">
        <f aca="false">IF(OR(S261="",ISERROR(S261)),"",B261+S261)</f>
        <v/>
      </c>
      <c r="U261" s="61"/>
      <c r="V261" s="63"/>
      <c r="W261" s="63"/>
      <c r="X261" s="60"/>
      <c r="Y261" s="62" t="str">
        <f aca="false">IF(E261="","",IF(AND(B261&lt;&gt;"",B261&gt;='Weekly Report'!$F$4,B261&lt;='Weekly Report'!$F$5),"NEW",IF(AND(W261&lt;&gt;"",W261&gt;='Weekly Report'!$F$4,W261&lt;='Weekly Report'!$F$5),"CHANGED","")))</f>
        <v/>
      </c>
      <c r="Z261" s="87" t="str">
        <f aca="true">IF(B261="","",IF(V261&lt;&gt;"",V261-B261,TODAY()-B261))</f>
        <v/>
      </c>
      <c r="AA261" s="62" t="str">
        <f aca="true">IF(OR(B261="",T261="",U261="False Positive",U261="Risk Accepted"),"",IF(V261&lt;&gt;"",IF(V261&gt;T261,"Closed Late","Met"),IF(TODAY()&gt;T261,"SLA BREACH",IF(T261-TODAY()&lt;=7,"Due ≤7d","Within SLA"))))</f>
        <v/>
      </c>
      <c r="AB261" s="61"/>
      <c r="AC261" s="61"/>
      <c r="AD261" s="60"/>
      <c r="AE261" s="88" t="str">
        <f aca="false">IF(Y261&lt;&gt;"",ROW(),"")</f>
        <v/>
      </c>
      <c r="AF261" s="88" t="str">
        <f aca="false">IF(AND(AND(E261&lt;&gt;"",U261&lt;&gt;"Remediated",U261&lt;&gt;"False Positive",U261&lt;&gt;"Risk Accepted"),T261&lt;&gt;"",T261&lt;='Weekly Report'!$F$7),ROW(),"")</f>
        <v/>
      </c>
      <c r="AG261" s="88" t="str">
        <f aca="false">IF(AND(AND(E261&lt;&gt;"",U261&lt;&gt;"Remediated",U261&lt;&gt;"False Positive",U261&lt;&gt;"Risk Accepted"),LEFT(Q261,6)="Breach"),ROW(),"")</f>
        <v/>
      </c>
    </row>
    <row r="262" customFormat="false" ht="15" hidden="false" customHeight="false" outlineLevel="0" collapsed="false">
      <c r="A262" s="56" t="s">
        <v>2418</v>
      </c>
      <c r="B262" s="63"/>
      <c r="C262" s="61"/>
      <c r="D262" s="61"/>
      <c r="E262" s="60"/>
      <c r="F262" s="61"/>
      <c r="G262" s="61"/>
      <c r="H262" s="61"/>
      <c r="I262" s="61"/>
      <c r="J262" s="60"/>
      <c r="K262" s="61"/>
      <c r="L262" s="61"/>
      <c r="M262" s="61"/>
      <c r="N262" s="60"/>
      <c r="O262" s="60"/>
      <c r="P262" s="60"/>
      <c r="Q262" s="61"/>
      <c r="R262" s="61"/>
      <c r="S262" s="87" t="str">
        <f aca="false">IF(OR(B262="",L262=""),"",INDEX(Lists!$AD$4:$AD$8,MATCH(L262,Lists!$AC$4:$AC$8,0)))</f>
        <v/>
      </c>
      <c r="T262" s="95" t="str">
        <f aca="false">IF(OR(S262="",ISERROR(S262)),"",B262+S262)</f>
        <v/>
      </c>
      <c r="U262" s="61"/>
      <c r="V262" s="63"/>
      <c r="W262" s="63"/>
      <c r="X262" s="60"/>
      <c r="Y262" s="62" t="str">
        <f aca="false">IF(E262="","",IF(AND(B262&lt;&gt;"",B262&gt;='Weekly Report'!$F$4,B262&lt;='Weekly Report'!$F$5),"NEW",IF(AND(W262&lt;&gt;"",W262&gt;='Weekly Report'!$F$4,W262&lt;='Weekly Report'!$F$5),"CHANGED","")))</f>
        <v/>
      </c>
      <c r="Z262" s="87" t="str">
        <f aca="true">IF(B262="","",IF(V262&lt;&gt;"",V262-B262,TODAY()-B262))</f>
        <v/>
      </c>
      <c r="AA262" s="62" t="str">
        <f aca="true">IF(OR(B262="",T262="",U262="False Positive",U262="Risk Accepted"),"",IF(V262&lt;&gt;"",IF(V262&gt;T262,"Closed Late","Met"),IF(TODAY()&gt;T262,"SLA BREACH",IF(T262-TODAY()&lt;=7,"Due ≤7d","Within SLA"))))</f>
        <v/>
      </c>
      <c r="AB262" s="61"/>
      <c r="AC262" s="61"/>
      <c r="AD262" s="60"/>
      <c r="AE262" s="88" t="str">
        <f aca="false">IF(Y262&lt;&gt;"",ROW(),"")</f>
        <v/>
      </c>
      <c r="AF262" s="88" t="str">
        <f aca="false">IF(AND(AND(E262&lt;&gt;"",U262&lt;&gt;"Remediated",U262&lt;&gt;"False Positive",U262&lt;&gt;"Risk Accepted"),T262&lt;&gt;"",T262&lt;='Weekly Report'!$F$7),ROW(),"")</f>
        <v/>
      </c>
      <c r="AG262" s="88" t="str">
        <f aca="false">IF(AND(AND(E262&lt;&gt;"",U262&lt;&gt;"Remediated",U262&lt;&gt;"False Positive",U262&lt;&gt;"Risk Accepted"),LEFT(Q262,6)="Breach"),ROW(),"")</f>
        <v/>
      </c>
    </row>
    <row r="263" customFormat="false" ht="15" hidden="false" customHeight="false" outlineLevel="0" collapsed="false">
      <c r="A263" s="56" t="s">
        <v>2419</v>
      </c>
      <c r="B263" s="63"/>
      <c r="C263" s="61"/>
      <c r="D263" s="61"/>
      <c r="E263" s="60"/>
      <c r="F263" s="61"/>
      <c r="G263" s="61"/>
      <c r="H263" s="61"/>
      <c r="I263" s="61"/>
      <c r="J263" s="60"/>
      <c r="K263" s="61"/>
      <c r="L263" s="61"/>
      <c r="M263" s="61"/>
      <c r="N263" s="60"/>
      <c r="O263" s="60"/>
      <c r="P263" s="60"/>
      <c r="Q263" s="61"/>
      <c r="R263" s="61"/>
      <c r="S263" s="87" t="str">
        <f aca="false">IF(OR(B263="",L263=""),"",INDEX(Lists!$AD$4:$AD$8,MATCH(L263,Lists!$AC$4:$AC$8,0)))</f>
        <v/>
      </c>
      <c r="T263" s="95" t="str">
        <f aca="false">IF(OR(S263="",ISERROR(S263)),"",B263+S263)</f>
        <v/>
      </c>
      <c r="U263" s="61"/>
      <c r="V263" s="63"/>
      <c r="W263" s="63"/>
      <c r="X263" s="60"/>
      <c r="Y263" s="62" t="str">
        <f aca="false">IF(E263="","",IF(AND(B263&lt;&gt;"",B263&gt;='Weekly Report'!$F$4,B263&lt;='Weekly Report'!$F$5),"NEW",IF(AND(W263&lt;&gt;"",W263&gt;='Weekly Report'!$F$4,W263&lt;='Weekly Report'!$F$5),"CHANGED","")))</f>
        <v/>
      </c>
      <c r="Z263" s="87" t="str">
        <f aca="true">IF(B263="","",IF(V263&lt;&gt;"",V263-B263,TODAY()-B263))</f>
        <v/>
      </c>
      <c r="AA263" s="62" t="str">
        <f aca="true">IF(OR(B263="",T263="",U263="False Positive",U263="Risk Accepted"),"",IF(V263&lt;&gt;"",IF(V263&gt;T263,"Closed Late","Met"),IF(TODAY()&gt;T263,"SLA BREACH",IF(T263-TODAY()&lt;=7,"Due ≤7d","Within SLA"))))</f>
        <v/>
      </c>
      <c r="AB263" s="61"/>
      <c r="AC263" s="61"/>
      <c r="AD263" s="60"/>
      <c r="AE263" s="88" t="str">
        <f aca="false">IF(Y263&lt;&gt;"",ROW(),"")</f>
        <v/>
      </c>
      <c r="AF263" s="88" t="str">
        <f aca="false">IF(AND(AND(E263&lt;&gt;"",U263&lt;&gt;"Remediated",U263&lt;&gt;"False Positive",U263&lt;&gt;"Risk Accepted"),T263&lt;&gt;"",T263&lt;='Weekly Report'!$F$7),ROW(),"")</f>
        <v/>
      </c>
      <c r="AG263" s="88" t="str">
        <f aca="false">IF(AND(AND(E263&lt;&gt;"",U263&lt;&gt;"Remediated",U263&lt;&gt;"False Positive",U263&lt;&gt;"Risk Accepted"),LEFT(Q263,6)="Breach"),ROW(),"")</f>
        <v/>
      </c>
    </row>
    <row r="264" customFormat="false" ht="15" hidden="false" customHeight="false" outlineLevel="0" collapsed="false">
      <c r="A264" s="56" t="s">
        <v>2420</v>
      </c>
      <c r="B264" s="63"/>
      <c r="C264" s="61"/>
      <c r="D264" s="61"/>
      <c r="E264" s="60"/>
      <c r="F264" s="61"/>
      <c r="G264" s="61"/>
      <c r="H264" s="61"/>
      <c r="I264" s="61"/>
      <c r="J264" s="60"/>
      <c r="K264" s="61"/>
      <c r="L264" s="61"/>
      <c r="M264" s="61"/>
      <c r="N264" s="60"/>
      <c r="O264" s="60"/>
      <c r="P264" s="60"/>
      <c r="Q264" s="61"/>
      <c r="R264" s="61"/>
      <c r="S264" s="87" t="str">
        <f aca="false">IF(OR(B264="",L264=""),"",INDEX(Lists!$AD$4:$AD$8,MATCH(L264,Lists!$AC$4:$AC$8,0)))</f>
        <v/>
      </c>
      <c r="T264" s="95" t="str">
        <f aca="false">IF(OR(S264="",ISERROR(S264)),"",B264+S264)</f>
        <v/>
      </c>
      <c r="U264" s="61"/>
      <c r="V264" s="63"/>
      <c r="W264" s="63"/>
      <c r="X264" s="60"/>
      <c r="Y264" s="62" t="str">
        <f aca="false">IF(E264="","",IF(AND(B264&lt;&gt;"",B264&gt;='Weekly Report'!$F$4,B264&lt;='Weekly Report'!$F$5),"NEW",IF(AND(W264&lt;&gt;"",W264&gt;='Weekly Report'!$F$4,W264&lt;='Weekly Report'!$F$5),"CHANGED","")))</f>
        <v/>
      </c>
      <c r="Z264" s="87" t="str">
        <f aca="true">IF(B264="","",IF(V264&lt;&gt;"",V264-B264,TODAY()-B264))</f>
        <v/>
      </c>
      <c r="AA264" s="62" t="str">
        <f aca="true">IF(OR(B264="",T264="",U264="False Positive",U264="Risk Accepted"),"",IF(V264&lt;&gt;"",IF(V264&gt;T264,"Closed Late","Met"),IF(TODAY()&gt;T264,"SLA BREACH",IF(T264-TODAY()&lt;=7,"Due ≤7d","Within SLA"))))</f>
        <v/>
      </c>
      <c r="AB264" s="61"/>
      <c r="AC264" s="61"/>
      <c r="AD264" s="60"/>
      <c r="AE264" s="88" t="str">
        <f aca="false">IF(Y264&lt;&gt;"",ROW(),"")</f>
        <v/>
      </c>
      <c r="AF264" s="88" t="str">
        <f aca="false">IF(AND(AND(E264&lt;&gt;"",U264&lt;&gt;"Remediated",U264&lt;&gt;"False Positive",U264&lt;&gt;"Risk Accepted"),T264&lt;&gt;"",T264&lt;='Weekly Report'!$F$7),ROW(),"")</f>
        <v/>
      </c>
      <c r="AG264" s="88" t="str">
        <f aca="false">IF(AND(AND(E264&lt;&gt;"",U264&lt;&gt;"Remediated",U264&lt;&gt;"False Positive",U264&lt;&gt;"Risk Accepted"),LEFT(Q264,6)="Breach"),ROW(),"")</f>
        <v/>
      </c>
    </row>
    <row r="265" customFormat="false" ht="15" hidden="false" customHeight="false" outlineLevel="0" collapsed="false">
      <c r="A265" s="56" t="s">
        <v>2421</v>
      </c>
      <c r="B265" s="63"/>
      <c r="C265" s="61"/>
      <c r="D265" s="61"/>
      <c r="E265" s="60"/>
      <c r="F265" s="61"/>
      <c r="G265" s="61"/>
      <c r="H265" s="61"/>
      <c r="I265" s="61"/>
      <c r="J265" s="60"/>
      <c r="K265" s="61"/>
      <c r="L265" s="61"/>
      <c r="M265" s="61"/>
      <c r="N265" s="60"/>
      <c r="O265" s="60"/>
      <c r="P265" s="60"/>
      <c r="Q265" s="61"/>
      <c r="R265" s="61"/>
      <c r="S265" s="87" t="str">
        <f aca="false">IF(OR(B265="",L265=""),"",INDEX(Lists!$AD$4:$AD$8,MATCH(L265,Lists!$AC$4:$AC$8,0)))</f>
        <v/>
      </c>
      <c r="T265" s="95" t="str">
        <f aca="false">IF(OR(S265="",ISERROR(S265)),"",B265+S265)</f>
        <v/>
      </c>
      <c r="U265" s="61"/>
      <c r="V265" s="63"/>
      <c r="W265" s="63"/>
      <c r="X265" s="60"/>
      <c r="Y265" s="62" t="str">
        <f aca="false">IF(E265="","",IF(AND(B265&lt;&gt;"",B265&gt;='Weekly Report'!$F$4,B265&lt;='Weekly Report'!$F$5),"NEW",IF(AND(W265&lt;&gt;"",W265&gt;='Weekly Report'!$F$4,W265&lt;='Weekly Report'!$F$5),"CHANGED","")))</f>
        <v/>
      </c>
      <c r="Z265" s="87" t="str">
        <f aca="true">IF(B265="","",IF(V265&lt;&gt;"",V265-B265,TODAY()-B265))</f>
        <v/>
      </c>
      <c r="AA265" s="62" t="str">
        <f aca="true">IF(OR(B265="",T265="",U265="False Positive",U265="Risk Accepted"),"",IF(V265&lt;&gt;"",IF(V265&gt;T265,"Closed Late","Met"),IF(TODAY()&gt;T265,"SLA BREACH",IF(T265-TODAY()&lt;=7,"Due ≤7d","Within SLA"))))</f>
        <v/>
      </c>
      <c r="AB265" s="61"/>
      <c r="AC265" s="61"/>
      <c r="AD265" s="60"/>
      <c r="AE265" s="88" t="str">
        <f aca="false">IF(Y265&lt;&gt;"",ROW(),"")</f>
        <v/>
      </c>
      <c r="AF265" s="88" t="str">
        <f aca="false">IF(AND(AND(E265&lt;&gt;"",U265&lt;&gt;"Remediated",U265&lt;&gt;"False Positive",U265&lt;&gt;"Risk Accepted"),T265&lt;&gt;"",T265&lt;='Weekly Report'!$F$7),ROW(),"")</f>
        <v/>
      </c>
      <c r="AG265" s="88" t="str">
        <f aca="false">IF(AND(AND(E265&lt;&gt;"",U265&lt;&gt;"Remediated",U265&lt;&gt;"False Positive",U265&lt;&gt;"Risk Accepted"),LEFT(Q265,6)="Breach"),ROW(),"")</f>
        <v/>
      </c>
    </row>
    <row r="266" customFormat="false" ht="15" hidden="false" customHeight="false" outlineLevel="0" collapsed="false">
      <c r="A266" s="56" t="s">
        <v>2422</v>
      </c>
      <c r="B266" s="63"/>
      <c r="C266" s="61"/>
      <c r="D266" s="61"/>
      <c r="E266" s="60"/>
      <c r="F266" s="61"/>
      <c r="G266" s="61"/>
      <c r="H266" s="61"/>
      <c r="I266" s="61"/>
      <c r="J266" s="60"/>
      <c r="K266" s="61"/>
      <c r="L266" s="61"/>
      <c r="M266" s="61"/>
      <c r="N266" s="60"/>
      <c r="O266" s="60"/>
      <c r="P266" s="60"/>
      <c r="Q266" s="61"/>
      <c r="R266" s="61"/>
      <c r="S266" s="87" t="str">
        <f aca="false">IF(OR(B266="",L266=""),"",INDEX(Lists!$AD$4:$AD$8,MATCH(L266,Lists!$AC$4:$AC$8,0)))</f>
        <v/>
      </c>
      <c r="T266" s="95" t="str">
        <f aca="false">IF(OR(S266="",ISERROR(S266)),"",B266+S266)</f>
        <v/>
      </c>
      <c r="U266" s="61"/>
      <c r="V266" s="63"/>
      <c r="W266" s="63"/>
      <c r="X266" s="60"/>
      <c r="Y266" s="62" t="str">
        <f aca="false">IF(E266="","",IF(AND(B266&lt;&gt;"",B266&gt;='Weekly Report'!$F$4,B266&lt;='Weekly Report'!$F$5),"NEW",IF(AND(W266&lt;&gt;"",W266&gt;='Weekly Report'!$F$4,W266&lt;='Weekly Report'!$F$5),"CHANGED","")))</f>
        <v/>
      </c>
      <c r="Z266" s="87" t="str">
        <f aca="true">IF(B266="","",IF(V266&lt;&gt;"",V266-B266,TODAY()-B266))</f>
        <v/>
      </c>
      <c r="AA266" s="62" t="str">
        <f aca="true">IF(OR(B266="",T266="",U266="False Positive",U266="Risk Accepted"),"",IF(V266&lt;&gt;"",IF(V266&gt;T266,"Closed Late","Met"),IF(TODAY()&gt;T266,"SLA BREACH",IF(T266-TODAY()&lt;=7,"Due ≤7d","Within SLA"))))</f>
        <v/>
      </c>
      <c r="AB266" s="61"/>
      <c r="AC266" s="61"/>
      <c r="AD266" s="60"/>
      <c r="AE266" s="88" t="str">
        <f aca="false">IF(Y266&lt;&gt;"",ROW(),"")</f>
        <v/>
      </c>
      <c r="AF266" s="88" t="str">
        <f aca="false">IF(AND(AND(E266&lt;&gt;"",U266&lt;&gt;"Remediated",U266&lt;&gt;"False Positive",U266&lt;&gt;"Risk Accepted"),T266&lt;&gt;"",T266&lt;='Weekly Report'!$F$7),ROW(),"")</f>
        <v/>
      </c>
      <c r="AG266" s="88" t="str">
        <f aca="false">IF(AND(AND(E266&lt;&gt;"",U266&lt;&gt;"Remediated",U266&lt;&gt;"False Positive",U266&lt;&gt;"Risk Accepted"),LEFT(Q266,6)="Breach"),ROW(),"")</f>
        <v/>
      </c>
    </row>
    <row r="267" customFormat="false" ht="15" hidden="false" customHeight="false" outlineLevel="0" collapsed="false">
      <c r="A267" s="56" t="s">
        <v>2423</v>
      </c>
      <c r="B267" s="63"/>
      <c r="C267" s="61"/>
      <c r="D267" s="61"/>
      <c r="E267" s="60"/>
      <c r="F267" s="61"/>
      <c r="G267" s="61"/>
      <c r="H267" s="61"/>
      <c r="I267" s="61"/>
      <c r="J267" s="60"/>
      <c r="K267" s="61"/>
      <c r="L267" s="61"/>
      <c r="M267" s="61"/>
      <c r="N267" s="60"/>
      <c r="O267" s="60"/>
      <c r="P267" s="60"/>
      <c r="Q267" s="61"/>
      <c r="R267" s="61"/>
      <c r="S267" s="87" t="str">
        <f aca="false">IF(OR(B267="",L267=""),"",INDEX(Lists!$AD$4:$AD$8,MATCH(L267,Lists!$AC$4:$AC$8,0)))</f>
        <v/>
      </c>
      <c r="T267" s="95" t="str">
        <f aca="false">IF(OR(S267="",ISERROR(S267)),"",B267+S267)</f>
        <v/>
      </c>
      <c r="U267" s="61"/>
      <c r="V267" s="63"/>
      <c r="W267" s="63"/>
      <c r="X267" s="60"/>
      <c r="Y267" s="62" t="str">
        <f aca="false">IF(E267="","",IF(AND(B267&lt;&gt;"",B267&gt;='Weekly Report'!$F$4,B267&lt;='Weekly Report'!$F$5),"NEW",IF(AND(W267&lt;&gt;"",W267&gt;='Weekly Report'!$F$4,W267&lt;='Weekly Report'!$F$5),"CHANGED","")))</f>
        <v/>
      </c>
      <c r="Z267" s="87" t="str">
        <f aca="true">IF(B267="","",IF(V267&lt;&gt;"",V267-B267,TODAY()-B267))</f>
        <v/>
      </c>
      <c r="AA267" s="62" t="str">
        <f aca="true">IF(OR(B267="",T267="",U267="False Positive",U267="Risk Accepted"),"",IF(V267&lt;&gt;"",IF(V267&gt;T267,"Closed Late","Met"),IF(TODAY()&gt;T267,"SLA BREACH",IF(T267-TODAY()&lt;=7,"Due ≤7d","Within SLA"))))</f>
        <v/>
      </c>
      <c r="AB267" s="61"/>
      <c r="AC267" s="61"/>
      <c r="AD267" s="60"/>
      <c r="AE267" s="88" t="str">
        <f aca="false">IF(Y267&lt;&gt;"",ROW(),"")</f>
        <v/>
      </c>
      <c r="AF267" s="88" t="str">
        <f aca="false">IF(AND(AND(E267&lt;&gt;"",U267&lt;&gt;"Remediated",U267&lt;&gt;"False Positive",U267&lt;&gt;"Risk Accepted"),T267&lt;&gt;"",T267&lt;='Weekly Report'!$F$7),ROW(),"")</f>
        <v/>
      </c>
      <c r="AG267" s="88" t="str">
        <f aca="false">IF(AND(AND(E267&lt;&gt;"",U267&lt;&gt;"Remediated",U267&lt;&gt;"False Positive",U267&lt;&gt;"Risk Accepted"),LEFT(Q267,6)="Breach"),ROW(),"")</f>
        <v/>
      </c>
    </row>
    <row r="268" customFormat="false" ht="15" hidden="false" customHeight="false" outlineLevel="0" collapsed="false">
      <c r="A268" s="56" t="s">
        <v>2424</v>
      </c>
      <c r="B268" s="63"/>
      <c r="C268" s="61"/>
      <c r="D268" s="61"/>
      <c r="E268" s="60"/>
      <c r="F268" s="61"/>
      <c r="G268" s="61"/>
      <c r="H268" s="61"/>
      <c r="I268" s="61"/>
      <c r="J268" s="60"/>
      <c r="K268" s="61"/>
      <c r="L268" s="61"/>
      <c r="M268" s="61"/>
      <c r="N268" s="60"/>
      <c r="O268" s="60"/>
      <c r="P268" s="60"/>
      <c r="Q268" s="61"/>
      <c r="R268" s="61"/>
      <c r="S268" s="87" t="str">
        <f aca="false">IF(OR(B268="",L268=""),"",INDEX(Lists!$AD$4:$AD$8,MATCH(L268,Lists!$AC$4:$AC$8,0)))</f>
        <v/>
      </c>
      <c r="T268" s="95" t="str">
        <f aca="false">IF(OR(S268="",ISERROR(S268)),"",B268+S268)</f>
        <v/>
      </c>
      <c r="U268" s="61"/>
      <c r="V268" s="63"/>
      <c r="W268" s="63"/>
      <c r="X268" s="60"/>
      <c r="Y268" s="62" t="str">
        <f aca="false">IF(E268="","",IF(AND(B268&lt;&gt;"",B268&gt;='Weekly Report'!$F$4,B268&lt;='Weekly Report'!$F$5),"NEW",IF(AND(W268&lt;&gt;"",W268&gt;='Weekly Report'!$F$4,W268&lt;='Weekly Report'!$F$5),"CHANGED","")))</f>
        <v/>
      </c>
      <c r="Z268" s="87" t="str">
        <f aca="true">IF(B268="","",IF(V268&lt;&gt;"",V268-B268,TODAY()-B268))</f>
        <v/>
      </c>
      <c r="AA268" s="62" t="str">
        <f aca="true">IF(OR(B268="",T268="",U268="False Positive",U268="Risk Accepted"),"",IF(V268&lt;&gt;"",IF(V268&gt;T268,"Closed Late","Met"),IF(TODAY()&gt;T268,"SLA BREACH",IF(T268-TODAY()&lt;=7,"Due ≤7d","Within SLA"))))</f>
        <v/>
      </c>
      <c r="AB268" s="61"/>
      <c r="AC268" s="61"/>
      <c r="AD268" s="60"/>
      <c r="AE268" s="88" t="str">
        <f aca="false">IF(Y268&lt;&gt;"",ROW(),"")</f>
        <v/>
      </c>
      <c r="AF268" s="88" t="str">
        <f aca="false">IF(AND(AND(E268&lt;&gt;"",U268&lt;&gt;"Remediated",U268&lt;&gt;"False Positive",U268&lt;&gt;"Risk Accepted"),T268&lt;&gt;"",T268&lt;='Weekly Report'!$F$7),ROW(),"")</f>
        <v/>
      </c>
      <c r="AG268" s="88" t="str">
        <f aca="false">IF(AND(AND(E268&lt;&gt;"",U268&lt;&gt;"Remediated",U268&lt;&gt;"False Positive",U268&lt;&gt;"Risk Accepted"),LEFT(Q268,6)="Breach"),ROW(),"")</f>
        <v/>
      </c>
    </row>
    <row r="269" customFormat="false" ht="15" hidden="false" customHeight="false" outlineLevel="0" collapsed="false">
      <c r="A269" s="56" t="s">
        <v>2425</v>
      </c>
      <c r="B269" s="63"/>
      <c r="C269" s="61"/>
      <c r="D269" s="61"/>
      <c r="E269" s="60"/>
      <c r="F269" s="61"/>
      <c r="G269" s="61"/>
      <c r="H269" s="61"/>
      <c r="I269" s="61"/>
      <c r="J269" s="60"/>
      <c r="K269" s="61"/>
      <c r="L269" s="61"/>
      <c r="M269" s="61"/>
      <c r="N269" s="60"/>
      <c r="O269" s="60"/>
      <c r="P269" s="60"/>
      <c r="Q269" s="61"/>
      <c r="R269" s="61"/>
      <c r="S269" s="87" t="str">
        <f aca="false">IF(OR(B269="",L269=""),"",INDEX(Lists!$AD$4:$AD$8,MATCH(L269,Lists!$AC$4:$AC$8,0)))</f>
        <v/>
      </c>
      <c r="T269" s="95" t="str">
        <f aca="false">IF(OR(S269="",ISERROR(S269)),"",B269+S269)</f>
        <v/>
      </c>
      <c r="U269" s="61"/>
      <c r="V269" s="63"/>
      <c r="W269" s="63"/>
      <c r="X269" s="60"/>
      <c r="Y269" s="62" t="str">
        <f aca="false">IF(E269="","",IF(AND(B269&lt;&gt;"",B269&gt;='Weekly Report'!$F$4,B269&lt;='Weekly Report'!$F$5),"NEW",IF(AND(W269&lt;&gt;"",W269&gt;='Weekly Report'!$F$4,W269&lt;='Weekly Report'!$F$5),"CHANGED","")))</f>
        <v/>
      </c>
      <c r="Z269" s="87" t="str">
        <f aca="true">IF(B269="","",IF(V269&lt;&gt;"",V269-B269,TODAY()-B269))</f>
        <v/>
      </c>
      <c r="AA269" s="62" t="str">
        <f aca="true">IF(OR(B269="",T269="",U269="False Positive",U269="Risk Accepted"),"",IF(V269&lt;&gt;"",IF(V269&gt;T269,"Closed Late","Met"),IF(TODAY()&gt;T269,"SLA BREACH",IF(T269-TODAY()&lt;=7,"Due ≤7d","Within SLA"))))</f>
        <v/>
      </c>
      <c r="AB269" s="61"/>
      <c r="AC269" s="61"/>
      <c r="AD269" s="60"/>
      <c r="AE269" s="88" t="str">
        <f aca="false">IF(Y269&lt;&gt;"",ROW(),"")</f>
        <v/>
      </c>
      <c r="AF269" s="88" t="str">
        <f aca="false">IF(AND(AND(E269&lt;&gt;"",U269&lt;&gt;"Remediated",U269&lt;&gt;"False Positive",U269&lt;&gt;"Risk Accepted"),T269&lt;&gt;"",T269&lt;='Weekly Report'!$F$7),ROW(),"")</f>
        <v/>
      </c>
      <c r="AG269" s="88" t="str">
        <f aca="false">IF(AND(AND(E269&lt;&gt;"",U269&lt;&gt;"Remediated",U269&lt;&gt;"False Positive",U269&lt;&gt;"Risk Accepted"),LEFT(Q269,6)="Breach"),ROW(),"")</f>
        <v/>
      </c>
    </row>
    <row r="270" customFormat="false" ht="15" hidden="false" customHeight="false" outlineLevel="0" collapsed="false">
      <c r="A270" s="56" t="s">
        <v>2426</v>
      </c>
      <c r="B270" s="63"/>
      <c r="C270" s="61"/>
      <c r="D270" s="61"/>
      <c r="E270" s="60"/>
      <c r="F270" s="61"/>
      <c r="G270" s="61"/>
      <c r="H270" s="61"/>
      <c r="I270" s="61"/>
      <c r="J270" s="60"/>
      <c r="K270" s="61"/>
      <c r="L270" s="61"/>
      <c r="M270" s="61"/>
      <c r="N270" s="60"/>
      <c r="O270" s="60"/>
      <c r="P270" s="60"/>
      <c r="Q270" s="61"/>
      <c r="R270" s="61"/>
      <c r="S270" s="87" t="str">
        <f aca="false">IF(OR(B270="",L270=""),"",INDEX(Lists!$AD$4:$AD$8,MATCH(L270,Lists!$AC$4:$AC$8,0)))</f>
        <v/>
      </c>
      <c r="T270" s="95" t="str">
        <f aca="false">IF(OR(S270="",ISERROR(S270)),"",B270+S270)</f>
        <v/>
      </c>
      <c r="U270" s="61"/>
      <c r="V270" s="63"/>
      <c r="W270" s="63"/>
      <c r="X270" s="60"/>
      <c r="Y270" s="62" t="str">
        <f aca="false">IF(E270="","",IF(AND(B270&lt;&gt;"",B270&gt;='Weekly Report'!$F$4,B270&lt;='Weekly Report'!$F$5),"NEW",IF(AND(W270&lt;&gt;"",W270&gt;='Weekly Report'!$F$4,W270&lt;='Weekly Report'!$F$5),"CHANGED","")))</f>
        <v/>
      </c>
      <c r="Z270" s="87" t="str">
        <f aca="true">IF(B270="","",IF(V270&lt;&gt;"",V270-B270,TODAY()-B270))</f>
        <v/>
      </c>
      <c r="AA270" s="62" t="str">
        <f aca="true">IF(OR(B270="",T270="",U270="False Positive",U270="Risk Accepted"),"",IF(V270&lt;&gt;"",IF(V270&gt;T270,"Closed Late","Met"),IF(TODAY()&gt;T270,"SLA BREACH",IF(T270-TODAY()&lt;=7,"Due ≤7d","Within SLA"))))</f>
        <v/>
      </c>
      <c r="AB270" s="61"/>
      <c r="AC270" s="61"/>
      <c r="AD270" s="60"/>
      <c r="AE270" s="88" t="str">
        <f aca="false">IF(Y270&lt;&gt;"",ROW(),"")</f>
        <v/>
      </c>
      <c r="AF270" s="88" t="str">
        <f aca="false">IF(AND(AND(E270&lt;&gt;"",U270&lt;&gt;"Remediated",U270&lt;&gt;"False Positive",U270&lt;&gt;"Risk Accepted"),T270&lt;&gt;"",T270&lt;='Weekly Report'!$F$7),ROW(),"")</f>
        <v/>
      </c>
      <c r="AG270" s="88" t="str">
        <f aca="false">IF(AND(AND(E270&lt;&gt;"",U270&lt;&gt;"Remediated",U270&lt;&gt;"False Positive",U270&lt;&gt;"Risk Accepted"),LEFT(Q270,6)="Breach"),ROW(),"")</f>
        <v/>
      </c>
    </row>
    <row r="271" customFormat="false" ht="15" hidden="false" customHeight="false" outlineLevel="0" collapsed="false">
      <c r="A271" s="56" t="s">
        <v>2427</v>
      </c>
      <c r="B271" s="63"/>
      <c r="C271" s="61"/>
      <c r="D271" s="61"/>
      <c r="E271" s="60"/>
      <c r="F271" s="61"/>
      <c r="G271" s="61"/>
      <c r="H271" s="61"/>
      <c r="I271" s="61"/>
      <c r="J271" s="60"/>
      <c r="K271" s="61"/>
      <c r="L271" s="61"/>
      <c r="M271" s="61"/>
      <c r="N271" s="60"/>
      <c r="O271" s="60"/>
      <c r="P271" s="60"/>
      <c r="Q271" s="61"/>
      <c r="R271" s="61"/>
      <c r="S271" s="87" t="str">
        <f aca="false">IF(OR(B271="",L271=""),"",INDEX(Lists!$AD$4:$AD$8,MATCH(L271,Lists!$AC$4:$AC$8,0)))</f>
        <v/>
      </c>
      <c r="T271" s="95" t="str">
        <f aca="false">IF(OR(S271="",ISERROR(S271)),"",B271+S271)</f>
        <v/>
      </c>
      <c r="U271" s="61"/>
      <c r="V271" s="63"/>
      <c r="W271" s="63"/>
      <c r="X271" s="60"/>
      <c r="Y271" s="62" t="str">
        <f aca="false">IF(E271="","",IF(AND(B271&lt;&gt;"",B271&gt;='Weekly Report'!$F$4,B271&lt;='Weekly Report'!$F$5),"NEW",IF(AND(W271&lt;&gt;"",W271&gt;='Weekly Report'!$F$4,W271&lt;='Weekly Report'!$F$5),"CHANGED","")))</f>
        <v/>
      </c>
      <c r="Z271" s="87" t="str">
        <f aca="true">IF(B271="","",IF(V271&lt;&gt;"",V271-B271,TODAY()-B271))</f>
        <v/>
      </c>
      <c r="AA271" s="62" t="str">
        <f aca="true">IF(OR(B271="",T271="",U271="False Positive",U271="Risk Accepted"),"",IF(V271&lt;&gt;"",IF(V271&gt;T271,"Closed Late","Met"),IF(TODAY()&gt;T271,"SLA BREACH",IF(T271-TODAY()&lt;=7,"Due ≤7d","Within SLA"))))</f>
        <v/>
      </c>
      <c r="AB271" s="61"/>
      <c r="AC271" s="61"/>
      <c r="AD271" s="60"/>
      <c r="AE271" s="88" t="str">
        <f aca="false">IF(Y271&lt;&gt;"",ROW(),"")</f>
        <v/>
      </c>
      <c r="AF271" s="88" t="str">
        <f aca="false">IF(AND(AND(E271&lt;&gt;"",U271&lt;&gt;"Remediated",U271&lt;&gt;"False Positive",U271&lt;&gt;"Risk Accepted"),T271&lt;&gt;"",T271&lt;='Weekly Report'!$F$7),ROW(),"")</f>
        <v/>
      </c>
      <c r="AG271" s="88" t="str">
        <f aca="false">IF(AND(AND(E271&lt;&gt;"",U271&lt;&gt;"Remediated",U271&lt;&gt;"False Positive",U271&lt;&gt;"Risk Accepted"),LEFT(Q271,6)="Breach"),ROW(),"")</f>
        <v/>
      </c>
    </row>
    <row r="272" customFormat="false" ht="15" hidden="false" customHeight="false" outlineLevel="0" collapsed="false">
      <c r="A272" s="56" t="s">
        <v>2428</v>
      </c>
      <c r="B272" s="63"/>
      <c r="C272" s="61"/>
      <c r="D272" s="61"/>
      <c r="E272" s="60"/>
      <c r="F272" s="61"/>
      <c r="G272" s="61"/>
      <c r="H272" s="61"/>
      <c r="I272" s="61"/>
      <c r="J272" s="60"/>
      <c r="K272" s="61"/>
      <c r="L272" s="61"/>
      <c r="M272" s="61"/>
      <c r="N272" s="60"/>
      <c r="O272" s="60"/>
      <c r="P272" s="60"/>
      <c r="Q272" s="61"/>
      <c r="R272" s="61"/>
      <c r="S272" s="87" t="str">
        <f aca="false">IF(OR(B272="",L272=""),"",INDEX(Lists!$AD$4:$AD$8,MATCH(L272,Lists!$AC$4:$AC$8,0)))</f>
        <v/>
      </c>
      <c r="T272" s="95" t="str">
        <f aca="false">IF(OR(S272="",ISERROR(S272)),"",B272+S272)</f>
        <v/>
      </c>
      <c r="U272" s="61"/>
      <c r="V272" s="63"/>
      <c r="W272" s="63"/>
      <c r="X272" s="60"/>
      <c r="Y272" s="62" t="str">
        <f aca="false">IF(E272="","",IF(AND(B272&lt;&gt;"",B272&gt;='Weekly Report'!$F$4,B272&lt;='Weekly Report'!$F$5),"NEW",IF(AND(W272&lt;&gt;"",W272&gt;='Weekly Report'!$F$4,W272&lt;='Weekly Report'!$F$5),"CHANGED","")))</f>
        <v/>
      </c>
      <c r="Z272" s="87" t="str">
        <f aca="true">IF(B272="","",IF(V272&lt;&gt;"",V272-B272,TODAY()-B272))</f>
        <v/>
      </c>
      <c r="AA272" s="62" t="str">
        <f aca="true">IF(OR(B272="",T272="",U272="False Positive",U272="Risk Accepted"),"",IF(V272&lt;&gt;"",IF(V272&gt;T272,"Closed Late","Met"),IF(TODAY()&gt;T272,"SLA BREACH",IF(T272-TODAY()&lt;=7,"Due ≤7d","Within SLA"))))</f>
        <v/>
      </c>
      <c r="AB272" s="61"/>
      <c r="AC272" s="61"/>
      <c r="AD272" s="60"/>
      <c r="AE272" s="88" t="str">
        <f aca="false">IF(Y272&lt;&gt;"",ROW(),"")</f>
        <v/>
      </c>
      <c r="AF272" s="88" t="str">
        <f aca="false">IF(AND(AND(E272&lt;&gt;"",U272&lt;&gt;"Remediated",U272&lt;&gt;"False Positive",U272&lt;&gt;"Risk Accepted"),T272&lt;&gt;"",T272&lt;='Weekly Report'!$F$7),ROW(),"")</f>
        <v/>
      </c>
      <c r="AG272" s="88" t="str">
        <f aca="false">IF(AND(AND(E272&lt;&gt;"",U272&lt;&gt;"Remediated",U272&lt;&gt;"False Positive",U272&lt;&gt;"Risk Accepted"),LEFT(Q272,6)="Breach"),ROW(),"")</f>
        <v/>
      </c>
    </row>
    <row r="273" customFormat="false" ht="15" hidden="false" customHeight="false" outlineLevel="0" collapsed="false">
      <c r="A273" s="56" t="s">
        <v>2429</v>
      </c>
      <c r="B273" s="63"/>
      <c r="C273" s="61"/>
      <c r="D273" s="61"/>
      <c r="E273" s="60"/>
      <c r="F273" s="61"/>
      <c r="G273" s="61"/>
      <c r="H273" s="61"/>
      <c r="I273" s="61"/>
      <c r="J273" s="60"/>
      <c r="K273" s="61"/>
      <c r="L273" s="61"/>
      <c r="M273" s="61"/>
      <c r="N273" s="60"/>
      <c r="O273" s="60"/>
      <c r="P273" s="60"/>
      <c r="Q273" s="61"/>
      <c r="R273" s="61"/>
      <c r="S273" s="87" t="str">
        <f aca="false">IF(OR(B273="",L273=""),"",INDEX(Lists!$AD$4:$AD$8,MATCH(L273,Lists!$AC$4:$AC$8,0)))</f>
        <v/>
      </c>
      <c r="T273" s="95" t="str">
        <f aca="false">IF(OR(S273="",ISERROR(S273)),"",B273+S273)</f>
        <v/>
      </c>
      <c r="U273" s="61"/>
      <c r="V273" s="63"/>
      <c r="W273" s="63"/>
      <c r="X273" s="60"/>
      <c r="Y273" s="62" t="str">
        <f aca="false">IF(E273="","",IF(AND(B273&lt;&gt;"",B273&gt;='Weekly Report'!$F$4,B273&lt;='Weekly Report'!$F$5),"NEW",IF(AND(W273&lt;&gt;"",W273&gt;='Weekly Report'!$F$4,W273&lt;='Weekly Report'!$F$5),"CHANGED","")))</f>
        <v/>
      </c>
      <c r="Z273" s="87" t="str">
        <f aca="true">IF(B273="","",IF(V273&lt;&gt;"",V273-B273,TODAY()-B273))</f>
        <v/>
      </c>
      <c r="AA273" s="62" t="str">
        <f aca="true">IF(OR(B273="",T273="",U273="False Positive",U273="Risk Accepted"),"",IF(V273&lt;&gt;"",IF(V273&gt;T273,"Closed Late","Met"),IF(TODAY()&gt;T273,"SLA BREACH",IF(T273-TODAY()&lt;=7,"Due ≤7d","Within SLA"))))</f>
        <v/>
      </c>
      <c r="AB273" s="61"/>
      <c r="AC273" s="61"/>
      <c r="AD273" s="60"/>
      <c r="AE273" s="88" t="str">
        <f aca="false">IF(Y273&lt;&gt;"",ROW(),"")</f>
        <v/>
      </c>
      <c r="AF273" s="88" t="str">
        <f aca="false">IF(AND(AND(E273&lt;&gt;"",U273&lt;&gt;"Remediated",U273&lt;&gt;"False Positive",U273&lt;&gt;"Risk Accepted"),T273&lt;&gt;"",T273&lt;='Weekly Report'!$F$7),ROW(),"")</f>
        <v/>
      </c>
      <c r="AG273" s="88" t="str">
        <f aca="false">IF(AND(AND(E273&lt;&gt;"",U273&lt;&gt;"Remediated",U273&lt;&gt;"False Positive",U273&lt;&gt;"Risk Accepted"),LEFT(Q273,6)="Breach"),ROW(),"")</f>
        <v/>
      </c>
    </row>
    <row r="274" customFormat="false" ht="15" hidden="false" customHeight="false" outlineLevel="0" collapsed="false">
      <c r="A274" s="56" t="s">
        <v>2430</v>
      </c>
      <c r="B274" s="63"/>
      <c r="C274" s="61"/>
      <c r="D274" s="61"/>
      <c r="E274" s="60"/>
      <c r="F274" s="61"/>
      <c r="G274" s="61"/>
      <c r="H274" s="61"/>
      <c r="I274" s="61"/>
      <c r="J274" s="60"/>
      <c r="K274" s="61"/>
      <c r="L274" s="61"/>
      <c r="M274" s="61"/>
      <c r="N274" s="60"/>
      <c r="O274" s="60"/>
      <c r="P274" s="60"/>
      <c r="Q274" s="61"/>
      <c r="R274" s="61"/>
      <c r="S274" s="87" t="str">
        <f aca="false">IF(OR(B274="",L274=""),"",INDEX(Lists!$AD$4:$AD$8,MATCH(L274,Lists!$AC$4:$AC$8,0)))</f>
        <v/>
      </c>
      <c r="T274" s="95" t="str">
        <f aca="false">IF(OR(S274="",ISERROR(S274)),"",B274+S274)</f>
        <v/>
      </c>
      <c r="U274" s="61"/>
      <c r="V274" s="63"/>
      <c r="W274" s="63"/>
      <c r="X274" s="60"/>
      <c r="Y274" s="62" t="str">
        <f aca="false">IF(E274="","",IF(AND(B274&lt;&gt;"",B274&gt;='Weekly Report'!$F$4,B274&lt;='Weekly Report'!$F$5),"NEW",IF(AND(W274&lt;&gt;"",W274&gt;='Weekly Report'!$F$4,W274&lt;='Weekly Report'!$F$5),"CHANGED","")))</f>
        <v/>
      </c>
      <c r="Z274" s="87" t="str">
        <f aca="true">IF(B274="","",IF(V274&lt;&gt;"",V274-B274,TODAY()-B274))</f>
        <v/>
      </c>
      <c r="AA274" s="62" t="str">
        <f aca="true">IF(OR(B274="",T274="",U274="False Positive",U274="Risk Accepted"),"",IF(V274&lt;&gt;"",IF(V274&gt;T274,"Closed Late","Met"),IF(TODAY()&gt;T274,"SLA BREACH",IF(T274-TODAY()&lt;=7,"Due ≤7d","Within SLA"))))</f>
        <v/>
      </c>
      <c r="AB274" s="61"/>
      <c r="AC274" s="61"/>
      <c r="AD274" s="60"/>
      <c r="AE274" s="88" t="str">
        <f aca="false">IF(Y274&lt;&gt;"",ROW(),"")</f>
        <v/>
      </c>
      <c r="AF274" s="88" t="str">
        <f aca="false">IF(AND(AND(E274&lt;&gt;"",U274&lt;&gt;"Remediated",U274&lt;&gt;"False Positive",U274&lt;&gt;"Risk Accepted"),T274&lt;&gt;"",T274&lt;='Weekly Report'!$F$7),ROW(),"")</f>
        <v/>
      </c>
      <c r="AG274" s="88" t="str">
        <f aca="false">IF(AND(AND(E274&lt;&gt;"",U274&lt;&gt;"Remediated",U274&lt;&gt;"False Positive",U274&lt;&gt;"Risk Accepted"),LEFT(Q274,6)="Breach"),ROW(),"")</f>
        <v/>
      </c>
    </row>
    <row r="275" customFormat="false" ht="15" hidden="false" customHeight="false" outlineLevel="0" collapsed="false">
      <c r="A275" s="56" t="s">
        <v>2431</v>
      </c>
      <c r="B275" s="63"/>
      <c r="C275" s="61"/>
      <c r="D275" s="61"/>
      <c r="E275" s="60"/>
      <c r="F275" s="61"/>
      <c r="G275" s="61"/>
      <c r="H275" s="61"/>
      <c r="I275" s="61"/>
      <c r="J275" s="60"/>
      <c r="K275" s="61"/>
      <c r="L275" s="61"/>
      <c r="M275" s="61"/>
      <c r="N275" s="60"/>
      <c r="O275" s="60"/>
      <c r="P275" s="60"/>
      <c r="Q275" s="61"/>
      <c r="R275" s="61"/>
      <c r="S275" s="87" t="str">
        <f aca="false">IF(OR(B275="",L275=""),"",INDEX(Lists!$AD$4:$AD$8,MATCH(L275,Lists!$AC$4:$AC$8,0)))</f>
        <v/>
      </c>
      <c r="T275" s="95" t="str">
        <f aca="false">IF(OR(S275="",ISERROR(S275)),"",B275+S275)</f>
        <v/>
      </c>
      <c r="U275" s="61"/>
      <c r="V275" s="63"/>
      <c r="W275" s="63"/>
      <c r="X275" s="60"/>
      <c r="Y275" s="62" t="str">
        <f aca="false">IF(E275="","",IF(AND(B275&lt;&gt;"",B275&gt;='Weekly Report'!$F$4,B275&lt;='Weekly Report'!$F$5),"NEW",IF(AND(W275&lt;&gt;"",W275&gt;='Weekly Report'!$F$4,W275&lt;='Weekly Report'!$F$5),"CHANGED","")))</f>
        <v/>
      </c>
      <c r="Z275" s="87" t="str">
        <f aca="true">IF(B275="","",IF(V275&lt;&gt;"",V275-B275,TODAY()-B275))</f>
        <v/>
      </c>
      <c r="AA275" s="62" t="str">
        <f aca="true">IF(OR(B275="",T275="",U275="False Positive",U275="Risk Accepted"),"",IF(V275&lt;&gt;"",IF(V275&gt;T275,"Closed Late","Met"),IF(TODAY()&gt;T275,"SLA BREACH",IF(T275-TODAY()&lt;=7,"Due ≤7d","Within SLA"))))</f>
        <v/>
      </c>
      <c r="AB275" s="61"/>
      <c r="AC275" s="61"/>
      <c r="AD275" s="60"/>
      <c r="AE275" s="88" t="str">
        <f aca="false">IF(Y275&lt;&gt;"",ROW(),"")</f>
        <v/>
      </c>
      <c r="AF275" s="88" t="str">
        <f aca="false">IF(AND(AND(E275&lt;&gt;"",U275&lt;&gt;"Remediated",U275&lt;&gt;"False Positive",U275&lt;&gt;"Risk Accepted"),T275&lt;&gt;"",T275&lt;='Weekly Report'!$F$7),ROW(),"")</f>
        <v/>
      </c>
      <c r="AG275" s="88" t="str">
        <f aca="false">IF(AND(AND(E275&lt;&gt;"",U275&lt;&gt;"Remediated",U275&lt;&gt;"False Positive",U275&lt;&gt;"Risk Accepted"),LEFT(Q275,6)="Breach"),ROW(),"")</f>
        <v/>
      </c>
    </row>
    <row r="276" customFormat="false" ht="15" hidden="false" customHeight="false" outlineLevel="0" collapsed="false">
      <c r="A276" s="56" t="s">
        <v>2432</v>
      </c>
      <c r="B276" s="63"/>
      <c r="C276" s="61"/>
      <c r="D276" s="61"/>
      <c r="E276" s="60"/>
      <c r="F276" s="61"/>
      <c r="G276" s="61"/>
      <c r="H276" s="61"/>
      <c r="I276" s="61"/>
      <c r="J276" s="60"/>
      <c r="K276" s="61"/>
      <c r="L276" s="61"/>
      <c r="M276" s="61"/>
      <c r="N276" s="60"/>
      <c r="O276" s="60"/>
      <c r="P276" s="60"/>
      <c r="Q276" s="61"/>
      <c r="R276" s="61"/>
      <c r="S276" s="87" t="str">
        <f aca="false">IF(OR(B276="",L276=""),"",INDEX(Lists!$AD$4:$AD$8,MATCH(L276,Lists!$AC$4:$AC$8,0)))</f>
        <v/>
      </c>
      <c r="T276" s="95" t="str">
        <f aca="false">IF(OR(S276="",ISERROR(S276)),"",B276+S276)</f>
        <v/>
      </c>
      <c r="U276" s="61"/>
      <c r="V276" s="63"/>
      <c r="W276" s="63"/>
      <c r="X276" s="60"/>
      <c r="Y276" s="62" t="str">
        <f aca="false">IF(E276="","",IF(AND(B276&lt;&gt;"",B276&gt;='Weekly Report'!$F$4,B276&lt;='Weekly Report'!$F$5),"NEW",IF(AND(W276&lt;&gt;"",W276&gt;='Weekly Report'!$F$4,W276&lt;='Weekly Report'!$F$5),"CHANGED","")))</f>
        <v/>
      </c>
      <c r="Z276" s="87" t="str">
        <f aca="true">IF(B276="","",IF(V276&lt;&gt;"",V276-B276,TODAY()-B276))</f>
        <v/>
      </c>
      <c r="AA276" s="62" t="str">
        <f aca="true">IF(OR(B276="",T276="",U276="False Positive",U276="Risk Accepted"),"",IF(V276&lt;&gt;"",IF(V276&gt;T276,"Closed Late","Met"),IF(TODAY()&gt;T276,"SLA BREACH",IF(T276-TODAY()&lt;=7,"Due ≤7d","Within SLA"))))</f>
        <v/>
      </c>
      <c r="AB276" s="61"/>
      <c r="AC276" s="61"/>
      <c r="AD276" s="60"/>
      <c r="AE276" s="88" t="str">
        <f aca="false">IF(Y276&lt;&gt;"",ROW(),"")</f>
        <v/>
      </c>
      <c r="AF276" s="88" t="str">
        <f aca="false">IF(AND(AND(E276&lt;&gt;"",U276&lt;&gt;"Remediated",U276&lt;&gt;"False Positive",U276&lt;&gt;"Risk Accepted"),T276&lt;&gt;"",T276&lt;='Weekly Report'!$F$7),ROW(),"")</f>
        <v/>
      </c>
      <c r="AG276" s="88" t="str">
        <f aca="false">IF(AND(AND(E276&lt;&gt;"",U276&lt;&gt;"Remediated",U276&lt;&gt;"False Positive",U276&lt;&gt;"Risk Accepted"),LEFT(Q276,6)="Breach"),ROW(),"")</f>
        <v/>
      </c>
    </row>
    <row r="277" customFormat="false" ht="15" hidden="false" customHeight="false" outlineLevel="0" collapsed="false">
      <c r="A277" s="56" t="s">
        <v>2433</v>
      </c>
      <c r="B277" s="63"/>
      <c r="C277" s="61"/>
      <c r="D277" s="61"/>
      <c r="E277" s="60"/>
      <c r="F277" s="61"/>
      <c r="G277" s="61"/>
      <c r="H277" s="61"/>
      <c r="I277" s="61"/>
      <c r="J277" s="60"/>
      <c r="K277" s="61"/>
      <c r="L277" s="61"/>
      <c r="M277" s="61"/>
      <c r="N277" s="60"/>
      <c r="O277" s="60"/>
      <c r="P277" s="60"/>
      <c r="Q277" s="61"/>
      <c r="R277" s="61"/>
      <c r="S277" s="87" t="str">
        <f aca="false">IF(OR(B277="",L277=""),"",INDEX(Lists!$AD$4:$AD$8,MATCH(L277,Lists!$AC$4:$AC$8,0)))</f>
        <v/>
      </c>
      <c r="T277" s="95" t="str">
        <f aca="false">IF(OR(S277="",ISERROR(S277)),"",B277+S277)</f>
        <v/>
      </c>
      <c r="U277" s="61"/>
      <c r="V277" s="63"/>
      <c r="W277" s="63"/>
      <c r="X277" s="60"/>
      <c r="Y277" s="62" t="str">
        <f aca="false">IF(E277="","",IF(AND(B277&lt;&gt;"",B277&gt;='Weekly Report'!$F$4,B277&lt;='Weekly Report'!$F$5),"NEW",IF(AND(W277&lt;&gt;"",W277&gt;='Weekly Report'!$F$4,W277&lt;='Weekly Report'!$F$5),"CHANGED","")))</f>
        <v/>
      </c>
      <c r="Z277" s="87" t="str">
        <f aca="true">IF(B277="","",IF(V277&lt;&gt;"",V277-B277,TODAY()-B277))</f>
        <v/>
      </c>
      <c r="AA277" s="62" t="str">
        <f aca="true">IF(OR(B277="",T277="",U277="False Positive",U277="Risk Accepted"),"",IF(V277&lt;&gt;"",IF(V277&gt;T277,"Closed Late","Met"),IF(TODAY()&gt;T277,"SLA BREACH",IF(T277-TODAY()&lt;=7,"Due ≤7d","Within SLA"))))</f>
        <v/>
      </c>
      <c r="AB277" s="61"/>
      <c r="AC277" s="61"/>
      <c r="AD277" s="60"/>
      <c r="AE277" s="88" t="str">
        <f aca="false">IF(Y277&lt;&gt;"",ROW(),"")</f>
        <v/>
      </c>
      <c r="AF277" s="88" t="str">
        <f aca="false">IF(AND(AND(E277&lt;&gt;"",U277&lt;&gt;"Remediated",U277&lt;&gt;"False Positive",U277&lt;&gt;"Risk Accepted"),T277&lt;&gt;"",T277&lt;='Weekly Report'!$F$7),ROW(),"")</f>
        <v/>
      </c>
      <c r="AG277" s="88" t="str">
        <f aca="false">IF(AND(AND(E277&lt;&gt;"",U277&lt;&gt;"Remediated",U277&lt;&gt;"False Positive",U277&lt;&gt;"Risk Accepted"),LEFT(Q277,6)="Breach"),ROW(),"")</f>
        <v/>
      </c>
    </row>
    <row r="278" customFormat="false" ht="15" hidden="false" customHeight="false" outlineLevel="0" collapsed="false">
      <c r="A278" s="56" t="s">
        <v>2434</v>
      </c>
      <c r="B278" s="63"/>
      <c r="C278" s="61"/>
      <c r="D278" s="61"/>
      <c r="E278" s="60"/>
      <c r="F278" s="61"/>
      <c r="G278" s="61"/>
      <c r="H278" s="61"/>
      <c r="I278" s="61"/>
      <c r="J278" s="60"/>
      <c r="K278" s="61"/>
      <c r="L278" s="61"/>
      <c r="M278" s="61"/>
      <c r="N278" s="60"/>
      <c r="O278" s="60"/>
      <c r="P278" s="60"/>
      <c r="Q278" s="61"/>
      <c r="R278" s="61"/>
      <c r="S278" s="87" t="str">
        <f aca="false">IF(OR(B278="",L278=""),"",INDEX(Lists!$AD$4:$AD$8,MATCH(L278,Lists!$AC$4:$AC$8,0)))</f>
        <v/>
      </c>
      <c r="T278" s="95" t="str">
        <f aca="false">IF(OR(S278="",ISERROR(S278)),"",B278+S278)</f>
        <v/>
      </c>
      <c r="U278" s="61"/>
      <c r="V278" s="63"/>
      <c r="W278" s="63"/>
      <c r="X278" s="60"/>
      <c r="Y278" s="62" t="str">
        <f aca="false">IF(E278="","",IF(AND(B278&lt;&gt;"",B278&gt;='Weekly Report'!$F$4,B278&lt;='Weekly Report'!$F$5),"NEW",IF(AND(W278&lt;&gt;"",W278&gt;='Weekly Report'!$F$4,W278&lt;='Weekly Report'!$F$5),"CHANGED","")))</f>
        <v/>
      </c>
      <c r="Z278" s="87" t="str">
        <f aca="true">IF(B278="","",IF(V278&lt;&gt;"",V278-B278,TODAY()-B278))</f>
        <v/>
      </c>
      <c r="AA278" s="62" t="str">
        <f aca="true">IF(OR(B278="",T278="",U278="False Positive",U278="Risk Accepted"),"",IF(V278&lt;&gt;"",IF(V278&gt;T278,"Closed Late","Met"),IF(TODAY()&gt;T278,"SLA BREACH",IF(T278-TODAY()&lt;=7,"Due ≤7d","Within SLA"))))</f>
        <v/>
      </c>
      <c r="AB278" s="61"/>
      <c r="AC278" s="61"/>
      <c r="AD278" s="60"/>
      <c r="AE278" s="88" t="str">
        <f aca="false">IF(Y278&lt;&gt;"",ROW(),"")</f>
        <v/>
      </c>
      <c r="AF278" s="88" t="str">
        <f aca="false">IF(AND(AND(E278&lt;&gt;"",U278&lt;&gt;"Remediated",U278&lt;&gt;"False Positive",U278&lt;&gt;"Risk Accepted"),T278&lt;&gt;"",T278&lt;='Weekly Report'!$F$7),ROW(),"")</f>
        <v/>
      </c>
      <c r="AG278" s="88" t="str">
        <f aca="false">IF(AND(AND(E278&lt;&gt;"",U278&lt;&gt;"Remediated",U278&lt;&gt;"False Positive",U278&lt;&gt;"Risk Accepted"),LEFT(Q278,6)="Breach"),ROW(),"")</f>
        <v/>
      </c>
    </row>
    <row r="279" customFormat="false" ht="15" hidden="false" customHeight="false" outlineLevel="0" collapsed="false">
      <c r="A279" s="56" t="s">
        <v>2435</v>
      </c>
      <c r="B279" s="63"/>
      <c r="C279" s="61"/>
      <c r="D279" s="61"/>
      <c r="E279" s="60"/>
      <c r="F279" s="61"/>
      <c r="G279" s="61"/>
      <c r="H279" s="61"/>
      <c r="I279" s="61"/>
      <c r="J279" s="60"/>
      <c r="K279" s="61"/>
      <c r="L279" s="61"/>
      <c r="M279" s="61"/>
      <c r="N279" s="60"/>
      <c r="O279" s="60"/>
      <c r="P279" s="60"/>
      <c r="Q279" s="61"/>
      <c r="R279" s="61"/>
      <c r="S279" s="87" t="str">
        <f aca="false">IF(OR(B279="",L279=""),"",INDEX(Lists!$AD$4:$AD$8,MATCH(L279,Lists!$AC$4:$AC$8,0)))</f>
        <v/>
      </c>
      <c r="T279" s="95" t="str">
        <f aca="false">IF(OR(S279="",ISERROR(S279)),"",B279+S279)</f>
        <v/>
      </c>
      <c r="U279" s="61"/>
      <c r="V279" s="63"/>
      <c r="W279" s="63"/>
      <c r="X279" s="60"/>
      <c r="Y279" s="62" t="str">
        <f aca="false">IF(E279="","",IF(AND(B279&lt;&gt;"",B279&gt;='Weekly Report'!$F$4,B279&lt;='Weekly Report'!$F$5),"NEW",IF(AND(W279&lt;&gt;"",W279&gt;='Weekly Report'!$F$4,W279&lt;='Weekly Report'!$F$5),"CHANGED","")))</f>
        <v/>
      </c>
      <c r="Z279" s="87" t="str">
        <f aca="true">IF(B279="","",IF(V279&lt;&gt;"",V279-B279,TODAY()-B279))</f>
        <v/>
      </c>
      <c r="AA279" s="62" t="str">
        <f aca="true">IF(OR(B279="",T279="",U279="False Positive",U279="Risk Accepted"),"",IF(V279&lt;&gt;"",IF(V279&gt;T279,"Closed Late","Met"),IF(TODAY()&gt;T279,"SLA BREACH",IF(T279-TODAY()&lt;=7,"Due ≤7d","Within SLA"))))</f>
        <v/>
      </c>
      <c r="AB279" s="61"/>
      <c r="AC279" s="61"/>
      <c r="AD279" s="60"/>
      <c r="AE279" s="88" t="str">
        <f aca="false">IF(Y279&lt;&gt;"",ROW(),"")</f>
        <v/>
      </c>
      <c r="AF279" s="88" t="str">
        <f aca="false">IF(AND(AND(E279&lt;&gt;"",U279&lt;&gt;"Remediated",U279&lt;&gt;"False Positive",U279&lt;&gt;"Risk Accepted"),T279&lt;&gt;"",T279&lt;='Weekly Report'!$F$7),ROW(),"")</f>
        <v/>
      </c>
      <c r="AG279" s="88" t="str">
        <f aca="false">IF(AND(AND(E279&lt;&gt;"",U279&lt;&gt;"Remediated",U279&lt;&gt;"False Positive",U279&lt;&gt;"Risk Accepted"),LEFT(Q279,6)="Breach"),ROW(),"")</f>
        <v/>
      </c>
    </row>
    <row r="280" customFormat="false" ht="15" hidden="false" customHeight="false" outlineLevel="0" collapsed="false">
      <c r="A280" s="56" t="s">
        <v>2436</v>
      </c>
      <c r="B280" s="63"/>
      <c r="C280" s="61"/>
      <c r="D280" s="61"/>
      <c r="E280" s="60"/>
      <c r="F280" s="61"/>
      <c r="G280" s="61"/>
      <c r="H280" s="61"/>
      <c r="I280" s="61"/>
      <c r="J280" s="60"/>
      <c r="K280" s="61"/>
      <c r="L280" s="61"/>
      <c r="M280" s="61"/>
      <c r="N280" s="60"/>
      <c r="O280" s="60"/>
      <c r="P280" s="60"/>
      <c r="Q280" s="61"/>
      <c r="R280" s="61"/>
      <c r="S280" s="87" t="str">
        <f aca="false">IF(OR(B280="",L280=""),"",INDEX(Lists!$AD$4:$AD$8,MATCH(L280,Lists!$AC$4:$AC$8,0)))</f>
        <v/>
      </c>
      <c r="T280" s="95" t="str">
        <f aca="false">IF(OR(S280="",ISERROR(S280)),"",B280+S280)</f>
        <v/>
      </c>
      <c r="U280" s="61"/>
      <c r="V280" s="63"/>
      <c r="W280" s="63"/>
      <c r="X280" s="60"/>
      <c r="Y280" s="62" t="str">
        <f aca="false">IF(E280="","",IF(AND(B280&lt;&gt;"",B280&gt;='Weekly Report'!$F$4,B280&lt;='Weekly Report'!$F$5),"NEW",IF(AND(W280&lt;&gt;"",W280&gt;='Weekly Report'!$F$4,W280&lt;='Weekly Report'!$F$5),"CHANGED","")))</f>
        <v/>
      </c>
      <c r="Z280" s="87" t="str">
        <f aca="true">IF(B280="","",IF(V280&lt;&gt;"",V280-B280,TODAY()-B280))</f>
        <v/>
      </c>
      <c r="AA280" s="62" t="str">
        <f aca="true">IF(OR(B280="",T280="",U280="False Positive",U280="Risk Accepted"),"",IF(V280&lt;&gt;"",IF(V280&gt;T280,"Closed Late","Met"),IF(TODAY()&gt;T280,"SLA BREACH",IF(T280-TODAY()&lt;=7,"Due ≤7d","Within SLA"))))</f>
        <v/>
      </c>
      <c r="AB280" s="61"/>
      <c r="AC280" s="61"/>
      <c r="AD280" s="60"/>
      <c r="AE280" s="88" t="str">
        <f aca="false">IF(Y280&lt;&gt;"",ROW(),"")</f>
        <v/>
      </c>
      <c r="AF280" s="88" t="str">
        <f aca="false">IF(AND(AND(E280&lt;&gt;"",U280&lt;&gt;"Remediated",U280&lt;&gt;"False Positive",U280&lt;&gt;"Risk Accepted"),T280&lt;&gt;"",T280&lt;='Weekly Report'!$F$7),ROW(),"")</f>
        <v/>
      </c>
      <c r="AG280" s="88" t="str">
        <f aca="false">IF(AND(AND(E280&lt;&gt;"",U280&lt;&gt;"Remediated",U280&lt;&gt;"False Positive",U280&lt;&gt;"Risk Accepted"),LEFT(Q280,6)="Breach"),ROW(),"")</f>
        <v/>
      </c>
    </row>
    <row r="281" customFormat="false" ht="15" hidden="false" customHeight="false" outlineLevel="0" collapsed="false">
      <c r="A281" s="56" t="s">
        <v>2437</v>
      </c>
      <c r="B281" s="63"/>
      <c r="C281" s="61"/>
      <c r="D281" s="61"/>
      <c r="E281" s="60"/>
      <c r="F281" s="61"/>
      <c r="G281" s="61"/>
      <c r="H281" s="61"/>
      <c r="I281" s="61"/>
      <c r="J281" s="60"/>
      <c r="K281" s="61"/>
      <c r="L281" s="61"/>
      <c r="M281" s="61"/>
      <c r="N281" s="60"/>
      <c r="O281" s="60"/>
      <c r="P281" s="60"/>
      <c r="Q281" s="61"/>
      <c r="R281" s="61"/>
      <c r="S281" s="87" t="str">
        <f aca="false">IF(OR(B281="",L281=""),"",INDEX(Lists!$AD$4:$AD$8,MATCH(L281,Lists!$AC$4:$AC$8,0)))</f>
        <v/>
      </c>
      <c r="T281" s="95" t="str">
        <f aca="false">IF(OR(S281="",ISERROR(S281)),"",B281+S281)</f>
        <v/>
      </c>
      <c r="U281" s="61"/>
      <c r="V281" s="63"/>
      <c r="W281" s="63"/>
      <c r="X281" s="60"/>
      <c r="Y281" s="62" t="str">
        <f aca="false">IF(E281="","",IF(AND(B281&lt;&gt;"",B281&gt;='Weekly Report'!$F$4,B281&lt;='Weekly Report'!$F$5),"NEW",IF(AND(W281&lt;&gt;"",W281&gt;='Weekly Report'!$F$4,W281&lt;='Weekly Report'!$F$5),"CHANGED","")))</f>
        <v/>
      </c>
      <c r="Z281" s="87" t="str">
        <f aca="true">IF(B281="","",IF(V281&lt;&gt;"",V281-B281,TODAY()-B281))</f>
        <v/>
      </c>
      <c r="AA281" s="62" t="str">
        <f aca="true">IF(OR(B281="",T281="",U281="False Positive",U281="Risk Accepted"),"",IF(V281&lt;&gt;"",IF(V281&gt;T281,"Closed Late","Met"),IF(TODAY()&gt;T281,"SLA BREACH",IF(T281-TODAY()&lt;=7,"Due ≤7d","Within SLA"))))</f>
        <v/>
      </c>
      <c r="AB281" s="61"/>
      <c r="AC281" s="61"/>
      <c r="AD281" s="60"/>
      <c r="AE281" s="88" t="str">
        <f aca="false">IF(Y281&lt;&gt;"",ROW(),"")</f>
        <v/>
      </c>
      <c r="AF281" s="88" t="str">
        <f aca="false">IF(AND(AND(E281&lt;&gt;"",U281&lt;&gt;"Remediated",U281&lt;&gt;"False Positive",U281&lt;&gt;"Risk Accepted"),T281&lt;&gt;"",T281&lt;='Weekly Report'!$F$7),ROW(),"")</f>
        <v/>
      </c>
      <c r="AG281" s="88" t="str">
        <f aca="false">IF(AND(AND(E281&lt;&gt;"",U281&lt;&gt;"Remediated",U281&lt;&gt;"False Positive",U281&lt;&gt;"Risk Accepted"),LEFT(Q281,6)="Breach"),ROW(),"")</f>
        <v/>
      </c>
    </row>
    <row r="282" customFormat="false" ht="15" hidden="false" customHeight="false" outlineLevel="0" collapsed="false">
      <c r="A282" s="56" t="s">
        <v>2438</v>
      </c>
      <c r="B282" s="63"/>
      <c r="C282" s="61"/>
      <c r="D282" s="61"/>
      <c r="E282" s="60"/>
      <c r="F282" s="61"/>
      <c r="G282" s="61"/>
      <c r="H282" s="61"/>
      <c r="I282" s="61"/>
      <c r="J282" s="60"/>
      <c r="K282" s="61"/>
      <c r="L282" s="61"/>
      <c r="M282" s="61"/>
      <c r="N282" s="60"/>
      <c r="O282" s="60"/>
      <c r="P282" s="60"/>
      <c r="Q282" s="61"/>
      <c r="R282" s="61"/>
      <c r="S282" s="87" t="str">
        <f aca="false">IF(OR(B282="",L282=""),"",INDEX(Lists!$AD$4:$AD$8,MATCH(L282,Lists!$AC$4:$AC$8,0)))</f>
        <v/>
      </c>
      <c r="T282" s="95" t="str">
        <f aca="false">IF(OR(S282="",ISERROR(S282)),"",B282+S282)</f>
        <v/>
      </c>
      <c r="U282" s="61"/>
      <c r="V282" s="63"/>
      <c r="W282" s="63"/>
      <c r="X282" s="60"/>
      <c r="Y282" s="62" t="str">
        <f aca="false">IF(E282="","",IF(AND(B282&lt;&gt;"",B282&gt;='Weekly Report'!$F$4,B282&lt;='Weekly Report'!$F$5),"NEW",IF(AND(W282&lt;&gt;"",W282&gt;='Weekly Report'!$F$4,W282&lt;='Weekly Report'!$F$5),"CHANGED","")))</f>
        <v/>
      </c>
      <c r="Z282" s="87" t="str">
        <f aca="true">IF(B282="","",IF(V282&lt;&gt;"",V282-B282,TODAY()-B282))</f>
        <v/>
      </c>
      <c r="AA282" s="62" t="str">
        <f aca="true">IF(OR(B282="",T282="",U282="False Positive",U282="Risk Accepted"),"",IF(V282&lt;&gt;"",IF(V282&gt;T282,"Closed Late","Met"),IF(TODAY()&gt;T282,"SLA BREACH",IF(T282-TODAY()&lt;=7,"Due ≤7d","Within SLA"))))</f>
        <v/>
      </c>
      <c r="AB282" s="61"/>
      <c r="AC282" s="61"/>
      <c r="AD282" s="60"/>
      <c r="AE282" s="88" t="str">
        <f aca="false">IF(Y282&lt;&gt;"",ROW(),"")</f>
        <v/>
      </c>
      <c r="AF282" s="88" t="str">
        <f aca="false">IF(AND(AND(E282&lt;&gt;"",U282&lt;&gt;"Remediated",U282&lt;&gt;"False Positive",U282&lt;&gt;"Risk Accepted"),T282&lt;&gt;"",T282&lt;='Weekly Report'!$F$7),ROW(),"")</f>
        <v/>
      </c>
      <c r="AG282" s="88" t="str">
        <f aca="false">IF(AND(AND(E282&lt;&gt;"",U282&lt;&gt;"Remediated",U282&lt;&gt;"False Positive",U282&lt;&gt;"Risk Accepted"),LEFT(Q282,6)="Breach"),ROW(),"")</f>
        <v/>
      </c>
    </row>
    <row r="283" customFormat="false" ht="15" hidden="false" customHeight="false" outlineLevel="0" collapsed="false">
      <c r="A283" s="56" t="s">
        <v>2439</v>
      </c>
      <c r="B283" s="63"/>
      <c r="C283" s="61"/>
      <c r="D283" s="61"/>
      <c r="E283" s="60"/>
      <c r="F283" s="61"/>
      <c r="G283" s="61"/>
      <c r="H283" s="61"/>
      <c r="I283" s="61"/>
      <c r="J283" s="60"/>
      <c r="K283" s="61"/>
      <c r="L283" s="61"/>
      <c r="M283" s="61"/>
      <c r="N283" s="60"/>
      <c r="O283" s="60"/>
      <c r="P283" s="60"/>
      <c r="Q283" s="61"/>
      <c r="R283" s="61"/>
      <c r="S283" s="87" t="str">
        <f aca="false">IF(OR(B283="",L283=""),"",INDEX(Lists!$AD$4:$AD$8,MATCH(L283,Lists!$AC$4:$AC$8,0)))</f>
        <v/>
      </c>
      <c r="T283" s="95" t="str">
        <f aca="false">IF(OR(S283="",ISERROR(S283)),"",B283+S283)</f>
        <v/>
      </c>
      <c r="U283" s="61"/>
      <c r="V283" s="63"/>
      <c r="W283" s="63"/>
      <c r="X283" s="60"/>
      <c r="Y283" s="62" t="str">
        <f aca="false">IF(E283="","",IF(AND(B283&lt;&gt;"",B283&gt;='Weekly Report'!$F$4,B283&lt;='Weekly Report'!$F$5),"NEW",IF(AND(W283&lt;&gt;"",W283&gt;='Weekly Report'!$F$4,W283&lt;='Weekly Report'!$F$5),"CHANGED","")))</f>
        <v/>
      </c>
      <c r="Z283" s="87" t="str">
        <f aca="true">IF(B283="","",IF(V283&lt;&gt;"",V283-B283,TODAY()-B283))</f>
        <v/>
      </c>
      <c r="AA283" s="62" t="str">
        <f aca="true">IF(OR(B283="",T283="",U283="False Positive",U283="Risk Accepted"),"",IF(V283&lt;&gt;"",IF(V283&gt;T283,"Closed Late","Met"),IF(TODAY()&gt;T283,"SLA BREACH",IF(T283-TODAY()&lt;=7,"Due ≤7d","Within SLA"))))</f>
        <v/>
      </c>
      <c r="AB283" s="61"/>
      <c r="AC283" s="61"/>
      <c r="AD283" s="60"/>
      <c r="AE283" s="88" t="str">
        <f aca="false">IF(Y283&lt;&gt;"",ROW(),"")</f>
        <v/>
      </c>
      <c r="AF283" s="88" t="str">
        <f aca="false">IF(AND(AND(E283&lt;&gt;"",U283&lt;&gt;"Remediated",U283&lt;&gt;"False Positive",U283&lt;&gt;"Risk Accepted"),T283&lt;&gt;"",T283&lt;='Weekly Report'!$F$7),ROW(),"")</f>
        <v/>
      </c>
      <c r="AG283" s="88" t="str">
        <f aca="false">IF(AND(AND(E283&lt;&gt;"",U283&lt;&gt;"Remediated",U283&lt;&gt;"False Positive",U283&lt;&gt;"Risk Accepted"),LEFT(Q283,6)="Breach"),ROW(),"")</f>
        <v/>
      </c>
    </row>
    <row r="284" customFormat="false" ht="15" hidden="false" customHeight="false" outlineLevel="0" collapsed="false">
      <c r="A284" s="56" t="s">
        <v>2440</v>
      </c>
      <c r="B284" s="63"/>
      <c r="C284" s="61"/>
      <c r="D284" s="61"/>
      <c r="E284" s="60"/>
      <c r="F284" s="61"/>
      <c r="G284" s="61"/>
      <c r="H284" s="61"/>
      <c r="I284" s="61"/>
      <c r="J284" s="60"/>
      <c r="K284" s="61"/>
      <c r="L284" s="61"/>
      <c r="M284" s="61"/>
      <c r="N284" s="60"/>
      <c r="O284" s="60"/>
      <c r="P284" s="60"/>
      <c r="Q284" s="61"/>
      <c r="R284" s="61"/>
      <c r="S284" s="87" t="str">
        <f aca="false">IF(OR(B284="",L284=""),"",INDEX(Lists!$AD$4:$AD$8,MATCH(L284,Lists!$AC$4:$AC$8,0)))</f>
        <v/>
      </c>
      <c r="T284" s="95" t="str">
        <f aca="false">IF(OR(S284="",ISERROR(S284)),"",B284+S284)</f>
        <v/>
      </c>
      <c r="U284" s="61"/>
      <c r="V284" s="63"/>
      <c r="W284" s="63"/>
      <c r="X284" s="60"/>
      <c r="Y284" s="62" t="str">
        <f aca="false">IF(E284="","",IF(AND(B284&lt;&gt;"",B284&gt;='Weekly Report'!$F$4,B284&lt;='Weekly Report'!$F$5),"NEW",IF(AND(W284&lt;&gt;"",W284&gt;='Weekly Report'!$F$4,W284&lt;='Weekly Report'!$F$5),"CHANGED","")))</f>
        <v/>
      </c>
      <c r="Z284" s="87" t="str">
        <f aca="true">IF(B284="","",IF(V284&lt;&gt;"",V284-B284,TODAY()-B284))</f>
        <v/>
      </c>
      <c r="AA284" s="62" t="str">
        <f aca="true">IF(OR(B284="",T284="",U284="False Positive",U284="Risk Accepted"),"",IF(V284&lt;&gt;"",IF(V284&gt;T284,"Closed Late","Met"),IF(TODAY()&gt;T284,"SLA BREACH",IF(T284-TODAY()&lt;=7,"Due ≤7d","Within SLA"))))</f>
        <v/>
      </c>
      <c r="AB284" s="61"/>
      <c r="AC284" s="61"/>
      <c r="AD284" s="60"/>
      <c r="AE284" s="88" t="str">
        <f aca="false">IF(Y284&lt;&gt;"",ROW(),"")</f>
        <v/>
      </c>
      <c r="AF284" s="88" t="str">
        <f aca="false">IF(AND(AND(E284&lt;&gt;"",U284&lt;&gt;"Remediated",U284&lt;&gt;"False Positive",U284&lt;&gt;"Risk Accepted"),T284&lt;&gt;"",T284&lt;='Weekly Report'!$F$7),ROW(),"")</f>
        <v/>
      </c>
      <c r="AG284" s="88" t="str">
        <f aca="false">IF(AND(AND(E284&lt;&gt;"",U284&lt;&gt;"Remediated",U284&lt;&gt;"False Positive",U284&lt;&gt;"Risk Accepted"),LEFT(Q284,6)="Breach"),ROW(),"")</f>
        <v/>
      </c>
    </row>
    <row r="285" customFormat="false" ht="15" hidden="false" customHeight="false" outlineLevel="0" collapsed="false">
      <c r="A285" s="56" t="s">
        <v>2441</v>
      </c>
      <c r="B285" s="63"/>
      <c r="C285" s="61"/>
      <c r="D285" s="61"/>
      <c r="E285" s="60"/>
      <c r="F285" s="61"/>
      <c r="G285" s="61"/>
      <c r="H285" s="61"/>
      <c r="I285" s="61"/>
      <c r="J285" s="60"/>
      <c r="K285" s="61"/>
      <c r="L285" s="61"/>
      <c r="M285" s="61"/>
      <c r="N285" s="60"/>
      <c r="O285" s="60"/>
      <c r="P285" s="60"/>
      <c r="Q285" s="61"/>
      <c r="R285" s="61"/>
      <c r="S285" s="87" t="str">
        <f aca="false">IF(OR(B285="",L285=""),"",INDEX(Lists!$AD$4:$AD$8,MATCH(L285,Lists!$AC$4:$AC$8,0)))</f>
        <v/>
      </c>
      <c r="T285" s="95" t="str">
        <f aca="false">IF(OR(S285="",ISERROR(S285)),"",B285+S285)</f>
        <v/>
      </c>
      <c r="U285" s="61"/>
      <c r="V285" s="63"/>
      <c r="W285" s="63"/>
      <c r="X285" s="60"/>
      <c r="Y285" s="62" t="str">
        <f aca="false">IF(E285="","",IF(AND(B285&lt;&gt;"",B285&gt;='Weekly Report'!$F$4,B285&lt;='Weekly Report'!$F$5),"NEW",IF(AND(W285&lt;&gt;"",W285&gt;='Weekly Report'!$F$4,W285&lt;='Weekly Report'!$F$5),"CHANGED","")))</f>
        <v/>
      </c>
      <c r="Z285" s="87" t="str">
        <f aca="true">IF(B285="","",IF(V285&lt;&gt;"",V285-B285,TODAY()-B285))</f>
        <v/>
      </c>
      <c r="AA285" s="62" t="str">
        <f aca="true">IF(OR(B285="",T285="",U285="False Positive",U285="Risk Accepted"),"",IF(V285&lt;&gt;"",IF(V285&gt;T285,"Closed Late","Met"),IF(TODAY()&gt;T285,"SLA BREACH",IF(T285-TODAY()&lt;=7,"Due ≤7d","Within SLA"))))</f>
        <v/>
      </c>
      <c r="AB285" s="61"/>
      <c r="AC285" s="61"/>
      <c r="AD285" s="60"/>
      <c r="AE285" s="88" t="str">
        <f aca="false">IF(Y285&lt;&gt;"",ROW(),"")</f>
        <v/>
      </c>
      <c r="AF285" s="88" t="str">
        <f aca="false">IF(AND(AND(E285&lt;&gt;"",U285&lt;&gt;"Remediated",U285&lt;&gt;"False Positive",U285&lt;&gt;"Risk Accepted"),T285&lt;&gt;"",T285&lt;='Weekly Report'!$F$7),ROW(),"")</f>
        <v/>
      </c>
      <c r="AG285" s="88" t="str">
        <f aca="false">IF(AND(AND(E285&lt;&gt;"",U285&lt;&gt;"Remediated",U285&lt;&gt;"False Positive",U285&lt;&gt;"Risk Accepted"),LEFT(Q285,6)="Breach"),ROW(),"")</f>
        <v/>
      </c>
    </row>
    <row r="286" customFormat="false" ht="15" hidden="false" customHeight="false" outlineLevel="0" collapsed="false">
      <c r="A286" s="56" t="s">
        <v>2442</v>
      </c>
      <c r="B286" s="63"/>
      <c r="C286" s="61"/>
      <c r="D286" s="61"/>
      <c r="E286" s="60"/>
      <c r="F286" s="61"/>
      <c r="G286" s="61"/>
      <c r="H286" s="61"/>
      <c r="I286" s="61"/>
      <c r="J286" s="60"/>
      <c r="K286" s="61"/>
      <c r="L286" s="61"/>
      <c r="M286" s="61"/>
      <c r="N286" s="60"/>
      <c r="O286" s="60"/>
      <c r="P286" s="60"/>
      <c r="Q286" s="61"/>
      <c r="R286" s="61"/>
      <c r="S286" s="87" t="str">
        <f aca="false">IF(OR(B286="",L286=""),"",INDEX(Lists!$AD$4:$AD$8,MATCH(L286,Lists!$AC$4:$AC$8,0)))</f>
        <v/>
      </c>
      <c r="T286" s="95" t="str">
        <f aca="false">IF(OR(S286="",ISERROR(S286)),"",B286+S286)</f>
        <v/>
      </c>
      <c r="U286" s="61"/>
      <c r="V286" s="63"/>
      <c r="W286" s="63"/>
      <c r="X286" s="60"/>
      <c r="Y286" s="62" t="str">
        <f aca="false">IF(E286="","",IF(AND(B286&lt;&gt;"",B286&gt;='Weekly Report'!$F$4,B286&lt;='Weekly Report'!$F$5),"NEW",IF(AND(W286&lt;&gt;"",W286&gt;='Weekly Report'!$F$4,W286&lt;='Weekly Report'!$F$5),"CHANGED","")))</f>
        <v/>
      </c>
      <c r="Z286" s="87" t="str">
        <f aca="true">IF(B286="","",IF(V286&lt;&gt;"",V286-B286,TODAY()-B286))</f>
        <v/>
      </c>
      <c r="AA286" s="62" t="str">
        <f aca="true">IF(OR(B286="",T286="",U286="False Positive",U286="Risk Accepted"),"",IF(V286&lt;&gt;"",IF(V286&gt;T286,"Closed Late","Met"),IF(TODAY()&gt;T286,"SLA BREACH",IF(T286-TODAY()&lt;=7,"Due ≤7d","Within SLA"))))</f>
        <v/>
      </c>
      <c r="AB286" s="61"/>
      <c r="AC286" s="61"/>
      <c r="AD286" s="60"/>
      <c r="AE286" s="88" t="str">
        <f aca="false">IF(Y286&lt;&gt;"",ROW(),"")</f>
        <v/>
      </c>
      <c r="AF286" s="88" t="str">
        <f aca="false">IF(AND(AND(E286&lt;&gt;"",U286&lt;&gt;"Remediated",U286&lt;&gt;"False Positive",U286&lt;&gt;"Risk Accepted"),T286&lt;&gt;"",T286&lt;='Weekly Report'!$F$7),ROW(),"")</f>
        <v/>
      </c>
      <c r="AG286" s="88" t="str">
        <f aca="false">IF(AND(AND(E286&lt;&gt;"",U286&lt;&gt;"Remediated",U286&lt;&gt;"False Positive",U286&lt;&gt;"Risk Accepted"),LEFT(Q286,6)="Breach"),ROW(),"")</f>
        <v/>
      </c>
    </row>
    <row r="287" customFormat="false" ht="15" hidden="false" customHeight="false" outlineLevel="0" collapsed="false">
      <c r="A287" s="56" t="s">
        <v>2443</v>
      </c>
      <c r="B287" s="63"/>
      <c r="C287" s="61"/>
      <c r="D287" s="61"/>
      <c r="E287" s="60"/>
      <c r="F287" s="61"/>
      <c r="G287" s="61"/>
      <c r="H287" s="61"/>
      <c r="I287" s="61"/>
      <c r="J287" s="60"/>
      <c r="K287" s="61"/>
      <c r="L287" s="61"/>
      <c r="M287" s="61"/>
      <c r="N287" s="60"/>
      <c r="O287" s="60"/>
      <c r="P287" s="60"/>
      <c r="Q287" s="61"/>
      <c r="R287" s="61"/>
      <c r="S287" s="87" t="str">
        <f aca="false">IF(OR(B287="",L287=""),"",INDEX(Lists!$AD$4:$AD$8,MATCH(L287,Lists!$AC$4:$AC$8,0)))</f>
        <v/>
      </c>
      <c r="T287" s="95" t="str">
        <f aca="false">IF(OR(S287="",ISERROR(S287)),"",B287+S287)</f>
        <v/>
      </c>
      <c r="U287" s="61"/>
      <c r="V287" s="63"/>
      <c r="W287" s="63"/>
      <c r="X287" s="60"/>
      <c r="Y287" s="62" t="str">
        <f aca="false">IF(E287="","",IF(AND(B287&lt;&gt;"",B287&gt;='Weekly Report'!$F$4,B287&lt;='Weekly Report'!$F$5),"NEW",IF(AND(W287&lt;&gt;"",W287&gt;='Weekly Report'!$F$4,W287&lt;='Weekly Report'!$F$5),"CHANGED","")))</f>
        <v/>
      </c>
      <c r="Z287" s="87" t="str">
        <f aca="true">IF(B287="","",IF(V287&lt;&gt;"",V287-B287,TODAY()-B287))</f>
        <v/>
      </c>
      <c r="AA287" s="62" t="str">
        <f aca="true">IF(OR(B287="",T287="",U287="False Positive",U287="Risk Accepted"),"",IF(V287&lt;&gt;"",IF(V287&gt;T287,"Closed Late","Met"),IF(TODAY()&gt;T287,"SLA BREACH",IF(T287-TODAY()&lt;=7,"Due ≤7d","Within SLA"))))</f>
        <v/>
      </c>
      <c r="AB287" s="61"/>
      <c r="AC287" s="61"/>
      <c r="AD287" s="60"/>
      <c r="AE287" s="88" t="str">
        <f aca="false">IF(Y287&lt;&gt;"",ROW(),"")</f>
        <v/>
      </c>
      <c r="AF287" s="88" t="str">
        <f aca="false">IF(AND(AND(E287&lt;&gt;"",U287&lt;&gt;"Remediated",U287&lt;&gt;"False Positive",U287&lt;&gt;"Risk Accepted"),T287&lt;&gt;"",T287&lt;='Weekly Report'!$F$7),ROW(),"")</f>
        <v/>
      </c>
      <c r="AG287" s="88" t="str">
        <f aca="false">IF(AND(AND(E287&lt;&gt;"",U287&lt;&gt;"Remediated",U287&lt;&gt;"False Positive",U287&lt;&gt;"Risk Accepted"),LEFT(Q287,6)="Breach"),ROW(),"")</f>
        <v/>
      </c>
    </row>
    <row r="288" customFormat="false" ht="15" hidden="false" customHeight="false" outlineLevel="0" collapsed="false">
      <c r="A288" s="56" t="s">
        <v>2444</v>
      </c>
      <c r="B288" s="63"/>
      <c r="C288" s="61"/>
      <c r="D288" s="61"/>
      <c r="E288" s="60"/>
      <c r="F288" s="61"/>
      <c r="G288" s="61"/>
      <c r="H288" s="61"/>
      <c r="I288" s="61"/>
      <c r="J288" s="60"/>
      <c r="K288" s="61"/>
      <c r="L288" s="61"/>
      <c r="M288" s="61"/>
      <c r="N288" s="60"/>
      <c r="O288" s="60"/>
      <c r="P288" s="60"/>
      <c r="Q288" s="61"/>
      <c r="R288" s="61"/>
      <c r="S288" s="87" t="str">
        <f aca="false">IF(OR(B288="",L288=""),"",INDEX(Lists!$AD$4:$AD$8,MATCH(L288,Lists!$AC$4:$AC$8,0)))</f>
        <v/>
      </c>
      <c r="T288" s="95" t="str">
        <f aca="false">IF(OR(S288="",ISERROR(S288)),"",B288+S288)</f>
        <v/>
      </c>
      <c r="U288" s="61"/>
      <c r="V288" s="63"/>
      <c r="W288" s="63"/>
      <c r="X288" s="60"/>
      <c r="Y288" s="62" t="str">
        <f aca="false">IF(E288="","",IF(AND(B288&lt;&gt;"",B288&gt;='Weekly Report'!$F$4,B288&lt;='Weekly Report'!$F$5),"NEW",IF(AND(W288&lt;&gt;"",W288&gt;='Weekly Report'!$F$4,W288&lt;='Weekly Report'!$F$5),"CHANGED","")))</f>
        <v/>
      </c>
      <c r="Z288" s="87" t="str">
        <f aca="true">IF(B288="","",IF(V288&lt;&gt;"",V288-B288,TODAY()-B288))</f>
        <v/>
      </c>
      <c r="AA288" s="62" t="str">
        <f aca="true">IF(OR(B288="",T288="",U288="False Positive",U288="Risk Accepted"),"",IF(V288&lt;&gt;"",IF(V288&gt;T288,"Closed Late","Met"),IF(TODAY()&gt;T288,"SLA BREACH",IF(T288-TODAY()&lt;=7,"Due ≤7d","Within SLA"))))</f>
        <v/>
      </c>
      <c r="AB288" s="61"/>
      <c r="AC288" s="61"/>
      <c r="AD288" s="60"/>
      <c r="AE288" s="88" t="str">
        <f aca="false">IF(Y288&lt;&gt;"",ROW(),"")</f>
        <v/>
      </c>
      <c r="AF288" s="88" t="str">
        <f aca="false">IF(AND(AND(E288&lt;&gt;"",U288&lt;&gt;"Remediated",U288&lt;&gt;"False Positive",U288&lt;&gt;"Risk Accepted"),T288&lt;&gt;"",T288&lt;='Weekly Report'!$F$7),ROW(),"")</f>
        <v/>
      </c>
      <c r="AG288" s="88" t="str">
        <f aca="false">IF(AND(AND(E288&lt;&gt;"",U288&lt;&gt;"Remediated",U288&lt;&gt;"False Positive",U288&lt;&gt;"Risk Accepted"),LEFT(Q288,6)="Breach"),ROW(),"")</f>
        <v/>
      </c>
    </row>
    <row r="289" customFormat="false" ht="15" hidden="false" customHeight="false" outlineLevel="0" collapsed="false">
      <c r="A289" s="56" t="s">
        <v>2445</v>
      </c>
      <c r="B289" s="63"/>
      <c r="C289" s="61"/>
      <c r="D289" s="61"/>
      <c r="E289" s="60"/>
      <c r="F289" s="61"/>
      <c r="G289" s="61"/>
      <c r="H289" s="61"/>
      <c r="I289" s="61"/>
      <c r="J289" s="60"/>
      <c r="K289" s="61"/>
      <c r="L289" s="61"/>
      <c r="M289" s="61"/>
      <c r="N289" s="60"/>
      <c r="O289" s="60"/>
      <c r="P289" s="60"/>
      <c r="Q289" s="61"/>
      <c r="R289" s="61"/>
      <c r="S289" s="87" t="str">
        <f aca="false">IF(OR(B289="",L289=""),"",INDEX(Lists!$AD$4:$AD$8,MATCH(L289,Lists!$AC$4:$AC$8,0)))</f>
        <v/>
      </c>
      <c r="T289" s="95" t="str">
        <f aca="false">IF(OR(S289="",ISERROR(S289)),"",B289+S289)</f>
        <v/>
      </c>
      <c r="U289" s="61"/>
      <c r="V289" s="63"/>
      <c r="W289" s="63"/>
      <c r="X289" s="60"/>
      <c r="Y289" s="62" t="str">
        <f aca="false">IF(E289="","",IF(AND(B289&lt;&gt;"",B289&gt;='Weekly Report'!$F$4,B289&lt;='Weekly Report'!$F$5),"NEW",IF(AND(W289&lt;&gt;"",W289&gt;='Weekly Report'!$F$4,W289&lt;='Weekly Report'!$F$5),"CHANGED","")))</f>
        <v/>
      </c>
      <c r="Z289" s="87" t="str">
        <f aca="true">IF(B289="","",IF(V289&lt;&gt;"",V289-B289,TODAY()-B289))</f>
        <v/>
      </c>
      <c r="AA289" s="62" t="str">
        <f aca="true">IF(OR(B289="",T289="",U289="False Positive",U289="Risk Accepted"),"",IF(V289&lt;&gt;"",IF(V289&gt;T289,"Closed Late","Met"),IF(TODAY()&gt;T289,"SLA BREACH",IF(T289-TODAY()&lt;=7,"Due ≤7d","Within SLA"))))</f>
        <v/>
      </c>
      <c r="AB289" s="61"/>
      <c r="AC289" s="61"/>
      <c r="AD289" s="60"/>
      <c r="AE289" s="88" t="str">
        <f aca="false">IF(Y289&lt;&gt;"",ROW(),"")</f>
        <v/>
      </c>
      <c r="AF289" s="88" t="str">
        <f aca="false">IF(AND(AND(E289&lt;&gt;"",U289&lt;&gt;"Remediated",U289&lt;&gt;"False Positive",U289&lt;&gt;"Risk Accepted"),T289&lt;&gt;"",T289&lt;='Weekly Report'!$F$7),ROW(),"")</f>
        <v/>
      </c>
      <c r="AG289" s="88" t="str">
        <f aca="false">IF(AND(AND(E289&lt;&gt;"",U289&lt;&gt;"Remediated",U289&lt;&gt;"False Positive",U289&lt;&gt;"Risk Accepted"),LEFT(Q289,6)="Breach"),ROW(),"")</f>
        <v/>
      </c>
    </row>
    <row r="290" customFormat="false" ht="15" hidden="false" customHeight="false" outlineLevel="0" collapsed="false">
      <c r="A290" s="56" t="s">
        <v>2446</v>
      </c>
      <c r="B290" s="63"/>
      <c r="C290" s="61"/>
      <c r="D290" s="61"/>
      <c r="E290" s="60"/>
      <c r="F290" s="61"/>
      <c r="G290" s="61"/>
      <c r="H290" s="61"/>
      <c r="I290" s="61"/>
      <c r="J290" s="60"/>
      <c r="K290" s="61"/>
      <c r="L290" s="61"/>
      <c r="M290" s="61"/>
      <c r="N290" s="60"/>
      <c r="O290" s="60"/>
      <c r="P290" s="60"/>
      <c r="Q290" s="61"/>
      <c r="R290" s="61"/>
      <c r="S290" s="87" t="str">
        <f aca="false">IF(OR(B290="",L290=""),"",INDEX(Lists!$AD$4:$AD$8,MATCH(L290,Lists!$AC$4:$AC$8,0)))</f>
        <v/>
      </c>
      <c r="T290" s="95" t="str">
        <f aca="false">IF(OR(S290="",ISERROR(S290)),"",B290+S290)</f>
        <v/>
      </c>
      <c r="U290" s="61"/>
      <c r="V290" s="63"/>
      <c r="W290" s="63"/>
      <c r="X290" s="60"/>
      <c r="Y290" s="62" t="str">
        <f aca="false">IF(E290="","",IF(AND(B290&lt;&gt;"",B290&gt;='Weekly Report'!$F$4,B290&lt;='Weekly Report'!$F$5),"NEW",IF(AND(W290&lt;&gt;"",W290&gt;='Weekly Report'!$F$4,W290&lt;='Weekly Report'!$F$5),"CHANGED","")))</f>
        <v/>
      </c>
      <c r="Z290" s="87" t="str">
        <f aca="true">IF(B290="","",IF(V290&lt;&gt;"",V290-B290,TODAY()-B290))</f>
        <v/>
      </c>
      <c r="AA290" s="62" t="str">
        <f aca="true">IF(OR(B290="",T290="",U290="False Positive",U290="Risk Accepted"),"",IF(V290&lt;&gt;"",IF(V290&gt;T290,"Closed Late","Met"),IF(TODAY()&gt;T290,"SLA BREACH",IF(T290-TODAY()&lt;=7,"Due ≤7d","Within SLA"))))</f>
        <v/>
      </c>
      <c r="AB290" s="61"/>
      <c r="AC290" s="61"/>
      <c r="AD290" s="60"/>
      <c r="AE290" s="88" t="str">
        <f aca="false">IF(Y290&lt;&gt;"",ROW(),"")</f>
        <v/>
      </c>
      <c r="AF290" s="88" t="str">
        <f aca="false">IF(AND(AND(E290&lt;&gt;"",U290&lt;&gt;"Remediated",U290&lt;&gt;"False Positive",U290&lt;&gt;"Risk Accepted"),T290&lt;&gt;"",T290&lt;='Weekly Report'!$F$7),ROW(),"")</f>
        <v/>
      </c>
      <c r="AG290" s="88" t="str">
        <f aca="false">IF(AND(AND(E290&lt;&gt;"",U290&lt;&gt;"Remediated",U290&lt;&gt;"False Positive",U290&lt;&gt;"Risk Accepted"),LEFT(Q290,6)="Breach"),ROW(),"")</f>
        <v/>
      </c>
    </row>
    <row r="291" customFormat="false" ht="15" hidden="false" customHeight="false" outlineLevel="0" collapsed="false">
      <c r="A291" s="56" t="s">
        <v>2447</v>
      </c>
      <c r="B291" s="63"/>
      <c r="C291" s="61"/>
      <c r="D291" s="61"/>
      <c r="E291" s="60"/>
      <c r="F291" s="61"/>
      <c r="G291" s="61"/>
      <c r="H291" s="61"/>
      <c r="I291" s="61"/>
      <c r="J291" s="60"/>
      <c r="K291" s="61"/>
      <c r="L291" s="61"/>
      <c r="M291" s="61"/>
      <c r="N291" s="60"/>
      <c r="O291" s="60"/>
      <c r="P291" s="60"/>
      <c r="Q291" s="61"/>
      <c r="R291" s="61"/>
      <c r="S291" s="87" t="str">
        <f aca="false">IF(OR(B291="",L291=""),"",INDEX(Lists!$AD$4:$AD$8,MATCH(L291,Lists!$AC$4:$AC$8,0)))</f>
        <v/>
      </c>
      <c r="T291" s="95" t="str">
        <f aca="false">IF(OR(S291="",ISERROR(S291)),"",B291+S291)</f>
        <v/>
      </c>
      <c r="U291" s="61"/>
      <c r="V291" s="63"/>
      <c r="W291" s="63"/>
      <c r="X291" s="60"/>
      <c r="Y291" s="62" t="str">
        <f aca="false">IF(E291="","",IF(AND(B291&lt;&gt;"",B291&gt;='Weekly Report'!$F$4,B291&lt;='Weekly Report'!$F$5),"NEW",IF(AND(W291&lt;&gt;"",W291&gt;='Weekly Report'!$F$4,W291&lt;='Weekly Report'!$F$5),"CHANGED","")))</f>
        <v/>
      </c>
      <c r="Z291" s="87" t="str">
        <f aca="true">IF(B291="","",IF(V291&lt;&gt;"",V291-B291,TODAY()-B291))</f>
        <v/>
      </c>
      <c r="AA291" s="62" t="str">
        <f aca="true">IF(OR(B291="",T291="",U291="False Positive",U291="Risk Accepted"),"",IF(V291&lt;&gt;"",IF(V291&gt;T291,"Closed Late","Met"),IF(TODAY()&gt;T291,"SLA BREACH",IF(T291-TODAY()&lt;=7,"Due ≤7d","Within SLA"))))</f>
        <v/>
      </c>
      <c r="AB291" s="61"/>
      <c r="AC291" s="61"/>
      <c r="AD291" s="60"/>
      <c r="AE291" s="88" t="str">
        <f aca="false">IF(Y291&lt;&gt;"",ROW(),"")</f>
        <v/>
      </c>
      <c r="AF291" s="88" t="str">
        <f aca="false">IF(AND(AND(E291&lt;&gt;"",U291&lt;&gt;"Remediated",U291&lt;&gt;"False Positive",U291&lt;&gt;"Risk Accepted"),T291&lt;&gt;"",T291&lt;='Weekly Report'!$F$7),ROW(),"")</f>
        <v/>
      </c>
      <c r="AG291" s="88" t="str">
        <f aca="false">IF(AND(AND(E291&lt;&gt;"",U291&lt;&gt;"Remediated",U291&lt;&gt;"False Positive",U291&lt;&gt;"Risk Accepted"),LEFT(Q291,6)="Breach"),ROW(),"")</f>
        <v/>
      </c>
    </row>
    <row r="292" customFormat="false" ht="15" hidden="false" customHeight="false" outlineLevel="0" collapsed="false">
      <c r="A292" s="56" t="s">
        <v>2448</v>
      </c>
      <c r="B292" s="63"/>
      <c r="C292" s="61"/>
      <c r="D292" s="61"/>
      <c r="E292" s="60"/>
      <c r="F292" s="61"/>
      <c r="G292" s="61"/>
      <c r="H292" s="61"/>
      <c r="I292" s="61"/>
      <c r="J292" s="60"/>
      <c r="K292" s="61"/>
      <c r="L292" s="61"/>
      <c r="M292" s="61"/>
      <c r="N292" s="60"/>
      <c r="O292" s="60"/>
      <c r="P292" s="60"/>
      <c r="Q292" s="61"/>
      <c r="R292" s="61"/>
      <c r="S292" s="87" t="str">
        <f aca="false">IF(OR(B292="",L292=""),"",INDEX(Lists!$AD$4:$AD$8,MATCH(L292,Lists!$AC$4:$AC$8,0)))</f>
        <v/>
      </c>
      <c r="T292" s="95" t="str">
        <f aca="false">IF(OR(S292="",ISERROR(S292)),"",B292+S292)</f>
        <v/>
      </c>
      <c r="U292" s="61"/>
      <c r="V292" s="63"/>
      <c r="W292" s="63"/>
      <c r="X292" s="60"/>
      <c r="Y292" s="62" t="str">
        <f aca="false">IF(E292="","",IF(AND(B292&lt;&gt;"",B292&gt;='Weekly Report'!$F$4,B292&lt;='Weekly Report'!$F$5),"NEW",IF(AND(W292&lt;&gt;"",W292&gt;='Weekly Report'!$F$4,W292&lt;='Weekly Report'!$F$5),"CHANGED","")))</f>
        <v/>
      </c>
      <c r="Z292" s="87" t="str">
        <f aca="true">IF(B292="","",IF(V292&lt;&gt;"",V292-B292,TODAY()-B292))</f>
        <v/>
      </c>
      <c r="AA292" s="62" t="str">
        <f aca="true">IF(OR(B292="",T292="",U292="False Positive",U292="Risk Accepted"),"",IF(V292&lt;&gt;"",IF(V292&gt;T292,"Closed Late","Met"),IF(TODAY()&gt;T292,"SLA BREACH",IF(T292-TODAY()&lt;=7,"Due ≤7d","Within SLA"))))</f>
        <v/>
      </c>
      <c r="AB292" s="61"/>
      <c r="AC292" s="61"/>
      <c r="AD292" s="60"/>
      <c r="AE292" s="88" t="str">
        <f aca="false">IF(Y292&lt;&gt;"",ROW(),"")</f>
        <v/>
      </c>
      <c r="AF292" s="88" t="str">
        <f aca="false">IF(AND(AND(E292&lt;&gt;"",U292&lt;&gt;"Remediated",U292&lt;&gt;"False Positive",U292&lt;&gt;"Risk Accepted"),T292&lt;&gt;"",T292&lt;='Weekly Report'!$F$7),ROW(),"")</f>
        <v/>
      </c>
      <c r="AG292" s="88" t="str">
        <f aca="false">IF(AND(AND(E292&lt;&gt;"",U292&lt;&gt;"Remediated",U292&lt;&gt;"False Positive",U292&lt;&gt;"Risk Accepted"),LEFT(Q292,6)="Breach"),ROW(),"")</f>
        <v/>
      </c>
    </row>
    <row r="293" customFormat="false" ht="15" hidden="false" customHeight="false" outlineLevel="0" collapsed="false">
      <c r="A293" s="56" t="s">
        <v>2449</v>
      </c>
      <c r="B293" s="63"/>
      <c r="C293" s="61"/>
      <c r="D293" s="61"/>
      <c r="E293" s="60"/>
      <c r="F293" s="61"/>
      <c r="G293" s="61"/>
      <c r="H293" s="61"/>
      <c r="I293" s="61"/>
      <c r="J293" s="60"/>
      <c r="K293" s="61"/>
      <c r="L293" s="61"/>
      <c r="M293" s="61"/>
      <c r="N293" s="60"/>
      <c r="O293" s="60"/>
      <c r="P293" s="60"/>
      <c r="Q293" s="61"/>
      <c r="R293" s="61"/>
      <c r="S293" s="87" t="str">
        <f aca="false">IF(OR(B293="",L293=""),"",INDEX(Lists!$AD$4:$AD$8,MATCH(L293,Lists!$AC$4:$AC$8,0)))</f>
        <v/>
      </c>
      <c r="T293" s="95" t="str">
        <f aca="false">IF(OR(S293="",ISERROR(S293)),"",B293+S293)</f>
        <v/>
      </c>
      <c r="U293" s="61"/>
      <c r="V293" s="63"/>
      <c r="W293" s="63"/>
      <c r="X293" s="60"/>
      <c r="Y293" s="62" t="str">
        <f aca="false">IF(E293="","",IF(AND(B293&lt;&gt;"",B293&gt;='Weekly Report'!$F$4,B293&lt;='Weekly Report'!$F$5),"NEW",IF(AND(W293&lt;&gt;"",W293&gt;='Weekly Report'!$F$4,W293&lt;='Weekly Report'!$F$5),"CHANGED","")))</f>
        <v/>
      </c>
      <c r="Z293" s="87" t="str">
        <f aca="true">IF(B293="","",IF(V293&lt;&gt;"",V293-B293,TODAY()-B293))</f>
        <v/>
      </c>
      <c r="AA293" s="62" t="str">
        <f aca="true">IF(OR(B293="",T293="",U293="False Positive",U293="Risk Accepted"),"",IF(V293&lt;&gt;"",IF(V293&gt;T293,"Closed Late","Met"),IF(TODAY()&gt;T293,"SLA BREACH",IF(T293-TODAY()&lt;=7,"Due ≤7d","Within SLA"))))</f>
        <v/>
      </c>
      <c r="AB293" s="61"/>
      <c r="AC293" s="61"/>
      <c r="AD293" s="60"/>
      <c r="AE293" s="88" t="str">
        <f aca="false">IF(Y293&lt;&gt;"",ROW(),"")</f>
        <v/>
      </c>
      <c r="AF293" s="88" t="str">
        <f aca="false">IF(AND(AND(E293&lt;&gt;"",U293&lt;&gt;"Remediated",U293&lt;&gt;"False Positive",U293&lt;&gt;"Risk Accepted"),T293&lt;&gt;"",T293&lt;='Weekly Report'!$F$7),ROW(),"")</f>
        <v/>
      </c>
      <c r="AG293" s="88" t="str">
        <f aca="false">IF(AND(AND(E293&lt;&gt;"",U293&lt;&gt;"Remediated",U293&lt;&gt;"False Positive",U293&lt;&gt;"Risk Accepted"),LEFT(Q293,6)="Breach"),ROW(),"")</f>
        <v/>
      </c>
    </row>
    <row r="294" customFormat="false" ht="15" hidden="false" customHeight="false" outlineLevel="0" collapsed="false">
      <c r="A294" s="56" t="s">
        <v>2450</v>
      </c>
      <c r="B294" s="63"/>
      <c r="C294" s="61"/>
      <c r="D294" s="61"/>
      <c r="E294" s="60"/>
      <c r="F294" s="61"/>
      <c r="G294" s="61"/>
      <c r="H294" s="61"/>
      <c r="I294" s="61"/>
      <c r="J294" s="60"/>
      <c r="K294" s="61"/>
      <c r="L294" s="61"/>
      <c r="M294" s="61"/>
      <c r="N294" s="60"/>
      <c r="O294" s="60"/>
      <c r="P294" s="60"/>
      <c r="Q294" s="61"/>
      <c r="R294" s="61"/>
      <c r="S294" s="87" t="str">
        <f aca="false">IF(OR(B294="",L294=""),"",INDEX(Lists!$AD$4:$AD$8,MATCH(L294,Lists!$AC$4:$AC$8,0)))</f>
        <v/>
      </c>
      <c r="T294" s="95" t="str">
        <f aca="false">IF(OR(S294="",ISERROR(S294)),"",B294+S294)</f>
        <v/>
      </c>
      <c r="U294" s="61"/>
      <c r="V294" s="63"/>
      <c r="W294" s="63"/>
      <c r="X294" s="60"/>
      <c r="Y294" s="62" t="str">
        <f aca="false">IF(E294="","",IF(AND(B294&lt;&gt;"",B294&gt;='Weekly Report'!$F$4,B294&lt;='Weekly Report'!$F$5),"NEW",IF(AND(W294&lt;&gt;"",W294&gt;='Weekly Report'!$F$4,W294&lt;='Weekly Report'!$F$5),"CHANGED","")))</f>
        <v/>
      </c>
      <c r="Z294" s="87" t="str">
        <f aca="true">IF(B294="","",IF(V294&lt;&gt;"",V294-B294,TODAY()-B294))</f>
        <v/>
      </c>
      <c r="AA294" s="62" t="str">
        <f aca="true">IF(OR(B294="",T294="",U294="False Positive",U294="Risk Accepted"),"",IF(V294&lt;&gt;"",IF(V294&gt;T294,"Closed Late","Met"),IF(TODAY()&gt;T294,"SLA BREACH",IF(T294-TODAY()&lt;=7,"Due ≤7d","Within SLA"))))</f>
        <v/>
      </c>
      <c r="AB294" s="61"/>
      <c r="AC294" s="61"/>
      <c r="AD294" s="60"/>
      <c r="AE294" s="88" t="str">
        <f aca="false">IF(Y294&lt;&gt;"",ROW(),"")</f>
        <v/>
      </c>
      <c r="AF294" s="88" t="str">
        <f aca="false">IF(AND(AND(E294&lt;&gt;"",U294&lt;&gt;"Remediated",U294&lt;&gt;"False Positive",U294&lt;&gt;"Risk Accepted"),T294&lt;&gt;"",T294&lt;='Weekly Report'!$F$7),ROW(),"")</f>
        <v/>
      </c>
      <c r="AG294" s="88" t="str">
        <f aca="false">IF(AND(AND(E294&lt;&gt;"",U294&lt;&gt;"Remediated",U294&lt;&gt;"False Positive",U294&lt;&gt;"Risk Accepted"),LEFT(Q294,6)="Breach"),ROW(),"")</f>
        <v/>
      </c>
    </row>
    <row r="295" customFormat="false" ht="15" hidden="false" customHeight="false" outlineLevel="0" collapsed="false">
      <c r="A295" s="56" t="s">
        <v>2451</v>
      </c>
      <c r="B295" s="63"/>
      <c r="C295" s="61"/>
      <c r="D295" s="61"/>
      <c r="E295" s="60"/>
      <c r="F295" s="61"/>
      <c r="G295" s="61"/>
      <c r="H295" s="61"/>
      <c r="I295" s="61"/>
      <c r="J295" s="60"/>
      <c r="K295" s="61"/>
      <c r="L295" s="61"/>
      <c r="M295" s="61"/>
      <c r="N295" s="60"/>
      <c r="O295" s="60"/>
      <c r="P295" s="60"/>
      <c r="Q295" s="61"/>
      <c r="R295" s="61"/>
      <c r="S295" s="87" t="str">
        <f aca="false">IF(OR(B295="",L295=""),"",INDEX(Lists!$AD$4:$AD$8,MATCH(L295,Lists!$AC$4:$AC$8,0)))</f>
        <v/>
      </c>
      <c r="T295" s="95" t="str">
        <f aca="false">IF(OR(S295="",ISERROR(S295)),"",B295+S295)</f>
        <v/>
      </c>
      <c r="U295" s="61"/>
      <c r="V295" s="63"/>
      <c r="W295" s="63"/>
      <c r="X295" s="60"/>
      <c r="Y295" s="62" t="str">
        <f aca="false">IF(E295="","",IF(AND(B295&lt;&gt;"",B295&gt;='Weekly Report'!$F$4,B295&lt;='Weekly Report'!$F$5),"NEW",IF(AND(W295&lt;&gt;"",W295&gt;='Weekly Report'!$F$4,W295&lt;='Weekly Report'!$F$5),"CHANGED","")))</f>
        <v/>
      </c>
      <c r="Z295" s="87" t="str">
        <f aca="true">IF(B295="","",IF(V295&lt;&gt;"",V295-B295,TODAY()-B295))</f>
        <v/>
      </c>
      <c r="AA295" s="62" t="str">
        <f aca="true">IF(OR(B295="",T295="",U295="False Positive",U295="Risk Accepted"),"",IF(V295&lt;&gt;"",IF(V295&gt;T295,"Closed Late","Met"),IF(TODAY()&gt;T295,"SLA BREACH",IF(T295-TODAY()&lt;=7,"Due ≤7d","Within SLA"))))</f>
        <v/>
      </c>
      <c r="AB295" s="61"/>
      <c r="AC295" s="61"/>
      <c r="AD295" s="60"/>
      <c r="AE295" s="88" t="str">
        <f aca="false">IF(Y295&lt;&gt;"",ROW(),"")</f>
        <v/>
      </c>
      <c r="AF295" s="88" t="str">
        <f aca="false">IF(AND(AND(E295&lt;&gt;"",U295&lt;&gt;"Remediated",U295&lt;&gt;"False Positive",U295&lt;&gt;"Risk Accepted"),T295&lt;&gt;"",T295&lt;='Weekly Report'!$F$7),ROW(),"")</f>
        <v/>
      </c>
      <c r="AG295" s="88" t="str">
        <f aca="false">IF(AND(AND(E295&lt;&gt;"",U295&lt;&gt;"Remediated",U295&lt;&gt;"False Positive",U295&lt;&gt;"Risk Accepted"),LEFT(Q295,6)="Breach"),ROW(),"")</f>
        <v/>
      </c>
    </row>
    <row r="296" customFormat="false" ht="15" hidden="false" customHeight="false" outlineLevel="0" collapsed="false">
      <c r="A296" s="56" t="s">
        <v>2452</v>
      </c>
      <c r="B296" s="63"/>
      <c r="C296" s="61"/>
      <c r="D296" s="61"/>
      <c r="E296" s="60"/>
      <c r="F296" s="61"/>
      <c r="G296" s="61"/>
      <c r="H296" s="61"/>
      <c r="I296" s="61"/>
      <c r="J296" s="60"/>
      <c r="K296" s="61"/>
      <c r="L296" s="61"/>
      <c r="M296" s="61"/>
      <c r="N296" s="60"/>
      <c r="O296" s="60"/>
      <c r="P296" s="60"/>
      <c r="Q296" s="61"/>
      <c r="R296" s="61"/>
      <c r="S296" s="87" t="str">
        <f aca="false">IF(OR(B296="",L296=""),"",INDEX(Lists!$AD$4:$AD$8,MATCH(L296,Lists!$AC$4:$AC$8,0)))</f>
        <v/>
      </c>
      <c r="T296" s="95" t="str">
        <f aca="false">IF(OR(S296="",ISERROR(S296)),"",B296+S296)</f>
        <v/>
      </c>
      <c r="U296" s="61"/>
      <c r="V296" s="63"/>
      <c r="W296" s="63"/>
      <c r="X296" s="60"/>
      <c r="Y296" s="62" t="str">
        <f aca="false">IF(E296="","",IF(AND(B296&lt;&gt;"",B296&gt;='Weekly Report'!$F$4,B296&lt;='Weekly Report'!$F$5),"NEW",IF(AND(W296&lt;&gt;"",W296&gt;='Weekly Report'!$F$4,W296&lt;='Weekly Report'!$F$5),"CHANGED","")))</f>
        <v/>
      </c>
      <c r="Z296" s="87" t="str">
        <f aca="true">IF(B296="","",IF(V296&lt;&gt;"",V296-B296,TODAY()-B296))</f>
        <v/>
      </c>
      <c r="AA296" s="62" t="str">
        <f aca="true">IF(OR(B296="",T296="",U296="False Positive",U296="Risk Accepted"),"",IF(V296&lt;&gt;"",IF(V296&gt;T296,"Closed Late","Met"),IF(TODAY()&gt;T296,"SLA BREACH",IF(T296-TODAY()&lt;=7,"Due ≤7d","Within SLA"))))</f>
        <v/>
      </c>
      <c r="AB296" s="61"/>
      <c r="AC296" s="61"/>
      <c r="AD296" s="60"/>
      <c r="AE296" s="88" t="str">
        <f aca="false">IF(Y296&lt;&gt;"",ROW(),"")</f>
        <v/>
      </c>
      <c r="AF296" s="88" t="str">
        <f aca="false">IF(AND(AND(E296&lt;&gt;"",U296&lt;&gt;"Remediated",U296&lt;&gt;"False Positive",U296&lt;&gt;"Risk Accepted"),T296&lt;&gt;"",T296&lt;='Weekly Report'!$F$7),ROW(),"")</f>
        <v/>
      </c>
      <c r="AG296" s="88" t="str">
        <f aca="false">IF(AND(AND(E296&lt;&gt;"",U296&lt;&gt;"Remediated",U296&lt;&gt;"False Positive",U296&lt;&gt;"Risk Accepted"),LEFT(Q296,6)="Breach"),ROW(),"")</f>
        <v/>
      </c>
    </row>
    <row r="297" customFormat="false" ht="15" hidden="false" customHeight="false" outlineLevel="0" collapsed="false">
      <c r="A297" s="56" t="s">
        <v>2453</v>
      </c>
      <c r="B297" s="63"/>
      <c r="C297" s="61"/>
      <c r="D297" s="61"/>
      <c r="E297" s="60"/>
      <c r="F297" s="61"/>
      <c r="G297" s="61"/>
      <c r="H297" s="61"/>
      <c r="I297" s="61"/>
      <c r="J297" s="60"/>
      <c r="K297" s="61"/>
      <c r="L297" s="61"/>
      <c r="M297" s="61"/>
      <c r="N297" s="60"/>
      <c r="O297" s="60"/>
      <c r="P297" s="60"/>
      <c r="Q297" s="61"/>
      <c r="R297" s="61"/>
      <c r="S297" s="87" t="str">
        <f aca="false">IF(OR(B297="",L297=""),"",INDEX(Lists!$AD$4:$AD$8,MATCH(L297,Lists!$AC$4:$AC$8,0)))</f>
        <v/>
      </c>
      <c r="T297" s="95" t="str">
        <f aca="false">IF(OR(S297="",ISERROR(S297)),"",B297+S297)</f>
        <v/>
      </c>
      <c r="U297" s="61"/>
      <c r="V297" s="63"/>
      <c r="W297" s="63"/>
      <c r="X297" s="60"/>
      <c r="Y297" s="62" t="str">
        <f aca="false">IF(E297="","",IF(AND(B297&lt;&gt;"",B297&gt;='Weekly Report'!$F$4,B297&lt;='Weekly Report'!$F$5),"NEW",IF(AND(W297&lt;&gt;"",W297&gt;='Weekly Report'!$F$4,W297&lt;='Weekly Report'!$F$5),"CHANGED","")))</f>
        <v/>
      </c>
      <c r="Z297" s="87" t="str">
        <f aca="true">IF(B297="","",IF(V297&lt;&gt;"",V297-B297,TODAY()-B297))</f>
        <v/>
      </c>
      <c r="AA297" s="62" t="str">
        <f aca="true">IF(OR(B297="",T297="",U297="False Positive",U297="Risk Accepted"),"",IF(V297&lt;&gt;"",IF(V297&gt;T297,"Closed Late","Met"),IF(TODAY()&gt;T297,"SLA BREACH",IF(T297-TODAY()&lt;=7,"Due ≤7d","Within SLA"))))</f>
        <v/>
      </c>
      <c r="AB297" s="61"/>
      <c r="AC297" s="61"/>
      <c r="AD297" s="60"/>
      <c r="AE297" s="88" t="str">
        <f aca="false">IF(Y297&lt;&gt;"",ROW(),"")</f>
        <v/>
      </c>
      <c r="AF297" s="88" t="str">
        <f aca="false">IF(AND(AND(E297&lt;&gt;"",U297&lt;&gt;"Remediated",U297&lt;&gt;"False Positive",U297&lt;&gt;"Risk Accepted"),T297&lt;&gt;"",T297&lt;='Weekly Report'!$F$7),ROW(),"")</f>
        <v/>
      </c>
      <c r="AG297" s="88" t="str">
        <f aca="false">IF(AND(AND(E297&lt;&gt;"",U297&lt;&gt;"Remediated",U297&lt;&gt;"False Positive",U297&lt;&gt;"Risk Accepted"),LEFT(Q297,6)="Breach"),ROW(),"")</f>
        <v/>
      </c>
    </row>
    <row r="298" customFormat="false" ht="15" hidden="false" customHeight="false" outlineLevel="0" collapsed="false">
      <c r="A298" s="56" t="s">
        <v>2454</v>
      </c>
      <c r="B298" s="63"/>
      <c r="C298" s="61"/>
      <c r="D298" s="61"/>
      <c r="E298" s="60"/>
      <c r="F298" s="61"/>
      <c r="G298" s="61"/>
      <c r="H298" s="61"/>
      <c r="I298" s="61"/>
      <c r="J298" s="60"/>
      <c r="K298" s="61"/>
      <c r="L298" s="61"/>
      <c r="M298" s="61"/>
      <c r="N298" s="60"/>
      <c r="O298" s="60"/>
      <c r="P298" s="60"/>
      <c r="Q298" s="61"/>
      <c r="R298" s="61"/>
      <c r="S298" s="87" t="str">
        <f aca="false">IF(OR(B298="",L298=""),"",INDEX(Lists!$AD$4:$AD$8,MATCH(L298,Lists!$AC$4:$AC$8,0)))</f>
        <v/>
      </c>
      <c r="T298" s="95" t="str">
        <f aca="false">IF(OR(S298="",ISERROR(S298)),"",B298+S298)</f>
        <v/>
      </c>
      <c r="U298" s="61"/>
      <c r="V298" s="63"/>
      <c r="W298" s="63"/>
      <c r="X298" s="60"/>
      <c r="Y298" s="62" t="str">
        <f aca="false">IF(E298="","",IF(AND(B298&lt;&gt;"",B298&gt;='Weekly Report'!$F$4,B298&lt;='Weekly Report'!$F$5),"NEW",IF(AND(W298&lt;&gt;"",W298&gt;='Weekly Report'!$F$4,W298&lt;='Weekly Report'!$F$5),"CHANGED","")))</f>
        <v/>
      </c>
      <c r="Z298" s="87" t="str">
        <f aca="true">IF(B298="","",IF(V298&lt;&gt;"",V298-B298,TODAY()-B298))</f>
        <v/>
      </c>
      <c r="AA298" s="62" t="str">
        <f aca="true">IF(OR(B298="",T298="",U298="False Positive",U298="Risk Accepted"),"",IF(V298&lt;&gt;"",IF(V298&gt;T298,"Closed Late","Met"),IF(TODAY()&gt;T298,"SLA BREACH",IF(T298-TODAY()&lt;=7,"Due ≤7d","Within SLA"))))</f>
        <v/>
      </c>
      <c r="AB298" s="61"/>
      <c r="AC298" s="61"/>
      <c r="AD298" s="60"/>
      <c r="AE298" s="88" t="str">
        <f aca="false">IF(Y298&lt;&gt;"",ROW(),"")</f>
        <v/>
      </c>
      <c r="AF298" s="88" t="str">
        <f aca="false">IF(AND(AND(E298&lt;&gt;"",U298&lt;&gt;"Remediated",U298&lt;&gt;"False Positive",U298&lt;&gt;"Risk Accepted"),T298&lt;&gt;"",T298&lt;='Weekly Report'!$F$7),ROW(),"")</f>
        <v/>
      </c>
      <c r="AG298" s="88" t="str">
        <f aca="false">IF(AND(AND(E298&lt;&gt;"",U298&lt;&gt;"Remediated",U298&lt;&gt;"False Positive",U298&lt;&gt;"Risk Accepted"),LEFT(Q298,6)="Breach"),ROW(),"")</f>
        <v/>
      </c>
    </row>
    <row r="299" customFormat="false" ht="15" hidden="false" customHeight="false" outlineLevel="0" collapsed="false">
      <c r="A299" s="56" t="s">
        <v>2455</v>
      </c>
      <c r="B299" s="63"/>
      <c r="C299" s="61"/>
      <c r="D299" s="61"/>
      <c r="E299" s="60"/>
      <c r="F299" s="61"/>
      <c r="G299" s="61"/>
      <c r="H299" s="61"/>
      <c r="I299" s="61"/>
      <c r="J299" s="60"/>
      <c r="K299" s="61"/>
      <c r="L299" s="61"/>
      <c r="M299" s="61"/>
      <c r="N299" s="60"/>
      <c r="O299" s="60"/>
      <c r="P299" s="60"/>
      <c r="Q299" s="61"/>
      <c r="R299" s="61"/>
      <c r="S299" s="87" t="str">
        <f aca="false">IF(OR(B299="",L299=""),"",INDEX(Lists!$AD$4:$AD$8,MATCH(L299,Lists!$AC$4:$AC$8,0)))</f>
        <v/>
      </c>
      <c r="T299" s="95" t="str">
        <f aca="false">IF(OR(S299="",ISERROR(S299)),"",B299+S299)</f>
        <v/>
      </c>
      <c r="U299" s="61"/>
      <c r="V299" s="63"/>
      <c r="W299" s="63"/>
      <c r="X299" s="60"/>
      <c r="Y299" s="62" t="str">
        <f aca="false">IF(E299="","",IF(AND(B299&lt;&gt;"",B299&gt;='Weekly Report'!$F$4,B299&lt;='Weekly Report'!$F$5),"NEW",IF(AND(W299&lt;&gt;"",W299&gt;='Weekly Report'!$F$4,W299&lt;='Weekly Report'!$F$5),"CHANGED","")))</f>
        <v/>
      </c>
      <c r="Z299" s="87" t="str">
        <f aca="true">IF(B299="","",IF(V299&lt;&gt;"",V299-B299,TODAY()-B299))</f>
        <v/>
      </c>
      <c r="AA299" s="62" t="str">
        <f aca="true">IF(OR(B299="",T299="",U299="False Positive",U299="Risk Accepted"),"",IF(V299&lt;&gt;"",IF(V299&gt;T299,"Closed Late","Met"),IF(TODAY()&gt;T299,"SLA BREACH",IF(T299-TODAY()&lt;=7,"Due ≤7d","Within SLA"))))</f>
        <v/>
      </c>
      <c r="AB299" s="61"/>
      <c r="AC299" s="61"/>
      <c r="AD299" s="60"/>
      <c r="AE299" s="88" t="str">
        <f aca="false">IF(Y299&lt;&gt;"",ROW(),"")</f>
        <v/>
      </c>
      <c r="AF299" s="88" t="str">
        <f aca="false">IF(AND(AND(E299&lt;&gt;"",U299&lt;&gt;"Remediated",U299&lt;&gt;"False Positive",U299&lt;&gt;"Risk Accepted"),T299&lt;&gt;"",T299&lt;='Weekly Report'!$F$7),ROW(),"")</f>
        <v/>
      </c>
      <c r="AG299" s="88" t="str">
        <f aca="false">IF(AND(AND(E299&lt;&gt;"",U299&lt;&gt;"Remediated",U299&lt;&gt;"False Positive",U299&lt;&gt;"Risk Accepted"),LEFT(Q299,6)="Breach"),ROW(),"")</f>
        <v/>
      </c>
    </row>
    <row r="300" customFormat="false" ht="15" hidden="false" customHeight="false" outlineLevel="0" collapsed="false">
      <c r="A300" s="56" t="s">
        <v>2456</v>
      </c>
      <c r="B300" s="63"/>
      <c r="C300" s="61"/>
      <c r="D300" s="61"/>
      <c r="E300" s="60"/>
      <c r="F300" s="61"/>
      <c r="G300" s="61"/>
      <c r="H300" s="61"/>
      <c r="I300" s="61"/>
      <c r="J300" s="60"/>
      <c r="K300" s="61"/>
      <c r="L300" s="61"/>
      <c r="M300" s="61"/>
      <c r="N300" s="60"/>
      <c r="O300" s="60"/>
      <c r="P300" s="60"/>
      <c r="Q300" s="61"/>
      <c r="R300" s="61"/>
      <c r="S300" s="87" t="str">
        <f aca="false">IF(OR(B300="",L300=""),"",INDEX(Lists!$AD$4:$AD$8,MATCH(L300,Lists!$AC$4:$AC$8,0)))</f>
        <v/>
      </c>
      <c r="T300" s="95" t="str">
        <f aca="false">IF(OR(S300="",ISERROR(S300)),"",B300+S300)</f>
        <v/>
      </c>
      <c r="U300" s="61"/>
      <c r="V300" s="63"/>
      <c r="W300" s="63"/>
      <c r="X300" s="60"/>
      <c r="Y300" s="62" t="str">
        <f aca="false">IF(E300="","",IF(AND(B300&lt;&gt;"",B300&gt;='Weekly Report'!$F$4,B300&lt;='Weekly Report'!$F$5),"NEW",IF(AND(W300&lt;&gt;"",W300&gt;='Weekly Report'!$F$4,W300&lt;='Weekly Report'!$F$5),"CHANGED","")))</f>
        <v/>
      </c>
      <c r="Z300" s="87" t="str">
        <f aca="true">IF(B300="","",IF(V300&lt;&gt;"",V300-B300,TODAY()-B300))</f>
        <v/>
      </c>
      <c r="AA300" s="62" t="str">
        <f aca="true">IF(OR(B300="",T300="",U300="False Positive",U300="Risk Accepted"),"",IF(V300&lt;&gt;"",IF(V300&gt;T300,"Closed Late","Met"),IF(TODAY()&gt;T300,"SLA BREACH",IF(T300-TODAY()&lt;=7,"Due ≤7d","Within SLA"))))</f>
        <v/>
      </c>
      <c r="AB300" s="61"/>
      <c r="AC300" s="61"/>
      <c r="AD300" s="60"/>
      <c r="AE300" s="88" t="str">
        <f aca="false">IF(Y300&lt;&gt;"",ROW(),"")</f>
        <v/>
      </c>
      <c r="AF300" s="88" t="str">
        <f aca="false">IF(AND(AND(E300&lt;&gt;"",U300&lt;&gt;"Remediated",U300&lt;&gt;"False Positive",U300&lt;&gt;"Risk Accepted"),T300&lt;&gt;"",T300&lt;='Weekly Report'!$F$7),ROW(),"")</f>
        <v/>
      </c>
      <c r="AG300" s="88" t="str">
        <f aca="false">IF(AND(AND(E300&lt;&gt;"",U300&lt;&gt;"Remediated",U300&lt;&gt;"False Positive",U300&lt;&gt;"Risk Accepted"),LEFT(Q300,6)="Breach"),ROW(),"")</f>
        <v/>
      </c>
    </row>
    <row r="301" customFormat="false" ht="15" hidden="false" customHeight="false" outlineLevel="0" collapsed="false">
      <c r="A301" s="56" t="s">
        <v>2457</v>
      </c>
      <c r="B301" s="63"/>
      <c r="C301" s="61"/>
      <c r="D301" s="61"/>
      <c r="E301" s="60"/>
      <c r="F301" s="61"/>
      <c r="G301" s="61"/>
      <c r="H301" s="61"/>
      <c r="I301" s="61"/>
      <c r="J301" s="60"/>
      <c r="K301" s="61"/>
      <c r="L301" s="61"/>
      <c r="M301" s="61"/>
      <c r="N301" s="60"/>
      <c r="O301" s="60"/>
      <c r="P301" s="60"/>
      <c r="Q301" s="61"/>
      <c r="R301" s="61"/>
      <c r="S301" s="87" t="str">
        <f aca="false">IF(OR(B301="",L301=""),"",INDEX(Lists!$AD$4:$AD$8,MATCH(L301,Lists!$AC$4:$AC$8,0)))</f>
        <v/>
      </c>
      <c r="T301" s="95" t="str">
        <f aca="false">IF(OR(S301="",ISERROR(S301)),"",B301+S301)</f>
        <v/>
      </c>
      <c r="U301" s="61"/>
      <c r="V301" s="63"/>
      <c r="W301" s="63"/>
      <c r="X301" s="60"/>
      <c r="Y301" s="62" t="str">
        <f aca="false">IF(E301="","",IF(AND(B301&lt;&gt;"",B301&gt;='Weekly Report'!$F$4,B301&lt;='Weekly Report'!$F$5),"NEW",IF(AND(W301&lt;&gt;"",W301&gt;='Weekly Report'!$F$4,W301&lt;='Weekly Report'!$F$5),"CHANGED","")))</f>
        <v/>
      </c>
      <c r="Z301" s="87" t="str">
        <f aca="true">IF(B301="","",IF(V301&lt;&gt;"",V301-B301,TODAY()-B301))</f>
        <v/>
      </c>
      <c r="AA301" s="62" t="str">
        <f aca="true">IF(OR(B301="",T301="",U301="False Positive",U301="Risk Accepted"),"",IF(V301&lt;&gt;"",IF(V301&gt;T301,"Closed Late","Met"),IF(TODAY()&gt;T301,"SLA BREACH",IF(T301-TODAY()&lt;=7,"Due ≤7d","Within SLA"))))</f>
        <v/>
      </c>
      <c r="AB301" s="61"/>
      <c r="AC301" s="61"/>
      <c r="AD301" s="60"/>
      <c r="AE301" s="88" t="str">
        <f aca="false">IF(Y301&lt;&gt;"",ROW(),"")</f>
        <v/>
      </c>
      <c r="AF301" s="88" t="str">
        <f aca="false">IF(AND(AND(E301&lt;&gt;"",U301&lt;&gt;"Remediated",U301&lt;&gt;"False Positive",U301&lt;&gt;"Risk Accepted"),T301&lt;&gt;"",T301&lt;='Weekly Report'!$F$7),ROW(),"")</f>
        <v/>
      </c>
      <c r="AG301" s="88" t="str">
        <f aca="false">IF(AND(AND(E301&lt;&gt;"",U301&lt;&gt;"Remediated",U301&lt;&gt;"False Positive",U301&lt;&gt;"Risk Accepted"),LEFT(Q301,6)="Breach"),ROW(),"")</f>
        <v/>
      </c>
    </row>
    <row r="302" customFormat="false" ht="15" hidden="false" customHeight="false" outlineLevel="0" collapsed="false">
      <c r="A302" s="56" t="s">
        <v>2458</v>
      </c>
      <c r="B302" s="63"/>
      <c r="C302" s="61"/>
      <c r="D302" s="61"/>
      <c r="E302" s="60"/>
      <c r="F302" s="61"/>
      <c r="G302" s="61"/>
      <c r="H302" s="61"/>
      <c r="I302" s="61"/>
      <c r="J302" s="60"/>
      <c r="K302" s="61"/>
      <c r="L302" s="61"/>
      <c r="M302" s="61"/>
      <c r="N302" s="60"/>
      <c r="O302" s="60"/>
      <c r="P302" s="60"/>
      <c r="Q302" s="61"/>
      <c r="R302" s="61"/>
      <c r="S302" s="87" t="str">
        <f aca="false">IF(OR(B302="",L302=""),"",INDEX(Lists!$AD$4:$AD$8,MATCH(L302,Lists!$AC$4:$AC$8,0)))</f>
        <v/>
      </c>
      <c r="T302" s="95" t="str">
        <f aca="false">IF(OR(S302="",ISERROR(S302)),"",B302+S302)</f>
        <v/>
      </c>
      <c r="U302" s="61"/>
      <c r="V302" s="63"/>
      <c r="W302" s="63"/>
      <c r="X302" s="60"/>
      <c r="Y302" s="62" t="str">
        <f aca="false">IF(E302="","",IF(AND(B302&lt;&gt;"",B302&gt;='Weekly Report'!$F$4,B302&lt;='Weekly Report'!$F$5),"NEW",IF(AND(W302&lt;&gt;"",W302&gt;='Weekly Report'!$F$4,W302&lt;='Weekly Report'!$F$5),"CHANGED","")))</f>
        <v/>
      </c>
      <c r="Z302" s="87" t="str">
        <f aca="true">IF(B302="","",IF(V302&lt;&gt;"",V302-B302,TODAY()-B302))</f>
        <v/>
      </c>
      <c r="AA302" s="62" t="str">
        <f aca="true">IF(OR(B302="",T302="",U302="False Positive",U302="Risk Accepted"),"",IF(V302&lt;&gt;"",IF(V302&gt;T302,"Closed Late","Met"),IF(TODAY()&gt;T302,"SLA BREACH",IF(T302-TODAY()&lt;=7,"Due ≤7d","Within SLA"))))</f>
        <v/>
      </c>
      <c r="AB302" s="61"/>
      <c r="AC302" s="61"/>
      <c r="AD302" s="60"/>
      <c r="AE302" s="88" t="str">
        <f aca="false">IF(Y302&lt;&gt;"",ROW(),"")</f>
        <v/>
      </c>
      <c r="AF302" s="88" t="str">
        <f aca="false">IF(AND(AND(E302&lt;&gt;"",U302&lt;&gt;"Remediated",U302&lt;&gt;"False Positive",U302&lt;&gt;"Risk Accepted"),T302&lt;&gt;"",T302&lt;='Weekly Report'!$F$7),ROW(),"")</f>
        <v/>
      </c>
      <c r="AG302" s="88" t="str">
        <f aca="false">IF(AND(AND(E302&lt;&gt;"",U302&lt;&gt;"Remediated",U302&lt;&gt;"False Positive",U302&lt;&gt;"Risk Accepted"),LEFT(Q302,6)="Breach"),ROW(),"")</f>
        <v/>
      </c>
    </row>
    <row r="303" customFormat="false" ht="15" hidden="false" customHeight="false" outlineLevel="0" collapsed="false">
      <c r="A303" s="56" t="s">
        <v>2459</v>
      </c>
      <c r="B303" s="63"/>
      <c r="C303" s="61"/>
      <c r="D303" s="61"/>
      <c r="E303" s="60"/>
      <c r="F303" s="61"/>
      <c r="G303" s="61"/>
      <c r="H303" s="61"/>
      <c r="I303" s="61"/>
      <c r="J303" s="60"/>
      <c r="K303" s="61"/>
      <c r="L303" s="61"/>
      <c r="M303" s="61"/>
      <c r="N303" s="60"/>
      <c r="O303" s="60"/>
      <c r="P303" s="60"/>
      <c r="Q303" s="61"/>
      <c r="R303" s="61"/>
      <c r="S303" s="87" t="str">
        <f aca="false">IF(OR(B303="",L303=""),"",INDEX(Lists!$AD$4:$AD$8,MATCH(L303,Lists!$AC$4:$AC$8,0)))</f>
        <v/>
      </c>
      <c r="T303" s="95" t="str">
        <f aca="false">IF(OR(S303="",ISERROR(S303)),"",B303+S303)</f>
        <v/>
      </c>
      <c r="U303" s="61"/>
      <c r="V303" s="63"/>
      <c r="W303" s="63"/>
      <c r="X303" s="60"/>
      <c r="Y303" s="62" t="str">
        <f aca="false">IF(E303="","",IF(AND(B303&lt;&gt;"",B303&gt;='Weekly Report'!$F$4,B303&lt;='Weekly Report'!$F$5),"NEW",IF(AND(W303&lt;&gt;"",W303&gt;='Weekly Report'!$F$4,W303&lt;='Weekly Report'!$F$5),"CHANGED","")))</f>
        <v/>
      </c>
      <c r="Z303" s="87" t="str">
        <f aca="true">IF(B303="","",IF(V303&lt;&gt;"",V303-B303,TODAY()-B303))</f>
        <v/>
      </c>
      <c r="AA303" s="62" t="str">
        <f aca="true">IF(OR(B303="",T303="",U303="False Positive",U303="Risk Accepted"),"",IF(V303&lt;&gt;"",IF(V303&gt;T303,"Closed Late","Met"),IF(TODAY()&gt;T303,"SLA BREACH",IF(T303-TODAY()&lt;=7,"Due ≤7d","Within SLA"))))</f>
        <v/>
      </c>
      <c r="AB303" s="61"/>
      <c r="AC303" s="61"/>
      <c r="AD303" s="60"/>
      <c r="AE303" s="88" t="str">
        <f aca="false">IF(Y303&lt;&gt;"",ROW(),"")</f>
        <v/>
      </c>
      <c r="AF303" s="88" t="str">
        <f aca="false">IF(AND(AND(E303&lt;&gt;"",U303&lt;&gt;"Remediated",U303&lt;&gt;"False Positive",U303&lt;&gt;"Risk Accepted"),T303&lt;&gt;"",T303&lt;='Weekly Report'!$F$7),ROW(),"")</f>
        <v/>
      </c>
      <c r="AG303" s="88" t="str">
        <f aca="false">IF(AND(AND(E303&lt;&gt;"",U303&lt;&gt;"Remediated",U303&lt;&gt;"False Positive",U303&lt;&gt;"Risk Accepted"),LEFT(Q303,6)="Breach"),ROW(),"")</f>
        <v/>
      </c>
    </row>
    <row r="304" customFormat="false" ht="15" hidden="false" customHeight="false" outlineLevel="0" collapsed="false">
      <c r="A304" s="56" t="s">
        <v>2460</v>
      </c>
      <c r="B304" s="63"/>
      <c r="C304" s="61"/>
      <c r="D304" s="61"/>
      <c r="E304" s="60"/>
      <c r="F304" s="61"/>
      <c r="G304" s="61"/>
      <c r="H304" s="61"/>
      <c r="I304" s="61"/>
      <c r="J304" s="60"/>
      <c r="K304" s="61"/>
      <c r="L304" s="61"/>
      <c r="M304" s="61"/>
      <c r="N304" s="60"/>
      <c r="O304" s="60"/>
      <c r="P304" s="60"/>
      <c r="Q304" s="61"/>
      <c r="R304" s="61"/>
      <c r="S304" s="87" t="str">
        <f aca="false">IF(OR(B304="",L304=""),"",INDEX(Lists!$AD$4:$AD$8,MATCH(L304,Lists!$AC$4:$AC$8,0)))</f>
        <v/>
      </c>
      <c r="T304" s="95" t="str">
        <f aca="false">IF(OR(S304="",ISERROR(S304)),"",B304+S304)</f>
        <v/>
      </c>
      <c r="U304" s="61"/>
      <c r="V304" s="63"/>
      <c r="W304" s="63"/>
      <c r="X304" s="60"/>
      <c r="Y304" s="62" t="str">
        <f aca="false">IF(E304="","",IF(AND(B304&lt;&gt;"",B304&gt;='Weekly Report'!$F$4,B304&lt;='Weekly Report'!$F$5),"NEW",IF(AND(W304&lt;&gt;"",W304&gt;='Weekly Report'!$F$4,W304&lt;='Weekly Report'!$F$5),"CHANGED","")))</f>
        <v/>
      </c>
      <c r="Z304" s="87" t="str">
        <f aca="true">IF(B304="","",IF(V304&lt;&gt;"",V304-B304,TODAY()-B304))</f>
        <v/>
      </c>
      <c r="AA304" s="62" t="str">
        <f aca="true">IF(OR(B304="",T304="",U304="False Positive",U304="Risk Accepted"),"",IF(V304&lt;&gt;"",IF(V304&gt;T304,"Closed Late","Met"),IF(TODAY()&gt;T304,"SLA BREACH",IF(T304-TODAY()&lt;=7,"Due ≤7d","Within SLA"))))</f>
        <v/>
      </c>
      <c r="AB304" s="61"/>
      <c r="AC304" s="61"/>
      <c r="AD304" s="60"/>
      <c r="AE304" s="88" t="str">
        <f aca="false">IF(Y304&lt;&gt;"",ROW(),"")</f>
        <v/>
      </c>
      <c r="AF304" s="88" t="str">
        <f aca="false">IF(AND(AND(E304&lt;&gt;"",U304&lt;&gt;"Remediated",U304&lt;&gt;"False Positive",U304&lt;&gt;"Risk Accepted"),T304&lt;&gt;"",T304&lt;='Weekly Report'!$F$7),ROW(),"")</f>
        <v/>
      </c>
      <c r="AG304" s="88" t="str">
        <f aca="false">IF(AND(AND(E304&lt;&gt;"",U304&lt;&gt;"Remediated",U304&lt;&gt;"False Positive",U304&lt;&gt;"Risk Accepted"),LEFT(Q304,6)="Breach"),ROW(),"")</f>
        <v/>
      </c>
    </row>
  </sheetData>
  <autoFilter ref="A4:AD304"/>
  <conditionalFormatting sqref="L5:L304">
    <cfRule type="cellIs" priority="2" operator="equal" aboveAverage="0" equalAverage="0" bottom="0" percent="0" rank="0" text="" dxfId="13">
      <formula>"Critical"</formula>
    </cfRule>
    <cfRule type="cellIs" priority="3" operator="equal" aboveAverage="0" equalAverage="0" bottom="0" percent="0" rank="0" text="" dxfId="26">
      <formula>"High"</formula>
    </cfRule>
    <cfRule type="cellIs" priority="4" operator="equal" aboveAverage="0" equalAverage="0" bottom="0" percent="0" rank="0" text="" dxfId="2">
      <formula>"Medium"</formula>
    </cfRule>
  </conditionalFormatting>
  <conditionalFormatting sqref="AA5:AA304">
    <cfRule type="cellIs" priority="5" operator="equal" aboveAverage="0" equalAverage="0" bottom="0" percent="0" rank="0" text="" dxfId="13">
      <formula>"OVERDUE"</formula>
    </cfRule>
    <cfRule type="cellIs" priority="6" operator="equal" aboveAverage="0" equalAverage="0" bottom="0" percent="0" rank="0" text="" dxfId="13">
      <formula>"SLA BREACH"</formula>
    </cfRule>
    <cfRule type="expression" priority="7" aboveAverage="0" equalAverage="0" bottom="0" percent="0" rank="0" text="" dxfId="23">
      <formula>LEFT(AA5,3)="Due"</formula>
    </cfRule>
    <cfRule type="cellIs" priority="8" operator="equal" aboveAverage="0" equalAverage="0" bottom="0" percent="0" rank="0" text="" dxfId="3">
      <formula>"Closed Late"</formula>
    </cfRule>
    <cfRule type="cellIs" priority="9" operator="equal" aboveAverage="0" equalAverage="0" bottom="0" percent="0" rank="0" text="" dxfId="3">
      <formula>"Date missing"</formula>
    </cfRule>
    <cfRule type="cellIs" priority="10" operator="equal" aboveAverage="0" equalAverage="0" bottom="0" percent="0" rank="0" text="" dxfId="3">
      <formula>"Due date missing"</formula>
    </cfRule>
    <cfRule type="cellIs" priority="11" operator="equal" aboveAverage="0" equalAverage="0" bottom="0" percent="0" rank="0" text="" dxfId="1">
      <formula>"Met"</formula>
    </cfRule>
    <cfRule type="cellIs" priority="12" operator="equal" aboveAverage="0" equalAverage="0" bottom="0" percent="0" rank="0" text="" dxfId="1">
      <formula>"Done"</formula>
    </cfRule>
    <cfRule type="cellIs" priority="13" operator="equal" aboveAverage="0" equalAverage="0" bottom="0" percent="0" rank="0" text="" dxfId="1">
      <formula>"Within SLA"</formula>
    </cfRule>
    <cfRule type="cellIs" priority="14" operator="equal" aboveAverage="0" equalAverage="0" bottom="0" percent="0" rank="0" text="" dxfId="1">
      <formula>"On Schedule"</formula>
    </cfRule>
    <cfRule type="cellIs" priority="15" operator="equal" aboveAverage="0" equalAverage="0" bottom="0" percent="0" rank="0" text="" dxfId="1">
      <formula>"Scheduled"</formula>
    </cfRule>
  </conditionalFormatting>
  <conditionalFormatting sqref="Q5:Q304">
    <cfRule type="expression" priority="16" aboveAverage="0" equalAverage="0" bottom="0" percent="0" rank="0" text="" dxfId="13">
      <formula>LEFT(Q5,6)="Breach"</formula>
    </cfRule>
    <cfRule type="cellIs" priority="17" operator="equal" aboveAverage="0" equalAverage="0" bottom="0" percent="0" rank="0" text="" dxfId="2">
      <formula>"Within Tolerance"</formula>
    </cfRule>
    <cfRule type="cellIs" priority="18" operator="equal" aboveAverage="0" equalAverage="0" bottom="0" percent="0" rank="0" text="" dxfId="1">
      <formula>"Within Appetite"</formula>
    </cfRule>
  </conditionalFormatting>
  <conditionalFormatting sqref="U5:U304">
    <cfRule type="cellIs" priority="19" operator="equal" aboveAverage="0" equalAverage="0" bottom="0" percent="0" rank="0" text="" dxfId="1">
      <formula>"Completed"</formula>
    </cfRule>
    <cfRule type="cellIs" priority="20" operator="equal" aboveAverage="0" equalAverage="0" bottom="0" percent="0" rank="0" text="" dxfId="1">
      <formula>"Achieved"</formula>
    </cfRule>
    <cfRule type="cellIs" priority="21" operator="equal" aboveAverage="0" equalAverage="0" bottom="0" percent="0" rank="0" text="" dxfId="1">
      <formula>"Remediated"</formula>
    </cfRule>
    <cfRule type="cellIs" priority="22" operator="equal" aboveAverage="0" equalAverage="0" bottom="0" percent="0" rank="0" text="" dxfId="1">
      <formula>"Responded"</formula>
    </cfRule>
    <cfRule type="cellIs" priority="23" operator="equal" aboveAverage="0" equalAverage="0" bottom="0" percent="0" rank="0" text="" dxfId="1">
      <formula>"Closed"</formula>
    </cfRule>
    <cfRule type="cellIs" priority="24" operator="equal" aboveAverage="0" equalAverage="0" bottom="0" percent="0" rank="0" text="" dxfId="1">
      <formula>"Decided"</formula>
    </cfRule>
    <cfRule type="cellIs" priority="25" operator="equal" aboveAverage="0" equalAverage="0" bottom="0" percent="0" rank="0" text="" dxfId="2">
      <formula>"In Progress"</formula>
    </cfRule>
    <cfRule type="cellIs" priority="26" operator="equal" aboveAverage="0" equalAverage="0" bottom="0" percent="0" rank="0" text="" dxfId="2">
      <formula>"Remediation In Progress"</formula>
    </cfRule>
    <cfRule type="cellIs" priority="27" operator="equal" aboveAverage="0" equalAverage="0" bottom="0" percent="0" rank="0" text="" dxfId="2">
      <formula>"At Risk"</formula>
    </cfRule>
    <cfRule type="cellIs" priority="28" operator="equal" aboveAverage="0" equalAverage="0" bottom="0" percent="0" rank="0" text="" dxfId="2">
      <formula>"Validating"</formula>
    </cfRule>
    <cfRule type="cellIs" priority="29" operator="equal" aboveAverage="0" equalAverage="0" bottom="0" percent="0" rank="0" text="" dxfId="2">
      <formula>"Awaiting Response"</formula>
    </cfRule>
    <cfRule type="cellIs" priority="30" operator="equal" aboveAverage="0" equalAverage="0" bottom="0" percent="0" rank="0" text="" dxfId="2">
      <formula>"Open"</formula>
    </cfRule>
    <cfRule type="cellIs" priority="31" operator="equal" aboveAverage="0" equalAverage="0" bottom="0" percent="0" rank="0" text="" dxfId="3">
      <formula>"Blocked"</formula>
    </cfRule>
    <cfRule type="cellIs" priority="32" operator="equal" aboveAverage="0" equalAverage="0" bottom="0" percent="0" rank="0" text="" dxfId="3">
      <formula>"Off Track"</formula>
    </cfRule>
    <cfRule type="cellIs" priority="33" operator="equal" aboveAverage="0" equalAverage="0" bottom="0" percent="0" rank="0" text="" dxfId="3">
      <formula>"Escalated"</formula>
    </cfRule>
    <cfRule type="cellIs" priority="34" operator="equal" aboveAverage="0" equalAverage="0" bottom="0" percent="0" rank="0" text="" dxfId="3">
      <formula>"Confirmed"</formula>
    </cfRule>
    <cfRule type="cellIs" priority="35" operator="equal" aboveAverage="0" equalAverage="0" bottom="0" percent="0" rank="0" text="" dxfId="3">
      <formula>"Delayed"</formula>
    </cfRule>
    <cfRule type="cellIs" priority="36" operator="equal" aboveAverage="0" equalAverage="0" bottom="0" percent="0" rank="0" text="" dxfId="4">
      <formula>"Cancelled"</formula>
    </cfRule>
    <cfRule type="cellIs" priority="37" operator="equal" aboveAverage="0" equalAverage="0" bottom="0" percent="0" rank="0" text="" dxfId="4">
      <formula>"False Positive"</formula>
    </cfRule>
    <cfRule type="cellIs" priority="38" operator="equal" aboveAverage="0" equalAverage="0" bottom="0" percent="0" rank="0" text="" dxfId="4">
      <formula>"Deferred"</formula>
    </cfRule>
    <cfRule type="cellIs" priority="39" operator="equal" aboveAverage="0" equalAverage="0" bottom="0" percent="0" rank="0" text="" dxfId="4">
      <formula>"On Hold"</formula>
    </cfRule>
    <cfRule type="cellIs" priority="40" operator="equal" aboveAverage="0" equalAverage="0" bottom="0" percent="0" rank="0" text="" dxfId="4">
      <formula>"Withdrawn"</formula>
    </cfRule>
  </conditionalFormatting>
  <conditionalFormatting sqref="Y5:Y304">
    <cfRule type="cellIs" priority="41" operator="equal" aboveAverage="0" equalAverage="0" bottom="0" percent="0" rank="0" text="" dxfId="11">
      <formula>"NEW"</formula>
    </cfRule>
    <cfRule type="cellIs" priority="42" operator="equal" aboveAverage="0" equalAverage="0" bottom="0" percent="0" rank="0" text="" dxfId="29">
      <formula>"CHANGED"</formula>
    </cfRule>
  </conditionalFormatting>
  <conditionalFormatting sqref="I5:I304">
    <cfRule type="cellIs" priority="43" operator="equal" aboveAverage="0" equalAverage="0" bottom="0" percent="0" rank="0" text="" dxfId="26">
      <formula>"No"</formula>
    </cfRule>
  </conditionalFormatting>
  <conditionalFormatting sqref="M5:M304">
    <cfRule type="cellIs" priority="44" operator="equal" aboveAverage="0" equalAverage="0" bottom="0" percent="0" rank="0" text="" dxfId="13">
      <formula>"Yes"</formula>
    </cfRule>
  </conditionalFormatting>
  <dataValidations count="11">
    <dataValidation allowBlank="true" error="Enter a valid date (e.g. 19-Oct-2026)." errorStyle="stop" operator="greaterThan" showDropDown="false" showErrorMessage="true" showInputMessage="false" sqref="B5:B304" type="date">
      <formula1>DATE(2000,1,1)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C5:C304" type="list">
      <formula1>Lists!$T$4:$T$12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D5:D304" type="list">
      <formula1>Lists!$S$4:$S$15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F5:F304" type="list">
      <formula1>Lists!$U$4:$U$6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I5:I304" type="list">
      <formula1>Lists!$A$4:$A$5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L5:L304" type="list">
      <formula1>Lists!$P$4:$P$8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M5:M304" type="list">
      <formula1>Lists!$B$4:$B$6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Q5:Q304" type="list">
      <formula1>Lists!$R$4:$R$8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U5:U304" type="list">
      <formula1>Lists!$V$4:$V$10</formula1>
      <formula2>0</formula2>
    </dataValidation>
    <dataValidation allowBlank="true" error="Enter a valid date (e.g. 19-Oct-2026)." errorStyle="stop" operator="greaterThan" showDropDown="false" showErrorMessage="true" showInputMessage="false" sqref="V5:V304" type="date">
      <formula1>DATE(2000,1,1)</formula1>
      <formula2>0</formula2>
    </dataValidation>
    <dataValidation allowBlank="true" error="Enter a valid date (e.g. 19-Oct-2026)." errorStyle="stop" operator="greaterThan" showDropDown="false" showErrorMessage="true" showInputMessage="false" sqref="W5:W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34"/>
  </cols>
  <sheetData>
    <row r="1" customFormat="false" ht="19.7" hidden="false" customHeight="false" outlineLevel="0" collapsed="false">
      <c r="A1" s="53" t="s">
        <v>2461</v>
      </c>
    </row>
    <row r="2" customFormat="false" ht="15" hidden="false" customHeight="false" outlineLevel="0" collapsed="false">
      <c r="A2" s="2" t="s">
        <v>2462</v>
      </c>
    </row>
    <row r="3" customFormat="false" ht="15" hidden="false" customHeight="false" outlineLevel="0" collapsed="false">
      <c r="A3" s="54" t="s">
        <v>217</v>
      </c>
    </row>
    <row r="4" customFormat="false" ht="43.5" hidden="false" customHeight="true" outlineLevel="0" collapsed="false">
      <c r="A4" s="55" t="s">
        <v>2463</v>
      </c>
      <c r="B4" s="55" t="s">
        <v>2464</v>
      </c>
      <c r="C4" s="55" t="s">
        <v>2465</v>
      </c>
      <c r="D4" s="55" t="s">
        <v>2466</v>
      </c>
      <c r="E4" s="55" t="s">
        <v>167</v>
      </c>
      <c r="F4" s="55" t="s">
        <v>2467</v>
      </c>
      <c r="G4" s="55" t="s">
        <v>2468</v>
      </c>
      <c r="H4" s="55" t="s">
        <v>2469</v>
      </c>
      <c r="I4" s="55" t="s">
        <v>2470</v>
      </c>
      <c r="J4" s="55" t="s">
        <v>2471</v>
      </c>
      <c r="K4" s="55" t="s">
        <v>2472</v>
      </c>
      <c r="L4" s="55" t="s">
        <v>2473</v>
      </c>
      <c r="M4" s="55" t="s">
        <v>2474</v>
      </c>
      <c r="N4" s="55" t="s">
        <v>232</v>
      </c>
    </row>
    <row r="5" customFormat="false" ht="23.85" hidden="false" customHeight="false" outlineLevel="0" collapsed="false">
      <c r="A5" s="56" t="s">
        <v>2475</v>
      </c>
      <c r="B5" s="58" t="s">
        <v>2476</v>
      </c>
      <c r="C5" s="58" t="s">
        <v>2477</v>
      </c>
      <c r="D5" s="58" t="s">
        <v>2478</v>
      </c>
      <c r="E5" s="58" t="s">
        <v>1147</v>
      </c>
      <c r="F5" s="58" t="s">
        <v>2479</v>
      </c>
      <c r="G5" s="58" t="s">
        <v>2480</v>
      </c>
      <c r="H5" s="58" t="s">
        <v>2481</v>
      </c>
      <c r="I5" s="58" t="s">
        <v>362</v>
      </c>
      <c r="J5" s="58" t="s">
        <v>2482</v>
      </c>
      <c r="K5" s="58" t="s">
        <v>165</v>
      </c>
      <c r="L5" s="57" t="n">
        <v>46310</v>
      </c>
      <c r="M5" s="87" t="n">
        <f aca="true">IF(L5="","",TODAY()-L5)</f>
        <v>5</v>
      </c>
      <c r="N5" s="59" t="s">
        <v>2483</v>
      </c>
    </row>
    <row r="6" customFormat="false" ht="15" hidden="false" customHeight="false" outlineLevel="0" collapsed="false">
      <c r="A6" s="56" t="s">
        <v>2484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3"/>
      <c r="M6" s="87" t="str">
        <f aca="true">IF(L6="","",TODAY()-L6)</f>
        <v/>
      </c>
      <c r="N6" s="60"/>
    </row>
    <row r="7" customFormat="false" ht="15" hidden="false" customHeight="false" outlineLevel="0" collapsed="false">
      <c r="A7" s="56" t="s">
        <v>2485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3"/>
      <c r="M7" s="87" t="str">
        <f aca="true">IF(L7="","",TODAY()-L7)</f>
        <v/>
      </c>
      <c r="N7" s="60"/>
    </row>
    <row r="8" customFormat="false" ht="15" hidden="false" customHeight="false" outlineLevel="0" collapsed="false">
      <c r="A8" s="56" t="s">
        <v>2486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3"/>
      <c r="M8" s="87" t="str">
        <f aca="true">IF(L8="","",TODAY()-L8)</f>
        <v/>
      </c>
      <c r="N8" s="60"/>
    </row>
    <row r="9" customFormat="false" ht="15" hidden="false" customHeight="false" outlineLevel="0" collapsed="false">
      <c r="A9" s="56" t="s">
        <v>2487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3"/>
      <c r="M9" s="87" t="str">
        <f aca="true">IF(L9="","",TODAY()-L9)</f>
        <v/>
      </c>
      <c r="N9" s="60"/>
    </row>
    <row r="10" customFormat="false" ht="15" hidden="false" customHeight="false" outlineLevel="0" collapsed="false">
      <c r="A10" s="56" t="s">
        <v>2488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3"/>
      <c r="M10" s="87" t="str">
        <f aca="true">IF(L10="","",TODAY()-L10)</f>
        <v/>
      </c>
      <c r="N10" s="60"/>
    </row>
    <row r="11" customFormat="false" ht="15" hidden="false" customHeight="false" outlineLevel="0" collapsed="false">
      <c r="A11" s="56" t="s">
        <v>2489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3"/>
      <c r="M11" s="87" t="str">
        <f aca="true">IF(L11="","",TODAY()-L11)</f>
        <v/>
      </c>
      <c r="N11" s="60"/>
    </row>
    <row r="12" customFormat="false" ht="15" hidden="false" customHeight="false" outlineLevel="0" collapsed="false">
      <c r="A12" s="56" t="s">
        <v>2490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3"/>
      <c r="M12" s="87" t="str">
        <f aca="true">IF(L12="","",TODAY()-L12)</f>
        <v/>
      </c>
      <c r="N12" s="60"/>
    </row>
    <row r="13" customFormat="false" ht="15" hidden="false" customHeight="false" outlineLevel="0" collapsed="false">
      <c r="A13" s="56" t="s">
        <v>2491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3"/>
      <c r="M13" s="87" t="str">
        <f aca="true">IF(L13="","",TODAY()-L13)</f>
        <v/>
      </c>
      <c r="N13" s="60"/>
    </row>
    <row r="14" customFormat="false" ht="15" hidden="false" customHeight="false" outlineLevel="0" collapsed="false">
      <c r="A14" s="56" t="s">
        <v>2492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3"/>
      <c r="M14" s="87" t="str">
        <f aca="true">IF(L14="","",TODAY()-L14)</f>
        <v/>
      </c>
      <c r="N14" s="60"/>
    </row>
    <row r="15" customFormat="false" ht="15" hidden="false" customHeight="false" outlineLevel="0" collapsed="false">
      <c r="A15" s="56" t="s">
        <v>2493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3"/>
      <c r="M15" s="87" t="str">
        <f aca="true">IF(L15="","",TODAY()-L15)</f>
        <v/>
      </c>
      <c r="N15" s="60"/>
    </row>
    <row r="16" customFormat="false" ht="15" hidden="false" customHeight="false" outlineLevel="0" collapsed="false">
      <c r="A16" s="56" t="s">
        <v>2494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3"/>
      <c r="M16" s="87" t="str">
        <f aca="true">IF(L16="","",TODAY()-L16)</f>
        <v/>
      </c>
      <c r="N16" s="60"/>
    </row>
    <row r="17" customFormat="false" ht="15" hidden="false" customHeight="false" outlineLevel="0" collapsed="false">
      <c r="A17" s="56" t="s">
        <v>2495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3"/>
      <c r="M17" s="87" t="str">
        <f aca="true">IF(L17="","",TODAY()-L17)</f>
        <v/>
      </c>
      <c r="N17" s="60"/>
    </row>
    <row r="18" customFormat="false" ht="15" hidden="false" customHeight="false" outlineLevel="0" collapsed="false">
      <c r="A18" s="56" t="s">
        <v>2496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3"/>
      <c r="M18" s="87" t="str">
        <f aca="true">IF(L18="","",TODAY()-L18)</f>
        <v/>
      </c>
      <c r="N18" s="60"/>
    </row>
    <row r="19" customFormat="false" ht="15" hidden="false" customHeight="false" outlineLevel="0" collapsed="false">
      <c r="A19" s="56" t="s">
        <v>2497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3"/>
      <c r="M19" s="87" t="str">
        <f aca="true">IF(L19="","",TODAY()-L19)</f>
        <v/>
      </c>
      <c r="N19" s="60"/>
    </row>
    <row r="20" customFormat="false" ht="15" hidden="false" customHeight="false" outlineLevel="0" collapsed="false">
      <c r="A20" s="56" t="s">
        <v>2498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3"/>
      <c r="M20" s="87" t="str">
        <f aca="true">IF(L20="","",TODAY()-L20)</f>
        <v/>
      </c>
      <c r="N20" s="60"/>
    </row>
    <row r="21" customFormat="false" ht="15" hidden="false" customHeight="false" outlineLevel="0" collapsed="false">
      <c r="A21" s="56" t="s">
        <v>2499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3"/>
      <c r="M21" s="87" t="str">
        <f aca="true">IF(L21="","",TODAY()-L21)</f>
        <v/>
      </c>
      <c r="N21" s="60"/>
    </row>
    <row r="22" customFormat="false" ht="15" hidden="false" customHeight="false" outlineLevel="0" collapsed="false">
      <c r="A22" s="56" t="s">
        <v>2500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3"/>
      <c r="M22" s="87" t="str">
        <f aca="true">IF(L22="","",TODAY()-L22)</f>
        <v/>
      </c>
      <c r="N22" s="60"/>
    </row>
    <row r="23" customFormat="false" ht="15" hidden="false" customHeight="false" outlineLevel="0" collapsed="false">
      <c r="A23" s="56" t="s">
        <v>2501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3"/>
      <c r="M23" s="87" t="str">
        <f aca="true">IF(L23="","",TODAY()-L23)</f>
        <v/>
      </c>
      <c r="N23" s="60"/>
    </row>
    <row r="24" customFormat="false" ht="15" hidden="false" customHeight="false" outlineLevel="0" collapsed="false">
      <c r="A24" s="56" t="s">
        <v>2502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3"/>
      <c r="M24" s="87" t="str">
        <f aca="true">IF(L24="","",TODAY()-L24)</f>
        <v/>
      </c>
      <c r="N24" s="60"/>
    </row>
    <row r="25" customFormat="false" ht="15" hidden="false" customHeight="false" outlineLevel="0" collapsed="false">
      <c r="A25" s="56" t="s">
        <v>2503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3"/>
      <c r="M25" s="87" t="str">
        <f aca="true">IF(L25="","",TODAY()-L25)</f>
        <v/>
      </c>
      <c r="N25" s="60"/>
    </row>
    <row r="26" customFormat="false" ht="15" hidden="false" customHeight="false" outlineLevel="0" collapsed="false">
      <c r="A26" s="56" t="s">
        <v>2504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3"/>
      <c r="M26" s="87" t="str">
        <f aca="true">IF(L26="","",TODAY()-L26)</f>
        <v/>
      </c>
      <c r="N26" s="60"/>
    </row>
    <row r="27" customFormat="false" ht="15" hidden="false" customHeight="false" outlineLevel="0" collapsed="false">
      <c r="A27" s="56" t="s">
        <v>2505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3"/>
      <c r="M27" s="87" t="str">
        <f aca="true">IF(L27="","",TODAY()-L27)</f>
        <v/>
      </c>
      <c r="N27" s="60"/>
    </row>
    <row r="28" customFormat="false" ht="15" hidden="false" customHeight="false" outlineLevel="0" collapsed="false">
      <c r="A28" s="56" t="s">
        <v>2506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3"/>
      <c r="M28" s="87" t="str">
        <f aca="true">IF(L28="","",TODAY()-L28)</f>
        <v/>
      </c>
      <c r="N28" s="60"/>
    </row>
    <row r="29" customFormat="false" ht="15" hidden="false" customHeight="false" outlineLevel="0" collapsed="false">
      <c r="A29" s="56" t="s">
        <v>2507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3"/>
      <c r="M29" s="87" t="str">
        <f aca="true">IF(L29="","",TODAY()-L29)</f>
        <v/>
      </c>
      <c r="N29" s="60"/>
    </row>
    <row r="30" customFormat="false" ht="15" hidden="false" customHeight="false" outlineLevel="0" collapsed="false">
      <c r="A30" s="56" t="s">
        <v>2508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3"/>
      <c r="M30" s="87" t="str">
        <f aca="true">IF(L30="","",TODAY()-L30)</f>
        <v/>
      </c>
      <c r="N30" s="60"/>
    </row>
    <row r="31" customFormat="false" ht="15" hidden="false" customHeight="false" outlineLevel="0" collapsed="false">
      <c r="A31" s="56" t="s">
        <v>2509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3"/>
      <c r="M31" s="87" t="str">
        <f aca="true">IF(L31="","",TODAY()-L31)</f>
        <v/>
      </c>
      <c r="N31" s="60"/>
    </row>
    <row r="32" customFormat="false" ht="15" hidden="false" customHeight="false" outlineLevel="0" collapsed="false">
      <c r="A32" s="56" t="s">
        <v>2510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3"/>
      <c r="M32" s="87" t="str">
        <f aca="true">IF(L32="","",TODAY()-L32)</f>
        <v/>
      </c>
      <c r="N32" s="60"/>
    </row>
    <row r="33" customFormat="false" ht="15" hidden="false" customHeight="false" outlineLevel="0" collapsed="false">
      <c r="A33" s="56" t="s">
        <v>2511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3"/>
      <c r="M33" s="87" t="str">
        <f aca="true">IF(L33="","",TODAY()-L33)</f>
        <v/>
      </c>
      <c r="N33" s="60"/>
    </row>
    <row r="34" customFormat="false" ht="15" hidden="false" customHeight="false" outlineLevel="0" collapsed="false">
      <c r="A34" s="56" t="s">
        <v>2512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3"/>
      <c r="M34" s="87" t="str">
        <f aca="true">IF(L34="","",TODAY()-L34)</f>
        <v/>
      </c>
      <c r="N34" s="60"/>
    </row>
    <row r="35" customFormat="false" ht="15" hidden="false" customHeight="false" outlineLevel="0" collapsed="false">
      <c r="A35" s="56" t="s">
        <v>2513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3"/>
      <c r="M35" s="87" t="str">
        <f aca="true">IF(L35="","",TODAY()-L35)</f>
        <v/>
      </c>
      <c r="N35" s="60"/>
    </row>
    <row r="36" customFormat="false" ht="15" hidden="false" customHeight="false" outlineLevel="0" collapsed="false">
      <c r="A36" s="56" t="s">
        <v>2514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3"/>
      <c r="M36" s="87" t="str">
        <f aca="true">IF(L36="","",TODAY()-L36)</f>
        <v/>
      </c>
      <c r="N36" s="60"/>
    </row>
    <row r="37" customFormat="false" ht="15" hidden="false" customHeight="false" outlineLevel="0" collapsed="false">
      <c r="A37" s="56" t="s">
        <v>2515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3"/>
      <c r="M37" s="87" t="str">
        <f aca="true">IF(L37="","",TODAY()-L37)</f>
        <v/>
      </c>
      <c r="N37" s="60"/>
    </row>
    <row r="38" customFormat="false" ht="15" hidden="false" customHeight="false" outlineLevel="0" collapsed="false">
      <c r="A38" s="56" t="s">
        <v>2516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3"/>
      <c r="M38" s="87" t="str">
        <f aca="true">IF(L38="","",TODAY()-L38)</f>
        <v/>
      </c>
      <c r="N38" s="60"/>
    </row>
    <row r="39" customFormat="false" ht="15" hidden="false" customHeight="false" outlineLevel="0" collapsed="false">
      <c r="A39" s="56" t="s">
        <v>2517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3"/>
      <c r="M39" s="87" t="str">
        <f aca="true">IF(L39="","",TODAY()-L39)</f>
        <v/>
      </c>
      <c r="N39" s="60"/>
    </row>
    <row r="40" customFormat="false" ht="15" hidden="false" customHeight="false" outlineLevel="0" collapsed="false">
      <c r="A40" s="56" t="s">
        <v>2518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3"/>
      <c r="M40" s="87" t="str">
        <f aca="true">IF(L40="","",TODAY()-L40)</f>
        <v/>
      </c>
      <c r="N40" s="60"/>
    </row>
    <row r="41" customFormat="false" ht="15" hidden="false" customHeight="false" outlineLevel="0" collapsed="false">
      <c r="A41" s="56" t="s">
        <v>2519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3"/>
      <c r="M41" s="87" t="str">
        <f aca="true">IF(L41="","",TODAY()-L41)</f>
        <v/>
      </c>
      <c r="N41" s="60"/>
    </row>
    <row r="42" customFormat="false" ht="15" hidden="false" customHeight="false" outlineLevel="0" collapsed="false">
      <c r="A42" s="56" t="s">
        <v>2520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3"/>
      <c r="M42" s="87" t="str">
        <f aca="true">IF(L42="","",TODAY()-L42)</f>
        <v/>
      </c>
      <c r="N42" s="60"/>
    </row>
    <row r="43" customFormat="false" ht="15" hidden="false" customHeight="false" outlineLevel="0" collapsed="false">
      <c r="A43" s="56" t="s">
        <v>2521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3"/>
      <c r="M43" s="87" t="str">
        <f aca="true">IF(L43="","",TODAY()-L43)</f>
        <v/>
      </c>
      <c r="N43" s="60"/>
    </row>
    <row r="44" customFormat="false" ht="15" hidden="false" customHeight="false" outlineLevel="0" collapsed="false">
      <c r="A44" s="56" t="s">
        <v>2522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3"/>
      <c r="M44" s="87" t="str">
        <f aca="true">IF(L44="","",TODAY()-L44)</f>
        <v/>
      </c>
      <c r="N44" s="60"/>
    </row>
    <row r="45" customFormat="false" ht="15" hidden="false" customHeight="false" outlineLevel="0" collapsed="false">
      <c r="A45" s="56" t="s">
        <v>2523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3"/>
      <c r="M45" s="87" t="str">
        <f aca="true">IF(L45="","",TODAY()-L45)</f>
        <v/>
      </c>
      <c r="N45" s="60"/>
    </row>
    <row r="46" customFormat="false" ht="15" hidden="false" customHeight="false" outlineLevel="0" collapsed="false">
      <c r="A46" s="56" t="s">
        <v>2524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3"/>
      <c r="M46" s="87" t="str">
        <f aca="true">IF(L46="","",TODAY()-L46)</f>
        <v/>
      </c>
      <c r="N46" s="60"/>
    </row>
    <row r="47" customFormat="false" ht="15" hidden="false" customHeight="false" outlineLevel="0" collapsed="false">
      <c r="A47" s="56" t="s">
        <v>2525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3"/>
      <c r="M47" s="87" t="str">
        <f aca="true">IF(L47="","",TODAY()-L47)</f>
        <v/>
      </c>
      <c r="N47" s="60"/>
    </row>
    <row r="48" customFormat="false" ht="15" hidden="false" customHeight="false" outlineLevel="0" collapsed="false">
      <c r="A48" s="56" t="s">
        <v>2526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3"/>
      <c r="M48" s="87" t="str">
        <f aca="true">IF(L48="","",TODAY()-L48)</f>
        <v/>
      </c>
      <c r="N48" s="60"/>
    </row>
    <row r="49" customFormat="false" ht="15" hidden="false" customHeight="false" outlineLevel="0" collapsed="false">
      <c r="A49" s="56" t="s">
        <v>2527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3"/>
      <c r="M49" s="87" t="str">
        <f aca="true">IF(L49="","",TODAY()-L49)</f>
        <v/>
      </c>
      <c r="N49" s="60"/>
    </row>
    <row r="50" customFormat="false" ht="15" hidden="false" customHeight="false" outlineLevel="0" collapsed="false">
      <c r="A50" s="56" t="s">
        <v>2528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3"/>
      <c r="M50" s="87" t="str">
        <f aca="true">IF(L50="","",TODAY()-L50)</f>
        <v/>
      </c>
      <c r="N50" s="60"/>
    </row>
    <row r="51" customFormat="false" ht="15" hidden="false" customHeight="false" outlineLevel="0" collapsed="false">
      <c r="A51" s="56" t="s">
        <v>2529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3"/>
      <c r="M51" s="87" t="str">
        <f aca="true">IF(L51="","",TODAY()-L51)</f>
        <v/>
      </c>
      <c r="N51" s="60"/>
    </row>
    <row r="52" customFormat="false" ht="15" hidden="false" customHeight="false" outlineLevel="0" collapsed="false">
      <c r="A52" s="56" t="s">
        <v>2530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3"/>
      <c r="M52" s="87" t="str">
        <f aca="true">IF(L52="","",TODAY()-L52)</f>
        <v/>
      </c>
      <c r="N52" s="60"/>
    </row>
    <row r="53" customFormat="false" ht="15" hidden="false" customHeight="false" outlineLevel="0" collapsed="false">
      <c r="A53" s="56" t="s">
        <v>2531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3"/>
      <c r="M53" s="87" t="str">
        <f aca="true">IF(L53="","",TODAY()-L53)</f>
        <v/>
      </c>
      <c r="N53" s="60"/>
    </row>
    <row r="54" customFormat="false" ht="15" hidden="false" customHeight="false" outlineLevel="0" collapsed="false">
      <c r="A54" s="56" t="s">
        <v>2532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3"/>
      <c r="M54" s="87" t="str">
        <f aca="true">IF(L54="","",TODAY()-L54)</f>
        <v/>
      </c>
      <c r="N54" s="60"/>
    </row>
    <row r="55" customFormat="false" ht="15" hidden="false" customHeight="false" outlineLevel="0" collapsed="false">
      <c r="A55" s="56" t="s">
        <v>2533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3"/>
      <c r="M55" s="87" t="str">
        <f aca="true">IF(L55="","",TODAY()-L55)</f>
        <v/>
      </c>
      <c r="N55" s="60"/>
    </row>
    <row r="56" customFormat="false" ht="15" hidden="false" customHeight="false" outlineLevel="0" collapsed="false">
      <c r="A56" s="56" t="s">
        <v>2534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3"/>
      <c r="M56" s="87" t="str">
        <f aca="true">IF(L56="","",TODAY()-L56)</f>
        <v/>
      </c>
      <c r="N56" s="60"/>
    </row>
    <row r="57" customFormat="false" ht="15" hidden="false" customHeight="false" outlineLevel="0" collapsed="false">
      <c r="A57" s="56" t="s">
        <v>2535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3"/>
      <c r="M57" s="87" t="str">
        <f aca="true">IF(L57="","",TODAY()-L57)</f>
        <v/>
      </c>
      <c r="N57" s="60"/>
    </row>
    <row r="58" customFormat="false" ht="15" hidden="false" customHeight="false" outlineLevel="0" collapsed="false">
      <c r="A58" s="56" t="s">
        <v>2536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3"/>
      <c r="M58" s="87" t="str">
        <f aca="true">IF(L58="","",TODAY()-L58)</f>
        <v/>
      </c>
      <c r="N58" s="60"/>
    </row>
    <row r="59" customFormat="false" ht="15" hidden="false" customHeight="false" outlineLevel="0" collapsed="false">
      <c r="A59" s="56" t="s">
        <v>2537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3"/>
      <c r="M59" s="87" t="str">
        <f aca="true">IF(L59="","",TODAY()-L59)</f>
        <v/>
      </c>
      <c r="N59" s="60"/>
    </row>
    <row r="60" customFormat="false" ht="15" hidden="false" customHeight="false" outlineLevel="0" collapsed="false">
      <c r="A60" s="56" t="s">
        <v>2538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3"/>
      <c r="M60" s="87" t="str">
        <f aca="true">IF(L60="","",TODAY()-L60)</f>
        <v/>
      </c>
      <c r="N60" s="60"/>
    </row>
    <row r="61" customFormat="false" ht="15" hidden="false" customHeight="false" outlineLevel="0" collapsed="false">
      <c r="A61" s="56" t="s">
        <v>2539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3"/>
      <c r="M61" s="87" t="str">
        <f aca="true">IF(L61="","",TODAY()-L61)</f>
        <v/>
      </c>
      <c r="N61" s="60"/>
    </row>
    <row r="62" customFormat="false" ht="15" hidden="false" customHeight="false" outlineLevel="0" collapsed="false">
      <c r="A62" s="56" t="s">
        <v>2540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3"/>
      <c r="M62" s="87" t="str">
        <f aca="true">IF(L62="","",TODAY()-L62)</f>
        <v/>
      </c>
      <c r="N62" s="60"/>
    </row>
    <row r="63" customFormat="false" ht="15" hidden="false" customHeight="false" outlineLevel="0" collapsed="false">
      <c r="A63" s="56" t="s">
        <v>2541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3"/>
      <c r="M63" s="87" t="str">
        <f aca="true">IF(L63="","",TODAY()-L63)</f>
        <v/>
      </c>
      <c r="N63" s="60"/>
    </row>
    <row r="64" customFormat="false" ht="15" hidden="false" customHeight="false" outlineLevel="0" collapsed="false">
      <c r="A64" s="56" t="s">
        <v>2542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3"/>
      <c r="M64" s="87" t="str">
        <f aca="true">IF(L64="","",TODAY()-L64)</f>
        <v/>
      </c>
      <c r="N64" s="60"/>
    </row>
    <row r="65" customFormat="false" ht="15" hidden="false" customHeight="false" outlineLevel="0" collapsed="false">
      <c r="A65" s="56" t="s">
        <v>2543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3"/>
      <c r="M65" s="87" t="str">
        <f aca="true">IF(L65="","",TODAY()-L65)</f>
        <v/>
      </c>
      <c r="N65" s="60"/>
    </row>
    <row r="66" customFormat="false" ht="15" hidden="false" customHeight="false" outlineLevel="0" collapsed="false">
      <c r="A66" s="56" t="s">
        <v>2544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3"/>
      <c r="M66" s="87" t="str">
        <f aca="true">IF(L66="","",TODAY()-L66)</f>
        <v/>
      </c>
      <c r="N66" s="60"/>
    </row>
    <row r="67" customFormat="false" ht="15" hidden="false" customHeight="false" outlineLevel="0" collapsed="false">
      <c r="A67" s="56" t="s">
        <v>2545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3"/>
      <c r="M67" s="87" t="str">
        <f aca="true">IF(L67="","",TODAY()-L67)</f>
        <v/>
      </c>
      <c r="N67" s="60"/>
    </row>
    <row r="68" customFormat="false" ht="15" hidden="false" customHeight="false" outlineLevel="0" collapsed="false">
      <c r="A68" s="56" t="s">
        <v>2546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3"/>
      <c r="M68" s="87" t="str">
        <f aca="true">IF(L68="","",TODAY()-L68)</f>
        <v/>
      </c>
      <c r="N68" s="60"/>
    </row>
    <row r="69" customFormat="false" ht="15" hidden="false" customHeight="false" outlineLevel="0" collapsed="false">
      <c r="A69" s="56" t="s">
        <v>2547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3"/>
      <c r="M69" s="87" t="str">
        <f aca="true">IF(L69="","",TODAY()-L69)</f>
        <v/>
      </c>
      <c r="N69" s="60"/>
    </row>
    <row r="70" customFormat="false" ht="15" hidden="false" customHeight="false" outlineLevel="0" collapsed="false">
      <c r="A70" s="56" t="s">
        <v>2548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3"/>
      <c r="M70" s="87" t="str">
        <f aca="true">IF(L70="","",TODAY()-L70)</f>
        <v/>
      </c>
      <c r="N70" s="60"/>
    </row>
    <row r="71" customFormat="false" ht="15" hidden="false" customHeight="false" outlineLevel="0" collapsed="false">
      <c r="A71" s="56" t="s">
        <v>2549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3"/>
      <c r="M71" s="87" t="str">
        <f aca="true">IF(L71="","",TODAY()-L71)</f>
        <v/>
      </c>
      <c r="N71" s="60"/>
    </row>
    <row r="72" customFormat="false" ht="15" hidden="false" customHeight="false" outlineLevel="0" collapsed="false">
      <c r="A72" s="56" t="s">
        <v>2550</v>
      </c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3"/>
      <c r="M72" s="87" t="str">
        <f aca="true">IF(L72="","",TODAY()-L72)</f>
        <v/>
      </c>
      <c r="N72" s="60"/>
    </row>
    <row r="73" customFormat="false" ht="15" hidden="false" customHeight="false" outlineLevel="0" collapsed="false">
      <c r="A73" s="56" t="s">
        <v>2551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3"/>
      <c r="M73" s="87" t="str">
        <f aca="true">IF(L73="","",TODAY()-L73)</f>
        <v/>
      </c>
      <c r="N73" s="60"/>
    </row>
    <row r="74" customFormat="false" ht="15" hidden="false" customHeight="false" outlineLevel="0" collapsed="false">
      <c r="A74" s="56" t="s">
        <v>2552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3"/>
      <c r="M74" s="87" t="str">
        <f aca="true">IF(L74="","",TODAY()-L74)</f>
        <v/>
      </c>
      <c r="N74" s="60"/>
    </row>
    <row r="75" customFormat="false" ht="15" hidden="false" customHeight="false" outlineLevel="0" collapsed="false">
      <c r="A75" s="56" t="s">
        <v>2553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3"/>
      <c r="M75" s="87" t="str">
        <f aca="true">IF(L75="","",TODAY()-L75)</f>
        <v/>
      </c>
      <c r="N75" s="60"/>
    </row>
    <row r="76" customFormat="false" ht="15" hidden="false" customHeight="false" outlineLevel="0" collapsed="false">
      <c r="A76" s="56" t="s">
        <v>2554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3"/>
      <c r="M76" s="87" t="str">
        <f aca="true">IF(L76="","",TODAY()-L76)</f>
        <v/>
      </c>
      <c r="N76" s="60"/>
    </row>
    <row r="77" customFormat="false" ht="15" hidden="false" customHeight="false" outlineLevel="0" collapsed="false">
      <c r="A77" s="56" t="s">
        <v>2555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3"/>
      <c r="M77" s="87" t="str">
        <f aca="true">IF(L77="","",TODAY()-L77)</f>
        <v/>
      </c>
      <c r="N77" s="60"/>
    </row>
    <row r="78" customFormat="false" ht="15" hidden="false" customHeight="false" outlineLevel="0" collapsed="false">
      <c r="A78" s="56" t="s">
        <v>2556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3"/>
      <c r="M78" s="87" t="str">
        <f aca="true">IF(L78="","",TODAY()-L78)</f>
        <v/>
      </c>
      <c r="N78" s="60"/>
    </row>
    <row r="79" customFormat="false" ht="15" hidden="false" customHeight="false" outlineLevel="0" collapsed="false">
      <c r="A79" s="56" t="s">
        <v>2557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3"/>
      <c r="M79" s="87" t="str">
        <f aca="true">IF(L79="","",TODAY()-L79)</f>
        <v/>
      </c>
      <c r="N79" s="60"/>
    </row>
    <row r="80" customFormat="false" ht="15" hidden="false" customHeight="false" outlineLevel="0" collapsed="false">
      <c r="A80" s="56" t="s">
        <v>2558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3"/>
      <c r="M80" s="87" t="str">
        <f aca="true">IF(L80="","",TODAY()-L80)</f>
        <v/>
      </c>
      <c r="N80" s="60"/>
    </row>
    <row r="81" customFormat="false" ht="15" hidden="false" customHeight="false" outlineLevel="0" collapsed="false">
      <c r="A81" s="56" t="s">
        <v>2559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3"/>
      <c r="M81" s="87" t="str">
        <f aca="true">IF(L81="","",TODAY()-L81)</f>
        <v/>
      </c>
      <c r="N81" s="60"/>
    </row>
    <row r="82" customFormat="false" ht="15" hidden="false" customHeight="false" outlineLevel="0" collapsed="false">
      <c r="A82" s="56" t="s">
        <v>2560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3"/>
      <c r="M82" s="87" t="str">
        <f aca="true">IF(L82="","",TODAY()-L82)</f>
        <v/>
      </c>
      <c r="N82" s="60"/>
    </row>
    <row r="83" customFormat="false" ht="15" hidden="false" customHeight="false" outlineLevel="0" collapsed="false">
      <c r="A83" s="56" t="s">
        <v>2561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3"/>
      <c r="M83" s="87" t="str">
        <f aca="true">IF(L83="","",TODAY()-L83)</f>
        <v/>
      </c>
      <c r="N83" s="60"/>
    </row>
    <row r="84" customFormat="false" ht="15" hidden="false" customHeight="false" outlineLevel="0" collapsed="false">
      <c r="A84" s="56" t="s">
        <v>2562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3"/>
      <c r="M84" s="87" t="str">
        <f aca="true">IF(L84="","",TODAY()-L84)</f>
        <v/>
      </c>
      <c r="N84" s="60"/>
    </row>
    <row r="85" customFormat="false" ht="15" hidden="false" customHeight="false" outlineLevel="0" collapsed="false">
      <c r="A85" s="56" t="s">
        <v>2563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3"/>
      <c r="M85" s="87" t="str">
        <f aca="true">IF(L85="","",TODAY()-L85)</f>
        <v/>
      </c>
      <c r="N85" s="60"/>
    </row>
    <row r="86" customFormat="false" ht="15" hidden="false" customHeight="false" outlineLevel="0" collapsed="false">
      <c r="A86" s="56" t="s">
        <v>2564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3"/>
      <c r="M86" s="87" t="str">
        <f aca="true">IF(L86="","",TODAY()-L86)</f>
        <v/>
      </c>
      <c r="N86" s="60"/>
    </row>
    <row r="87" customFormat="false" ht="15" hidden="false" customHeight="false" outlineLevel="0" collapsed="false">
      <c r="A87" s="56" t="s">
        <v>2565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3"/>
      <c r="M87" s="87" t="str">
        <f aca="true">IF(L87="","",TODAY()-L87)</f>
        <v/>
      </c>
      <c r="N87" s="60"/>
    </row>
    <row r="88" customFormat="false" ht="15" hidden="false" customHeight="false" outlineLevel="0" collapsed="false">
      <c r="A88" s="56" t="s">
        <v>2566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3"/>
      <c r="M88" s="87" t="str">
        <f aca="true">IF(L88="","",TODAY()-L88)</f>
        <v/>
      </c>
      <c r="N88" s="60"/>
    </row>
    <row r="89" customFormat="false" ht="15" hidden="false" customHeight="false" outlineLevel="0" collapsed="false">
      <c r="A89" s="56" t="s">
        <v>2567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3"/>
      <c r="M89" s="87" t="str">
        <f aca="true">IF(L89="","",TODAY()-L89)</f>
        <v/>
      </c>
      <c r="N89" s="60"/>
    </row>
    <row r="90" customFormat="false" ht="15" hidden="false" customHeight="false" outlineLevel="0" collapsed="false">
      <c r="A90" s="56" t="s">
        <v>2568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3"/>
      <c r="M90" s="87" t="str">
        <f aca="true">IF(L90="","",TODAY()-L90)</f>
        <v/>
      </c>
      <c r="N90" s="60"/>
    </row>
    <row r="91" customFormat="false" ht="15" hidden="false" customHeight="false" outlineLevel="0" collapsed="false">
      <c r="A91" s="56" t="s">
        <v>2569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3"/>
      <c r="M91" s="87" t="str">
        <f aca="true">IF(L91="","",TODAY()-L91)</f>
        <v/>
      </c>
      <c r="N91" s="60"/>
    </row>
    <row r="92" customFormat="false" ht="15" hidden="false" customHeight="false" outlineLevel="0" collapsed="false">
      <c r="A92" s="56" t="s">
        <v>2570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3"/>
      <c r="M92" s="87" t="str">
        <f aca="true">IF(L92="","",TODAY()-L92)</f>
        <v/>
      </c>
      <c r="N92" s="60"/>
    </row>
    <row r="93" customFormat="false" ht="15" hidden="false" customHeight="false" outlineLevel="0" collapsed="false">
      <c r="A93" s="56" t="s">
        <v>2571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3"/>
      <c r="M93" s="87" t="str">
        <f aca="true">IF(L93="","",TODAY()-L93)</f>
        <v/>
      </c>
      <c r="N93" s="60"/>
    </row>
    <row r="94" customFormat="false" ht="15" hidden="false" customHeight="false" outlineLevel="0" collapsed="false">
      <c r="A94" s="56" t="s">
        <v>2572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3"/>
      <c r="M94" s="87" t="str">
        <f aca="true">IF(L94="","",TODAY()-L94)</f>
        <v/>
      </c>
      <c r="N94" s="60"/>
    </row>
    <row r="95" customFormat="false" ht="15" hidden="false" customHeight="false" outlineLevel="0" collapsed="false">
      <c r="A95" s="56" t="s">
        <v>2573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3"/>
      <c r="M95" s="87" t="str">
        <f aca="true">IF(L95="","",TODAY()-L95)</f>
        <v/>
      </c>
      <c r="N95" s="60"/>
    </row>
    <row r="96" customFormat="false" ht="15" hidden="false" customHeight="false" outlineLevel="0" collapsed="false">
      <c r="A96" s="56" t="s">
        <v>2574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3"/>
      <c r="M96" s="87" t="str">
        <f aca="true">IF(L96="","",TODAY()-L96)</f>
        <v/>
      </c>
      <c r="N96" s="60"/>
    </row>
    <row r="97" customFormat="false" ht="15" hidden="false" customHeight="false" outlineLevel="0" collapsed="false">
      <c r="A97" s="56" t="s">
        <v>2575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3"/>
      <c r="M97" s="87" t="str">
        <f aca="true">IF(L97="","",TODAY()-L97)</f>
        <v/>
      </c>
      <c r="N97" s="60"/>
    </row>
    <row r="98" customFormat="false" ht="15" hidden="false" customHeight="false" outlineLevel="0" collapsed="false">
      <c r="A98" s="56" t="s">
        <v>2576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3"/>
      <c r="M98" s="87" t="str">
        <f aca="true">IF(L98="","",TODAY()-L98)</f>
        <v/>
      </c>
      <c r="N98" s="60"/>
    </row>
    <row r="99" customFormat="false" ht="15" hidden="false" customHeight="false" outlineLevel="0" collapsed="false">
      <c r="A99" s="56" t="s">
        <v>2577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3"/>
      <c r="M99" s="87" t="str">
        <f aca="true">IF(L99="","",TODAY()-L99)</f>
        <v/>
      </c>
      <c r="N99" s="60"/>
    </row>
    <row r="100" customFormat="false" ht="15" hidden="false" customHeight="false" outlineLevel="0" collapsed="false">
      <c r="A100" s="56" t="s">
        <v>2578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3"/>
      <c r="M100" s="87" t="str">
        <f aca="true">IF(L100="","",TODAY()-L100)</f>
        <v/>
      </c>
      <c r="N100" s="60"/>
    </row>
    <row r="101" customFormat="false" ht="15" hidden="false" customHeight="false" outlineLevel="0" collapsed="false">
      <c r="A101" s="56" t="s">
        <v>2579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3"/>
      <c r="M101" s="87" t="str">
        <f aca="true">IF(L101="","",TODAY()-L101)</f>
        <v/>
      </c>
      <c r="N101" s="60"/>
    </row>
    <row r="102" customFormat="false" ht="15" hidden="false" customHeight="false" outlineLevel="0" collapsed="false">
      <c r="A102" s="56" t="s">
        <v>2580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3"/>
      <c r="M102" s="87" t="str">
        <f aca="true">IF(L102="","",TODAY()-L102)</f>
        <v/>
      </c>
      <c r="N102" s="60"/>
    </row>
    <row r="103" customFormat="false" ht="15" hidden="false" customHeight="false" outlineLevel="0" collapsed="false">
      <c r="A103" s="56" t="s">
        <v>2581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3"/>
      <c r="M103" s="87" t="str">
        <f aca="true">IF(L103="","",TODAY()-L103)</f>
        <v/>
      </c>
      <c r="N103" s="60"/>
    </row>
    <row r="104" customFormat="false" ht="15" hidden="false" customHeight="false" outlineLevel="0" collapsed="false">
      <c r="A104" s="56" t="s">
        <v>2582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3"/>
      <c r="M104" s="87" t="str">
        <f aca="true">IF(L104="","",TODAY()-L104)</f>
        <v/>
      </c>
      <c r="N104" s="60"/>
    </row>
    <row r="105" customFormat="false" ht="15" hidden="false" customHeight="false" outlineLevel="0" collapsed="false">
      <c r="A105" s="56" t="s">
        <v>2583</v>
      </c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3"/>
      <c r="M105" s="87" t="str">
        <f aca="true">IF(L105="","",TODAY()-L105)</f>
        <v/>
      </c>
      <c r="N105" s="60"/>
    </row>
    <row r="106" customFormat="false" ht="15" hidden="false" customHeight="false" outlineLevel="0" collapsed="false">
      <c r="A106" s="56" t="s">
        <v>2584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3"/>
      <c r="M106" s="87" t="str">
        <f aca="true">IF(L106="","",TODAY()-L106)</f>
        <v/>
      </c>
      <c r="N106" s="60"/>
    </row>
    <row r="107" customFormat="false" ht="15" hidden="false" customHeight="false" outlineLevel="0" collapsed="false">
      <c r="A107" s="56" t="s">
        <v>2585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3"/>
      <c r="M107" s="87" t="str">
        <f aca="true">IF(L107="","",TODAY()-L107)</f>
        <v/>
      </c>
      <c r="N107" s="60"/>
    </row>
    <row r="108" customFormat="false" ht="15" hidden="false" customHeight="false" outlineLevel="0" collapsed="false">
      <c r="A108" s="56" t="s">
        <v>2586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3"/>
      <c r="M108" s="87" t="str">
        <f aca="true">IF(L108="","",TODAY()-L108)</f>
        <v/>
      </c>
      <c r="N108" s="60"/>
    </row>
    <row r="109" customFormat="false" ht="15" hidden="false" customHeight="false" outlineLevel="0" collapsed="false">
      <c r="A109" s="56" t="s">
        <v>2587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3"/>
      <c r="M109" s="87" t="str">
        <f aca="true">IF(L109="","",TODAY()-L109)</f>
        <v/>
      </c>
      <c r="N109" s="60"/>
    </row>
    <row r="110" customFormat="false" ht="15" hidden="false" customHeight="false" outlineLevel="0" collapsed="false">
      <c r="A110" s="56" t="s">
        <v>2588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3"/>
      <c r="M110" s="87" t="str">
        <f aca="true">IF(L110="","",TODAY()-L110)</f>
        <v/>
      </c>
      <c r="N110" s="60"/>
    </row>
    <row r="111" customFormat="false" ht="15" hidden="false" customHeight="false" outlineLevel="0" collapsed="false">
      <c r="A111" s="56" t="s">
        <v>2589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3"/>
      <c r="M111" s="87" t="str">
        <f aca="true">IF(L111="","",TODAY()-L111)</f>
        <v/>
      </c>
      <c r="N111" s="60"/>
    </row>
    <row r="112" customFormat="false" ht="15" hidden="false" customHeight="false" outlineLevel="0" collapsed="false">
      <c r="A112" s="56" t="s">
        <v>2590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3"/>
      <c r="M112" s="87" t="str">
        <f aca="true">IF(L112="","",TODAY()-L112)</f>
        <v/>
      </c>
      <c r="N112" s="60"/>
    </row>
    <row r="113" customFormat="false" ht="15" hidden="false" customHeight="false" outlineLevel="0" collapsed="false">
      <c r="A113" s="56" t="s">
        <v>2591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3"/>
      <c r="M113" s="87" t="str">
        <f aca="true">IF(L113="","",TODAY()-L113)</f>
        <v/>
      </c>
      <c r="N113" s="60"/>
    </row>
    <row r="114" customFormat="false" ht="15" hidden="false" customHeight="false" outlineLevel="0" collapsed="false">
      <c r="A114" s="56" t="s">
        <v>2592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3"/>
      <c r="M114" s="87" t="str">
        <f aca="true">IF(L114="","",TODAY()-L114)</f>
        <v/>
      </c>
      <c r="N114" s="60"/>
    </row>
    <row r="115" customFormat="false" ht="15" hidden="false" customHeight="false" outlineLevel="0" collapsed="false">
      <c r="A115" s="56" t="s">
        <v>2593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3"/>
      <c r="M115" s="87" t="str">
        <f aca="true">IF(L115="","",TODAY()-L115)</f>
        <v/>
      </c>
      <c r="N115" s="60"/>
    </row>
    <row r="116" customFormat="false" ht="15" hidden="false" customHeight="false" outlineLevel="0" collapsed="false">
      <c r="A116" s="56" t="s">
        <v>2594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3"/>
      <c r="M116" s="87" t="str">
        <f aca="true">IF(L116="","",TODAY()-L116)</f>
        <v/>
      </c>
      <c r="N116" s="60"/>
    </row>
    <row r="117" customFormat="false" ht="15" hidden="false" customHeight="false" outlineLevel="0" collapsed="false">
      <c r="A117" s="56" t="s">
        <v>2595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3"/>
      <c r="M117" s="87" t="str">
        <f aca="true">IF(L117="","",TODAY()-L117)</f>
        <v/>
      </c>
      <c r="N117" s="60"/>
    </row>
    <row r="118" customFormat="false" ht="15" hidden="false" customHeight="false" outlineLevel="0" collapsed="false">
      <c r="A118" s="56" t="s">
        <v>2596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3"/>
      <c r="M118" s="87" t="str">
        <f aca="true">IF(L118="","",TODAY()-L118)</f>
        <v/>
      </c>
      <c r="N118" s="60"/>
    </row>
    <row r="119" customFormat="false" ht="15" hidden="false" customHeight="false" outlineLevel="0" collapsed="false">
      <c r="A119" s="56" t="s">
        <v>2597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3"/>
      <c r="M119" s="87" t="str">
        <f aca="true">IF(L119="","",TODAY()-L119)</f>
        <v/>
      </c>
      <c r="N119" s="60"/>
    </row>
    <row r="120" customFormat="false" ht="15" hidden="false" customHeight="false" outlineLevel="0" collapsed="false">
      <c r="A120" s="56" t="s">
        <v>2598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3"/>
      <c r="M120" s="87" t="str">
        <f aca="true">IF(L120="","",TODAY()-L120)</f>
        <v/>
      </c>
      <c r="N120" s="60"/>
    </row>
    <row r="121" customFormat="false" ht="15" hidden="false" customHeight="false" outlineLevel="0" collapsed="false">
      <c r="A121" s="56" t="s">
        <v>2599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3"/>
      <c r="M121" s="87" t="str">
        <f aca="true">IF(L121="","",TODAY()-L121)</f>
        <v/>
      </c>
      <c r="N121" s="60"/>
    </row>
    <row r="122" customFormat="false" ht="15" hidden="false" customHeight="false" outlineLevel="0" collapsed="false">
      <c r="A122" s="56" t="s">
        <v>2600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3"/>
      <c r="M122" s="87" t="str">
        <f aca="true">IF(L122="","",TODAY()-L122)</f>
        <v/>
      </c>
      <c r="N122" s="60"/>
    </row>
    <row r="123" customFormat="false" ht="15" hidden="false" customHeight="false" outlineLevel="0" collapsed="false">
      <c r="A123" s="56" t="s">
        <v>2601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3"/>
      <c r="M123" s="87" t="str">
        <f aca="true">IF(L123="","",TODAY()-L123)</f>
        <v/>
      </c>
      <c r="N123" s="60"/>
    </row>
    <row r="124" customFormat="false" ht="15" hidden="false" customHeight="false" outlineLevel="0" collapsed="false">
      <c r="A124" s="56" t="s">
        <v>2602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3"/>
      <c r="M124" s="87" t="str">
        <f aca="true">IF(L124="","",TODAY()-L124)</f>
        <v/>
      </c>
      <c r="N124" s="60"/>
    </row>
    <row r="125" customFormat="false" ht="15" hidden="false" customHeight="false" outlineLevel="0" collapsed="false">
      <c r="A125" s="56" t="s">
        <v>2603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3"/>
      <c r="M125" s="87" t="str">
        <f aca="true">IF(L125="","",TODAY()-L125)</f>
        <v/>
      </c>
      <c r="N125" s="60"/>
    </row>
    <row r="126" customFormat="false" ht="15" hidden="false" customHeight="false" outlineLevel="0" collapsed="false">
      <c r="A126" s="56" t="s">
        <v>2604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3"/>
      <c r="M126" s="87" t="str">
        <f aca="true">IF(L126="","",TODAY()-L126)</f>
        <v/>
      </c>
      <c r="N126" s="60"/>
    </row>
    <row r="127" customFormat="false" ht="15" hidden="false" customHeight="false" outlineLevel="0" collapsed="false">
      <c r="A127" s="56" t="s">
        <v>2605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3"/>
      <c r="M127" s="87" t="str">
        <f aca="true">IF(L127="","",TODAY()-L127)</f>
        <v/>
      </c>
      <c r="N127" s="60"/>
    </row>
    <row r="128" customFormat="false" ht="15" hidden="false" customHeight="false" outlineLevel="0" collapsed="false">
      <c r="A128" s="56" t="s">
        <v>2606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3"/>
      <c r="M128" s="87" t="str">
        <f aca="true">IF(L128="","",TODAY()-L128)</f>
        <v/>
      </c>
      <c r="N128" s="60"/>
    </row>
    <row r="129" customFormat="false" ht="15" hidden="false" customHeight="false" outlineLevel="0" collapsed="false">
      <c r="A129" s="56" t="s">
        <v>2607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3"/>
      <c r="M129" s="87" t="str">
        <f aca="true">IF(L129="","",TODAY()-L129)</f>
        <v/>
      </c>
      <c r="N129" s="60"/>
    </row>
    <row r="130" customFormat="false" ht="15" hidden="false" customHeight="false" outlineLevel="0" collapsed="false">
      <c r="A130" s="56" t="s">
        <v>2608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3"/>
      <c r="M130" s="87" t="str">
        <f aca="true">IF(L130="","",TODAY()-L130)</f>
        <v/>
      </c>
      <c r="N130" s="60"/>
    </row>
    <row r="131" customFormat="false" ht="15" hidden="false" customHeight="false" outlineLevel="0" collapsed="false">
      <c r="A131" s="56" t="s">
        <v>2609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3"/>
      <c r="M131" s="87" t="str">
        <f aca="true">IF(L131="","",TODAY()-L131)</f>
        <v/>
      </c>
      <c r="N131" s="60"/>
    </row>
    <row r="132" customFormat="false" ht="15" hidden="false" customHeight="false" outlineLevel="0" collapsed="false">
      <c r="A132" s="56" t="s">
        <v>2610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3"/>
      <c r="M132" s="87" t="str">
        <f aca="true">IF(L132="","",TODAY()-L132)</f>
        <v/>
      </c>
      <c r="N132" s="60"/>
    </row>
    <row r="133" customFormat="false" ht="15" hidden="false" customHeight="false" outlineLevel="0" collapsed="false">
      <c r="A133" s="56" t="s">
        <v>2611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3"/>
      <c r="M133" s="87" t="str">
        <f aca="true">IF(L133="","",TODAY()-L133)</f>
        <v/>
      </c>
      <c r="N133" s="60"/>
    </row>
    <row r="134" customFormat="false" ht="15" hidden="false" customHeight="false" outlineLevel="0" collapsed="false">
      <c r="A134" s="56" t="s">
        <v>2612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3"/>
      <c r="M134" s="87" t="str">
        <f aca="true">IF(L134="","",TODAY()-L134)</f>
        <v/>
      </c>
      <c r="N134" s="60"/>
    </row>
    <row r="135" customFormat="false" ht="15" hidden="false" customHeight="false" outlineLevel="0" collapsed="false">
      <c r="A135" s="56" t="s">
        <v>2613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3"/>
      <c r="M135" s="87" t="str">
        <f aca="true">IF(L135="","",TODAY()-L135)</f>
        <v/>
      </c>
      <c r="N135" s="60"/>
    </row>
    <row r="136" customFormat="false" ht="15" hidden="false" customHeight="false" outlineLevel="0" collapsed="false">
      <c r="A136" s="56" t="s">
        <v>2614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3"/>
      <c r="M136" s="87" t="str">
        <f aca="true">IF(L136="","",TODAY()-L136)</f>
        <v/>
      </c>
      <c r="N136" s="60"/>
    </row>
    <row r="137" customFormat="false" ht="15" hidden="false" customHeight="false" outlineLevel="0" collapsed="false">
      <c r="A137" s="56" t="s">
        <v>2615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3"/>
      <c r="M137" s="87" t="str">
        <f aca="true">IF(L137="","",TODAY()-L137)</f>
        <v/>
      </c>
      <c r="N137" s="60"/>
    </row>
    <row r="138" customFormat="false" ht="15" hidden="false" customHeight="false" outlineLevel="0" collapsed="false">
      <c r="A138" s="56" t="s">
        <v>2616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3"/>
      <c r="M138" s="87" t="str">
        <f aca="true">IF(L138="","",TODAY()-L138)</f>
        <v/>
      </c>
      <c r="N138" s="60"/>
    </row>
    <row r="139" customFormat="false" ht="15" hidden="false" customHeight="false" outlineLevel="0" collapsed="false">
      <c r="A139" s="56" t="s">
        <v>2617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3"/>
      <c r="M139" s="87" t="str">
        <f aca="true">IF(L139="","",TODAY()-L139)</f>
        <v/>
      </c>
      <c r="N139" s="60"/>
    </row>
    <row r="140" customFormat="false" ht="15" hidden="false" customHeight="false" outlineLevel="0" collapsed="false">
      <c r="A140" s="56" t="s">
        <v>2618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3"/>
      <c r="M140" s="87" t="str">
        <f aca="true">IF(L140="","",TODAY()-L140)</f>
        <v/>
      </c>
      <c r="N140" s="60"/>
    </row>
    <row r="141" customFormat="false" ht="15" hidden="false" customHeight="false" outlineLevel="0" collapsed="false">
      <c r="A141" s="56" t="s">
        <v>2619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3"/>
      <c r="M141" s="87" t="str">
        <f aca="true">IF(L141="","",TODAY()-L141)</f>
        <v/>
      </c>
      <c r="N141" s="60"/>
    </row>
    <row r="142" customFormat="false" ht="15" hidden="false" customHeight="false" outlineLevel="0" collapsed="false">
      <c r="A142" s="56" t="s">
        <v>2620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3"/>
      <c r="M142" s="87" t="str">
        <f aca="true">IF(L142="","",TODAY()-L142)</f>
        <v/>
      </c>
      <c r="N142" s="60"/>
    </row>
    <row r="143" customFormat="false" ht="15" hidden="false" customHeight="false" outlineLevel="0" collapsed="false">
      <c r="A143" s="56" t="s">
        <v>2621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3"/>
      <c r="M143" s="87" t="str">
        <f aca="true">IF(L143="","",TODAY()-L143)</f>
        <v/>
      </c>
      <c r="N143" s="60"/>
    </row>
    <row r="144" customFormat="false" ht="15" hidden="false" customHeight="false" outlineLevel="0" collapsed="false">
      <c r="A144" s="56" t="s">
        <v>2622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3"/>
      <c r="M144" s="87" t="str">
        <f aca="true">IF(L144="","",TODAY()-L144)</f>
        <v/>
      </c>
      <c r="N144" s="60"/>
    </row>
    <row r="145" customFormat="false" ht="15" hidden="false" customHeight="false" outlineLevel="0" collapsed="false">
      <c r="A145" s="56" t="s">
        <v>2623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3"/>
      <c r="M145" s="87" t="str">
        <f aca="true">IF(L145="","",TODAY()-L145)</f>
        <v/>
      </c>
      <c r="N145" s="60"/>
    </row>
    <row r="146" customFormat="false" ht="15" hidden="false" customHeight="false" outlineLevel="0" collapsed="false">
      <c r="A146" s="56" t="s">
        <v>2624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3"/>
      <c r="M146" s="87" t="str">
        <f aca="true">IF(L146="","",TODAY()-L146)</f>
        <v/>
      </c>
      <c r="N146" s="60"/>
    </row>
    <row r="147" customFormat="false" ht="15" hidden="false" customHeight="false" outlineLevel="0" collapsed="false">
      <c r="A147" s="56" t="s">
        <v>2625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3"/>
      <c r="M147" s="87" t="str">
        <f aca="true">IF(L147="","",TODAY()-L147)</f>
        <v/>
      </c>
      <c r="N147" s="60"/>
    </row>
    <row r="148" customFormat="false" ht="15" hidden="false" customHeight="false" outlineLevel="0" collapsed="false">
      <c r="A148" s="56" t="s">
        <v>2626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3"/>
      <c r="M148" s="87" t="str">
        <f aca="true">IF(L148="","",TODAY()-L148)</f>
        <v/>
      </c>
      <c r="N148" s="60"/>
    </row>
    <row r="149" customFormat="false" ht="15" hidden="false" customHeight="false" outlineLevel="0" collapsed="false">
      <c r="A149" s="56" t="s">
        <v>2627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3"/>
      <c r="M149" s="87" t="str">
        <f aca="true">IF(L149="","",TODAY()-L149)</f>
        <v/>
      </c>
      <c r="N149" s="60"/>
    </row>
    <row r="150" customFormat="false" ht="15" hidden="false" customHeight="false" outlineLevel="0" collapsed="false">
      <c r="A150" s="56" t="s">
        <v>2628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3"/>
      <c r="M150" s="87" t="str">
        <f aca="true">IF(L150="","",TODAY()-L150)</f>
        <v/>
      </c>
      <c r="N150" s="60"/>
    </row>
    <row r="151" customFormat="false" ht="15" hidden="false" customHeight="false" outlineLevel="0" collapsed="false">
      <c r="A151" s="56" t="s">
        <v>2629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3"/>
      <c r="M151" s="87" t="str">
        <f aca="true">IF(L151="","",TODAY()-L151)</f>
        <v/>
      </c>
      <c r="N151" s="60"/>
    </row>
    <row r="152" customFormat="false" ht="15" hidden="false" customHeight="false" outlineLevel="0" collapsed="false">
      <c r="A152" s="56" t="s">
        <v>2630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3"/>
      <c r="M152" s="87" t="str">
        <f aca="true">IF(L152="","",TODAY()-L152)</f>
        <v/>
      </c>
      <c r="N152" s="60"/>
    </row>
    <row r="153" customFormat="false" ht="15" hidden="false" customHeight="false" outlineLevel="0" collapsed="false">
      <c r="A153" s="56" t="s">
        <v>2631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3"/>
      <c r="M153" s="87" t="str">
        <f aca="true">IF(L153="","",TODAY()-L153)</f>
        <v/>
      </c>
      <c r="N153" s="60"/>
    </row>
    <row r="154" customFormat="false" ht="15" hidden="false" customHeight="false" outlineLevel="0" collapsed="false">
      <c r="A154" s="56" t="s">
        <v>2632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3"/>
      <c r="M154" s="87" t="str">
        <f aca="true">IF(L154="","",TODAY()-L154)</f>
        <v/>
      </c>
      <c r="N154" s="60"/>
    </row>
    <row r="155" customFormat="false" ht="15" hidden="false" customHeight="false" outlineLevel="0" collapsed="false">
      <c r="A155" s="56" t="s">
        <v>2633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3"/>
      <c r="M155" s="87" t="str">
        <f aca="true">IF(L155="","",TODAY()-L155)</f>
        <v/>
      </c>
      <c r="N155" s="60"/>
    </row>
    <row r="156" customFormat="false" ht="15" hidden="false" customHeight="false" outlineLevel="0" collapsed="false">
      <c r="A156" s="56" t="s">
        <v>2634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3"/>
      <c r="M156" s="87" t="str">
        <f aca="true">IF(L156="","",TODAY()-L156)</f>
        <v/>
      </c>
      <c r="N156" s="60"/>
    </row>
    <row r="157" customFormat="false" ht="15" hidden="false" customHeight="false" outlineLevel="0" collapsed="false">
      <c r="A157" s="56" t="s">
        <v>2635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3"/>
      <c r="M157" s="87" t="str">
        <f aca="true">IF(L157="","",TODAY()-L157)</f>
        <v/>
      </c>
      <c r="N157" s="60"/>
    </row>
    <row r="158" customFormat="false" ht="15" hidden="false" customHeight="false" outlineLevel="0" collapsed="false">
      <c r="A158" s="56" t="s">
        <v>2636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3"/>
      <c r="M158" s="87" t="str">
        <f aca="true">IF(L158="","",TODAY()-L158)</f>
        <v/>
      </c>
      <c r="N158" s="60"/>
    </row>
    <row r="159" customFormat="false" ht="15" hidden="false" customHeight="false" outlineLevel="0" collapsed="false">
      <c r="A159" s="56" t="s">
        <v>2637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3"/>
      <c r="M159" s="87" t="str">
        <f aca="true">IF(L159="","",TODAY()-L159)</f>
        <v/>
      </c>
      <c r="N159" s="60"/>
    </row>
    <row r="160" customFormat="false" ht="15" hidden="false" customHeight="false" outlineLevel="0" collapsed="false">
      <c r="A160" s="56" t="s">
        <v>2638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3"/>
      <c r="M160" s="87" t="str">
        <f aca="true">IF(L160="","",TODAY()-L160)</f>
        <v/>
      </c>
      <c r="N160" s="60"/>
    </row>
    <row r="161" customFormat="false" ht="15" hidden="false" customHeight="false" outlineLevel="0" collapsed="false">
      <c r="A161" s="56" t="s">
        <v>2639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3"/>
      <c r="M161" s="87" t="str">
        <f aca="true">IF(L161="","",TODAY()-L161)</f>
        <v/>
      </c>
      <c r="N161" s="60"/>
    </row>
    <row r="162" customFormat="false" ht="15" hidden="false" customHeight="false" outlineLevel="0" collapsed="false">
      <c r="A162" s="56" t="s">
        <v>2640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3"/>
      <c r="M162" s="87" t="str">
        <f aca="true">IF(L162="","",TODAY()-L162)</f>
        <v/>
      </c>
      <c r="N162" s="60"/>
    </row>
    <row r="163" customFormat="false" ht="15" hidden="false" customHeight="false" outlineLevel="0" collapsed="false">
      <c r="A163" s="56" t="s">
        <v>2641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3"/>
      <c r="M163" s="87" t="str">
        <f aca="true">IF(L163="","",TODAY()-L163)</f>
        <v/>
      </c>
      <c r="N163" s="60"/>
    </row>
    <row r="164" customFormat="false" ht="15" hidden="false" customHeight="false" outlineLevel="0" collapsed="false">
      <c r="A164" s="56" t="s">
        <v>2642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3"/>
      <c r="M164" s="87" t="str">
        <f aca="true">IF(L164="","",TODAY()-L164)</f>
        <v/>
      </c>
      <c r="N164" s="60"/>
    </row>
    <row r="165" customFormat="false" ht="15" hidden="false" customHeight="false" outlineLevel="0" collapsed="false">
      <c r="A165" s="56" t="s">
        <v>2643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3"/>
      <c r="M165" s="87" t="str">
        <f aca="true">IF(L165="","",TODAY()-L165)</f>
        <v/>
      </c>
      <c r="N165" s="60"/>
    </row>
    <row r="166" customFormat="false" ht="15" hidden="false" customHeight="false" outlineLevel="0" collapsed="false">
      <c r="A166" s="56" t="s">
        <v>2644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3"/>
      <c r="M166" s="87" t="str">
        <f aca="true">IF(L166="","",TODAY()-L166)</f>
        <v/>
      </c>
      <c r="N166" s="60"/>
    </row>
    <row r="167" customFormat="false" ht="15" hidden="false" customHeight="false" outlineLevel="0" collapsed="false">
      <c r="A167" s="56" t="s">
        <v>2645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3"/>
      <c r="M167" s="87" t="str">
        <f aca="true">IF(L167="","",TODAY()-L167)</f>
        <v/>
      </c>
      <c r="N167" s="60"/>
    </row>
    <row r="168" customFormat="false" ht="15" hidden="false" customHeight="false" outlineLevel="0" collapsed="false">
      <c r="A168" s="56" t="s">
        <v>2646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3"/>
      <c r="M168" s="87" t="str">
        <f aca="true">IF(L168="","",TODAY()-L168)</f>
        <v/>
      </c>
      <c r="N168" s="60"/>
    </row>
    <row r="169" customFormat="false" ht="15" hidden="false" customHeight="false" outlineLevel="0" collapsed="false">
      <c r="A169" s="56" t="s">
        <v>2647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3"/>
      <c r="M169" s="87" t="str">
        <f aca="true">IF(L169="","",TODAY()-L169)</f>
        <v/>
      </c>
      <c r="N169" s="60"/>
    </row>
    <row r="170" customFormat="false" ht="15" hidden="false" customHeight="false" outlineLevel="0" collapsed="false">
      <c r="A170" s="56" t="s">
        <v>2648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3"/>
      <c r="M170" s="87" t="str">
        <f aca="true">IF(L170="","",TODAY()-L170)</f>
        <v/>
      </c>
      <c r="N170" s="60"/>
    </row>
    <row r="171" customFormat="false" ht="15" hidden="false" customHeight="false" outlineLevel="0" collapsed="false">
      <c r="A171" s="56" t="s">
        <v>2649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3"/>
      <c r="M171" s="87" t="str">
        <f aca="true">IF(L171="","",TODAY()-L171)</f>
        <v/>
      </c>
      <c r="N171" s="60"/>
    </row>
    <row r="172" customFormat="false" ht="15" hidden="false" customHeight="false" outlineLevel="0" collapsed="false">
      <c r="A172" s="56" t="s">
        <v>2650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3"/>
      <c r="M172" s="87" t="str">
        <f aca="true">IF(L172="","",TODAY()-L172)</f>
        <v/>
      </c>
      <c r="N172" s="60"/>
    </row>
    <row r="173" customFormat="false" ht="15" hidden="false" customHeight="false" outlineLevel="0" collapsed="false">
      <c r="A173" s="56" t="s">
        <v>2651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3"/>
      <c r="M173" s="87" t="str">
        <f aca="true">IF(L173="","",TODAY()-L173)</f>
        <v/>
      </c>
      <c r="N173" s="60"/>
    </row>
    <row r="174" customFormat="false" ht="15" hidden="false" customHeight="false" outlineLevel="0" collapsed="false">
      <c r="A174" s="56" t="s">
        <v>2652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3"/>
      <c r="M174" s="87" t="str">
        <f aca="true">IF(L174="","",TODAY()-L174)</f>
        <v/>
      </c>
      <c r="N174" s="60"/>
    </row>
    <row r="175" customFormat="false" ht="15" hidden="false" customHeight="false" outlineLevel="0" collapsed="false">
      <c r="A175" s="56" t="s">
        <v>2653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3"/>
      <c r="M175" s="87" t="str">
        <f aca="true">IF(L175="","",TODAY()-L175)</f>
        <v/>
      </c>
      <c r="N175" s="60"/>
    </row>
    <row r="176" customFormat="false" ht="15" hidden="false" customHeight="false" outlineLevel="0" collapsed="false">
      <c r="A176" s="56" t="s">
        <v>2654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3"/>
      <c r="M176" s="87" t="str">
        <f aca="true">IF(L176="","",TODAY()-L176)</f>
        <v/>
      </c>
      <c r="N176" s="60"/>
    </row>
    <row r="177" customFormat="false" ht="15" hidden="false" customHeight="false" outlineLevel="0" collapsed="false">
      <c r="A177" s="56" t="s">
        <v>2655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3"/>
      <c r="M177" s="87" t="str">
        <f aca="true">IF(L177="","",TODAY()-L177)</f>
        <v/>
      </c>
      <c r="N177" s="60"/>
    </row>
    <row r="178" customFormat="false" ht="15" hidden="false" customHeight="false" outlineLevel="0" collapsed="false">
      <c r="A178" s="56" t="s">
        <v>2656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3"/>
      <c r="M178" s="87" t="str">
        <f aca="true">IF(L178="","",TODAY()-L178)</f>
        <v/>
      </c>
      <c r="N178" s="60"/>
    </row>
    <row r="179" customFormat="false" ht="15" hidden="false" customHeight="false" outlineLevel="0" collapsed="false">
      <c r="A179" s="56" t="s">
        <v>2657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3"/>
      <c r="M179" s="87" t="str">
        <f aca="true">IF(L179="","",TODAY()-L179)</f>
        <v/>
      </c>
      <c r="N179" s="60"/>
    </row>
    <row r="180" customFormat="false" ht="15" hidden="false" customHeight="false" outlineLevel="0" collapsed="false">
      <c r="A180" s="56" t="s">
        <v>2658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3"/>
      <c r="M180" s="87" t="str">
        <f aca="true">IF(L180="","",TODAY()-L180)</f>
        <v/>
      </c>
      <c r="N180" s="60"/>
    </row>
    <row r="181" customFormat="false" ht="15" hidden="false" customHeight="false" outlineLevel="0" collapsed="false">
      <c r="A181" s="56" t="s">
        <v>2659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3"/>
      <c r="M181" s="87" t="str">
        <f aca="true">IF(L181="","",TODAY()-L181)</f>
        <v/>
      </c>
      <c r="N181" s="60"/>
    </row>
    <row r="182" customFormat="false" ht="15" hidden="false" customHeight="false" outlineLevel="0" collapsed="false">
      <c r="A182" s="56" t="s">
        <v>2660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3"/>
      <c r="M182" s="87" t="str">
        <f aca="true">IF(L182="","",TODAY()-L182)</f>
        <v/>
      </c>
      <c r="N182" s="60"/>
    </row>
    <row r="183" customFormat="false" ht="15" hidden="false" customHeight="false" outlineLevel="0" collapsed="false">
      <c r="A183" s="56" t="s">
        <v>2661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3"/>
      <c r="M183" s="87" t="str">
        <f aca="true">IF(L183="","",TODAY()-L183)</f>
        <v/>
      </c>
      <c r="N183" s="60"/>
    </row>
    <row r="184" customFormat="false" ht="15" hidden="false" customHeight="false" outlineLevel="0" collapsed="false">
      <c r="A184" s="56" t="s">
        <v>2662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3"/>
      <c r="M184" s="87" t="str">
        <f aca="true">IF(L184="","",TODAY()-L184)</f>
        <v/>
      </c>
      <c r="N184" s="60"/>
    </row>
    <row r="185" customFormat="false" ht="15" hidden="false" customHeight="false" outlineLevel="0" collapsed="false">
      <c r="A185" s="56" t="s">
        <v>2663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3"/>
      <c r="M185" s="87" t="str">
        <f aca="true">IF(L185="","",TODAY()-L185)</f>
        <v/>
      </c>
      <c r="N185" s="60"/>
    </row>
    <row r="186" customFormat="false" ht="15" hidden="false" customHeight="false" outlineLevel="0" collapsed="false">
      <c r="A186" s="56" t="s">
        <v>2664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3"/>
      <c r="M186" s="87" t="str">
        <f aca="true">IF(L186="","",TODAY()-L186)</f>
        <v/>
      </c>
      <c r="N186" s="60"/>
    </row>
    <row r="187" customFormat="false" ht="15" hidden="false" customHeight="false" outlineLevel="0" collapsed="false">
      <c r="A187" s="56" t="s">
        <v>2665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3"/>
      <c r="M187" s="87" t="str">
        <f aca="true">IF(L187="","",TODAY()-L187)</f>
        <v/>
      </c>
      <c r="N187" s="60"/>
    </row>
    <row r="188" customFormat="false" ht="15" hidden="false" customHeight="false" outlineLevel="0" collapsed="false">
      <c r="A188" s="56" t="s">
        <v>2666</v>
      </c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3"/>
      <c r="M188" s="87" t="str">
        <f aca="true">IF(L188="","",TODAY()-L188)</f>
        <v/>
      </c>
      <c r="N188" s="60"/>
    </row>
    <row r="189" customFormat="false" ht="15" hidden="false" customHeight="false" outlineLevel="0" collapsed="false">
      <c r="A189" s="56" t="s">
        <v>2667</v>
      </c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3"/>
      <c r="M189" s="87" t="str">
        <f aca="true">IF(L189="","",TODAY()-L189)</f>
        <v/>
      </c>
      <c r="N189" s="60"/>
    </row>
    <row r="190" customFormat="false" ht="15" hidden="false" customHeight="false" outlineLevel="0" collapsed="false">
      <c r="A190" s="56" t="s">
        <v>2668</v>
      </c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3"/>
      <c r="M190" s="87" t="str">
        <f aca="true">IF(L190="","",TODAY()-L190)</f>
        <v/>
      </c>
      <c r="N190" s="60"/>
    </row>
    <row r="191" customFormat="false" ht="15" hidden="false" customHeight="false" outlineLevel="0" collapsed="false">
      <c r="A191" s="56" t="s">
        <v>2669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3"/>
      <c r="M191" s="87" t="str">
        <f aca="true">IF(L191="","",TODAY()-L191)</f>
        <v/>
      </c>
      <c r="N191" s="60"/>
    </row>
    <row r="192" customFormat="false" ht="15" hidden="false" customHeight="false" outlineLevel="0" collapsed="false">
      <c r="A192" s="56" t="s">
        <v>2670</v>
      </c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3"/>
      <c r="M192" s="87" t="str">
        <f aca="true">IF(L192="","",TODAY()-L192)</f>
        <v/>
      </c>
      <c r="N192" s="60"/>
    </row>
    <row r="193" customFormat="false" ht="15" hidden="false" customHeight="false" outlineLevel="0" collapsed="false">
      <c r="A193" s="56" t="s">
        <v>2671</v>
      </c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3"/>
      <c r="M193" s="87" t="str">
        <f aca="true">IF(L193="","",TODAY()-L193)</f>
        <v/>
      </c>
      <c r="N193" s="60"/>
    </row>
    <row r="194" customFormat="false" ht="15" hidden="false" customHeight="false" outlineLevel="0" collapsed="false">
      <c r="A194" s="56" t="s">
        <v>2672</v>
      </c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3"/>
      <c r="M194" s="87" t="str">
        <f aca="true">IF(L194="","",TODAY()-L194)</f>
        <v/>
      </c>
      <c r="N194" s="60"/>
    </row>
    <row r="195" customFormat="false" ht="15" hidden="false" customHeight="false" outlineLevel="0" collapsed="false">
      <c r="A195" s="56" t="s">
        <v>2673</v>
      </c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3"/>
      <c r="M195" s="87" t="str">
        <f aca="true">IF(L195="","",TODAY()-L195)</f>
        <v/>
      </c>
      <c r="N195" s="60"/>
    </row>
    <row r="196" customFormat="false" ht="15" hidden="false" customHeight="false" outlineLevel="0" collapsed="false">
      <c r="A196" s="56" t="s">
        <v>2674</v>
      </c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3"/>
      <c r="M196" s="87" t="str">
        <f aca="true">IF(L196="","",TODAY()-L196)</f>
        <v/>
      </c>
      <c r="N196" s="60"/>
    </row>
    <row r="197" customFormat="false" ht="15" hidden="false" customHeight="false" outlineLevel="0" collapsed="false">
      <c r="A197" s="56" t="s">
        <v>2675</v>
      </c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3"/>
      <c r="M197" s="87" t="str">
        <f aca="true">IF(L197="","",TODAY()-L197)</f>
        <v/>
      </c>
      <c r="N197" s="60"/>
    </row>
    <row r="198" customFormat="false" ht="15" hidden="false" customHeight="false" outlineLevel="0" collapsed="false">
      <c r="A198" s="56" t="s">
        <v>2676</v>
      </c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3"/>
      <c r="M198" s="87" t="str">
        <f aca="true">IF(L198="","",TODAY()-L198)</f>
        <v/>
      </c>
      <c r="N198" s="60"/>
    </row>
    <row r="199" customFormat="false" ht="15" hidden="false" customHeight="false" outlineLevel="0" collapsed="false">
      <c r="A199" s="56" t="s">
        <v>2677</v>
      </c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3"/>
      <c r="M199" s="87" t="str">
        <f aca="true">IF(L199="","",TODAY()-L199)</f>
        <v/>
      </c>
      <c r="N199" s="60"/>
    </row>
    <row r="200" customFormat="false" ht="15" hidden="false" customHeight="false" outlineLevel="0" collapsed="false">
      <c r="A200" s="56" t="s">
        <v>2678</v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3"/>
      <c r="M200" s="87" t="str">
        <f aca="true">IF(L200="","",TODAY()-L200)</f>
        <v/>
      </c>
      <c r="N200" s="60"/>
    </row>
    <row r="201" customFormat="false" ht="15" hidden="false" customHeight="false" outlineLevel="0" collapsed="false">
      <c r="A201" s="56" t="s">
        <v>2679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3"/>
      <c r="M201" s="87" t="str">
        <f aca="true">IF(L201="","",TODAY()-L201)</f>
        <v/>
      </c>
      <c r="N201" s="60"/>
    </row>
    <row r="202" customFormat="false" ht="15" hidden="false" customHeight="false" outlineLevel="0" collapsed="false">
      <c r="A202" s="56" t="s">
        <v>2680</v>
      </c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3"/>
      <c r="M202" s="87" t="str">
        <f aca="true">IF(L202="","",TODAY()-L202)</f>
        <v/>
      </c>
      <c r="N202" s="60"/>
    </row>
    <row r="203" customFormat="false" ht="15" hidden="false" customHeight="false" outlineLevel="0" collapsed="false">
      <c r="A203" s="56" t="s">
        <v>2681</v>
      </c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3"/>
      <c r="M203" s="87" t="str">
        <f aca="true">IF(L203="","",TODAY()-L203)</f>
        <v/>
      </c>
      <c r="N203" s="60"/>
    </row>
    <row r="204" customFormat="false" ht="15" hidden="false" customHeight="false" outlineLevel="0" collapsed="false">
      <c r="A204" s="56" t="s">
        <v>2682</v>
      </c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3"/>
      <c r="M204" s="87" t="str">
        <f aca="true">IF(L204="","",TODAY()-L204)</f>
        <v/>
      </c>
      <c r="N204" s="60"/>
    </row>
    <row r="205" customFormat="false" ht="15" hidden="false" customHeight="false" outlineLevel="0" collapsed="false">
      <c r="A205" s="56" t="s">
        <v>2683</v>
      </c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3"/>
      <c r="M205" s="87" t="str">
        <f aca="true">IF(L205="","",TODAY()-L205)</f>
        <v/>
      </c>
      <c r="N205" s="60"/>
    </row>
    <row r="206" customFormat="false" ht="15" hidden="false" customHeight="false" outlineLevel="0" collapsed="false">
      <c r="A206" s="56" t="s">
        <v>2684</v>
      </c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3"/>
      <c r="M206" s="87" t="str">
        <f aca="true">IF(L206="","",TODAY()-L206)</f>
        <v/>
      </c>
      <c r="N206" s="60"/>
    </row>
    <row r="207" customFormat="false" ht="15" hidden="false" customHeight="false" outlineLevel="0" collapsed="false">
      <c r="A207" s="56" t="s">
        <v>2685</v>
      </c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3"/>
      <c r="M207" s="87" t="str">
        <f aca="true">IF(L207="","",TODAY()-L207)</f>
        <v/>
      </c>
      <c r="N207" s="60"/>
    </row>
    <row r="208" customFormat="false" ht="15" hidden="false" customHeight="false" outlineLevel="0" collapsed="false">
      <c r="A208" s="56" t="s">
        <v>2686</v>
      </c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3"/>
      <c r="M208" s="87" t="str">
        <f aca="true">IF(L208="","",TODAY()-L208)</f>
        <v/>
      </c>
      <c r="N208" s="60"/>
    </row>
    <row r="209" customFormat="false" ht="15" hidden="false" customHeight="false" outlineLevel="0" collapsed="false">
      <c r="A209" s="56" t="s">
        <v>2687</v>
      </c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3"/>
      <c r="M209" s="87" t="str">
        <f aca="true">IF(L209="","",TODAY()-L209)</f>
        <v/>
      </c>
      <c r="N209" s="60"/>
    </row>
    <row r="210" customFormat="false" ht="15" hidden="false" customHeight="false" outlineLevel="0" collapsed="false">
      <c r="A210" s="56" t="s">
        <v>2688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3"/>
      <c r="M210" s="87" t="str">
        <f aca="true">IF(L210="","",TODAY()-L210)</f>
        <v/>
      </c>
      <c r="N210" s="60"/>
    </row>
    <row r="211" customFormat="false" ht="15" hidden="false" customHeight="false" outlineLevel="0" collapsed="false">
      <c r="A211" s="56" t="s">
        <v>2689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3"/>
      <c r="M211" s="87" t="str">
        <f aca="true">IF(L211="","",TODAY()-L211)</f>
        <v/>
      </c>
      <c r="N211" s="60"/>
    </row>
    <row r="212" customFormat="false" ht="15" hidden="false" customHeight="false" outlineLevel="0" collapsed="false">
      <c r="A212" s="56" t="s">
        <v>2690</v>
      </c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3"/>
      <c r="M212" s="87" t="str">
        <f aca="true">IF(L212="","",TODAY()-L212)</f>
        <v/>
      </c>
      <c r="N212" s="60"/>
    </row>
    <row r="213" customFormat="false" ht="15" hidden="false" customHeight="false" outlineLevel="0" collapsed="false">
      <c r="A213" s="56" t="s">
        <v>2691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3"/>
      <c r="M213" s="87" t="str">
        <f aca="true">IF(L213="","",TODAY()-L213)</f>
        <v/>
      </c>
      <c r="N213" s="60"/>
    </row>
    <row r="214" customFormat="false" ht="15" hidden="false" customHeight="false" outlineLevel="0" collapsed="false">
      <c r="A214" s="56" t="s">
        <v>2692</v>
      </c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3"/>
      <c r="M214" s="87" t="str">
        <f aca="true">IF(L214="","",TODAY()-L214)</f>
        <v/>
      </c>
      <c r="N214" s="60"/>
    </row>
    <row r="215" customFormat="false" ht="15" hidden="false" customHeight="false" outlineLevel="0" collapsed="false">
      <c r="A215" s="56" t="s">
        <v>2693</v>
      </c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3"/>
      <c r="M215" s="87" t="str">
        <f aca="true">IF(L215="","",TODAY()-L215)</f>
        <v/>
      </c>
      <c r="N215" s="60"/>
    </row>
    <row r="216" customFormat="false" ht="15" hidden="false" customHeight="false" outlineLevel="0" collapsed="false">
      <c r="A216" s="56" t="s">
        <v>2694</v>
      </c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3"/>
      <c r="M216" s="87" t="str">
        <f aca="true">IF(L216="","",TODAY()-L216)</f>
        <v/>
      </c>
      <c r="N216" s="60"/>
    </row>
    <row r="217" customFormat="false" ht="15" hidden="false" customHeight="false" outlineLevel="0" collapsed="false">
      <c r="A217" s="56" t="s">
        <v>2695</v>
      </c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3"/>
      <c r="M217" s="87" t="str">
        <f aca="true">IF(L217="","",TODAY()-L217)</f>
        <v/>
      </c>
      <c r="N217" s="60"/>
    </row>
    <row r="218" customFormat="false" ht="15" hidden="false" customHeight="false" outlineLevel="0" collapsed="false">
      <c r="A218" s="56" t="s">
        <v>2696</v>
      </c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3"/>
      <c r="M218" s="87" t="str">
        <f aca="true">IF(L218="","",TODAY()-L218)</f>
        <v/>
      </c>
      <c r="N218" s="60"/>
    </row>
    <row r="219" customFormat="false" ht="15" hidden="false" customHeight="false" outlineLevel="0" collapsed="false">
      <c r="A219" s="56" t="s">
        <v>2697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3"/>
      <c r="M219" s="87" t="str">
        <f aca="true">IF(L219="","",TODAY()-L219)</f>
        <v/>
      </c>
      <c r="N219" s="60"/>
    </row>
    <row r="220" customFormat="false" ht="15" hidden="false" customHeight="false" outlineLevel="0" collapsed="false">
      <c r="A220" s="56" t="s">
        <v>2698</v>
      </c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3"/>
      <c r="M220" s="87" t="str">
        <f aca="true">IF(L220="","",TODAY()-L220)</f>
        <v/>
      </c>
      <c r="N220" s="60"/>
    </row>
    <row r="221" customFormat="false" ht="15" hidden="false" customHeight="false" outlineLevel="0" collapsed="false">
      <c r="A221" s="56" t="s">
        <v>2699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3"/>
      <c r="M221" s="87" t="str">
        <f aca="true">IF(L221="","",TODAY()-L221)</f>
        <v/>
      </c>
      <c r="N221" s="60"/>
    </row>
    <row r="222" customFormat="false" ht="15" hidden="false" customHeight="false" outlineLevel="0" collapsed="false">
      <c r="A222" s="56" t="s">
        <v>2700</v>
      </c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3"/>
      <c r="M222" s="87" t="str">
        <f aca="true">IF(L222="","",TODAY()-L222)</f>
        <v/>
      </c>
      <c r="N222" s="60"/>
    </row>
    <row r="223" customFormat="false" ht="15" hidden="false" customHeight="false" outlineLevel="0" collapsed="false">
      <c r="A223" s="56" t="s">
        <v>2701</v>
      </c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3"/>
      <c r="M223" s="87" t="str">
        <f aca="true">IF(L223="","",TODAY()-L223)</f>
        <v/>
      </c>
      <c r="N223" s="60"/>
    </row>
    <row r="224" customFormat="false" ht="15" hidden="false" customHeight="false" outlineLevel="0" collapsed="false">
      <c r="A224" s="56" t="s">
        <v>2702</v>
      </c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3"/>
      <c r="M224" s="87" t="str">
        <f aca="true">IF(L224="","",TODAY()-L224)</f>
        <v/>
      </c>
      <c r="N224" s="60"/>
    </row>
    <row r="225" customFormat="false" ht="15" hidden="false" customHeight="false" outlineLevel="0" collapsed="false">
      <c r="A225" s="56" t="s">
        <v>2703</v>
      </c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3"/>
      <c r="M225" s="87" t="str">
        <f aca="true">IF(L225="","",TODAY()-L225)</f>
        <v/>
      </c>
      <c r="N225" s="60"/>
    </row>
    <row r="226" customFormat="false" ht="15" hidden="false" customHeight="false" outlineLevel="0" collapsed="false">
      <c r="A226" s="56" t="s">
        <v>2704</v>
      </c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3"/>
      <c r="M226" s="87" t="str">
        <f aca="true">IF(L226="","",TODAY()-L226)</f>
        <v/>
      </c>
      <c r="N226" s="60"/>
    </row>
    <row r="227" customFormat="false" ht="15" hidden="false" customHeight="false" outlineLevel="0" collapsed="false">
      <c r="A227" s="56" t="s">
        <v>2705</v>
      </c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3"/>
      <c r="M227" s="87" t="str">
        <f aca="true">IF(L227="","",TODAY()-L227)</f>
        <v/>
      </c>
      <c r="N227" s="60"/>
    </row>
    <row r="228" customFormat="false" ht="15" hidden="false" customHeight="false" outlineLevel="0" collapsed="false">
      <c r="A228" s="56" t="s">
        <v>2706</v>
      </c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3"/>
      <c r="M228" s="87" t="str">
        <f aca="true">IF(L228="","",TODAY()-L228)</f>
        <v/>
      </c>
      <c r="N228" s="60"/>
    </row>
    <row r="229" customFormat="false" ht="15" hidden="false" customHeight="false" outlineLevel="0" collapsed="false">
      <c r="A229" s="56" t="s">
        <v>2707</v>
      </c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3"/>
      <c r="M229" s="87" t="str">
        <f aca="true">IF(L229="","",TODAY()-L229)</f>
        <v/>
      </c>
      <c r="N229" s="60"/>
    </row>
    <row r="230" customFormat="false" ht="15" hidden="false" customHeight="false" outlineLevel="0" collapsed="false">
      <c r="A230" s="56" t="s">
        <v>2708</v>
      </c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3"/>
      <c r="M230" s="87" t="str">
        <f aca="true">IF(L230="","",TODAY()-L230)</f>
        <v/>
      </c>
      <c r="N230" s="60"/>
    </row>
    <row r="231" customFormat="false" ht="15" hidden="false" customHeight="false" outlineLevel="0" collapsed="false">
      <c r="A231" s="56" t="s">
        <v>2709</v>
      </c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3"/>
      <c r="M231" s="87" t="str">
        <f aca="true">IF(L231="","",TODAY()-L231)</f>
        <v/>
      </c>
      <c r="N231" s="60"/>
    </row>
    <row r="232" customFormat="false" ht="15" hidden="false" customHeight="false" outlineLevel="0" collapsed="false">
      <c r="A232" s="56" t="s">
        <v>2710</v>
      </c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3"/>
      <c r="M232" s="87" t="str">
        <f aca="true">IF(L232="","",TODAY()-L232)</f>
        <v/>
      </c>
      <c r="N232" s="60"/>
    </row>
    <row r="233" customFormat="false" ht="15" hidden="false" customHeight="false" outlineLevel="0" collapsed="false">
      <c r="A233" s="56" t="s">
        <v>2711</v>
      </c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3"/>
      <c r="M233" s="87" t="str">
        <f aca="true">IF(L233="","",TODAY()-L233)</f>
        <v/>
      </c>
      <c r="N233" s="60"/>
    </row>
    <row r="234" customFormat="false" ht="15" hidden="false" customHeight="false" outlineLevel="0" collapsed="false">
      <c r="A234" s="56" t="s">
        <v>2712</v>
      </c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3"/>
      <c r="M234" s="87" t="str">
        <f aca="true">IF(L234="","",TODAY()-L234)</f>
        <v/>
      </c>
      <c r="N234" s="60"/>
    </row>
    <row r="235" customFormat="false" ht="15" hidden="false" customHeight="false" outlineLevel="0" collapsed="false">
      <c r="A235" s="56" t="s">
        <v>2713</v>
      </c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3"/>
      <c r="M235" s="87" t="str">
        <f aca="true">IF(L235="","",TODAY()-L235)</f>
        <v/>
      </c>
      <c r="N235" s="60"/>
    </row>
    <row r="236" customFormat="false" ht="15" hidden="false" customHeight="false" outlineLevel="0" collapsed="false">
      <c r="A236" s="56" t="s">
        <v>2714</v>
      </c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3"/>
      <c r="M236" s="87" t="str">
        <f aca="true">IF(L236="","",TODAY()-L236)</f>
        <v/>
      </c>
      <c r="N236" s="60"/>
    </row>
    <row r="237" customFormat="false" ht="15" hidden="false" customHeight="false" outlineLevel="0" collapsed="false">
      <c r="A237" s="56" t="s">
        <v>2715</v>
      </c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3"/>
      <c r="M237" s="87" t="str">
        <f aca="true">IF(L237="","",TODAY()-L237)</f>
        <v/>
      </c>
      <c r="N237" s="60"/>
    </row>
    <row r="238" customFormat="false" ht="15" hidden="false" customHeight="false" outlineLevel="0" collapsed="false">
      <c r="A238" s="56" t="s">
        <v>2716</v>
      </c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3"/>
      <c r="M238" s="87" t="str">
        <f aca="true">IF(L238="","",TODAY()-L238)</f>
        <v/>
      </c>
      <c r="N238" s="60"/>
    </row>
    <row r="239" customFormat="false" ht="15" hidden="false" customHeight="false" outlineLevel="0" collapsed="false">
      <c r="A239" s="56" t="s">
        <v>2717</v>
      </c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3"/>
      <c r="M239" s="87" t="str">
        <f aca="true">IF(L239="","",TODAY()-L239)</f>
        <v/>
      </c>
      <c r="N239" s="60"/>
    </row>
    <row r="240" customFormat="false" ht="15" hidden="false" customHeight="false" outlineLevel="0" collapsed="false">
      <c r="A240" s="56" t="s">
        <v>2718</v>
      </c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3"/>
      <c r="M240" s="87" t="str">
        <f aca="true">IF(L240="","",TODAY()-L240)</f>
        <v/>
      </c>
      <c r="N240" s="60"/>
    </row>
    <row r="241" customFormat="false" ht="15" hidden="false" customHeight="false" outlineLevel="0" collapsed="false">
      <c r="A241" s="56" t="s">
        <v>2719</v>
      </c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3"/>
      <c r="M241" s="87" t="str">
        <f aca="true">IF(L241="","",TODAY()-L241)</f>
        <v/>
      </c>
      <c r="N241" s="60"/>
    </row>
    <row r="242" customFormat="false" ht="15" hidden="false" customHeight="false" outlineLevel="0" collapsed="false">
      <c r="A242" s="56" t="s">
        <v>2720</v>
      </c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3"/>
      <c r="M242" s="87" t="str">
        <f aca="true">IF(L242="","",TODAY()-L242)</f>
        <v/>
      </c>
      <c r="N242" s="60"/>
    </row>
    <row r="243" customFormat="false" ht="15" hidden="false" customHeight="false" outlineLevel="0" collapsed="false">
      <c r="A243" s="56" t="s">
        <v>2721</v>
      </c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3"/>
      <c r="M243" s="87" t="str">
        <f aca="true">IF(L243="","",TODAY()-L243)</f>
        <v/>
      </c>
      <c r="N243" s="60"/>
    </row>
    <row r="244" customFormat="false" ht="15" hidden="false" customHeight="false" outlineLevel="0" collapsed="false">
      <c r="A244" s="56" t="s">
        <v>2722</v>
      </c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3"/>
      <c r="M244" s="87" t="str">
        <f aca="true">IF(L244="","",TODAY()-L244)</f>
        <v/>
      </c>
      <c r="N244" s="60"/>
    </row>
    <row r="245" customFormat="false" ht="15" hidden="false" customHeight="false" outlineLevel="0" collapsed="false">
      <c r="A245" s="56" t="s">
        <v>2723</v>
      </c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3"/>
      <c r="M245" s="87" t="str">
        <f aca="true">IF(L245="","",TODAY()-L245)</f>
        <v/>
      </c>
      <c r="N245" s="60"/>
    </row>
    <row r="246" customFormat="false" ht="15" hidden="false" customHeight="false" outlineLevel="0" collapsed="false">
      <c r="A246" s="56" t="s">
        <v>2724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3"/>
      <c r="M246" s="87" t="str">
        <f aca="true">IF(L246="","",TODAY()-L246)</f>
        <v/>
      </c>
      <c r="N246" s="60"/>
    </row>
    <row r="247" customFormat="false" ht="15" hidden="false" customHeight="false" outlineLevel="0" collapsed="false">
      <c r="A247" s="56" t="s">
        <v>2725</v>
      </c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3"/>
      <c r="M247" s="87" t="str">
        <f aca="true">IF(L247="","",TODAY()-L247)</f>
        <v/>
      </c>
      <c r="N247" s="60"/>
    </row>
    <row r="248" customFormat="false" ht="15" hidden="false" customHeight="false" outlineLevel="0" collapsed="false">
      <c r="A248" s="56" t="s">
        <v>2726</v>
      </c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3"/>
      <c r="M248" s="87" t="str">
        <f aca="true">IF(L248="","",TODAY()-L248)</f>
        <v/>
      </c>
      <c r="N248" s="60"/>
    </row>
    <row r="249" customFormat="false" ht="15" hidden="false" customHeight="false" outlineLevel="0" collapsed="false">
      <c r="A249" s="56" t="s">
        <v>2727</v>
      </c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3"/>
      <c r="M249" s="87" t="str">
        <f aca="true">IF(L249="","",TODAY()-L249)</f>
        <v/>
      </c>
      <c r="N249" s="60"/>
    </row>
    <row r="250" customFormat="false" ht="15" hidden="false" customHeight="false" outlineLevel="0" collapsed="false">
      <c r="A250" s="56" t="s">
        <v>2728</v>
      </c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3"/>
      <c r="M250" s="87" t="str">
        <f aca="true">IF(L250="","",TODAY()-L250)</f>
        <v/>
      </c>
      <c r="N250" s="60"/>
    </row>
    <row r="251" customFormat="false" ht="15" hidden="false" customHeight="false" outlineLevel="0" collapsed="false">
      <c r="A251" s="56" t="s">
        <v>2729</v>
      </c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3"/>
      <c r="M251" s="87" t="str">
        <f aca="true">IF(L251="","",TODAY()-L251)</f>
        <v/>
      </c>
      <c r="N251" s="60"/>
    </row>
    <row r="252" customFormat="false" ht="15" hidden="false" customHeight="false" outlineLevel="0" collapsed="false">
      <c r="A252" s="56" t="s">
        <v>2730</v>
      </c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3"/>
      <c r="M252" s="87" t="str">
        <f aca="true">IF(L252="","",TODAY()-L252)</f>
        <v/>
      </c>
      <c r="N252" s="60"/>
    </row>
    <row r="253" customFormat="false" ht="15" hidden="false" customHeight="false" outlineLevel="0" collapsed="false">
      <c r="A253" s="56" t="s">
        <v>2731</v>
      </c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3"/>
      <c r="M253" s="87" t="str">
        <f aca="true">IF(L253="","",TODAY()-L253)</f>
        <v/>
      </c>
      <c r="N253" s="60"/>
    </row>
    <row r="254" customFormat="false" ht="15" hidden="false" customHeight="false" outlineLevel="0" collapsed="false">
      <c r="A254" s="56" t="s">
        <v>2732</v>
      </c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3"/>
      <c r="M254" s="87" t="str">
        <f aca="true">IF(L254="","",TODAY()-L254)</f>
        <v/>
      </c>
      <c r="N254" s="60"/>
    </row>
    <row r="255" customFormat="false" ht="15" hidden="false" customHeight="false" outlineLevel="0" collapsed="false">
      <c r="A255" s="56" t="s">
        <v>2733</v>
      </c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3"/>
      <c r="M255" s="87" t="str">
        <f aca="true">IF(L255="","",TODAY()-L255)</f>
        <v/>
      </c>
      <c r="N255" s="60"/>
    </row>
    <row r="256" customFormat="false" ht="15" hidden="false" customHeight="false" outlineLevel="0" collapsed="false">
      <c r="A256" s="56" t="s">
        <v>2734</v>
      </c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3"/>
      <c r="M256" s="87" t="str">
        <f aca="true">IF(L256="","",TODAY()-L256)</f>
        <v/>
      </c>
      <c r="N256" s="60"/>
    </row>
    <row r="257" customFormat="false" ht="15" hidden="false" customHeight="false" outlineLevel="0" collapsed="false">
      <c r="A257" s="56" t="s">
        <v>2735</v>
      </c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3"/>
      <c r="M257" s="87" t="str">
        <f aca="true">IF(L257="","",TODAY()-L257)</f>
        <v/>
      </c>
      <c r="N257" s="60"/>
    </row>
    <row r="258" customFormat="false" ht="15" hidden="false" customHeight="false" outlineLevel="0" collapsed="false">
      <c r="A258" s="56" t="s">
        <v>2736</v>
      </c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3"/>
      <c r="M258" s="87" t="str">
        <f aca="true">IF(L258="","",TODAY()-L258)</f>
        <v/>
      </c>
      <c r="N258" s="60"/>
    </row>
    <row r="259" customFormat="false" ht="15" hidden="false" customHeight="false" outlineLevel="0" collapsed="false">
      <c r="A259" s="56" t="s">
        <v>2737</v>
      </c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3"/>
      <c r="M259" s="87" t="str">
        <f aca="true">IF(L259="","",TODAY()-L259)</f>
        <v/>
      </c>
      <c r="N259" s="60"/>
    </row>
    <row r="260" customFormat="false" ht="15" hidden="false" customHeight="false" outlineLevel="0" collapsed="false">
      <c r="A260" s="56" t="s">
        <v>2738</v>
      </c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3"/>
      <c r="M260" s="87" t="str">
        <f aca="true">IF(L260="","",TODAY()-L260)</f>
        <v/>
      </c>
      <c r="N260" s="60"/>
    </row>
    <row r="261" customFormat="false" ht="15" hidden="false" customHeight="false" outlineLevel="0" collapsed="false">
      <c r="A261" s="56" t="s">
        <v>2739</v>
      </c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3"/>
      <c r="M261" s="87" t="str">
        <f aca="true">IF(L261="","",TODAY()-L261)</f>
        <v/>
      </c>
      <c r="N261" s="60"/>
    </row>
    <row r="262" customFormat="false" ht="15" hidden="false" customHeight="false" outlineLevel="0" collapsed="false">
      <c r="A262" s="56" t="s">
        <v>2740</v>
      </c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3"/>
      <c r="M262" s="87" t="str">
        <f aca="true">IF(L262="","",TODAY()-L262)</f>
        <v/>
      </c>
      <c r="N262" s="60"/>
    </row>
    <row r="263" customFormat="false" ht="15" hidden="false" customHeight="false" outlineLevel="0" collapsed="false">
      <c r="A263" s="56" t="s">
        <v>2741</v>
      </c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3"/>
      <c r="M263" s="87" t="str">
        <f aca="true">IF(L263="","",TODAY()-L263)</f>
        <v/>
      </c>
      <c r="N263" s="60"/>
    </row>
    <row r="264" customFormat="false" ht="15" hidden="false" customHeight="false" outlineLevel="0" collapsed="false">
      <c r="A264" s="56" t="s">
        <v>2742</v>
      </c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3"/>
      <c r="M264" s="87" t="str">
        <f aca="true">IF(L264="","",TODAY()-L264)</f>
        <v/>
      </c>
      <c r="N264" s="60"/>
    </row>
    <row r="265" customFormat="false" ht="15" hidden="false" customHeight="false" outlineLevel="0" collapsed="false">
      <c r="A265" s="56" t="s">
        <v>2743</v>
      </c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3"/>
      <c r="M265" s="87" t="str">
        <f aca="true">IF(L265="","",TODAY()-L265)</f>
        <v/>
      </c>
      <c r="N265" s="60"/>
    </row>
    <row r="266" customFormat="false" ht="15" hidden="false" customHeight="false" outlineLevel="0" collapsed="false">
      <c r="A266" s="56" t="s">
        <v>2744</v>
      </c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3"/>
      <c r="M266" s="87" t="str">
        <f aca="true">IF(L266="","",TODAY()-L266)</f>
        <v/>
      </c>
      <c r="N266" s="60"/>
    </row>
    <row r="267" customFormat="false" ht="15" hidden="false" customHeight="false" outlineLevel="0" collapsed="false">
      <c r="A267" s="56" t="s">
        <v>2745</v>
      </c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3"/>
      <c r="M267" s="87" t="str">
        <f aca="true">IF(L267="","",TODAY()-L267)</f>
        <v/>
      </c>
      <c r="N267" s="60"/>
    </row>
    <row r="268" customFormat="false" ht="15" hidden="false" customHeight="false" outlineLevel="0" collapsed="false">
      <c r="A268" s="56" t="s">
        <v>2746</v>
      </c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3"/>
      <c r="M268" s="87" t="str">
        <f aca="true">IF(L268="","",TODAY()-L268)</f>
        <v/>
      </c>
      <c r="N268" s="60"/>
    </row>
    <row r="269" customFormat="false" ht="15" hidden="false" customHeight="false" outlineLevel="0" collapsed="false">
      <c r="A269" s="56" t="s">
        <v>2747</v>
      </c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3"/>
      <c r="M269" s="87" t="str">
        <f aca="true">IF(L269="","",TODAY()-L269)</f>
        <v/>
      </c>
      <c r="N269" s="60"/>
    </row>
    <row r="270" customFormat="false" ht="15" hidden="false" customHeight="false" outlineLevel="0" collapsed="false">
      <c r="A270" s="56" t="s">
        <v>2748</v>
      </c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3"/>
      <c r="M270" s="87" t="str">
        <f aca="true">IF(L270="","",TODAY()-L270)</f>
        <v/>
      </c>
      <c r="N270" s="60"/>
    </row>
    <row r="271" customFormat="false" ht="15" hidden="false" customHeight="false" outlineLevel="0" collapsed="false">
      <c r="A271" s="56" t="s">
        <v>2749</v>
      </c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3"/>
      <c r="M271" s="87" t="str">
        <f aca="true">IF(L271="","",TODAY()-L271)</f>
        <v/>
      </c>
      <c r="N271" s="60"/>
    </row>
    <row r="272" customFormat="false" ht="15" hidden="false" customHeight="false" outlineLevel="0" collapsed="false">
      <c r="A272" s="56" t="s">
        <v>2750</v>
      </c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3"/>
      <c r="M272" s="87" t="str">
        <f aca="true">IF(L272="","",TODAY()-L272)</f>
        <v/>
      </c>
      <c r="N272" s="60"/>
    </row>
    <row r="273" customFormat="false" ht="15" hidden="false" customHeight="false" outlineLevel="0" collapsed="false">
      <c r="A273" s="56" t="s">
        <v>2751</v>
      </c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3"/>
      <c r="M273" s="87" t="str">
        <f aca="true">IF(L273="","",TODAY()-L273)</f>
        <v/>
      </c>
      <c r="N273" s="60"/>
    </row>
    <row r="274" customFormat="false" ht="15" hidden="false" customHeight="false" outlineLevel="0" collapsed="false">
      <c r="A274" s="56" t="s">
        <v>2752</v>
      </c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3"/>
      <c r="M274" s="87" t="str">
        <f aca="true">IF(L274="","",TODAY()-L274)</f>
        <v/>
      </c>
      <c r="N274" s="60"/>
    </row>
    <row r="275" customFormat="false" ht="15" hidden="false" customHeight="false" outlineLevel="0" collapsed="false">
      <c r="A275" s="56" t="s">
        <v>2753</v>
      </c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3"/>
      <c r="M275" s="87" t="str">
        <f aca="true">IF(L275="","",TODAY()-L275)</f>
        <v/>
      </c>
      <c r="N275" s="60"/>
    </row>
    <row r="276" customFormat="false" ht="15" hidden="false" customHeight="false" outlineLevel="0" collapsed="false">
      <c r="A276" s="56" t="s">
        <v>2754</v>
      </c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3"/>
      <c r="M276" s="87" t="str">
        <f aca="true">IF(L276="","",TODAY()-L276)</f>
        <v/>
      </c>
      <c r="N276" s="60"/>
    </row>
    <row r="277" customFormat="false" ht="15" hidden="false" customHeight="false" outlineLevel="0" collapsed="false">
      <c r="A277" s="56" t="s">
        <v>2755</v>
      </c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3"/>
      <c r="M277" s="87" t="str">
        <f aca="true">IF(L277="","",TODAY()-L277)</f>
        <v/>
      </c>
      <c r="N277" s="60"/>
    </row>
    <row r="278" customFormat="false" ht="15" hidden="false" customHeight="false" outlineLevel="0" collapsed="false">
      <c r="A278" s="56" t="s">
        <v>2756</v>
      </c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3"/>
      <c r="M278" s="87" t="str">
        <f aca="true">IF(L278="","",TODAY()-L278)</f>
        <v/>
      </c>
      <c r="N278" s="60"/>
    </row>
    <row r="279" customFormat="false" ht="15" hidden="false" customHeight="false" outlineLevel="0" collapsed="false">
      <c r="A279" s="56" t="s">
        <v>2757</v>
      </c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3"/>
      <c r="M279" s="87" t="str">
        <f aca="true">IF(L279="","",TODAY()-L279)</f>
        <v/>
      </c>
      <c r="N279" s="60"/>
    </row>
    <row r="280" customFormat="false" ht="15" hidden="false" customHeight="false" outlineLevel="0" collapsed="false">
      <c r="A280" s="56" t="s">
        <v>2758</v>
      </c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3"/>
      <c r="M280" s="87" t="str">
        <f aca="true">IF(L280="","",TODAY()-L280)</f>
        <v/>
      </c>
      <c r="N280" s="60"/>
    </row>
    <row r="281" customFormat="false" ht="15" hidden="false" customHeight="false" outlineLevel="0" collapsed="false">
      <c r="A281" s="56" t="s">
        <v>2759</v>
      </c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3"/>
      <c r="M281" s="87" t="str">
        <f aca="true">IF(L281="","",TODAY()-L281)</f>
        <v/>
      </c>
      <c r="N281" s="60"/>
    </row>
    <row r="282" customFormat="false" ht="15" hidden="false" customHeight="false" outlineLevel="0" collapsed="false">
      <c r="A282" s="56" t="s">
        <v>2760</v>
      </c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3"/>
      <c r="M282" s="87" t="str">
        <f aca="true">IF(L282="","",TODAY()-L282)</f>
        <v/>
      </c>
      <c r="N282" s="60"/>
    </row>
    <row r="283" customFormat="false" ht="15" hidden="false" customHeight="false" outlineLevel="0" collapsed="false">
      <c r="A283" s="56" t="s">
        <v>2761</v>
      </c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3"/>
      <c r="M283" s="87" t="str">
        <f aca="true">IF(L283="","",TODAY()-L283)</f>
        <v/>
      </c>
      <c r="N283" s="60"/>
    </row>
    <row r="284" customFormat="false" ht="15" hidden="false" customHeight="false" outlineLevel="0" collapsed="false">
      <c r="A284" s="56" t="s">
        <v>2762</v>
      </c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3"/>
      <c r="M284" s="87" t="str">
        <f aca="true">IF(L284="","",TODAY()-L284)</f>
        <v/>
      </c>
      <c r="N284" s="60"/>
    </row>
    <row r="285" customFormat="false" ht="15" hidden="false" customHeight="false" outlineLevel="0" collapsed="false">
      <c r="A285" s="56" t="s">
        <v>2763</v>
      </c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3"/>
      <c r="M285" s="87" t="str">
        <f aca="true">IF(L285="","",TODAY()-L285)</f>
        <v/>
      </c>
      <c r="N285" s="60"/>
    </row>
    <row r="286" customFormat="false" ht="15" hidden="false" customHeight="false" outlineLevel="0" collapsed="false">
      <c r="A286" s="56" t="s">
        <v>2764</v>
      </c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3"/>
      <c r="M286" s="87" t="str">
        <f aca="true">IF(L286="","",TODAY()-L286)</f>
        <v/>
      </c>
      <c r="N286" s="60"/>
    </row>
    <row r="287" customFormat="false" ht="15" hidden="false" customHeight="false" outlineLevel="0" collapsed="false">
      <c r="A287" s="56" t="s">
        <v>2765</v>
      </c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3"/>
      <c r="M287" s="87" t="str">
        <f aca="true">IF(L287="","",TODAY()-L287)</f>
        <v/>
      </c>
      <c r="N287" s="60"/>
    </row>
    <row r="288" customFormat="false" ht="15" hidden="false" customHeight="false" outlineLevel="0" collapsed="false">
      <c r="A288" s="56" t="s">
        <v>2766</v>
      </c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3"/>
      <c r="M288" s="87" t="str">
        <f aca="true">IF(L288="","",TODAY()-L288)</f>
        <v/>
      </c>
      <c r="N288" s="60"/>
    </row>
    <row r="289" customFormat="false" ht="15" hidden="false" customHeight="false" outlineLevel="0" collapsed="false">
      <c r="A289" s="56" t="s">
        <v>2767</v>
      </c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3"/>
      <c r="M289" s="87" t="str">
        <f aca="true">IF(L289="","",TODAY()-L289)</f>
        <v/>
      </c>
      <c r="N289" s="60"/>
    </row>
    <row r="290" customFormat="false" ht="15" hidden="false" customHeight="false" outlineLevel="0" collapsed="false">
      <c r="A290" s="56" t="s">
        <v>2768</v>
      </c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3"/>
      <c r="M290" s="87" t="str">
        <f aca="true">IF(L290="","",TODAY()-L290)</f>
        <v/>
      </c>
      <c r="N290" s="60"/>
    </row>
    <row r="291" customFormat="false" ht="15" hidden="false" customHeight="false" outlineLevel="0" collapsed="false">
      <c r="A291" s="56" t="s">
        <v>2769</v>
      </c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3"/>
      <c r="M291" s="87" t="str">
        <f aca="true">IF(L291="","",TODAY()-L291)</f>
        <v/>
      </c>
      <c r="N291" s="60"/>
    </row>
    <row r="292" customFormat="false" ht="15" hidden="false" customHeight="false" outlineLevel="0" collapsed="false">
      <c r="A292" s="56" t="s">
        <v>2770</v>
      </c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3"/>
      <c r="M292" s="87" t="str">
        <f aca="true">IF(L292="","",TODAY()-L292)</f>
        <v/>
      </c>
      <c r="N292" s="60"/>
    </row>
    <row r="293" customFormat="false" ht="15" hidden="false" customHeight="false" outlineLevel="0" collapsed="false">
      <c r="A293" s="56" t="s">
        <v>2771</v>
      </c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3"/>
      <c r="M293" s="87" t="str">
        <f aca="true">IF(L293="","",TODAY()-L293)</f>
        <v/>
      </c>
      <c r="N293" s="60"/>
    </row>
    <row r="294" customFormat="false" ht="15" hidden="false" customHeight="false" outlineLevel="0" collapsed="false">
      <c r="A294" s="56" t="s">
        <v>2772</v>
      </c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3"/>
      <c r="M294" s="87" t="str">
        <f aca="true">IF(L294="","",TODAY()-L294)</f>
        <v/>
      </c>
      <c r="N294" s="60"/>
    </row>
    <row r="295" customFormat="false" ht="15" hidden="false" customHeight="false" outlineLevel="0" collapsed="false">
      <c r="A295" s="56" t="s">
        <v>2773</v>
      </c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3"/>
      <c r="M295" s="87" t="str">
        <f aca="true">IF(L295="","",TODAY()-L295)</f>
        <v/>
      </c>
      <c r="N295" s="60"/>
    </row>
    <row r="296" customFormat="false" ht="15" hidden="false" customHeight="false" outlineLevel="0" collapsed="false">
      <c r="A296" s="56" t="s">
        <v>2774</v>
      </c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3"/>
      <c r="M296" s="87" t="str">
        <f aca="true">IF(L296="","",TODAY()-L296)</f>
        <v/>
      </c>
      <c r="N296" s="60"/>
    </row>
    <row r="297" customFormat="false" ht="15" hidden="false" customHeight="false" outlineLevel="0" collapsed="false">
      <c r="A297" s="56" t="s">
        <v>2775</v>
      </c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3"/>
      <c r="M297" s="87" t="str">
        <f aca="true">IF(L297="","",TODAY()-L297)</f>
        <v/>
      </c>
      <c r="N297" s="60"/>
    </row>
    <row r="298" customFormat="false" ht="15" hidden="false" customHeight="false" outlineLevel="0" collapsed="false">
      <c r="A298" s="56" t="s">
        <v>2776</v>
      </c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3"/>
      <c r="M298" s="87" t="str">
        <f aca="true">IF(L298="","",TODAY()-L298)</f>
        <v/>
      </c>
      <c r="N298" s="60"/>
    </row>
    <row r="299" customFormat="false" ht="15" hidden="false" customHeight="false" outlineLevel="0" collapsed="false">
      <c r="A299" s="56" t="s">
        <v>2777</v>
      </c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3"/>
      <c r="M299" s="87" t="str">
        <f aca="true">IF(L299="","",TODAY()-L299)</f>
        <v/>
      </c>
      <c r="N299" s="60"/>
    </row>
    <row r="300" customFormat="false" ht="15" hidden="false" customHeight="false" outlineLevel="0" collapsed="false">
      <c r="A300" s="56" t="s">
        <v>2778</v>
      </c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3"/>
      <c r="M300" s="87" t="str">
        <f aca="true">IF(L300="","",TODAY()-L300)</f>
        <v/>
      </c>
      <c r="N300" s="60"/>
    </row>
    <row r="301" customFormat="false" ht="15" hidden="false" customHeight="false" outlineLevel="0" collapsed="false">
      <c r="A301" s="56" t="s">
        <v>2779</v>
      </c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3"/>
      <c r="M301" s="87" t="str">
        <f aca="true">IF(L301="","",TODAY()-L301)</f>
        <v/>
      </c>
      <c r="N301" s="60"/>
    </row>
    <row r="302" customFormat="false" ht="15" hidden="false" customHeight="false" outlineLevel="0" collapsed="false">
      <c r="A302" s="56" t="s">
        <v>2780</v>
      </c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3"/>
      <c r="M302" s="87" t="str">
        <f aca="true">IF(L302="","",TODAY()-L302)</f>
        <v/>
      </c>
      <c r="N302" s="60"/>
    </row>
    <row r="303" customFormat="false" ht="15" hidden="false" customHeight="false" outlineLevel="0" collapsed="false">
      <c r="A303" s="56" t="s">
        <v>2781</v>
      </c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3"/>
      <c r="M303" s="87" t="str">
        <f aca="true">IF(L303="","",TODAY()-L303)</f>
        <v/>
      </c>
      <c r="N303" s="60"/>
    </row>
    <row r="304" customFormat="false" ht="15" hidden="false" customHeight="false" outlineLevel="0" collapsed="false">
      <c r="A304" s="56" t="s">
        <v>2782</v>
      </c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3"/>
      <c r="M304" s="87" t="str">
        <f aca="true">IF(L304="","",TODAY()-L304)</f>
        <v/>
      </c>
      <c r="N304" s="60"/>
    </row>
  </sheetData>
  <autoFilter ref="A4:N304"/>
  <conditionalFormatting sqref="M5:M304">
    <cfRule type="cellIs" priority="2" operator="greaterThan" aboveAverage="0" equalAverage="0" bottom="0" percent="0" rank="0" text="" dxfId="23">
      <formula>30</formula>
    </cfRule>
  </conditionalFormatting>
  <conditionalFormatting sqref="J5:J304">
    <cfRule type="cellIs" priority="3" operator="equal" aboveAverage="0" equalAverage="0" bottom="0" percent="0" rank="0" text="" dxfId="3">
      <formula>"Resistant"</formula>
    </cfRule>
    <cfRule type="cellIs" priority="4" operator="equal" aboveAverage="0" equalAverage="0" bottom="0" percent="0" rank="0" text="" dxfId="1">
      <formula>"Supportive"</formula>
    </cfRule>
  </conditionalFormatting>
  <dataValidations count="6">
    <dataValidation allowBlank="true" error="Value not in the standard list. Keep it anyway?" errorStyle="warning" errorTitle="Not in list" operator="between" showDropDown="false" showErrorMessage="true" showInputMessage="false" sqref="E5:E304" type="list">
      <formula1>Lists!$H$4:$H$8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H5:H304" type="list">
      <formula1>Lists!$X$4:$X$7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I5:I304" type="list">
      <formula1>Lists!$U$4:$U$6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J5:J304" type="list">
      <formula1>Lists!$Y$4:$Y$7</formula1>
      <formula2>0</formula2>
    </dataValidation>
    <dataValidation allowBlank="true" error="Value not in the standard list. Keep it anyway?" errorStyle="warning" errorTitle="Not in list" operator="between" showDropDown="false" showErrorMessage="true" showInputMessage="false" sqref="K5:K304" type="list">
      <formula1>Lists!$Z$4:$Z$8</formula1>
      <formula2>0</formula2>
    </dataValidation>
    <dataValidation allowBlank="true" error="Enter a valid date (e.g. 19-Oct-2026)." errorStyle="stop" operator="greaterThan" showDropDown="false" showErrorMessage="true" showInputMessage="false" sqref="L5:L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9" min="8" style="0" width="16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16"/>
    <col collapsed="false" customWidth="true" hidden="false" outlineLevel="0" max="14" min="14" style="0" width="26"/>
    <col collapsed="false" customWidth="true" hidden="false" outlineLevel="0" max="16" min="15" style="0" width="16"/>
    <col collapsed="false" customWidth="true" hidden="false" outlineLevel="0" max="17" min="17" style="0" width="26"/>
    <col collapsed="false" customWidth="true" hidden="false" outlineLevel="0" max="18" min="18" style="0" width="20"/>
    <col collapsed="false" customWidth="true" hidden="false" outlineLevel="0" max="20" min="19" style="0" width="26"/>
    <col collapsed="false" customWidth="true" hidden="false" outlineLevel="0" max="21" min="21" style="0" width="16"/>
    <col collapsed="false" customWidth="true" hidden="false" outlineLevel="0" max="22" min="22" style="0" width="25"/>
    <col collapsed="false" customWidth="true" hidden="false" outlineLevel="0" max="23" min="23" style="0" width="23"/>
    <col collapsed="false" customWidth="true" hidden="false" outlineLevel="0" max="27" min="24" style="0" width="16"/>
    <col collapsed="false" customWidth="true" hidden="false" outlineLevel="0" max="29" min="29" style="0" width="16"/>
    <col collapsed="false" customWidth="true" hidden="false" outlineLevel="0" max="30" min="30" style="0" width="24"/>
  </cols>
  <sheetData>
    <row r="1" customFormat="false" ht="15" hidden="false" customHeight="false" outlineLevel="0" collapsed="false">
      <c r="A1" s="43" t="s">
        <v>2783</v>
      </c>
    </row>
    <row r="3" customFormat="false" ht="15" hidden="false" customHeight="false" outlineLevel="0" collapsed="false">
      <c r="A3" s="67" t="s">
        <v>2784</v>
      </c>
      <c r="B3" s="67" t="s">
        <v>2785</v>
      </c>
      <c r="C3" s="67" t="s">
        <v>2786</v>
      </c>
      <c r="D3" s="67" t="s">
        <v>2787</v>
      </c>
      <c r="E3" s="67" t="s">
        <v>173</v>
      </c>
      <c r="F3" s="67" t="s">
        <v>2788</v>
      </c>
      <c r="G3" s="67" t="s">
        <v>142</v>
      </c>
      <c r="H3" s="67" t="s">
        <v>167</v>
      </c>
      <c r="I3" s="67" t="s">
        <v>1128</v>
      </c>
      <c r="J3" s="67" t="s">
        <v>2789</v>
      </c>
      <c r="K3" s="67" t="s">
        <v>2790</v>
      </c>
      <c r="L3" s="67" t="s">
        <v>2791</v>
      </c>
      <c r="M3" s="67" t="s">
        <v>2792</v>
      </c>
      <c r="N3" s="67" t="s">
        <v>2793</v>
      </c>
      <c r="O3" s="67" t="s">
        <v>2794</v>
      </c>
      <c r="P3" s="67" t="s">
        <v>159</v>
      </c>
      <c r="Q3" s="67" t="s">
        <v>2795</v>
      </c>
      <c r="R3" s="67" t="s">
        <v>2796</v>
      </c>
      <c r="S3" s="67" t="s">
        <v>2797</v>
      </c>
      <c r="T3" s="67" t="s">
        <v>2798</v>
      </c>
      <c r="U3" s="67" t="s">
        <v>2799</v>
      </c>
      <c r="V3" s="67" t="s">
        <v>2800</v>
      </c>
      <c r="W3" s="67" t="s">
        <v>2801</v>
      </c>
      <c r="X3" s="67" t="s">
        <v>2802</v>
      </c>
      <c r="Y3" s="67" t="s">
        <v>2471</v>
      </c>
      <c r="Z3" s="67" t="s">
        <v>2803</v>
      </c>
      <c r="AA3" s="67" t="s">
        <v>2804</v>
      </c>
      <c r="AC3" s="67" t="s">
        <v>179</v>
      </c>
      <c r="AD3" s="67" t="s">
        <v>2805</v>
      </c>
    </row>
    <row r="4" customFormat="false" ht="15" hidden="false" customHeight="false" outlineLevel="0" collapsed="false">
      <c r="A4" s="96" t="s">
        <v>821</v>
      </c>
      <c r="B4" s="96" t="s">
        <v>821</v>
      </c>
      <c r="C4" s="96" t="s">
        <v>2806</v>
      </c>
      <c r="D4" s="96" t="s">
        <v>350</v>
      </c>
      <c r="E4" s="96" t="s">
        <v>360</v>
      </c>
      <c r="F4" s="96" t="s">
        <v>397</v>
      </c>
      <c r="G4" s="96" t="s">
        <v>1810</v>
      </c>
      <c r="H4" s="96" t="s">
        <v>1147</v>
      </c>
      <c r="I4" s="96" t="s">
        <v>2807</v>
      </c>
      <c r="J4" s="96" t="s">
        <v>1149</v>
      </c>
      <c r="K4" s="96" t="s">
        <v>1153</v>
      </c>
      <c r="L4" s="96" t="s">
        <v>165</v>
      </c>
      <c r="M4" s="96" t="s">
        <v>387</v>
      </c>
      <c r="N4" s="96" t="s">
        <v>2808</v>
      </c>
      <c r="O4" s="96" t="s">
        <v>359</v>
      </c>
      <c r="P4" s="96" t="s">
        <v>360</v>
      </c>
      <c r="Q4" s="96" t="s">
        <v>2809</v>
      </c>
      <c r="R4" s="96" t="s">
        <v>2810</v>
      </c>
      <c r="S4" s="96" t="s">
        <v>2811</v>
      </c>
      <c r="T4" s="96" t="s">
        <v>2150</v>
      </c>
      <c r="U4" s="96" t="s">
        <v>362</v>
      </c>
      <c r="V4" s="96" t="s">
        <v>372</v>
      </c>
      <c r="W4" s="96" t="s">
        <v>2812</v>
      </c>
      <c r="X4" s="96" t="s">
        <v>2481</v>
      </c>
      <c r="Y4" s="96" t="s">
        <v>2813</v>
      </c>
      <c r="Z4" s="96" t="s">
        <v>2468</v>
      </c>
      <c r="AA4" s="96" t="s">
        <v>350</v>
      </c>
      <c r="AC4" s="97" t="s">
        <v>360</v>
      </c>
      <c r="AD4" s="97" t="n">
        <v>15</v>
      </c>
    </row>
    <row r="5" customFormat="false" ht="15" hidden="false" customHeight="false" outlineLevel="0" collapsed="false">
      <c r="A5" s="96" t="s">
        <v>822</v>
      </c>
      <c r="B5" s="96" t="s">
        <v>822</v>
      </c>
      <c r="C5" s="96" t="s">
        <v>127</v>
      </c>
      <c r="D5" s="96" t="s">
        <v>352</v>
      </c>
      <c r="E5" s="96" t="s">
        <v>362</v>
      </c>
      <c r="F5" s="96" t="s">
        <v>399</v>
      </c>
      <c r="G5" s="96" t="s">
        <v>811</v>
      </c>
      <c r="H5" s="96" t="s">
        <v>1483</v>
      </c>
      <c r="I5" s="96" t="s">
        <v>1145</v>
      </c>
      <c r="J5" s="96" t="s">
        <v>2814</v>
      </c>
      <c r="K5" s="96" t="s">
        <v>2815</v>
      </c>
      <c r="L5" s="96" t="s">
        <v>2468</v>
      </c>
      <c r="M5" s="96" t="s">
        <v>389</v>
      </c>
      <c r="N5" s="96" t="s">
        <v>2816</v>
      </c>
      <c r="O5" s="96" t="s">
        <v>2817</v>
      </c>
      <c r="P5" s="96" t="s">
        <v>362</v>
      </c>
      <c r="Q5" s="96" t="s">
        <v>1815</v>
      </c>
      <c r="R5" s="96" t="s">
        <v>2818</v>
      </c>
      <c r="S5" s="96" t="s">
        <v>2151</v>
      </c>
      <c r="T5" s="96" t="s">
        <v>2819</v>
      </c>
      <c r="U5" s="96" t="s">
        <v>364</v>
      </c>
      <c r="V5" s="96" t="s">
        <v>374</v>
      </c>
      <c r="W5" s="96" t="s">
        <v>824</v>
      </c>
      <c r="X5" s="96" t="s">
        <v>2820</v>
      </c>
      <c r="Y5" s="96" t="s">
        <v>2482</v>
      </c>
      <c r="Z5" s="96" t="s">
        <v>2821</v>
      </c>
      <c r="AA5" s="96" t="s">
        <v>352</v>
      </c>
      <c r="AC5" s="97" t="s">
        <v>362</v>
      </c>
      <c r="AD5" s="97" t="n">
        <v>30</v>
      </c>
    </row>
    <row r="6" customFormat="false" ht="15" hidden="false" customHeight="false" outlineLevel="0" collapsed="false">
      <c r="A6" s="96"/>
      <c r="B6" s="96" t="s">
        <v>2157</v>
      </c>
      <c r="C6" s="96" t="s">
        <v>117</v>
      </c>
      <c r="D6" s="96" t="s">
        <v>354</v>
      </c>
      <c r="E6" s="96" t="s">
        <v>364</v>
      </c>
      <c r="F6" s="96" t="s">
        <v>401</v>
      </c>
      <c r="G6" s="96" t="s">
        <v>482</v>
      </c>
      <c r="H6" s="96" t="s">
        <v>2822</v>
      </c>
      <c r="I6" s="96"/>
      <c r="J6" s="96" t="s">
        <v>2823</v>
      </c>
      <c r="K6" s="96" t="s">
        <v>2824</v>
      </c>
      <c r="L6" s="96" t="s">
        <v>2825</v>
      </c>
      <c r="M6" s="96" t="s">
        <v>390</v>
      </c>
      <c r="N6" s="96" t="s">
        <v>2826</v>
      </c>
      <c r="O6" s="96" t="s">
        <v>393</v>
      </c>
      <c r="P6" s="96" t="s">
        <v>364</v>
      </c>
      <c r="Q6" s="96" t="s">
        <v>2827</v>
      </c>
      <c r="R6" s="96" t="s">
        <v>2828</v>
      </c>
      <c r="S6" s="96" t="s">
        <v>2829</v>
      </c>
      <c r="T6" s="96" t="s">
        <v>2830</v>
      </c>
      <c r="U6" s="96" t="s">
        <v>366</v>
      </c>
      <c r="V6" s="96" t="s">
        <v>376</v>
      </c>
      <c r="W6" s="96" t="s">
        <v>2831</v>
      </c>
      <c r="X6" s="96" t="s">
        <v>2832</v>
      </c>
      <c r="Y6" s="96" t="s">
        <v>2833</v>
      </c>
      <c r="Z6" s="96" t="s">
        <v>165</v>
      </c>
      <c r="AA6" s="96" t="s">
        <v>144</v>
      </c>
      <c r="AC6" s="97" t="s">
        <v>364</v>
      </c>
      <c r="AD6" s="97" t="n">
        <v>90</v>
      </c>
    </row>
    <row r="7" customFormat="false" ht="15" hidden="false" customHeight="false" outlineLevel="0" collapsed="false">
      <c r="A7" s="96"/>
      <c r="B7" s="96"/>
      <c r="C7" s="96"/>
      <c r="D7" s="96" t="s">
        <v>355</v>
      </c>
      <c r="E7" s="96" t="s">
        <v>366</v>
      </c>
      <c r="F7" s="96" t="s">
        <v>402</v>
      </c>
      <c r="G7" s="96" t="s">
        <v>2834</v>
      </c>
      <c r="H7" s="96" t="s">
        <v>2835</v>
      </c>
      <c r="I7" s="96"/>
      <c r="J7" s="96" t="s">
        <v>2836</v>
      </c>
      <c r="K7" s="96" t="s">
        <v>2837</v>
      </c>
      <c r="L7" s="96" t="s">
        <v>157</v>
      </c>
      <c r="M7" s="96" t="s">
        <v>392</v>
      </c>
      <c r="N7" s="96" t="s">
        <v>2838</v>
      </c>
      <c r="O7" s="96" t="s">
        <v>2839</v>
      </c>
      <c r="P7" s="96" t="s">
        <v>366</v>
      </c>
      <c r="Q7" s="96" t="s">
        <v>2840</v>
      </c>
      <c r="R7" s="96" t="s">
        <v>2841</v>
      </c>
      <c r="S7" s="96" t="s">
        <v>2842</v>
      </c>
      <c r="T7" s="96" t="s">
        <v>2843</v>
      </c>
      <c r="U7" s="96"/>
      <c r="V7" s="96" t="s">
        <v>378</v>
      </c>
      <c r="W7" s="96"/>
      <c r="X7" s="96" t="s">
        <v>2844</v>
      </c>
      <c r="Y7" s="96" t="s">
        <v>2157</v>
      </c>
      <c r="Z7" s="96" t="s">
        <v>2845</v>
      </c>
      <c r="AA7" s="96" t="s">
        <v>2846</v>
      </c>
      <c r="AC7" s="97" t="s">
        <v>366</v>
      </c>
      <c r="AD7" s="97" t="n">
        <v>180</v>
      </c>
    </row>
    <row r="8" customFormat="false" ht="15" hidden="false" customHeight="false" outlineLevel="0" collapsed="false">
      <c r="A8" s="96"/>
      <c r="B8" s="96"/>
      <c r="C8" s="96"/>
      <c r="D8" s="96" t="s">
        <v>144</v>
      </c>
      <c r="E8" s="96"/>
      <c r="F8" s="96" t="s">
        <v>403</v>
      </c>
      <c r="G8" s="96" t="s">
        <v>2847</v>
      </c>
      <c r="H8" s="96" t="s">
        <v>814</v>
      </c>
      <c r="I8" s="96"/>
      <c r="J8" s="96" t="s">
        <v>2838</v>
      </c>
      <c r="K8" s="96" t="s">
        <v>2848</v>
      </c>
      <c r="L8" s="96" t="s">
        <v>2849</v>
      </c>
      <c r="M8" s="96" t="s">
        <v>393</v>
      </c>
      <c r="N8" s="96" t="s">
        <v>1809</v>
      </c>
      <c r="O8" s="96"/>
      <c r="P8" s="96" t="s">
        <v>368</v>
      </c>
      <c r="Q8" s="96" t="s">
        <v>2850</v>
      </c>
      <c r="R8" s="96" t="s">
        <v>1816</v>
      </c>
      <c r="S8" s="96" t="s">
        <v>2851</v>
      </c>
      <c r="T8" s="96" t="s">
        <v>2852</v>
      </c>
      <c r="U8" s="96"/>
      <c r="V8" s="96" t="s">
        <v>380</v>
      </c>
      <c r="W8" s="96"/>
      <c r="X8" s="96"/>
      <c r="Y8" s="96"/>
      <c r="Z8" s="96" t="s">
        <v>2853</v>
      </c>
      <c r="AA8" s="96" t="s">
        <v>355</v>
      </c>
      <c r="AC8" s="97" t="s">
        <v>368</v>
      </c>
      <c r="AD8" s="97" t="n">
        <v>365</v>
      </c>
    </row>
    <row r="9" customFormat="false" ht="15" hidden="false" customHeight="false" outlineLevel="0" collapsed="false">
      <c r="A9" s="96"/>
      <c r="B9" s="96"/>
      <c r="C9" s="96"/>
      <c r="D9" s="96" t="s">
        <v>357</v>
      </c>
      <c r="E9" s="96"/>
      <c r="F9" s="96" t="s">
        <v>405</v>
      </c>
      <c r="G9" s="96" t="s">
        <v>2854</v>
      </c>
      <c r="H9" s="96"/>
      <c r="I9" s="96"/>
      <c r="J9" s="96" t="s">
        <v>2855</v>
      </c>
      <c r="K9" s="96"/>
      <c r="L9" s="96" t="s">
        <v>397</v>
      </c>
      <c r="M9" s="96"/>
      <c r="N9" s="96" t="s">
        <v>2856</v>
      </c>
      <c r="O9" s="96"/>
      <c r="P9" s="96"/>
      <c r="Q9" s="96" t="s">
        <v>2857</v>
      </c>
      <c r="R9" s="96"/>
      <c r="S9" s="96" t="s">
        <v>2858</v>
      </c>
      <c r="T9" s="96" t="s">
        <v>2859</v>
      </c>
      <c r="U9" s="96"/>
      <c r="V9" s="96" t="s">
        <v>381</v>
      </c>
      <c r="W9" s="96"/>
      <c r="X9" s="96"/>
      <c r="Y9" s="96"/>
      <c r="Z9" s="96"/>
      <c r="AA9" s="96"/>
    </row>
    <row r="10" customFormat="false" ht="15" hidden="false" customHeight="false" outlineLevel="0" collapsed="false">
      <c r="A10" s="96"/>
      <c r="B10" s="96"/>
      <c r="C10" s="96"/>
      <c r="D10" s="96"/>
      <c r="E10" s="96"/>
      <c r="F10" s="96" t="s">
        <v>407</v>
      </c>
      <c r="G10" s="96" t="s">
        <v>2860</v>
      </c>
      <c r="H10" s="96"/>
      <c r="I10" s="96"/>
      <c r="J10" s="96" t="s">
        <v>2861</v>
      </c>
      <c r="K10" s="96"/>
      <c r="L10" s="96" t="s">
        <v>411</v>
      </c>
      <c r="M10" s="96"/>
      <c r="N10" s="96" t="s">
        <v>2862</v>
      </c>
      <c r="O10" s="96"/>
      <c r="P10" s="96"/>
      <c r="Q10" s="96" t="s">
        <v>814</v>
      </c>
      <c r="R10" s="96"/>
      <c r="S10" s="96" t="s">
        <v>2863</v>
      </c>
      <c r="T10" s="96" t="s">
        <v>2864</v>
      </c>
      <c r="U10" s="96"/>
      <c r="V10" s="96" t="s">
        <v>382</v>
      </c>
      <c r="W10" s="96"/>
      <c r="X10" s="96"/>
      <c r="Y10" s="96"/>
      <c r="Z10" s="96"/>
      <c r="AA10" s="96"/>
      <c r="AC10" s="66" t="s">
        <v>2865</v>
      </c>
    </row>
    <row r="11" customFormat="false" ht="15" hidden="false" customHeight="false" outlineLevel="0" collapsed="false">
      <c r="A11" s="96"/>
      <c r="B11" s="96"/>
      <c r="C11" s="96"/>
      <c r="D11" s="96"/>
      <c r="E11" s="96"/>
      <c r="F11" s="96" t="s">
        <v>409</v>
      </c>
      <c r="G11" s="96" t="s">
        <v>2866</v>
      </c>
      <c r="H11" s="96"/>
      <c r="I11" s="96"/>
      <c r="J11" s="96" t="s">
        <v>2867</v>
      </c>
      <c r="K11" s="96"/>
      <c r="L11" s="96"/>
      <c r="M11" s="96"/>
      <c r="N11" s="96" t="s">
        <v>2868</v>
      </c>
      <c r="O11" s="96"/>
      <c r="P11" s="96"/>
      <c r="Q11" s="96"/>
      <c r="R11" s="96"/>
      <c r="S11" s="96" t="s">
        <v>2869</v>
      </c>
      <c r="T11" s="96" t="s">
        <v>2870</v>
      </c>
      <c r="U11" s="96"/>
      <c r="V11" s="96"/>
      <c r="W11" s="96"/>
      <c r="X11" s="96"/>
      <c r="Y11" s="96"/>
      <c r="Z11" s="96"/>
      <c r="AA11" s="96"/>
    </row>
    <row r="12" customFormat="false" ht="15" hidden="false" customHeight="false" outlineLevel="0" collapsed="false">
      <c r="A12" s="96"/>
      <c r="B12" s="96"/>
      <c r="C12" s="96"/>
      <c r="D12" s="96"/>
      <c r="E12" s="96"/>
      <c r="F12" s="96" t="s">
        <v>411</v>
      </c>
      <c r="G12" s="96" t="s">
        <v>2871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 t="s">
        <v>2872</v>
      </c>
      <c r="T12" s="96" t="s">
        <v>2873</v>
      </c>
      <c r="U12" s="96"/>
      <c r="V12" s="96"/>
      <c r="W12" s="96"/>
      <c r="X12" s="96"/>
      <c r="Y12" s="96"/>
      <c r="Z12" s="96"/>
      <c r="AA12" s="96"/>
    </row>
    <row r="13" customFormat="false" ht="15" hidden="false" customHeight="false" outlineLevel="0" collapsed="false">
      <c r="A13" s="96"/>
      <c r="B13" s="96"/>
      <c r="C13" s="96"/>
      <c r="D13" s="96"/>
      <c r="E13" s="96"/>
      <c r="F13" s="96"/>
      <c r="G13" s="96" t="s">
        <v>2874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 t="s">
        <v>2875</v>
      </c>
      <c r="T13" s="96"/>
      <c r="U13" s="96"/>
      <c r="V13" s="96"/>
      <c r="W13" s="96"/>
      <c r="X13" s="96"/>
      <c r="Y13" s="96"/>
      <c r="Z13" s="96"/>
      <c r="AA13" s="96"/>
    </row>
    <row r="14" customFormat="false" ht="15" hidden="false" customHeight="false" outlineLevel="0" collapsed="false">
      <c r="A14" s="96"/>
      <c r="B14" s="96"/>
      <c r="C14" s="96"/>
      <c r="D14" s="96"/>
      <c r="E14" s="96"/>
      <c r="F14" s="96"/>
      <c r="G14" s="96" t="s">
        <v>2876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 t="s">
        <v>2877</v>
      </c>
      <c r="T14" s="96"/>
      <c r="U14" s="96"/>
      <c r="V14" s="96"/>
      <c r="W14" s="96"/>
      <c r="X14" s="96"/>
      <c r="Y14" s="96"/>
      <c r="Z14" s="96"/>
      <c r="AA14" s="96"/>
    </row>
    <row r="15" customFormat="false" ht="15" hidden="false" customHeight="false" outlineLevel="0" collapsed="false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 t="s">
        <v>2878</v>
      </c>
      <c r="T15" s="96"/>
      <c r="U15" s="96"/>
      <c r="V15" s="96"/>
      <c r="W15" s="96"/>
      <c r="X15" s="96"/>
      <c r="Y15" s="96"/>
      <c r="Z15" s="96"/>
      <c r="AA15" s="96"/>
    </row>
    <row r="16" customFormat="false" ht="15" hidden="false" customHeight="false" outlineLevel="0" collapsed="false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</row>
    <row r="17" customFormat="false" ht="15" hidden="false" customHeight="false" outlineLevel="0" collapsed="false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</row>
    <row r="18" customFormat="false" ht="15" hidden="false" customHeight="false" outlineLevel="0" collapsed="false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2026-10-20T11:18:10Z</dcterms:created>
  <dc:creator>openpyxl</dc:creator>
  <dc:description/>
  <dc:language>en-US</dc:language>
  <cp:lastModifiedBy/>
  <dcterms:modified xsi:type="dcterms:W3CDTF">2026-10-20T12:18:19Z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